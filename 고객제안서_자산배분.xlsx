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제안서" sheetId="1" state="visible" r:id="rId1"/>
    <sheet xmlns:r="http://schemas.openxmlformats.org/officeDocument/2006/relationships" name="배분규칙" sheetId="2" state="visible" r:id="rId2"/>
    <sheet xmlns:r="http://schemas.openxmlformats.org/officeDocument/2006/relationships" name="자산군" sheetId="3" state="visible" r:id="rId3"/>
    <sheet xmlns:r="http://schemas.openxmlformats.org/officeDocument/2006/relationships" name="상품" sheetId="4" state="visible" r:id="rId4"/>
    <sheet xmlns:r="http://schemas.openxmlformats.org/officeDocument/2006/relationships" name="출처" sheetId="5" state="visible" r:id="rId5"/>
    <sheet xmlns:r="http://schemas.openxmlformats.org/officeDocument/2006/relationships" name="사용법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Spoqa Han Sans Neo"/>
      <color rgb="006C6C6C"/>
      <sz val="9"/>
    </font>
    <font>
      <name val="Spoqa Han Sans Neo"/>
      <b val="1"/>
      <color rgb="001A1A1A"/>
      <sz val="10"/>
    </font>
    <font>
      <name val="Spoqa Han Sans Neo"/>
      <color rgb="006C6C6C"/>
      <sz val="10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color rgb="001A1A1A"/>
      <sz val="10"/>
    </font>
    <font>
      <name val="Spoqa Han Sans Neo"/>
      <b val="1"/>
      <color rgb="00F58220"/>
      <sz val="20"/>
    </font>
    <font>
      <name val="Spoqa Han Sans Neo"/>
      <b val="1"/>
      <color rgb="000000FF"/>
      <sz val="10"/>
    </font>
    <font>
      <name val="Spoqa Han Sans Neo"/>
      <b val="1"/>
      <color rgb="006C6C6C"/>
      <sz val="10"/>
    </font>
  </fonts>
  <fills count="6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FF7E6"/>
      </patternFill>
    </fill>
    <fill>
      <patternFill patternType="solid">
        <fgColor rgb="00D7D7D7"/>
      </patternFill>
    </fill>
  </fills>
  <borders count="3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0" fillId="0" borderId="2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/>
    </xf>
    <xf numFmtId="0" fontId="2" fillId="0" borderId="0" pivotButton="0" quotePrefix="0" xfId="0"/>
    <xf numFmtId="0" fontId="8" fillId="4" borderId="1" pivotButton="0" quotePrefix="0" xfId="0"/>
    <xf numFmtId="3" fontId="8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0" fontId="1" fillId="0" borderId="0" pivotButton="0" quotePrefix="0" xfId="0"/>
    <xf numFmtId="0" fontId="1" fillId="0" borderId="1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3" fillId="0" borderId="1" pivotButton="0" quotePrefix="0" xfId="0"/>
    <xf numFmtId="164" fontId="6" fillId="0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0" fontId="9" fillId="5" borderId="1" pivotButton="0" quotePrefix="0" xfId="0"/>
    <xf numFmtId="164" fontId="2" fillId="5" borderId="1" applyAlignment="1" pivotButton="0" quotePrefix="0" xfId="0">
      <alignment horizontal="right"/>
    </xf>
    <xf numFmtId="3" fontId="2" fillId="5" borderId="1" applyAlignment="1" pivotButton="0" quotePrefix="0" xfId="0">
      <alignment horizontal="right"/>
    </xf>
    <xf numFmtId="0" fontId="1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3" fillId="3" borderId="1" pivotButton="0" quotePrefix="0" xfId="0"/>
    <xf numFmtId="3" fontId="3" fillId="3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3" fontId="3" fillId="0" borderId="1" applyAlignment="1" pivotButton="0" quotePrefix="0" xfId="0">
      <alignment horizontal="right"/>
    </xf>
    <xf numFmtId="10" fontId="3" fillId="3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6" customWidth="1" min="3" max="3"/>
    <col width="15" customWidth="1" min="4" max="4"/>
    <col width="15" customWidth="1" min="5" max="5"/>
    <col width="15" customWidth="1" min="6" max="6"/>
    <col width="14" customWidth="1" min="7" max="7"/>
  </cols>
  <sheetData>
    <row r="1">
      <c r="A1" s="1" t="inlineStr">
        <is>
          <t>자산배분 제안서</t>
        </is>
      </c>
    </row>
    <row r="2">
      <c r="A2" s="2" t="inlineStr">
        <is>
          <t>미래에셋증권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</row>
    <row r="5" ht="4" customHeight="1">
      <c r="A5" s="3" t="n"/>
      <c r="B5" s="3" t="n"/>
      <c r="C5" s="3" t="n"/>
      <c r="D5" s="3" t="n"/>
      <c r="E5" s="3" t="n"/>
      <c r="F5" s="3" t="n"/>
      <c r="G5" s="3" t="n"/>
    </row>
    <row r="6" ht="26" customHeight="1">
      <c r="A6" s="4" t="inlineStr">
        <is>
          <t>1</t>
        </is>
      </c>
      <c r="B6" s="5" t="inlineStr">
        <is>
          <t>고객 정보</t>
        </is>
      </c>
    </row>
    <row r="7" ht="6" customHeight="1">
      <c r="A7" s="6" t="inlineStr">
        <is>
          <t>고객명</t>
        </is>
      </c>
      <c r="B7" s="7" t="inlineStr"/>
    </row>
    <row r="8">
      <c r="A8" s="6" t="inlineStr">
        <is>
          <t>투자금액 (만원)</t>
        </is>
      </c>
      <c r="B8" s="8" t="n">
        <v>10000</v>
      </c>
    </row>
    <row r="9">
      <c r="A9" s="6" t="inlineStr">
        <is>
          <t>투자기간</t>
        </is>
      </c>
      <c r="B9" s="7" t="inlineStr">
        <is>
          <t>5년 초과</t>
        </is>
      </c>
    </row>
    <row r="10">
      <c r="A10" s="6" t="inlineStr">
        <is>
          <t>위험성향 (1~5)</t>
        </is>
      </c>
      <c r="B10" s="9" t="n">
        <v>3</v>
      </c>
    </row>
    <row r="11">
      <c r="A11" s="6" t="inlineStr">
        <is>
          <t>성향</t>
        </is>
      </c>
      <c r="B11" s="10">
        <f>CHOOSE($B$10,"안정형","안정추구형","위험중립형","적극투자형","공격투자형")</f>
        <v/>
      </c>
    </row>
    <row r="12">
      <c r="A12" s="11" t="inlineStr">
        <is>
          <t>조회 키</t>
        </is>
      </c>
      <c r="B12" s="12">
        <f>$B$10&amp;"|"&amp;CHOOSE(MATCH($B$9,{"1년 이내","3년","5년","5년 초과"},0),1,3,5,10)</f>
        <v/>
      </c>
    </row>
    <row r="14" ht="4" customHeight="1">
      <c r="A14" s="3" t="n"/>
      <c r="B14" s="3" t="n"/>
      <c r="C14" s="3" t="n"/>
      <c r="D14" s="3" t="n"/>
      <c r="E14" s="3" t="n"/>
      <c r="F14" s="3" t="n"/>
      <c r="G14" s="3" t="n"/>
    </row>
    <row r="15" ht="26" customHeight="1">
      <c r="A15" s="4" t="inlineStr">
        <is>
          <t>2</t>
        </is>
      </c>
      <c r="B15" s="5" t="inlineStr">
        <is>
          <t>제안 배분</t>
        </is>
      </c>
    </row>
    <row r="16" ht="6" customHeight="1">
      <c r="A16" s="13" t="inlineStr">
        <is>
          <t>자산군</t>
        </is>
      </c>
      <c r="B16" s="13" t="inlineStr">
        <is>
          <t>비중</t>
        </is>
      </c>
      <c r="C16" s="13" t="inlineStr">
        <is>
          <t>금액(만원)</t>
        </is>
      </c>
      <c r="D16" s="13" t="inlineStr">
        <is>
          <t>과거 1년(중앙)</t>
        </is>
      </c>
      <c r="E16" s="13" t="inlineStr">
        <is>
          <t>변동성(중앙)</t>
        </is>
      </c>
      <c r="F16" s="13" t="inlineStr"/>
      <c r="G16" s="13" t="inlineStr"/>
    </row>
    <row r="17">
      <c r="A17" s="14" t="inlineStr">
        <is>
          <t>국내주식</t>
        </is>
      </c>
      <c r="B17" s="15">
        <f>INDEX(배분규칙!$D$4:$J$23,MATCH($B$12,배분규칙!$A$4:$A$23,0),MATCH($A17,배분규칙!$D$3:$J$3,0))</f>
        <v/>
      </c>
      <c r="C17" s="16">
        <f>$B$8*$B17</f>
        <v/>
      </c>
      <c r="D17" s="15">
        <f>IFERROR(INDEX(자산군!$D$6:$D$11,MATCH($A17,자산군!$A$6:$A$11,0)),"—")</f>
        <v/>
      </c>
      <c r="E17" s="15">
        <f>IFERROR(INDEX(자산군!$E$6:$E$11,MATCH($A17,자산군!$A$6:$A$11,0)),"—")</f>
        <v/>
      </c>
    </row>
    <row r="18">
      <c r="A18" s="14" t="inlineStr">
        <is>
          <t>해외주식</t>
        </is>
      </c>
      <c r="B18" s="15">
        <f>INDEX(배분규칙!$D$4:$J$23,MATCH($B$12,배분규칙!$A$4:$A$23,0),MATCH($A18,배분규칙!$D$3:$J$3,0))</f>
        <v/>
      </c>
      <c r="C18" s="16">
        <f>$B$8*$B18</f>
        <v/>
      </c>
      <c r="D18" s="15">
        <f>IFERROR(INDEX(자산군!$D$6:$D$11,MATCH($A18,자산군!$A$6:$A$11,0)),"—")</f>
        <v/>
      </c>
      <c r="E18" s="15">
        <f>IFERROR(INDEX(자산군!$E$6:$E$11,MATCH($A18,자산군!$A$6:$A$11,0)),"—")</f>
        <v/>
      </c>
    </row>
    <row r="19">
      <c r="A19" s="14" t="inlineStr">
        <is>
          <t>국내ETF</t>
        </is>
      </c>
      <c r="B19" s="15">
        <f>INDEX(배분규칙!$D$4:$J$23,MATCH($B$12,배분규칙!$A$4:$A$23,0),MATCH($A19,배분규칙!$D$3:$J$3,0))</f>
        <v/>
      </c>
      <c r="C19" s="16">
        <f>$B$8*$B19</f>
        <v/>
      </c>
      <c r="D19" s="15">
        <f>IFERROR(INDEX(자산군!$D$6:$D$11,MATCH($A19,자산군!$A$6:$A$11,0)),"—")</f>
        <v/>
      </c>
      <c r="E19" s="15">
        <f>IFERROR(INDEX(자산군!$E$6:$E$11,MATCH($A19,자산군!$A$6:$A$11,0)),"—")</f>
        <v/>
      </c>
    </row>
    <row r="20">
      <c r="A20" s="14" t="inlineStr">
        <is>
          <t>해외ETF</t>
        </is>
      </c>
      <c r="B20" s="15">
        <f>INDEX(배분규칙!$D$4:$J$23,MATCH($B$12,배분규칙!$A$4:$A$23,0),MATCH($A20,배분규칙!$D$3:$J$3,0))</f>
        <v/>
      </c>
      <c r="C20" s="16">
        <f>$B$8*$B20</f>
        <v/>
      </c>
      <c r="D20" s="15">
        <f>IFERROR(INDEX(자산군!$D$6:$D$11,MATCH($A20,자산군!$A$6:$A$11,0)),"—")</f>
        <v/>
      </c>
      <c r="E20" s="15">
        <f>IFERROR(INDEX(자산군!$E$6:$E$11,MATCH($A20,자산군!$A$6:$A$11,0)),"—")</f>
        <v/>
      </c>
    </row>
    <row r="21">
      <c r="A21" s="14" t="inlineStr">
        <is>
          <t>국내펀드</t>
        </is>
      </c>
      <c r="B21" s="15">
        <f>INDEX(배분규칙!$D$4:$J$23,MATCH($B$12,배분규칙!$A$4:$A$23,0),MATCH($A21,배분규칙!$D$3:$J$3,0))</f>
        <v/>
      </c>
      <c r="C21" s="16">
        <f>$B$8*$B21</f>
        <v/>
      </c>
      <c r="D21" s="15">
        <f>IFERROR(INDEX(자산군!$D$6:$D$11,MATCH($A21,자산군!$A$6:$A$11,0)),"—")</f>
        <v/>
      </c>
      <c r="E21" s="15">
        <f>IFERROR(INDEX(자산군!$E$6:$E$11,MATCH($A21,자산군!$A$6:$A$11,0)),"—")</f>
        <v/>
      </c>
    </row>
    <row r="22">
      <c r="A22" s="14" t="inlineStr">
        <is>
          <t>해외펀드</t>
        </is>
      </c>
      <c r="B22" s="15">
        <f>INDEX(배분규칙!$D$4:$J$23,MATCH($B$12,배분규칙!$A$4:$A$23,0),MATCH($A22,배분규칙!$D$3:$J$3,0))</f>
        <v/>
      </c>
      <c r="C22" s="16">
        <f>$B$8*$B22</f>
        <v/>
      </c>
      <c r="D22" s="15">
        <f>IFERROR(INDEX(자산군!$D$6:$D$11,MATCH($A22,자산군!$A$6:$A$11,0)),"—")</f>
        <v/>
      </c>
      <c r="E22" s="15">
        <f>IFERROR(INDEX(자산군!$E$6:$E$11,MATCH($A22,자산군!$A$6:$A$11,0)),"—")</f>
        <v/>
      </c>
    </row>
    <row r="23">
      <c r="A23" s="14" t="inlineStr">
        <is>
          <t>현금</t>
        </is>
      </c>
      <c r="B23" s="15">
        <f>INDEX(배분규칙!$D$4:$J$23,MATCH($B$12,배분규칙!$A$4:$A$23,0),MATCH($A23,배분규칙!$D$3:$J$3,0))</f>
        <v/>
      </c>
      <c r="C23" s="16">
        <f>$B$8*$B23</f>
        <v/>
      </c>
      <c r="D23" s="15">
        <f>IFERROR(INDEX(자산군!$D$6:$D$11,MATCH($A23,자산군!$A$6:$A$11,0)),"—")</f>
        <v/>
      </c>
      <c r="E23" s="15">
        <f>IFERROR(INDEX(자산군!$E$6:$E$11,MATCH($A23,자산군!$A$6:$A$11,0)),"—")</f>
        <v/>
      </c>
    </row>
    <row r="24">
      <c r="A24" s="17" t="inlineStr">
        <is>
          <t>합계</t>
        </is>
      </c>
      <c r="B24" s="18">
        <f>SUM($B17:$B23)</f>
        <v/>
      </c>
      <c r="C24" s="19">
        <f>SUM($C17:$C23)</f>
        <v/>
      </c>
      <c r="D24" s="18">
        <f>SUMPRODUCT($B17:$B23,IFERROR($D17:$D23,0))</f>
        <v/>
      </c>
      <c r="E24" s="18">
        <f>SUMPRODUCT($B17:$B23,IFERROR($E17:$E23,0))</f>
        <v/>
      </c>
    </row>
    <row r="26" ht="4" customHeight="1">
      <c r="A26" s="3" t="n"/>
      <c r="B26" s="3" t="n"/>
      <c r="C26" s="3" t="n"/>
      <c r="D26" s="3" t="n"/>
      <c r="E26" s="3" t="n"/>
      <c r="F26" s="3" t="n"/>
      <c r="G26" s="3" t="n"/>
    </row>
    <row r="27" ht="26" customHeight="1">
      <c r="A27" s="4" t="inlineStr">
        <is>
          <t>3</t>
        </is>
      </c>
      <c r="B27" s="5" t="inlineStr">
        <is>
          <t>이 표를 읽는 법</t>
        </is>
      </c>
    </row>
    <row r="28" ht="26" customHeight="1">
      <c r="A28" s="20" t="inlineStr">
        <is>
          <t>· 「과거 1년」은 유니버스에서 실제로 잰 값입니다. **미래 수익률이 아닙니다** — 최근 1년이 그랬다는 것과 앞으로 그러리라는 것은 다른 말입니다.</t>
        </is>
      </c>
    </row>
    <row r="29" ht="26" customHeight="1">
      <c r="A29" s="20" t="inlineStr">
        <is>
          <t>· 변동성은 자산군 사이 상관관계를 셈하지 않은 가중합입니다. 분산효과가 빠져 있어 실제보다 높게 나옵니다. 낮게 보이게 만드는 것보다 높게 두는 편이 안전합니다.</t>
        </is>
      </c>
    </row>
    <row r="30" ht="26" customHeight="1">
      <c r="A30" s="20" t="inlineStr">
        <is>
          <t>· 펀드는 기준가 이력이 7 거래일뿐이라 변동성을 셈하지 않았습니다. 그래서 합계 변동성은 포트폴리오의 일부만 덮습니다 — 「자산군」 시트에서 빈칸(—)인 자산군이 그것입니다.</t>
        </is>
      </c>
    </row>
    <row r="31" ht="26" customHeight="1">
      <c r="A31" s="20" t="inlineStr">
        <is>
          <t>· 「해외펀드」는 해외에 설정된 뮤추얼펀드가 아니라 해외에 투자하는 국내 설정 공모펀드입니다.</t>
        </is>
      </c>
    </row>
    <row r="32" ht="26" customHeight="1">
      <c r="A32" s="20" t="inlineStr">
        <is>
          <t>· 이 자료는 참고용이며 투자 권유가 아닙니다. 실제 제안 전 준법감시 검토를 받으십시오.</t>
        </is>
      </c>
    </row>
    <row r="34">
      <c r="A34" s="11" t="inlineStr">
        <is>
          <t>유니버스 2026-09-19 10:13:47 · 문서 2026-09-19 10:13 (KST)</t>
        </is>
      </c>
    </row>
  </sheetData>
  <mergeCells count="5">
    <mergeCell ref="A32:G32"/>
    <mergeCell ref="A31:G31"/>
    <mergeCell ref="A30:G30"/>
    <mergeCell ref="A29:G29"/>
    <mergeCell ref="A28:G28"/>
  </mergeCells>
  <dataValidations count="2">
    <dataValidation sqref="B9" showDropDown="0" showInputMessage="0" showErrorMessage="0" allowBlank="0" type="list">
      <formula1>"1년 이내,3년,5년,5년 초과"</formula1>
    </dataValidation>
    <dataValidation sqref="B10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1" t="inlineStr">
        <is>
          <t>이 시트는 proposal_lib.py 가 셈한 배분입니다. 손으로 고치지 마십시오 — 고치면 화면·PPT 와 어긋납니다.</t>
        </is>
      </c>
    </row>
    <row r="3">
      <c r="A3" s="13" t="inlineStr">
        <is>
          <t>키</t>
        </is>
      </c>
      <c r="B3" s="13" t="inlineStr">
        <is>
          <t>성향</t>
        </is>
      </c>
      <c r="C3" s="13" t="inlineStr">
        <is>
          <t>기간</t>
        </is>
      </c>
      <c r="D3" s="13" t="inlineStr">
        <is>
          <t>국내주식</t>
        </is>
      </c>
      <c r="E3" s="13" t="inlineStr">
        <is>
          <t>해외주식</t>
        </is>
      </c>
      <c r="F3" s="13" t="inlineStr">
        <is>
          <t>국내ETF</t>
        </is>
      </c>
      <c r="G3" s="13" t="inlineStr">
        <is>
          <t>해외ETF</t>
        </is>
      </c>
      <c r="H3" s="13" t="inlineStr">
        <is>
          <t>국내펀드</t>
        </is>
      </c>
      <c r="I3" s="13" t="inlineStr">
        <is>
          <t>해외펀드</t>
        </is>
      </c>
      <c r="J3" s="13" t="inlineStr">
        <is>
          <t>현금</t>
        </is>
      </c>
    </row>
    <row r="4">
      <c r="A4" s="14" t="inlineStr">
        <is>
          <t>1|1</t>
        </is>
      </c>
      <c r="B4" s="21" t="n">
        <v>1</v>
      </c>
      <c r="C4" s="14" t="inlineStr">
        <is>
          <t>1년 이내</t>
        </is>
      </c>
      <c r="D4" s="22" t="n">
        <v>0</v>
      </c>
      <c r="E4" s="22" t="n">
        <v>0</v>
      </c>
      <c r="F4" s="22" t="n">
        <v>0.02</v>
      </c>
      <c r="G4" s="22" t="n">
        <v>0.02</v>
      </c>
      <c r="H4" s="22" t="n">
        <v>0.08</v>
      </c>
      <c r="I4" s="22" t="n">
        <v>0.04</v>
      </c>
      <c r="J4" s="22" t="n">
        <v>0.84</v>
      </c>
    </row>
    <row r="5">
      <c r="A5" s="14" t="inlineStr">
        <is>
          <t>1|3</t>
        </is>
      </c>
      <c r="B5" s="21" t="n">
        <v>1</v>
      </c>
      <c r="C5" s="14" t="inlineStr">
        <is>
          <t>3년</t>
        </is>
      </c>
      <c r="D5" s="22" t="n">
        <v>0</v>
      </c>
      <c r="E5" s="22" t="n">
        <v>0</v>
      </c>
      <c r="F5" s="22" t="n">
        <v>0.035</v>
      </c>
      <c r="G5" s="22" t="n">
        <v>0.035</v>
      </c>
      <c r="H5" s="22" t="n">
        <v>0.14</v>
      </c>
      <c r="I5" s="22" t="n">
        <v>0.07000000000000001</v>
      </c>
      <c r="J5" s="22" t="n">
        <v>0.72</v>
      </c>
    </row>
    <row r="6">
      <c r="A6" s="14" t="inlineStr">
        <is>
          <t>1|5</t>
        </is>
      </c>
      <c r="B6" s="21" t="n">
        <v>1</v>
      </c>
      <c r="C6" s="14" t="inlineStr">
        <is>
          <t>5년</t>
        </is>
      </c>
      <c r="D6" s="22" t="n">
        <v>0</v>
      </c>
      <c r="E6" s="22" t="n">
        <v>0</v>
      </c>
      <c r="F6" s="22" t="n">
        <v>0.045</v>
      </c>
      <c r="G6" s="22" t="n">
        <v>0.045</v>
      </c>
      <c r="H6" s="22" t="n">
        <v>0.18</v>
      </c>
      <c r="I6" s="22" t="n">
        <v>0.09</v>
      </c>
      <c r="J6" s="22" t="n">
        <v>0.64</v>
      </c>
    </row>
    <row r="7">
      <c r="A7" s="14" t="inlineStr">
        <is>
          <t>1|10</t>
        </is>
      </c>
      <c r="B7" s="21" t="n">
        <v>1</v>
      </c>
      <c r="C7" s="14" t="inlineStr">
        <is>
          <t>5년 초과</t>
        </is>
      </c>
      <c r="D7" s="22" t="n">
        <v>0</v>
      </c>
      <c r="E7" s="22" t="n">
        <v>0</v>
      </c>
      <c r="F7" s="22" t="n">
        <v>0.05</v>
      </c>
      <c r="G7" s="22" t="n">
        <v>0.05</v>
      </c>
      <c r="H7" s="22" t="n">
        <v>0.2</v>
      </c>
      <c r="I7" s="22" t="n">
        <v>0.1</v>
      </c>
      <c r="J7" s="22" t="n">
        <v>0.6</v>
      </c>
    </row>
    <row r="8">
      <c r="A8" s="14" t="inlineStr">
        <is>
          <t>2|1</t>
        </is>
      </c>
      <c r="B8" s="21" t="n">
        <v>2</v>
      </c>
      <c r="C8" s="14" t="inlineStr">
        <is>
          <t>1년 이내</t>
        </is>
      </c>
      <c r="D8" s="22" t="n">
        <v>0</v>
      </c>
      <c r="E8" s="22" t="n">
        <v>0.02</v>
      </c>
      <c r="F8" s="22" t="n">
        <v>0.04</v>
      </c>
      <c r="G8" s="22" t="n">
        <v>0.04</v>
      </c>
      <c r="H8" s="22" t="n">
        <v>0.1</v>
      </c>
      <c r="I8" s="22" t="n">
        <v>0.06</v>
      </c>
      <c r="J8" s="22" t="n">
        <v>0.74</v>
      </c>
    </row>
    <row r="9">
      <c r="A9" s="14" t="inlineStr">
        <is>
          <t>2|3</t>
        </is>
      </c>
      <c r="B9" s="21" t="n">
        <v>2</v>
      </c>
      <c r="C9" s="14" t="inlineStr">
        <is>
          <t>3년</t>
        </is>
      </c>
      <c r="D9" s="22" t="n">
        <v>0</v>
      </c>
      <c r="E9" s="22" t="n">
        <v>0.035</v>
      </c>
      <c r="F9" s="22" t="n">
        <v>0.07000000000000001</v>
      </c>
      <c r="G9" s="22" t="n">
        <v>0.07000000000000001</v>
      </c>
      <c r="H9" s="22" t="n">
        <v>0.175</v>
      </c>
      <c r="I9" s="22" t="n">
        <v>0.105</v>
      </c>
      <c r="J9" s="22" t="n">
        <v>0.545</v>
      </c>
    </row>
    <row r="10">
      <c r="A10" s="14" t="inlineStr">
        <is>
          <t>2|5</t>
        </is>
      </c>
      <c r="B10" s="21" t="n">
        <v>2</v>
      </c>
      <c r="C10" s="14" t="inlineStr">
        <is>
          <t>5년</t>
        </is>
      </c>
      <c r="D10" s="22" t="n">
        <v>0</v>
      </c>
      <c r="E10" s="22" t="n">
        <v>0.045</v>
      </c>
      <c r="F10" s="22" t="n">
        <v>0.09</v>
      </c>
      <c r="G10" s="22" t="n">
        <v>0.09</v>
      </c>
      <c r="H10" s="22" t="n">
        <v>0.225</v>
      </c>
      <c r="I10" s="22" t="n">
        <v>0.135</v>
      </c>
      <c r="J10" s="22" t="n">
        <v>0.415</v>
      </c>
    </row>
    <row r="11">
      <c r="A11" s="14" t="inlineStr">
        <is>
          <t>2|10</t>
        </is>
      </c>
      <c r="B11" s="21" t="n">
        <v>2</v>
      </c>
      <c r="C11" s="14" t="inlineStr">
        <is>
          <t>5년 초과</t>
        </is>
      </c>
      <c r="D11" s="22" t="n">
        <v>0</v>
      </c>
      <c r="E11" s="22" t="n">
        <v>0.05</v>
      </c>
      <c r="F11" s="22" t="n">
        <v>0.1</v>
      </c>
      <c r="G11" s="22" t="n">
        <v>0.1</v>
      </c>
      <c r="H11" s="22" t="n">
        <v>0.25</v>
      </c>
      <c r="I11" s="22" t="n">
        <v>0.15</v>
      </c>
      <c r="J11" s="22" t="n">
        <v>0.35</v>
      </c>
    </row>
    <row r="12">
      <c r="A12" s="14" t="inlineStr">
        <is>
          <t>3|1</t>
        </is>
      </c>
      <c r="B12" s="21" t="n">
        <v>3</v>
      </c>
      <c r="C12" s="14" t="inlineStr">
        <is>
          <t>1년 이내</t>
        </is>
      </c>
      <c r="D12" s="22" t="n">
        <v>0.02</v>
      </c>
      <c r="E12" s="22" t="n">
        <v>0.04</v>
      </c>
      <c r="F12" s="22" t="n">
        <v>0.06</v>
      </c>
      <c r="G12" s="22" t="n">
        <v>0.06</v>
      </c>
      <c r="H12" s="22" t="n">
        <v>0.08</v>
      </c>
      <c r="I12" s="22" t="n">
        <v>0.08</v>
      </c>
      <c r="J12" s="22" t="n">
        <v>0.66</v>
      </c>
    </row>
    <row r="13">
      <c r="A13" s="14" t="inlineStr">
        <is>
          <t>3|3</t>
        </is>
      </c>
      <c r="B13" s="21" t="n">
        <v>3</v>
      </c>
      <c r="C13" s="14" t="inlineStr">
        <is>
          <t>3년</t>
        </is>
      </c>
      <c r="D13" s="22" t="n">
        <v>0.035</v>
      </c>
      <c r="E13" s="22" t="n">
        <v>0.07000000000000001</v>
      </c>
      <c r="F13" s="22" t="n">
        <v>0.105</v>
      </c>
      <c r="G13" s="22" t="n">
        <v>0.105</v>
      </c>
      <c r="H13" s="22" t="n">
        <v>0.14</v>
      </c>
      <c r="I13" s="22" t="n">
        <v>0.14</v>
      </c>
      <c r="J13" s="22" t="n">
        <v>0.405</v>
      </c>
    </row>
    <row r="14">
      <c r="A14" s="14" t="inlineStr">
        <is>
          <t>3|5</t>
        </is>
      </c>
      <c r="B14" s="21" t="n">
        <v>3</v>
      </c>
      <c r="C14" s="14" t="inlineStr">
        <is>
          <t>5년</t>
        </is>
      </c>
      <c r="D14" s="22" t="n">
        <v>0.045</v>
      </c>
      <c r="E14" s="22" t="n">
        <v>0.09</v>
      </c>
      <c r="F14" s="22" t="n">
        <v>0.135</v>
      </c>
      <c r="G14" s="22" t="n">
        <v>0.135</v>
      </c>
      <c r="H14" s="22" t="n">
        <v>0.18</v>
      </c>
      <c r="I14" s="22" t="n">
        <v>0.18</v>
      </c>
      <c r="J14" s="22" t="n">
        <v>0.235</v>
      </c>
    </row>
    <row r="15">
      <c r="A15" s="14" t="inlineStr">
        <is>
          <t>3|10</t>
        </is>
      </c>
      <c r="B15" s="21" t="n">
        <v>3</v>
      </c>
      <c r="C15" s="14" t="inlineStr">
        <is>
          <t>5년 초과</t>
        </is>
      </c>
      <c r="D15" s="22" t="n">
        <v>0.05</v>
      </c>
      <c r="E15" s="22" t="n">
        <v>0.1</v>
      </c>
      <c r="F15" s="22" t="n">
        <v>0.15</v>
      </c>
      <c r="G15" s="22" t="n">
        <v>0.15</v>
      </c>
      <c r="H15" s="22" t="n">
        <v>0.2</v>
      </c>
      <c r="I15" s="22" t="n">
        <v>0.2</v>
      </c>
      <c r="J15" s="22" t="n">
        <v>0.15</v>
      </c>
    </row>
    <row r="16">
      <c r="A16" s="14" t="inlineStr">
        <is>
          <t>4|1</t>
        </is>
      </c>
      <c r="B16" s="21" t="n">
        <v>4</v>
      </c>
      <c r="C16" s="14" t="inlineStr">
        <is>
          <t>1년 이내</t>
        </is>
      </c>
      <c r="D16" s="22" t="n">
        <v>0.06</v>
      </c>
      <c r="E16" s="22" t="n">
        <v>0.08</v>
      </c>
      <c r="F16" s="22" t="n">
        <v>0.06</v>
      </c>
      <c r="G16" s="22" t="n">
        <v>0.08</v>
      </c>
      <c r="H16" s="22" t="n">
        <v>0.04</v>
      </c>
      <c r="I16" s="22" t="n">
        <v>0.06</v>
      </c>
      <c r="J16" s="22" t="n">
        <v>0.62</v>
      </c>
    </row>
    <row r="17">
      <c r="A17" s="14" t="inlineStr">
        <is>
          <t>4|3</t>
        </is>
      </c>
      <c r="B17" s="21" t="n">
        <v>4</v>
      </c>
      <c r="C17" s="14" t="inlineStr">
        <is>
          <t>3년</t>
        </is>
      </c>
      <c r="D17" s="22" t="n">
        <v>0.105</v>
      </c>
      <c r="E17" s="22" t="n">
        <v>0.14</v>
      </c>
      <c r="F17" s="22" t="n">
        <v>0.105</v>
      </c>
      <c r="G17" s="22" t="n">
        <v>0.14</v>
      </c>
      <c r="H17" s="22" t="n">
        <v>0.07000000000000001</v>
      </c>
      <c r="I17" s="22" t="n">
        <v>0.105</v>
      </c>
      <c r="J17" s="22" t="n">
        <v>0.335</v>
      </c>
    </row>
    <row r="18">
      <c r="A18" s="14" t="inlineStr">
        <is>
          <t>4|5</t>
        </is>
      </c>
      <c r="B18" s="21" t="n">
        <v>4</v>
      </c>
      <c r="C18" s="14" t="inlineStr">
        <is>
          <t>5년</t>
        </is>
      </c>
      <c r="D18" s="22" t="n">
        <v>0.135</v>
      </c>
      <c r="E18" s="22" t="n">
        <v>0.18</v>
      </c>
      <c r="F18" s="22" t="n">
        <v>0.135</v>
      </c>
      <c r="G18" s="22" t="n">
        <v>0.18</v>
      </c>
      <c r="H18" s="22" t="n">
        <v>0.09</v>
      </c>
      <c r="I18" s="22" t="n">
        <v>0.135</v>
      </c>
      <c r="J18" s="22" t="n">
        <v>0.145</v>
      </c>
    </row>
    <row r="19">
      <c r="A19" s="14" t="inlineStr">
        <is>
          <t>4|10</t>
        </is>
      </c>
      <c r="B19" s="21" t="n">
        <v>4</v>
      </c>
      <c r="C19" s="14" t="inlineStr">
        <is>
          <t>5년 초과</t>
        </is>
      </c>
      <c r="D19" s="22" t="n">
        <v>0.15</v>
      </c>
      <c r="E19" s="22" t="n">
        <v>0.2</v>
      </c>
      <c r="F19" s="22" t="n">
        <v>0.15</v>
      </c>
      <c r="G19" s="22" t="n">
        <v>0.2</v>
      </c>
      <c r="H19" s="22" t="n">
        <v>0.1</v>
      </c>
      <c r="I19" s="22" t="n">
        <v>0.15</v>
      </c>
      <c r="J19" s="22" t="n">
        <v>0.05</v>
      </c>
    </row>
    <row r="20">
      <c r="A20" s="14" t="inlineStr">
        <is>
          <t>5|1</t>
        </is>
      </c>
      <c r="B20" s="21" t="n">
        <v>5</v>
      </c>
      <c r="C20" s="14" t="inlineStr">
        <is>
          <t>1년 이내</t>
        </is>
      </c>
      <c r="D20" s="22" t="n">
        <v>0.1</v>
      </c>
      <c r="E20" s="22" t="n">
        <v>0.12</v>
      </c>
      <c r="F20" s="22" t="n">
        <v>0.06</v>
      </c>
      <c r="G20" s="22" t="n">
        <v>0.08</v>
      </c>
      <c r="H20" s="22" t="n">
        <v>0.02</v>
      </c>
      <c r="I20" s="22" t="n">
        <v>0.02</v>
      </c>
      <c r="J20" s="22" t="n">
        <v>0.6</v>
      </c>
    </row>
    <row r="21">
      <c r="A21" s="14" t="inlineStr">
        <is>
          <t>5|3</t>
        </is>
      </c>
      <c r="B21" s="21" t="n">
        <v>5</v>
      </c>
      <c r="C21" s="14" t="inlineStr">
        <is>
          <t>3년</t>
        </is>
      </c>
      <c r="D21" s="22" t="n">
        <v>0.175</v>
      </c>
      <c r="E21" s="22" t="n">
        <v>0.21</v>
      </c>
      <c r="F21" s="22" t="n">
        <v>0.105</v>
      </c>
      <c r="G21" s="22" t="n">
        <v>0.14</v>
      </c>
      <c r="H21" s="22" t="n">
        <v>0.035</v>
      </c>
      <c r="I21" s="22" t="n">
        <v>0.035</v>
      </c>
      <c r="J21" s="22" t="n">
        <v>0.3</v>
      </c>
    </row>
    <row r="22">
      <c r="A22" s="14" t="inlineStr">
        <is>
          <t>5|5</t>
        </is>
      </c>
      <c r="B22" s="21" t="n">
        <v>5</v>
      </c>
      <c r="C22" s="14" t="inlineStr">
        <is>
          <t>5년</t>
        </is>
      </c>
      <c r="D22" s="22" t="n">
        <v>0.225</v>
      </c>
      <c r="E22" s="22" t="n">
        <v>0.27</v>
      </c>
      <c r="F22" s="22" t="n">
        <v>0.135</v>
      </c>
      <c r="G22" s="22" t="n">
        <v>0.18</v>
      </c>
      <c r="H22" s="22" t="n">
        <v>0.045</v>
      </c>
      <c r="I22" s="22" t="n">
        <v>0.045</v>
      </c>
      <c r="J22" s="22" t="n">
        <v>0.1</v>
      </c>
    </row>
    <row r="23">
      <c r="A23" s="14" t="inlineStr">
        <is>
          <t>5|10</t>
        </is>
      </c>
      <c r="B23" s="21" t="n">
        <v>5</v>
      </c>
      <c r="C23" s="14" t="inlineStr">
        <is>
          <t>5년 초과</t>
        </is>
      </c>
      <c r="D23" s="22" t="n">
        <v>0.25</v>
      </c>
      <c r="E23" s="22" t="n">
        <v>0.3</v>
      </c>
      <c r="F23" s="22" t="n">
        <v>0.15</v>
      </c>
      <c r="G23" s="22" t="n">
        <v>0.2</v>
      </c>
      <c r="H23" s="22" t="n">
        <v>0.05</v>
      </c>
      <c r="I23" s="22" t="n">
        <v>0.05</v>
      </c>
      <c r="J23" s="22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5" customWidth="1" min="4" max="4"/>
    <col width="14" customWidth="1" min="5" max="5"/>
    <col width="15" customWidth="1" min="6" max="6"/>
  </cols>
  <sheetData>
    <row r="1" ht="4" customHeight="1">
      <c r="A1" s="3" t="n"/>
      <c r="B1" s="3" t="n"/>
      <c r="C1" s="3" t="n"/>
      <c r="D1" s="3" t="n"/>
      <c r="E1" s="3" t="n"/>
      <c r="F1" s="3" t="n"/>
    </row>
    <row r="2" ht="26" customHeight="1">
      <c r="A2" s="4" t="inlineStr">
        <is>
          <t>1</t>
        </is>
      </c>
      <c r="B2" s="5" t="inlineStr">
        <is>
          <t>자산군 실측치</t>
        </is>
      </c>
    </row>
    <row r="3" ht="6" customHeight="1">
      <c r="A3" s="11" t="inlineStr">
        <is>
          <t>아래는 원천에서 **실제로 잰 값**입니다. 미래 수익률이 아닙니다. 빈칸(—)은 원천에 없어 셈하지 않은 것이며 만들어 넣지 않습니다.</t>
        </is>
      </c>
    </row>
    <row r="5">
      <c r="A5" s="13" t="inlineStr">
        <is>
          <t>자산군</t>
        </is>
      </c>
      <c r="B5" s="13" t="inlineStr">
        <is>
          <t>종목수</t>
        </is>
      </c>
      <c r="C5" s="13" t="inlineStr">
        <is>
          <t>수익률 산출</t>
        </is>
      </c>
      <c r="D5" s="13" t="inlineStr">
        <is>
          <t>과거 1년(중앙)</t>
        </is>
      </c>
      <c r="E5" s="13" t="inlineStr">
        <is>
          <t>변동성(중앙)</t>
        </is>
      </c>
      <c r="F5" s="13" t="inlineStr">
        <is>
          <t>최대낙폭(중앙)</t>
        </is>
      </c>
    </row>
    <row r="6">
      <c r="A6" s="14" t="inlineStr">
        <is>
          <t>국내ETF</t>
        </is>
      </c>
      <c r="B6" s="21" t="n">
        <v>247</v>
      </c>
      <c r="C6" s="21" t="n">
        <v>66</v>
      </c>
      <c r="D6" s="22" t="n">
        <v>0.2124918732311036</v>
      </c>
      <c r="E6" s="22" t="n">
        <v>0.1636</v>
      </c>
      <c r="F6" s="22" t="n">
        <v>-0.3638325865485312</v>
      </c>
    </row>
    <row r="7">
      <c r="A7" s="14" t="inlineStr">
        <is>
          <t>국내주식</t>
        </is>
      </c>
      <c r="B7" s="21" t="n">
        <v>100</v>
      </c>
      <c r="C7" s="21" t="n">
        <v>100</v>
      </c>
      <c r="D7" s="22" t="n">
        <v>0.3582644698360878</v>
      </c>
      <c r="E7" s="22" t="n">
        <v>0.5728460950188951</v>
      </c>
      <c r="F7" s="22" t="n">
        <v>-0.4675840087252487</v>
      </c>
    </row>
    <row r="8">
      <c r="A8" s="14" t="inlineStr">
        <is>
          <t>국내펀드</t>
        </is>
      </c>
      <c r="B8" s="21" t="n">
        <v>615</v>
      </c>
      <c r="C8" s="21" t="n">
        <v>606</v>
      </c>
      <c r="D8" s="22" t="n">
        <v>0.206671</v>
      </c>
      <c r="E8" s="21" t="inlineStr">
        <is>
          <t>—</t>
        </is>
      </c>
      <c r="F8" s="21" t="inlineStr">
        <is>
          <t>—</t>
        </is>
      </c>
    </row>
    <row r="9">
      <c r="A9" s="14" t="inlineStr">
        <is>
          <t>해외ETF</t>
        </is>
      </c>
      <c r="B9" s="21" t="n">
        <v>19</v>
      </c>
      <c r="C9" s="21" t="n">
        <v>19</v>
      </c>
      <c r="D9" s="22" t="n">
        <v>0.1680824723535977</v>
      </c>
      <c r="E9" s="22" t="n">
        <v>0.1542903388794394</v>
      </c>
      <c r="F9" s="22" t="n">
        <v>-0.1653518460082045</v>
      </c>
    </row>
    <row r="10">
      <c r="A10" s="14" t="inlineStr">
        <is>
          <t>해외주식</t>
        </is>
      </c>
      <c r="B10" s="21" t="n">
        <v>100</v>
      </c>
      <c r="C10" s="21" t="n">
        <v>99</v>
      </c>
      <c r="D10" s="22" t="n">
        <v>0.1051235812029279</v>
      </c>
      <c r="E10" s="22" t="n">
        <v>0.2914505456297338</v>
      </c>
      <c r="F10" s="22" t="n">
        <v>-0.3235610824922673</v>
      </c>
    </row>
    <row r="11">
      <c r="A11" s="14" t="inlineStr">
        <is>
          <t>해외펀드</t>
        </is>
      </c>
      <c r="B11" s="21" t="n">
        <v>436</v>
      </c>
      <c r="C11" s="21" t="n">
        <v>436</v>
      </c>
      <c r="D11" s="22" t="n">
        <v>0.116974</v>
      </c>
      <c r="E11" s="21" t="inlineStr">
        <is>
          <t>—</t>
        </is>
      </c>
      <c r="F11" s="21" t="inlineStr">
        <is>
          <t>—</t>
        </is>
      </c>
    </row>
    <row r="13">
      <c r="A13" s="11" t="inlineStr">
        <is>
          <t>펀드는 기준가 이력이 7 거래일뿐이라 변동성·최대낙폭을 셈하지 않고 원천의 위험등급을 씁니다.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42" customWidth="1" min="2" max="2"/>
    <col width="16" customWidth="1" min="3" max="3"/>
    <col width="20" customWidth="1" min="4" max="4"/>
    <col width="16" customWidth="1" min="5" max="5"/>
    <col width="11" customWidth="1" min="6" max="6"/>
    <col width="11" customWidth="1" min="7" max="7"/>
    <col width="12" customWidth="1" min="8" max="8"/>
  </cols>
  <sheetData>
    <row r="1" ht="4" customHeight="1">
      <c r="A1" s="3" t="n"/>
      <c r="B1" s="3" t="n"/>
      <c r="C1" s="3" t="n"/>
      <c r="D1" s="3" t="n"/>
      <c r="E1" s="3" t="n"/>
      <c r="F1" s="3" t="n"/>
      <c r="G1" s="3" t="n"/>
      <c r="H1" s="3" t="n"/>
    </row>
    <row r="2" ht="26" customHeight="1">
      <c r="A2" s="4" t="inlineStr">
        <is>
          <t>2</t>
        </is>
      </c>
      <c r="B2" s="5" t="inlineStr">
        <is>
          <t>자산군별 제안 상품</t>
        </is>
      </c>
    </row>
    <row r="3" ht="6" customHeight="1">
      <c r="A3" s="11" t="inlineStr">
        <is>
          <t>규모와 보수로 고릅니다. 수익률 순으로 고르지 않습니다 — 지난해 제일 많이 오른 것을 권하는 습관이 고객에게 가장 비쌉니다. 개별 주식은 시가총액 상위 종목이며 종목 추천이 아닙니다.</t>
        </is>
      </c>
    </row>
    <row r="5">
      <c r="A5" s="13" t="inlineStr">
        <is>
          <t>자산군</t>
        </is>
      </c>
      <c r="B5" s="13" t="inlineStr">
        <is>
          <t>상품</t>
        </is>
      </c>
      <c r="C5" s="13" t="inlineStr">
        <is>
          <t>유형</t>
        </is>
      </c>
      <c r="D5" s="13" t="inlineStr">
        <is>
          <t>운용/발행</t>
        </is>
      </c>
      <c r="E5" s="13" t="inlineStr">
        <is>
          <t>규모(원)</t>
        </is>
      </c>
      <c r="F5" s="13" t="inlineStr">
        <is>
          <t>과거 1년</t>
        </is>
      </c>
      <c r="G5" s="13" t="inlineStr">
        <is>
          <t>변동성</t>
        </is>
      </c>
      <c r="H5" s="13" t="inlineStr">
        <is>
          <t>보수</t>
        </is>
      </c>
    </row>
    <row r="6">
      <c r="A6" s="23" t="inlineStr">
        <is>
          <t>국내주식</t>
        </is>
      </c>
      <c r="B6" s="23" t="inlineStr">
        <is>
          <t>삼성전자</t>
        </is>
      </c>
      <c r="C6" s="23" t="inlineStr">
        <is>
          <t>반도체</t>
        </is>
      </c>
      <c r="D6" s="23" t="inlineStr">
        <is>
          <t>—</t>
        </is>
      </c>
      <c r="E6" s="24" t="n">
        <v>1713873010819072</v>
      </c>
      <c r="F6" s="25" t="n">
        <v>2.723252496433667</v>
      </c>
      <c r="G6" s="25" t="n">
        <v>0.5788558858127696</v>
      </c>
      <c r="H6" s="23" t="inlineStr">
        <is>
          <t>—</t>
        </is>
      </c>
    </row>
    <row r="7">
      <c r="A7" s="14" t="inlineStr">
        <is>
          <t>국내주식</t>
        </is>
      </c>
      <c r="B7" s="14" t="inlineStr">
        <is>
          <t>SK하이닉스</t>
        </is>
      </c>
      <c r="C7" s="14" t="inlineStr">
        <is>
          <t>반도체</t>
        </is>
      </c>
      <c r="D7" s="14" t="inlineStr">
        <is>
          <t>—</t>
        </is>
      </c>
      <c r="E7" s="26" t="n">
        <v>1318200625070080</v>
      </c>
      <c r="F7" s="22" t="n">
        <v>5.994350282485875</v>
      </c>
      <c r="G7" s="22" t="n">
        <v>0.7344693583081116</v>
      </c>
      <c r="H7" s="14" t="inlineStr">
        <is>
          <t>—</t>
        </is>
      </c>
    </row>
    <row r="8">
      <c r="A8" s="23" t="inlineStr">
        <is>
          <t>국내주식</t>
        </is>
      </c>
      <c r="B8" s="23" t="inlineStr">
        <is>
          <t>SK스퀘어</t>
        </is>
      </c>
      <c r="C8" s="23" t="inlineStr">
        <is>
          <t>지주</t>
        </is>
      </c>
      <c r="D8" s="23" t="inlineStr">
        <is>
          <t>—</t>
        </is>
      </c>
      <c r="E8" s="24" t="n">
        <v>142184254799872</v>
      </c>
      <c r="F8" s="25" t="n">
        <v>6.222222222222223</v>
      </c>
      <c r="G8" s="25" t="n">
        <v>0.807823901299951</v>
      </c>
      <c r="H8" s="23" t="inlineStr">
        <is>
          <t>—</t>
        </is>
      </c>
    </row>
    <row r="9">
      <c r="A9" s="14" t="inlineStr">
        <is>
          <t>국내주식</t>
        </is>
      </c>
      <c r="B9" s="14" t="inlineStr">
        <is>
          <t>삼성전기</t>
        </is>
      </c>
      <c r="C9" s="14" t="inlineStr">
        <is>
          <t>전기전자</t>
        </is>
      </c>
      <c r="D9" s="14" t="inlineStr">
        <is>
          <t>—</t>
        </is>
      </c>
      <c r="E9" s="26" t="n">
        <v>104859579711488</v>
      </c>
      <c r="F9" s="22" t="n">
        <v>6.780269058295964</v>
      </c>
      <c r="G9" s="22" t="n">
        <v>0.7112829041110764</v>
      </c>
      <c r="H9" s="14" t="inlineStr">
        <is>
          <t>—</t>
        </is>
      </c>
    </row>
    <row r="10">
      <c r="A10" s="23" t="inlineStr">
        <is>
          <t>국내주식</t>
        </is>
      </c>
      <c r="B10" s="23" t="inlineStr">
        <is>
          <t>현대차</t>
        </is>
      </c>
      <c r="C10" s="23" t="inlineStr">
        <is>
          <t>자동차</t>
        </is>
      </c>
      <c r="D10" s="23" t="inlineStr">
        <is>
          <t>—</t>
        </is>
      </c>
      <c r="E10" s="24" t="n">
        <v>95569439621120</v>
      </c>
      <c r="F10" s="25" t="n">
        <v>0.6478555304740405</v>
      </c>
      <c r="G10" s="25" t="n">
        <v>0.534218514069132</v>
      </c>
      <c r="H10" s="23" t="inlineStr">
        <is>
          <t>—</t>
        </is>
      </c>
    </row>
    <row r="11">
      <c r="A11" s="14" t="inlineStr">
        <is>
          <t>국내주식</t>
        </is>
      </c>
      <c r="B11" s="14" t="inlineStr">
        <is>
          <t>LG에너지솔루션</t>
        </is>
      </c>
      <c r="C11" s="14" t="inlineStr">
        <is>
          <t>2차전지</t>
        </is>
      </c>
      <c r="D11" s="14" t="inlineStr">
        <is>
          <t>—</t>
        </is>
      </c>
      <c r="E11" s="26" t="n">
        <v>85175996252160</v>
      </c>
      <c r="F11" s="22" t="n">
        <v>0.03703703703703698</v>
      </c>
      <c r="G11" s="22" t="n">
        <v>0.5445115864144184</v>
      </c>
      <c r="H11" s="14" t="inlineStr">
        <is>
          <t>—</t>
        </is>
      </c>
    </row>
    <row r="12">
      <c r="A12" s="23" t="inlineStr">
        <is>
          <t>국내주식</t>
        </is>
      </c>
      <c r="B12" s="23" t="inlineStr">
        <is>
          <t>삼성바이오로직스</t>
        </is>
      </c>
      <c r="C12" s="23" t="inlineStr">
        <is>
          <t>바이오</t>
        </is>
      </c>
      <c r="D12" s="23" t="inlineStr">
        <is>
          <t>—</t>
        </is>
      </c>
      <c r="E12" s="24" t="n">
        <v>64714751082496</v>
      </c>
      <c r="F12" s="25" t="n">
        <v>-0.1059517520915485</v>
      </c>
      <c r="G12" s="25" t="n">
        <v>0.3670791519676143</v>
      </c>
      <c r="H12" s="23" t="inlineStr">
        <is>
          <t>—</t>
        </is>
      </c>
    </row>
    <row r="13">
      <c r="A13" s="14" t="inlineStr">
        <is>
          <t>국내주식</t>
        </is>
      </c>
      <c r="B13" s="14" t="inlineStr">
        <is>
          <t>KB금융</t>
        </is>
      </c>
      <c r="C13" s="14" t="inlineStr">
        <is>
          <t>금융</t>
        </is>
      </c>
      <c r="D13" s="14" t="inlineStr">
        <is>
          <t>—</t>
        </is>
      </c>
      <c r="E13" s="26" t="n">
        <v>61408460931072</v>
      </c>
      <c r="F13" s="22" t="n">
        <v>0.6119815668202766</v>
      </c>
      <c r="G13" s="22" t="n">
        <v>0.3947671146039806</v>
      </c>
      <c r="H13" s="14" t="inlineStr">
        <is>
          <t>—</t>
        </is>
      </c>
    </row>
    <row r="14">
      <c r="A14" s="23" t="inlineStr">
        <is>
          <t>국내주식</t>
        </is>
      </c>
      <c r="B14" s="23" t="inlineStr">
        <is>
          <t>삼성물산</t>
        </is>
      </c>
      <c r="C14" s="23" t="inlineStr">
        <is>
          <t>지주</t>
        </is>
      </c>
      <c r="D14" s="23" t="inlineStr">
        <is>
          <t>—</t>
        </is>
      </c>
      <c r="E14" s="24" t="n">
        <v>57435943337984</v>
      </c>
      <c r="F14" s="25" t="n">
        <v>1.013769363166953</v>
      </c>
      <c r="G14" s="25" t="n">
        <v>0.5874947216024574</v>
      </c>
      <c r="H14" s="23" t="inlineStr">
        <is>
          <t>—</t>
        </is>
      </c>
    </row>
    <row r="15">
      <c r="A15" s="14" t="inlineStr">
        <is>
          <t>국내주식</t>
        </is>
      </c>
      <c r="B15" s="14" t="inlineStr">
        <is>
          <t>한화에어로스페이스</t>
        </is>
      </c>
      <c r="C15" s="14" t="inlineStr">
        <is>
          <t>중공업</t>
        </is>
      </c>
      <c r="D15" s="14" t="inlineStr">
        <is>
          <t>—</t>
        </is>
      </c>
      <c r="E15" s="26" t="n">
        <v>55461793497088</v>
      </c>
      <c r="F15" s="22" t="n">
        <v>0.1578947368421053</v>
      </c>
      <c r="G15" s="22" t="n">
        <v>0.6442375445757537</v>
      </c>
      <c r="H15" s="14" t="inlineStr">
        <is>
          <t>—</t>
        </is>
      </c>
    </row>
    <row r="16">
      <c r="A16" s="23" t="inlineStr">
        <is>
          <t>국내주식</t>
        </is>
      </c>
      <c r="B16" s="23" t="inlineStr">
        <is>
          <t>두산에너빌리티</t>
        </is>
      </c>
      <c r="C16" s="23" t="inlineStr">
        <is>
          <t>중공업</t>
        </is>
      </c>
      <c r="D16" s="23" t="inlineStr">
        <is>
          <t>—</t>
        </is>
      </c>
      <c r="E16" s="24" t="n">
        <v>54262373548032</v>
      </c>
      <c r="F16" s="25" t="n">
        <v>0.3519108280254777</v>
      </c>
      <c r="G16" s="25" t="n">
        <v>0.6406934339128944</v>
      </c>
      <c r="H16" s="23" t="inlineStr">
        <is>
          <t>—</t>
        </is>
      </c>
    </row>
    <row r="17">
      <c r="A17" s="14" t="inlineStr">
        <is>
          <t>국내주식</t>
        </is>
      </c>
      <c r="B17" s="14" t="inlineStr">
        <is>
          <t>신한지주</t>
        </is>
      </c>
      <c r="C17" s="14" t="inlineStr">
        <is>
          <t>금융</t>
        </is>
      </c>
      <c r="D17" s="14" t="inlineStr">
        <is>
          <t>—</t>
        </is>
      </c>
      <c r="E17" s="26" t="n">
        <v>51842163671040</v>
      </c>
      <c r="F17" s="22" t="n">
        <v>0.7069767441860466</v>
      </c>
      <c r="G17" s="22" t="n">
        <v>0.3566358597165926</v>
      </c>
      <c r="H17" s="14" t="inlineStr">
        <is>
          <t>—</t>
        </is>
      </c>
    </row>
    <row r="18">
      <c r="A18" s="23" t="inlineStr">
        <is>
          <t>국내주식</t>
        </is>
      </c>
      <c r="B18" s="23" t="inlineStr">
        <is>
          <t>삼성생명</t>
        </is>
      </c>
      <c r="C18" s="23" t="inlineStr">
        <is>
          <t>금융</t>
        </is>
      </c>
      <c r="D18" s="23" t="inlineStr">
        <is>
          <t>—</t>
        </is>
      </c>
      <c r="E18" s="24" t="n">
        <v>50909451124736</v>
      </c>
      <c r="F18" s="25" t="n">
        <v>0.9026845637583893</v>
      </c>
      <c r="G18" s="25" t="n">
        <v>0.5708742695725796</v>
      </c>
      <c r="H18" s="23" t="inlineStr">
        <is>
          <t>—</t>
        </is>
      </c>
    </row>
    <row r="19">
      <c r="A19" s="14" t="inlineStr">
        <is>
          <t>국내주식</t>
        </is>
      </c>
      <c r="B19" s="14" t="inlineStr">
        <is>
          <t>HD현대중공업</t>
        </is>
      </c>
      <c r="C19" s="14" t="inlineStr">
        <is>
          <t>중공업</t>
        </is>
      </c>
      <c r="D19" s="14" t="inlineStr">
        <is>
          <t>—</t>
        </is>
      </c>
      <c r="E19" s="26" t="n">
        <v>48269078036480</v>
      </c>
      <c r="F19" s="22" t="n">
        <v>-0.09803921568627449</v>
      </c>
      <c r="G19" s="22" t="n">
        <v>0.5776129250813562</v>
      </c>
      <c r="H19" s="14" t="inlineStr">
        <is>
          <t>—</t>
        </is>
      </c>
    </row>
    <row r="20">
      <c r="A20" s="23" t="inlineStr">
        <is>
          <t>국내주식</t>
        </is>
      </c>
      <c r="B20" s="23" t="inlineStr">
        <is>
          <t>기아</t>
        </is>
      </c>
      <c r="C20" s="23" t="inlineStr">
        <is>
          <t>자동차</t>
        </is>
      </c>
      <c r="D20" s="23" t="inlineStr">
        <is>
          <t>—</t>
        </is>
      </c>
      <c r="E20" s="24" t="n">
        <v>47377171873792</v>
      </c>
      <c r="F20" s="25" t="n">
        <v>0.139252336448598</v>
      </c>
      <c r="G20" s="25" t="n">
        <v>0.4615148393621581</v>
      </c>
      <c r="H20" s="23" t="inlineStr">
        <is>
          <t>—</t>
        </is>
      </c>
    </row>
    <row r="21">
      <c r="A21" s="14" t="inlineStr">
        <is>
          <t>국내주식</t>
        </is>
      </c>
      <c r="B21" s="14" t="inlineStr">
        <is>
          <t>삼성SDI</t>
        </is>
      </c>
      <c r="C21" s="14" t="inlineStr">
        <is>
          <t>2차전지</t>
        </is>
      </c>
      <c r="D21" s="14" t="inlineStr">
        <is>
          <t>—</t>
        </is>
      </c>
      <c r="E21" s="26" t="n">
        <v>42573255147520</v>
      </c>
      <c r="F21" s="22" t="n">
        <v>1.671604938271605</v>
      </c>
      <c r="G21" s="22" t="n">
        <v>0.621458113193839</v>
      </c>
      <c r="H21" s="14" t="inlineStr">
        <is>
          <t>—</t>
        </is>
      </c>
    </row>
    <row r="22">
      <c r="A22" s="23" t="inlineStr">
        <is>
          <t>국내주식</t>
        </is>
      </c>
      <c r="B22" s="23" t="inlineStr">
        <is>
          <t>셀트리온</t>
        </is>
      </c>
      <c r="C22" s="23" t="inlineStr">
        <is>
          <t>바이오</t>
        </is>
      </c>
      <c r="D22" s="23" t="inlineStr">
        <is>
          <t>—</t>
        </is>
      </c>
      <c r="E22" s="24" t="n">
        <v>41141298790400</v>
      </c>
      <c r="F22" s="25" t="n">
        <v>0.10675678198717</v>
      </c>
      <c r="G22" s="25" t="n">
        <v>0.3624530149032757</v>
      </c>
      <c r="H22" s="23" t="inlineStr">
        <is>
          <t>—</t>
        </is>
      </c>
    </row>
    <row r="23">
      <c r="A23" s="14" t="inlineStr">
        <is>
          <t>국내주식</t>
        </is>
      </c>
      <c r="B23" s="14" t="inlineStr">
        <is>
          <t>LG전자</t>
        </is>
      </c>
      <c r="C23" s="14" t="inlineStr">
        <is>
          <t>전기전자</t>
        </is>
      </c>
      <c r="D23" s="14" t="inlineStr">
        <is>
          <t>—</t>
        </is>
      </c>
      <c r="E23" s="26" t="n">
        <v>35594520494080</v>
      </c>
      <c r="F23" s="22" t="n">
        <v>1.634794156706507</v>
      </c>
      <c r="G23" s="22" t="n">
        <v>0.65254620977482</v>
      </c>
      <c r="H23" s="14" t="inlineStr">
        <is>
          <t>—</t>
        </is>
      </c>
    </row>
    <row r="24">
      <c r="A24" s="23" t="inlineStr">
        <is>
          <t>국내주식</t>
        </is>
      </c>
      <c r="B24" s="23" t="inlineStr">
        <is>
          <t>하나금융지주</t>
        </is>
      </c>
      <c r="C24" s="23" t="inlineStr">
        <is>
          <t>금융</t>
        </is>
      </c>
      <c r="D24" s="23" t="inlineStr">
        <is>
          <t>—</t>
        </is>
      </c>
      <c r="E24" s="24" t="n">
        <v>35551973474304</v>
      </c>
      <c r="F24" s="25" t="n">
        <v>0.6311274509803921</v>
      </c>
      <c r="G24" s="25" t="n">
        <v>0.3725099313235966</v>
      </c>
      <c r="H24" s="23" t="inlineStr">
        <is>
          <t>—</t>
        </is>
      </c>
    </row>
    <row r="25">
      <c r="A25" s="14" t="inlineStr">
        <is>
          <t>국내주식</t>
        </is>
      </c>
      <c r="B25" s="14" t="inlineStr">
        <is>
          <t>현대모비스</t>
        </is>
      </c>
      <c r="C25" s="14" t="inlineStr">
        <is>
          <t>자동차</t>
        </is>
      </c>
      <c r="D25" s="14" t="inlineStr">
        <is>
          <t>—</t>
        </is>
      </c>
      <c r="E25" s="26" t="n">
        <v>33528450383872</v>
      </c>
      <c r="F25" s="22" t="n">
        <v>0.1825273010920437</v>
      </c>
      <c r="G25" s="22" t="n">
        <v>0.5377178434190411</v>
      </c>
      <c r="H25" s="14" t="inlineStr">
        <is>
          <t>—</t>
        </is>
      </c>
    </row>
    <row r="26">
      <c r="A26" s="23" t="inlineStr">
        <is>
          <t>국내주식</t>
        </is>
      </c>
      <c r="B26" s="23" t="inlineStr">
        <is>
          <t>LS일렉트릭</t>
        </is>
      </c>
      <c r="C26" s="23" t="inlineStr">
        <is>
          <t>중공업</t>
        </is>
      </c>
      <c r="D26" s="23" t="inlineStr">
        <is>
          <t>—</t>
        </is>
      </c>
      <c r="E26" s="24" t="n">
        <v>31468101304320</v>
      </c>
      <c r="F26" s="25" t="n">
        <v>2.634020618556701</v>
      </c>
      <c r="G26" s="25" t="n">
        <v>0.7659029967676354</v>
      </c>
      <c r="H26" s="23" t="inlineStr">
        <is>
          <t>—</t>
        </is>
      </c>
    </row>
    <row r="27">
      <c r="A27" s="14" t="inlineStr">
        <is>
          <t>국내주식</t>
        </is>
      </c>
      <c r="B27" s="14" t="inlineStr">
        <is>
          <t>SK</t>
        </is>
      </c>
      <c r="C27" s="14" t="inlineStr">
        <is>
          <t>지주</t>
        </is>
      </c>
      <c r="D27" s="14" t="inlineStr">
        <is>
          <t>—</t>
        </is>
      </c>
      <c r="E27" s="26" t="n">
        <v>29725328146432</v>
      </c>
      <c r="F27" s="22" t="n">
        <v>1.665036674816626</v>
      </c>
      <c r="G27" s="22" t="n">
        <v>0.5952380909083713</v>
      </c>
      <c r="H27" s="14" t="inlineStr">
        <is>
          <t>—</t>
        </is>
      </c>
    </row>
    <row r="28">
      <c r="A28" s="23" t="inlineStr">
        <is>
          <t>국내주식</t>
        </is>
      </c>
      <c r="B28" s="23" t="inlineStr">
        <is>
          <t>NAVER</t>
        </is>
      </c>
      <c r="C28" s="23" t="inlineStr">
        <is>
          <t>IT</t>
        </is>
      </c>
      <c r="D28" s="23" t="inlineStr">
        <is>
          <t>—</t>
        </is>
      </c>
      <c r="E28" s="24" t="n">
        <v>29616318185472</v>
      </c>
      <c r="F28" s="25" t="n">
        <v>-0.1290748898678414</v>
      </c>
      <c r="G28" s="25" t="n">
        <v>0.4863572524093532</v>
      </c>
      <c r="H28" s="23" t="inlineStr">
        <is>
          <t>—</t>
        </is>
      </c>
    </row>
    <row r="29">
      <c r="A29" s="14" t="inlineStr">
        <is>
          <t>국내주식</t>
        </is>
      </c>
      <c r="B29" s="14" t="inlineStr">
        <is>
          <t>삼성화재</t>
        </is>
      </c>
      <c r="C29" s="14" t="inlineStr">
        <is>
          <t>금융</t>
        </is>
      </c>
      <c r="D29" s="14" t="inlineStr">
        <is>
          <t>—</t>
        </is>
      </c>
      <c r="E29" s="26" t="n">
        <v>28621846609920</v>
      </c>
      <c r="F29" s="22" t="n">
        <v>0.4304635761589404</v>
      </c>
      <c r="G29" s="22" t="n">
        <v>0.5292424615185901</v>
      </c>
      <c r="H29" s="14" t="inlineStr">
        <is>
          <t>—</t>
        </is>
      </c>
    </row>
    <row r="30">
      <c r="A30" s="23" t="inlineStr">
        <is>
          <t>국내주식</t>
        </is>
      </c>
      <c r="B30" s="23" t="inlineStr">
        <is>
          <t>효성중공업</t>
        </is>
      </c>
      <c r="C30" s="23" t="inlineStr">
        <is>
          <t>중공업</t>
        </is>
      </c>
      <c r="D30" s="23" t="inlineStr">
        <is>
          <t>—</t>
        </is>
      </c>
      <c r="E30" s="24" t="n">
        <v>27143725645824</v>
      </c>
      <c r="F30" s="25" t="n">
        <v>1.411083540115798</v>
      </c>
      <c r="G30" s="25" t="n">
        <v>0.6904310161419625</v>
      </c>
      <c r="H30" s="23" t="inlineStr">
        <is>
          <t>—</t>
        </is>
      </c>
    </row>
    <row r="31">
      <c r="A31" s="14" t="inlineStr">
        <is>
          <t>해외주식</t>
        </is>
      </c>
      <c r="B31" s="14" t="inlineStr">
        <is>
          <t>엔비디아</t>
        </is>
      </c>
      <c r="C31" s="14" t="inlineStr">
        <is>
          <t>IT</t>
        </is>
      </c>
      <c r="D31" s="14" t="inlineStr">
        <is>
          <t>—</t>
        </is>
      </c>
      <c r="E31" s="26" t="n">
        <v>7325825722372588</v>
      </c>
      <c r="F31" s="22" t="n">
        <v>0.2033755274261604</v>
      </c>
      <c r="G31" s="22" t="n">
        <v>0.4435857523813961</v>
      </c>
      <c r="H31" s="14" t="inlineStr">
        <is>
          <t>—</t>
        </is>
      </c>
    </row>
    <row r="32">
      <c r="A32" s="23" t="inlineStr">
        <is>
          <t>해외주식</t>
        </is>
      </c>
      <c r="B32" s="23" t="inlineStr">
        <is>
          <t>애플</t>
        </is>
      </c>
      <c r="C32" s="23" t="inlineStr">
        <is>
          <t>IT</t>
        </is>
      </c>
      <c r="D32" s="23" t="inlineStr">
        <is>
          <t>—</t>
        </is>
      </c>
      <c r="E32" s="24" t="n">
        <v>6802760323993437</v>
      </c>
      <c r="F32" s="25" t="n">
        <v>0.4043514997887623</v>
      </c>
      <c r="G32" s="25" t="n">
        <v>0.2880986490353247</v>
      </c>
      <c r="H32" s="23" t="inlineStr">
        <is>
          <t>—</t>
        </is>
      </c>
    </row>
    <row r="33">
      <c r="A33" s="14" t="inlineStr">
        <is>
          <t>해외주식</t>
        </is>
      </c>
      <c r="B33" s="14" t="inlineStr">
        <is>
          <t>알파벳(구글)</t>
        </is>
      </c>
      <c r="C33" s="14" t="inlineStr">
        <is>
          <t>커뮤니케이션</t>
        </is>
      </c>
      <c r="D33" s="14" t="inlineStr">
        <is>
          <t>—</t>
        </is>
      </c>
      <c r="E33" s="26" t="n">
        <v>5875461780196557</v>
      </c>
      <c r="F33" s="22" t="n">
        <v>0.3627041850482891</v>
      </c>
      <c r="G33" s="22" t="n">
        <v>0.316769111978901</v>
      </c>
      <c r="H33" s="14" t="inlineStr">
        <is>
          <t>—</t>
        </is>
      </c>
    </row>
    <row r="34">
      <c r="A34" s="23" t="inlineStr">
        <is>
          <t>해외주식</t>
        </is>
      </c>
      <c r="B34" s="23" t="inlineStr">
        <is>
          <t>마이크로소프트</t>
        </is>
      </c>
      <c r="C34" s="23" t="inlineStr">
        <is>
          <t>IT</t>
        </is>
      </c>
      <c r="D34" s="23" t="inlineStr">
        <is>
          <t>—</t>
        </is>
      </c>
      <c r="E34" s="24" t="n">
        <v>5112286933436334</v>
      </c>
      <c r="F34" s="25" t="n">
        <v>-0.04862620304253341</v>
      </c>
      <c r="G34" s="25" t="n">
        <v>0.2867568717074502</v>
      </c>
      <c r="H34" s="23" t="inlineStr">
        <is>
          <t>—</t>
        </is>
      </c>
    </row>
    <row r="35">
      <c r="A35" s="14" t="inlineStr">
        <is>
          <t>해외주식</t>
        </is>
      </c>
      <c r="B35" s="14" t="inlineStr">
        <is>
          <t>아마존</t>
        </is>
      </c>
      <c r="C35" s="14" t="inlineStr">
        <is>
          <t>경기소비재</t>
        </is>
      </c>
      <c r="D35" s="14" t="inlineStr">
        <is>
          <t>—</t>
        </is>
      </c>
      <c r="E35" s="26" t="n">
        <v>3747580098112390</v>
      </c>
      <c r="F35" s="22" t="n">
        <v>0.06278356306442556</v>
      </c>
      <c r="G35" s="22" t="n">
        <v>0.3371178200401745</v>
      </c>
      <c r="H35" s="14" t="inlineStr">
        <is>
          <t>—</t>
        </is>
      </c>
    </row>
    <row r="36">
      <c r="A36" s="23" t="inlineStr">
        <is>
          <t>해외주식</t>
        </is>
      </c>
      <c r="B36" s="23" t="inlineStr">
        <is>
          <t>TSMC</t>
        </is>
      </c>
      <c r="C36" s="23" t="inlineStr">
        <is>
          <t>IT</t>
        </is>
      </c>
      <c r="D36" s="23" t="inlineStr">
        <is>
          <t>—</t>
        </is>
      </c>
      <c r="E36" s="24" t="n">
        <v>3086588472301978</v>
      </c>
      <c r="F36" s="25" t="n">
        <v>0.5981329864565001</v>
      </c>
      <c r="G36" s="25" t="n">
        <v>0.4135555401445912</v>
      </c>
      <c r="H36" s="23" t="inlineStr">
        <is>
          <t>—</t>
        </is>
      </c>
    </row>
    <row r="37">
      <c r="A37" s="14" t="inlineStr">
        <is>
          <t>해외주식</t>
        </is>
      </c>
      <c r="B37" s="14" t="inlineStr">
        <is>
          <t>스페이스X</t>
        </is>
      </c>
      <c r="C37" s="14" t="inlineStr">
        <is>
          <t>산업재</t>
        </is>
      </c>
      <c r="D37" s="14" t="inlineStr">
        <is>
          <t>—</t>
        </is>
      </c>
      <c r="E37" s="26" t="n">
        <v>2822595420591227</v>
      </c>
      <c r="F37" s="14" t="inlineStr">
        <is>
          <t>—</t>
        </is>
      </c>
      <c r="G37" s="22" t="n">
        <v>0.914155978359349</v>
      </c>
      <c r="H37" s="14" t="inlineStr">
        <is>
          <t>—</t>
        </is>
      </c>
    </row>
    <row r="38">
      <c r="A38" s="23" t="inlineStr">
        <is>
          <t>해외주식</t>
        </is>
      </c>
      <c r="B38" s="23" t="inlineStr">
        <is>
          <t>메타 플랫폼스</t>
        </is>
      </c>
      <c r="C38" s="23" t="inlineStr">
        <is>
          <t>커뮤니케이션</t>
        </is>
      </c>
      <c r="D38" s="23" t="inlineStr">
        <is>
          <t>—</t>
        </is>
      </c>
      <c r="E38" s="24" t="n">
        <v>2404210761129001</v>
      </c>
      <c r="F38" s="25" t="n">
        <v>-0.1195109193147641</v>
      </c>
      <c r="G38" s="25" t="n">
        <v>0.3795290483288599</v>
      </c>
      <c r="H38" s="23" t="inlineStr">
        <is>
          <t>—</t>
        </is>
      </c>
    </row>
    <row r="39">
      <c r="A39" s="14" t="inlineStr">
        <is>
          <t>해외주식</t>
        </is>
      </c>
      <c r="B39" s="14" t="inlineStr">
        <is>
          <t>브로드컴</t>
        </is>
      </c>
      <c r="C39" s="14" t="inlineStr">
        <is>
          <t>IT</t>
        </is>
      </c>
      <c r="D39" s="14" t="inlineStr">
        <is>
          <t>—</t>
        </is>
      </c>
      <c r="E39" s="26" t="n">
        <v>2293132126664786</v>
      </c>
      <c r="F39" s="22" t="n">
        <v>-0.06751078030157376</v>
      </c>
      <c r="G39" s="22" t="n">
        <v>0.5169950668623775</v>
      </c>
      <c r="H39" s="14" t="inlineStr">
        <is>
          <t>—</t>
        </is>
      </c>
    </row>
    <row r="40">
      <c r="A40" s="23" t="inlineStr">
        <is>
          <t>해외주식</t>
        </is>
      </c>
      <c r="B40" s="23" t="inlineStr">
        <is>
          <t>테슬라</t>
        </is>
      </c>
      <c r="C40" s="23" t="inlineStr">
        <is>
          <t>경기소비재</t>
        </is>
      </c>
      <c r="D40" s="23" t="inlineStr">
        <is>
          <t>—</t>
        </is>
      </c>
      <c r="E40" s="24" t="n">
        <v>2000512435543081</v>
      </c>
      <c r="F40" s="25" t="n">
        <v>-0.1267193444541996</v>
      </c>
      <c r="G40" s="25" t="n">
        <v>0.5963648463773891</v>
      </c>
      <c r="H40" s="23" t="inlineStr">
        <is>
          <t>—</t>
        </is>
      </c>
    </row>
    <row r="41">
      <c r="A41" s="14" t="inlineStr">
        <is>
          <t>해외주식</t>
        </is>
      </c>
      <c r="B41" s="14" t="inlineStr">
        <is>
          <t>마이크론</t>
        </is>
      </c>
      <c r="C41" s="14" t="inlineStr">
        <is>
          <t>IT</t>
        </is>
      </c>
      <c r="D41" s="14" t="inlineStr">
        <is>
          <t>—</t>
        </is>
      </c>
      <c r="E41" s="26" t="n">
        <v>1526994559331205</v>
      </c>
      <c r="F41" s="22" t="n">
        <v>4.872789503707929</v>
      </c>
      <c r="G41" s="22" t="n">
        <v>0.7172278197761155</v>
      </c>
      <c r="H41" s="14" t="inlineStr">
        <is>
          <t>—</t>
        </is>
      </c>
    </row>
    <row r="42">
      <c r="A42" s="23" t="inlineStr">
        <is>
          <t>해외주식</t>
        </is>
      </c>
      <c r="B42" s="23" t="inlineStr">
        <is>
          <t>버크셔 해서웨이 B</t>
        </is>
      </c>
      <c r="C42" s="23" t="inlineStr">
        <is>
          <t>금융</t>
        </is>
      </c>
      <c r="D42" s="23" t="inlineStr">
        <is>
          <t>—</t>
        </is>
      </c>
      <c r="E42" s="24" t="n">
        <v>1507723641079726</v>
      </c>
      <c r="F42" s="25" t="n">
        <v>0.05749277780038242</v>
      </c>
      <c r="G42" s="25" t="n">
        <v>0.1710229899533426</v>
      </c>
      <c r="H42" s="23" t="inlineStr">
        <is>
          <t>—</t>
        </is>
      </c>
    </row>
    <row r="43">
      <c r="A43" s="14" t="inlineStr">
        <is>
          <t>해외주식</t>
        </is>
      </c>
      <c r="B43" s="14" t="inlineStr">
        <is>
          <t>일라이 릴리</t>
        </is>
      </c>
      <c r="C43" s="14" t="inlineStr">
        <is>
          <t>헬스케어</t>
        </is>
      </c>
      <c r="D43" s="14" t="inlineStr">
        <is>
          <t>—</t>
        </is>
      </c>
      <c r="E43" s="26" t="n">
        <v>1421453938901648</v>
      </c>
      <c r="F43" s="22" t="n">
        <v>0.5207633087852015</v>
      </c>
      <c r="G43" s="22" t="n">
        <v>0.3806685705829477</v>
      </c>
      <c r="H43" s="14" t="inlineStr">
        <is>
          <t>—</t>
        </is>
      </c>
    </row>
    <row r="44">
      <c r="A44" s="23" t="inlineStr">
        <is>
          <t>해외주식</t>
        </is>
      </c>
      <c r="B44" s="23" t="inlineStr">
        <is>
          <t>JP모간체이스</t>
        </is>
      </c>
      <c r="C44" s="23" t="inlineStr">
        <is>
          <t>금융</t>
        </is>
      </c>
      <c r="D44" s="23" t="inlineStr">
        <is>
          <t>—</t>
        </is>
      </c>
      <c r="E44" s="24" t="n">
        <v>1284316253456302</v>
      </c>
      <c r="F44" s="25" t="n">
        <v>0.1295564907737132</v>
      </c>
      <c r="G44" s="25" t="n">
        <v>0.2471707721158493</v>
      </c>
      <c r="H44" s="23" t="inlineStr">
        <is>
          <t>—</t>
        </is>
      </c>
    </row>
    <row r="45">
      <c r="A45" s="14" t="inlineStr">
        <is>
          <t>해외주식</t>
        </is>
      </c>
      <c r="B45" s="14" t="inlineStr">
        <is>
          <t>AMD</t>
        </is>
      </c>
      <c r="C45" s="14" t="inlineStr">
        <is>
          <t>IT</t>
        </is>
      </c>
      <c r="D45" s="14" t="inlineStr">
        <is>
          <t>—</t>
        </is>
      </c>
      <c r="E45" s="26" t="n">
        <v>1230808073168486</v>
      </c>
      <c r="F45" s="22" t="n">
        <v>2.180069496152892</v>
      </c>
      <c r="G45" s="22" t="n">
        <v>0.6188828197555165</v>
      </c>
      <c r="H45" s="14" t="inlineStr">
        <is>
          <t>—</t>
        </is>
      </c>
    </row>
    <row r="46">
      <c r="A46" s="23" t="inlineStr">
        <is>
          <t>해외주식</t>
        </is>
      </c>
      <c r="B46" s="23" t="inlineStr">
        <is>
          <t>월마트</t>
        </is>
      </c>
      <c r="C46" s="23" t="inlineStr">
        <is>
          <t>필수소비재</t>
        </is>
      </c>
      <c r="D46" s="23" t="inlineStr">
        <is>
          <t>—</t>
        </is>
      </c>
      <c r="E46" s="24" t="n">
        <v>1175477698260500</v>
      </c>
      <c r="F46" s="25" t="n">
        <v>0.03674414119008595</v>
      </c>
      <c r="G46" s="25" t="n">
        <v>0.2509811690639198</v>
      </c>
      <c r="H46" s="23" t="inlineStr">
        <is>
          <t>—</t>
        </is>
      </c>
    </row>
    <row r="47">
      <c r="A47" s="14" t="inlineStr">
        <is>
          <t>해외주식</t>
        </is>
      </c>
      <c r="B47" s="14" t="inlineStr">
        <is>
          <t>비자</t>
        </is>
      </c>
      <c r="C47" s="14" t="inlineStr">
        <is>
          <t>금융</t>
        </is>
      </c>
      <c r="D47" s="14" t="inlineStr">
        <is>
          <t>—</t>
        </is>
      </c>
      <c r="E47" s="26" t="n">
        <v>955323374925906</v>
      </c>
      <c r="F47" s="22" t="n">
        <v>0.09402742958265729</v>
      </c>
      <c r="G47" s="22" t="n">
        <v>0.2240649506875312</v>
      </c>
      <c r="H47" s="14" t="inlineStr">
        <is>
          <t>—</t>
        </is>
      </c>
    </row>
    <row r="48">
      <c r="A48" s="23" t="inlineStr">
        <is>
          <t>해외주식</t>
        </is>
      </c>
      <c r="B48" s="23" t="inlineStr">
        <is>
          <t>엑슨모빌</t>
        </is>
      </c>
      <c r="C48" s="23" t="inlineStr">
        <is>
          <t>에너지</t>
        </is>
      </c>
      <c r="D48" s="23" t="inlineStr">
        <is>
          <t>—</t>
        </is>
      </c>
      <c r="E48" s="24" t="n">
        <v>928593804911575.1</v>
      </c>
      <c r="F48" s="25" t="n">
        <v>0.4536715620827771</v>
      </c>
      <c r="G48" s="25" t="n">
        <v>0.2502406417094049</v>
      </c>
      <c r="H48" s="23" t="inlineStr">
        <is>
          <t>—</t>
        </is>
      </c>
    </row>
    <row r="49">
      <c r="A49" s="14" t="inlineStr">
        <is>
          <t>해외주식</t>
        </is>
      </c>
      <c r="B49" s="14" t="inlineStr">
        <is>
          <t>존슨앤드존슨</t>
        </is>
      </c>
      <c r="C49" s="14" t="inlineStr">
        <is>
          <t>헬스케어</t>
        </is>
      </c>
      <c r="D49" s="14" t="inlineStr">
        <is>
          <t>—</t>
        </is>
      </c>
      <c r="E49" s="26" t="n">
        <v>900724162181202</v>
      </c>
      <c r="F49" s="22" t="n">
        <v>0.5066516347237879</v>
      </c>
      <c r="G49" s="22" t="n">
        <v>0.1920429463234355</v>
      </c>
      <c r="H49" s="14" t="inlineStr">
        <is>
          <t>—</t>
        </is>
      </c>
    </row>
    <row r="50">
      <c r="A50" s="23" t="inlineStr">
        <is>
          <t>해외주식</t>
        </is>
      </c>
      <c r="B50" s="23" t="inlineStr">
        <is>
          <t>ASML</t>
        </is>
      </c>
      <c r="C50" s="23" t="inlineStr">
        <is>
          <t>IT</t>
        </is>
      </c>
      <c r="D50" s="23" t="inlineStr">
        <is>
          <t>—</t>
        </is>
      </c>
      <c r="E50" s="24" t="n">
        <v>865803962413875.2</v>
      </c>
      <c r="F50" s="25" t="n">
        <v>0.8473653868326995</v>
      </c>
      <c r="G50" s="25" t="n">
        <v>0.4475837102567037</v>
      </c>
      <c r="H50" s="23" t="inlineStr">
        <is>
          <t>—</t>
        </is>
      </c>
    </row>
    <row r="51">
      <c r="A51" s="14" t="inlineStr">
        <is>
          <t>해외주식</t>
        </is>
      </c>
      <c r="B51" s="14" t="inlineStr">
        <is>
          <t>인텔</t>
        </is>
      </c>
      <c r="C51" s="14" t="inlineStr">
        <is>
          <t>IT</t>
        </is>
      </c>
      <c r="D51" s="14" t="inlineStr">
        <is>
          <t>—</t>
        </is>
      </c>
      <c r="E51" s="26" t="n">
        <v>795500173221560.4</v>
      </c>
      <c r="F51" s="22" t="n">
        <v>3.079531691562374</v>
      </c>
      <c r="G51" s="22" t="n">
        <v>0.683100854587897</v>
      </c>
      <c r="H51" s="14" t="inlineStr">
        <is>
          <t>—</t>
        </is>
      </c>
    </row>
    <row r="52">
      <c r="A52" s="23" t="inlineStr">
        <is>
          <t>해외주식</t>
        </is>
      </c>
      <c r="B52" s="23" t="inlineStr">
        <is>
          <t>마스터카드</t>
        </is>
      </c>
      <c r="C52" s="23" t="inlineStr">
        <is>
          <t>금융</t>
        </is>
      </c>
      <c r="D52" s="23" t="inlineStr">
        <is>
          <t>—</t>
        </is>
      </c>
      <c r="E52" s="24" t="n">
        <v>685478397133455.4</v>
      </c>
      <c r="F52" s="25" t="n">
        <v>-0.02609098394400999</v>
      </c>
      <c r="G52" s="25" t="n">
        <v>0.2223071018656363</v>
      </c>
      <c r="H52" s="23" t="inlineStr">
        <is>
          <t>—</t>
        </is>
      </c>
    </row>
    <row r="53">
      <c r="A53" s="14" t="inlineStr">
        <is>
          <t>해외주식</t>
        </is>
      </c>
      <c r="B53" s="14" t="inlineStr">
        <is>
          <t>애브비</t>
        </is>
      </c>
      <c r="C53" s="14" t="inlineStr">
        <is>
          <t>헬스케어</t>
        </is>
      </c>
      <c r="D53" s="14" t="inlineStr">
        <is>
          <t>—</t>
        </is>
      </c>
      <c r="E53" s="26" t="n">
        <v>645323897542738</v>
      </c>
      <c r="F53" s="22" t="n">
        <v>0.2063324295758466</v>
      </c>
      <c r="G53" s="22" t="n">
        <v>0.2755236036328029</v>
      </c>
      <c r="H53" s="14" t="inlineStr">
        <is>
          <t>—</t>
        </is>
      </c>
    </row>
    <row r="54">
      <c r="A54" s="23" t="inlineStr">
        <is>
          <t>해외주식</t>
        </is>
      </c>
      <c r="B54" s="23" t="inlineStr">
        <is>
          <t>오라클</t>
        </is>
      </c>
      <c r="C54" s="23" t="inlineStr">
        <is>
          <t>IT</t>
        </is>
      </c>
      <c r="D54" s="23" t="inlineStr">
        <is>
          <t>—</t>
        </is>
      </c>
      <c r="E54" s="24" t="n">
        <v>629818700115476.5</v>
      </c>
      <c r="F54" s="25" t="n">
        <v>-0.5261799165949559</v>
      </c>
      <c r="G54" s="25" t="n">
        <v>0.5547373559902894</v>
      </c>
      <c r="H54" s="23" t="inlineStr">
        <is>
          <t>—</t>
        </is>
      </c>
    </row>
    <row r="55">
      <c r="A55" s="14" t="inlineStr">
        <is>
          <t>해외주식</t>
        </is>
      </c>
      <c r="B55" s="14" t="inlineStr">
        <is>
          <t>시스코</t>
        </is>
      </c>
      <c r="C55" s="14" t="inlineStr">
        <is>
          <t>IT</t>
        </is>
      </c>
      <c r="D55" s="14" t="inlineStr">
        <is>
          <t>—</t>
        </is>
      </c>
      <c r="E55" s="26" t="n">
        <v>601168220430663.8</v>
      </c>
      <c r="F55" s="22" t="n">
        <v>0.607579826917338</v>
      </c>
      <c r="G55" s="22" t="n">
        <v>0.2902001406087171</v>
      </c>
      <c r="H55" s="14" t="inlineStr">
        <is>
          <t>—</t>
        </is>
      </c>
    </row>
    <row r="56">
      <c r="A56" s="23" t="inlineStr">
        <is>
          <t>국내ETF</t>
        </is>
      </c>
      <c r="B56" s="23" t="inlineStr">
        <is>
          <t>TIGER 미국S&amp;P500</t>
        </is>
      </c>
      <c r="C56" s="23" t="inlineStr">
        <is>
          <t>일반</t>
        </is>
      </c>
      <c r="D56" s="23" t="inlineStr">
        <is>
          <t>미래에셋자산운용</t>
        </is>
      </c>
      <c r="E56" s="24" t="n">
        <v>20942792750000</v>
      </c>
      <c r="F56" s="25" t="n">
        <v>0.1782639885222381</v>
      </c>
      <c r="G56" s="25" t="n">
        <v>0.1464</v>
      </c>
      <c r="H56" s="27" t="n">
        <v>6.8e-05</v>
      </c>
    </row>
    <row r="57">
      <c r="A57" s="14" t="inlineStr">
        <is>
          <t>국내ETF</t>
        </is>
      </c>
      <c r="B57" s="14" t="inlineStr">
        <is>
          <t>TIGER 미국나스닥100</t>
        </is>
      </c>
      <c r="C57" s="14" t="inlineStr">
        <is>
          <t>일반</t>
        </is>
      </c>
      <c r="D57" s="14" t="inlineStr">
        <is>
          <t>미래에셋자산운용</t>
        </is>
      </c>
      <c r="E57" s="26" t="n">
        <v>11850354450000</v>
      </c>
      <c r="F57" s="22" t="n">
        <v>0.2434730103402611</v>
      </c>
      <c r="G57" s="22" t="n">
        <v>0.2064</v>
      </c>
      <c r="H57" s="28" t="n">
        <v>6.8e-05</v>
      </c>
    </row>
    <row r="58">
      <c r="A58" s="23" t="inlineStr">
        <is>
          <t>국내ETF</t>
        </is>
      </c>
      <c r="B58" s="23" t="inlineStr">
        <is>
          <t>KODEX 미국S&amp;P500</t>
        </is>
      </c>
      <c r="C58" s="23" t="inlineStr">
        <is>
          <t>일반</t>
        </is>
      </c>
      <c r="D58" s="23" t="inlineStr">
        <is>
          <t>삼성자산운용(ETF)</t>
        </is>
      </c>
      <c r="E58" s="24" t="n">
        <v>10395632000000</v>
      </c>
      <c r="F58" s="23" t="inlineStr">
        <is>
          <t>—</t>
        </is>
      </c>
      <c r="G58" s="25" t="n">
        <v>0.1473</v>
      </c>
      <c r="H58" s="27" t="n">
        <v>6.2e-05</v>
      </c>
    </row>
    <row r="59">
      <c r="A59" s="14" t="inlineStr">
        <is>
          <t>국내ETF</t>
        </is>
      </c>
      <c r="B59" s="14" t="inlineStr">
        <is>
          <t>KODEX 미국나스닥100</t>
        </is>
      </c>
      <c r="C59" s="14" t="inlineStr">
        <is>
          <t>일반</t>
        </is>
      </c>
      <c r="D59" s="14" t="inlineStr">
        <is>
          <t>삼성자산운용(ETF)</t>
        </is>
      </c>
      <c r="E59" s="26" t="n">
        <v>9426548000000</v>
      </c>
      <c r="F59" s="14" t="inlineStr">
        <is>
          <t>—</t>
        </is>
      </c>
      <c r="G59" s="22" t="n">
        <v>0.2068</v>
      </c>
      <c r="H59" s="28" t="n">
        <v>6.2e-05</v>
      </c>
    </row>
    <row r="60">
      <c r="A60" s="23" t="inlineStr">
        <is>
          <t>국내ETF</t>
        </is>
      </c>
      <c r="B60" s="23" t="inlineStr">
        <is>
          <t>KODEX 머니마켓액티브</t>
        </is>
      </c>
      <c r="C60" s="23" t="inlineStr">
        <is>
          <t>일반</t>
        </is>
      </c>
      <c r="D60" s="23" t="inlineStr">
        <is>
          <t>삼성자산운용(ETF)</t>
        </is>
      </c>
      <c r="E60" s="24" t="n">
        <v>9003326310000</v>
      </c>
      <c r="F60" s="23" t="inlineStr">
        <is>
          <t>—</t>
        </is>
      </c>
      <c r="G60" s="25" t="n">
        <v>0.0146</v>
      </c>
      <c r="H60" s="27" t="n">
        <v>0.0005</v>
      </c>
    </row>
    <row r="61">
      <c r="A61" s="14" t="inlineStr">
        <is>
          <t>국내ETF</t>
        </is>
      </c>
      <c r="B61" s="14" t="inlineStr">
        <is>
          <t>KODEX CD금리액티브(합성)</t>
        </is>
      </c>
      <c r="C61" s="14" t="inlineStr">
        <is>
          <t>일반</t>
        </is>
      </c>
      <c r="D61" s="14" t="inlineStr">
        <is>
          <t>삼성자산운용(ETF)</t>
        </is>
      </c>
      <c r="E61" s="26" t="n">
        <v>6848709332500</v>
      </c>
      <c r="F61" s="14" t="inlineStr">
        <is>
          <t>—</t>
        </is>
      </c>
      <c r="G61" s="22" t="n">
        <v>0.007900000000000001</v>
      </c>
      <c r="H61" s="28" t="n">
        <v>0.0002</v>
      </c>
    </row>
    <row r="62">
      <c r="A62" s="23" t="inlineStr">
        <is>
          <t>국내ETF</t>
        </is>
      </c>
      <c r="B62" s="23" t="inlineStr">
        <is>
          <t>TIGER 미국배당다우존스</t>
        </is>
      </c>
      <c r="C62" s="23" t="inlineStr">
        <is>
          <t>일반</t>
        </is>
      </c>
      <c r="D62" s="23" t="inlineStr">
        <is>
          <t>미래에셋자산운용</t>
        </is>
      </c>
      <c r="E62" s="24" t="n">
        <v>4347337500000</v>
      </c>
      <c r="F62" s="25" t="n">
        <v>0.2478942048517521</v>
      </c>
      <c r="G62" s="25" t="n">
        <v>0.1415</v>
      </c>
      <c r="H62" s="27" t="n">
        <v>0.0001</v>
      </c>
    </row>
    <row r="63">
      <c r="A63" s="14" t="inlineStr">
        <is>
          <t>국내ETF</t>
        </is>
      </c>
      <c r="B63" s="14" t="inlineStr">
        <is>
          <t>ACE KRX금현물</t>
        </is>
      </c>
      <c r="C63" s="14" t="inlineStr">
        <is>
          <t>일반</t>
        </is>
      </c>
      <c r="D63" s="14" t="inlineStr">
        <is>
          <t>한국투자신탁운용</t>
        </is>
      </c>
      <c r="E63" s="26" t="n">
        <v>4074356000000</v>
      </c>
      <c r="F63" s="14" t="inlineStr">
        <is>
          <t>—</t>
        </is>
      </c>
      <c r="G63" s="22" t="n">
        <v>0.3191</v>
      </c>
      <c r="H63" s="28" t="n">
        <v>0.0019</v>
      </c>
    </row>
    <row r="64">
      <c r="A64" s="23" t="inlineStr">
        <is>
          <t>국내ETF</t>
        </is>
      </c>
      <c r="B64" s="23" t="inlineStr">
        <is>
          <t>ACE 미국S&amp;P500</t>
        </is>
      </c>
      <c r="C64" s="23" t="inlineStr">
        <is>
          <t>일반</t>
        </is>
      </c>
      <c r="D64" s="23" t="inlineStr">
        <is>
          <t>한국투신운용(ETF)</t>
        </is>
      </c>
      <c r="E64" s="24" t="n">
        <v>4011280000000</v>
      </c>
      <c r="F64" s="23" t="inlineStr">
        <is>
          <t>—</t>
        </is>
      </c>
      <c r="G64" s="25" t="n">
        <v>0.1464</v>
      </c>
      <c r="H64" s="27" t="n">
        <v>4.7e-05</v>
      </c>
    </row>
    <row r="65">
      <c r="A65" s="14" t="inlineStr">
        <is>
          <t>국내ETF</t>
        </is>
      </c>
      <c r="B65" s="14" t="inlineStr">
        <is>
          <t>TIGER 미국테크TOP10 INDXX</t>
        </is>
      </c>
      <c r="C65" s="14" t="inlineStr">
        <is>
          <t>일반</t>
        </is>
      </c>
      <c r="D65" s="14" t="inlineStr">
        <is>
          <t>미래에셋자산운용</t>
        </is>
      </c>
      <c r="E65" s="26" t="n">
        <v>3910627500000</v>
      </c>
      <c r="F65" s="22" t="n">
        <v>0.1565284066014312</v>
      </c>
      <c r="G65" s="22" t="n">
        <v>0.2107</v>
      </c>
      <c r="H65" s="28" t="n">
        <v>0.0049</v>
      </c>
    </row>
    <row r="66">
      <c r="A66" s="23" t="inlineStr">
        <is>
          <t>국내ETF</t>
        </is>
      </c>
      <c r="B66" s="23" t="inlineStr">
        <is>
          <t>KODEX KOFR금리액티브(합성)</t>
        </is>
      </c>
      <c r="C66" s="23" t="inlineStr">
        <is>
          <t>일반</t>
        </is>
      </c>
      <c r="D66" s="23" t="inlineStr">
        <is>
          <t>삼성자산운용(ETF)</t>
        </is>
      </c>
      <c r="E66" s="24" t="n">
        <v>3634221920000</v>
      </c>
      <c r="F66" s="23" t="inlineStr">
        <is>
          <t>—</t>
        </is>
      </c>
      <c r="G66" s="25" t="n">
        <v>0.0075</v>
      </c>
      <c r="H66" s="27" t="n">
        <v>0.0005</v>
      </c>
    </row>
    <row r="67">
      <c r="A67" s="14" t="inlineStr">
        <is>
          <t>국내ETF</t>
        </is>
      </c>
      <c r="B67" s="14" t="inlineStr">
        <is>
          <t>ACE 미국나스닥100</t>
        </is>
      </c>
      <c r="C67" s="14" t="inlineStr">
        <is>
          <t>일반</t>
        </is>
      </c>
      <c r="D67" s="14" t="inlineStr">
        <is>
          <t>한국투신운용(ETF)</t>
        </is>
      </c>
      <c r="E67" s="26" t="n">
        <v>3524482000000</v>
      </c>
      <c r="F67" s="14" t="inlineStr">
        <is>
          <t>—</t>
        </is>
      </c>
      <c r="G67" s="22" t="n">
        <v>0.2063</v>
      </c>
      <c r="H67" s="28" t="n">
        <v>6.2e-05</v>
      </c>
    </row>
    <row r="68">
      <c r="A68" s="23" t="inlineStr">
        <is>
          <t>국내ETF</t>
        </is>
      </c>
      <c r="B68" s="23" t="inlineStr">
        <is>
          <t>KODEX 종합채권(AA-이상)액티브</t>
        </is>
      </c>
      <c r="C68" s="23" t="inlineStr">
        <is>
          <t>일반</t>
        </is>
      </c>
      <c r="D68" s="23" t="inlineStr">
        <is>
          <t>삼성자산운용(ETF)</t>
        </is>
      </c>
      <c r="E68" s="24" t="n">
        <v>3511034640000</v>
      </c>
      <c r="F68" s="23" t="inlineStr">
        <is>
          <t>—</t>
        </is>
      </c>
      <c r="G68" s="25" t="n">
        <v>0.04099999999999999</v>
      </c>
      <c r="H68" s="27" t="n">
        <v>0.00045</v>
      </c>
    </row>
    <row r="69">
      <c r="A69" s="14" t="inlineStr">
        <is>
          <t>국내ETF</t>
        </is>
      </c>
      <c r="B69" s="14" t="inlineStr">
        <is>
          <t>TIGER CD금리투자KIS(합성)</t>
        </is>
      </c>
      <c r="C69" s="14" t="inlineStr">
        <is>
          <t>일반</t>
        </is>
      </c>
      <c r="D69" s="14" t="inlineStr">
        <is>
          <t>미래에셋자산운용</t>
        </is>
      </c>
      <c r="E69" s="26" t="n">
        <v>3379559252000</v>
      </c>
      <c r="F69" s="14" t="inlineStr">
        <is>
          <t>—</t>
        </is>
      </c>
      <c r="G69" s="22" t="n">
        <v>0.0016</v>
      </c>
      <c r="H69" s="28" t="n">
        <v>0.0003</v>
      </c>
    </row>
    <row r="70">
      <c r="A70" s="23" t="inlineStr">
        <is>
          <t>국내ETF</t>
        </is>
      </c>
      <c r="B70" s="23" t="inlineStr">
        <is>
          <t>RISE 머니마켓액티브</t>
        </is>
      </c>
      <c r="C70" s="23" t="inlineStr">
        <is>
          <t>일반</t>
        </is>
      </c>
      <c r="D70" s="23" t="inlineStr">
        <is>
          <t>KB자산운용</t>
        </is>
      </c>
      <c r="E70" s="24" t="n">
        <v>3124138800000</v>
      </c>
      <c r="F70" s="23" t="inlineStr">
        <is>
          <t>—</t>
        </is>
      </c>
      <c r="G70" s="25" t="n">
        <v>0.0142</v>
      </c>
      <c r="H70" s="27" t="n">
        <v>0.0005</v>
      </c>
    </row>
    <row r="71">
      <c r="A71" s="14" t="inlineStr">
        <is>
          <t>국내ETF</t>
        </is>
      </c>
      <c r="B71" s="14" t="inlineStr">
        <is>
          <t>TIGER 머니마켓액티브</t>
        </is>
      </c>
      <c r="C71" s="14" t="inlineStr">
        <is>
          <t>일반</t>
        </is>
      </c>
      <c r="D71" s="14" t="inlineStr">
        <is>
          <t>미래에셋자산운용</t>
        </is>
      </c>
      <c r="E71" s="26" t="n">
        <v>3031608265000</v>
      </c>
      <c r="F71" s="14" t="inlineStr">
        <is>
          <t>—</t>
        </is>
      </c>
      <c r="G71" s="22" t="n">
        <v>0.0073</v>
      </c>
      <c r="H71" s="28" t="n">
        <v>0.0004</v>
      </c>
    </row>
    <row r="72">
      <c r="A72" s="23" t="inlineStr">
        <is>
          <t>국내ETF</t>
        </is>
      </c>
      <c r="B72" s="23" t="inlineStr">
        <is>
          <t>KODEX CD1년금리플러스액티브(합성)</t>
        </is>
      </c>
      <c r="C72" s="23" t="inlineStr">
        <is>
          <t>일반</t>
        </is>
      </c>
      <c r="D72" s="23" t="inlineStr">
        <is>
          <t>삼성자산운용(ETF)</t>
        </is>
      </c>
      <c r="E72" s="24" t="n">
        <v>2535653403000</v>
      </c>
      <c r="F72" s="23" t="inlineStr">
        <is>
          <t>—</t>
        </is>
      </c>
      <c r="G72" s="25" t="n">
        <v>0.0083</v>
      </c>
      <c r="H72" s="27" t="n">
        <v>0.0005</v>
      </c>
    </row>
    <row r="73">
      <c r="A73" s="14" t="inlineStr">
        <is>
          <t>국내ETF</t>
        </is>
      </c>
      <c r="B73" s="14" t="inlineStr">
        <is>
          <t>TIGER 미국나스닥100타겟데일리커버드콜</t>
        </is>
      </c>
      <c r="C73" s="14" t="inlineStr">
        <is>
          <t>커버드콜</t>
        </is>
      </c>
      <c r="D73" s="14" t="inlineStr">
        <is>
          <t>미래에셋자산운용</t>
        </is>
      </c>
      <c r="E73" s="26" t="n">
        <v>2534110000000</v>
      </c>
      <c r="F73" s="14" t="inlineStr">
        <is>
          <t>—</t>
        </is>
      </c>
      <c r="G73" s="22" t="n">
        <v>0.2078</v>
      </c>
      <c r="H73" s="28" t="n">
        <v>0.0025</v>
      </c>
    </row>
    <row r="74">
      <c r="A74" s="23" t="inlineStr">
        <is>
          <t>국내ETF</t>
        </is>
      </c>
      <c r="B74" s="23" t="inlineStr">
        <is>
          <t>PLUS 고배당주</t>
        </is>
      </c>
      <c r="C74" s="23" t="inlineStr">
        <is>
          <t>일반</t>
        </is>
      </c>
      <c r="D74" s="23" t="inlineStr">
        <is>
          <t>한화자산운용</t>
        </is>
      </c>
      <c r="E74" s="24" t="n">
        <v>2388409200000</v>
      </c>
      <c r="F74" s="23" t="inlineStr">
        <is>
          <t>—</t>
        </is>
      </c>
      <c r="G74" s="25" t="n">
        <v>0.3049</v>
      </c>
      <c r="H74" s="27" t="n">
        <v>0.0023</v>
      </c>
    </row>
    <row r="75">
      <c r="A75" s="14" t="inlineStr">
        <is>
          <t>국내ETF</t>
        </is>
      </c>
      <c r="B75" s="14" t="inlineStr">
        <is>
          <t>TIGER KOFR금리액티브(합성)</t>
        </is>
      </c>
      <c r="C75" s="14" t="inlineStr">
        <is>
          <t>일반</t>
        </is>
      </c>
      <c r="D75" s="14" t="inlineStr">
        <is>
          <t>미래에셋자산운용</t>
        </is>
      </c>
      <c r="E75" s="26" t="n">
        <v>2386470160000</v>
      </c>
      <c r="F75" s="14" t="inlineStr">
        <is>
          <t>—</t>
        </is>
      </c>
      <c r="G75" s="22" t="n">
        <v>0.0064</v>
      </c>
      <c r="H75" s="28" t="n">
        <v>0.0003</v>
      </c>
    </row>
    <row r="76">
      <c r="A76" s="23" t="inlineStr">
        <is>
          <t>국내ETF</t>
        </is>
      </c>
      <c r="B76" s="23" t="inlineStr">
        <is>
          <t>KODEX 200미국채혼합50</t>
        </is>
      </c>
      <c r="C76" s="23" t="inlineStr">
        <is>
          <t>일반</t>
        </is>
      </c>
      <c r="D76" s="23" t="inlineStr">
        <is>
          <t>삼성자산운용(ETF)</t>
        </is>
      </c>
      <c r="E76" s="24" t="n">
        <v>2027918400000</v>
      </c>
      <c r="F76" s="23" t="inlineStr">
        <is>
          <t>—</t>
        </is>
      </c>
      <c r="G76" s="25" t="n">
        <v>0.2503</v>
      </c>
      <c r="H76" s="27" t="n">
        <v>0.0035</v>
      </c>
    </row>
    <row r="77">
      <c r="A77" s="14" t="inlineStr">
        <is>
          <t>국내ETF</t>
        </is>
      </c>
      <c r="B77" s="14" t="inlineStr">
        <is>
          <t>KODEX 단기채권PLUS</t>
        </is>
      </c>
      <c r="C77" s="14" t="inlineStr">
        <is>
          <t>일반</t>
        </is>
      </c>
      <c r="D77" s="14" t="inlineStr">
        <is>
          <t>삼성자산운용(ETF)</t>
        </is>
      </c>
      <c r="E77" s="26" t="n">
        <v>1827859500000</v>
      </c>
      <c r="F77" s="14" t="inlineStr">
        <is>
          <t>—</t>
        </is>
      </c>
      <c r="G77" s="22" t="n">
        <v>0.0083</v>
      </c>
      <c r="H77" s="28" t="n">
        <v>0.0015</v>
      </c>
    </row>
    <row r="78">
      <c r="A78" s="23" t="inlineStr">
        <is>
          <t>국내ETF</t>
        </is>
      </c>
      <c r="B78" s="23" t="inlineStr">
        <is>
          <t>KODEX 미국배당커버드콜액티브</t>
        </is>
      </c>
      <c r="C78" s="23" t="inlineStr">
        <is>
          <t>커버드콜</t>
        </is>
      </c>
      <c r="D78" s="23" t="inlineStr">
        <is>
          <t>삼성자산운용(ETF)</t>
        </is>
      </c>
      <c r="E78" s="24" t="n">
        <v>1726742500000</v>
      </c>
      <c r="F78" s="23" t="inlineStr">
        <is>
          <t>—</t>
        </is>
      </c>
      <c r="G78" s="25" t="n">
        <v>0.1238</v>
      </c>
      <c r="H78" s="27" t="n">
        <v>0.0019</v>
      </c>
    </row>
    <row r="79">
      <c r="A79" s="14" t="inlineStr">
        <is>
          <t>국내ETF</t>
        </is>
      </c>
      <c r="B79" s="14" t="inlineStr">
        <is>
          <t>TIGER CD1년금리액티브(합성)</t>
        </is>
      </c>
      <c r="C79" s="14" t="inlineStr">
        <is>
          <t>일반</t>
        </is>
      </c>
      <c r="D79" s="14" t="inlineStr">
        <is>
          <t>미래에셋자산운용</t>
        </is>
      </c>
      <c r="E79" s="26" t="n">
        <v>1679957730000</v>
      </c>
      <c r="F79" s="14" t="inlineStr">
        <is>
          <t>—</t>
        </is>
      </c>
      <c r="G79" s="22" t="n">
        <v>0.006</v>
      </c>
      <c r="H79" s="28" t="n">
        <v>9.8e-05</v>
      </c>
    </row>
    <row r="80">
      <c r="A80" s="23" t="inlineStr">
        <is>
          <t>국내ETF</t>
        </is>
      </c>
      <c r="B80" s="23" t="inlineStr">
        <is>
          <t>RISE 미국나스닥100</t>
        </is>
      </c>
      <c r="C80" s="23" t="inlineStr">
        <is>
          <t>일반</t>
        </is>
      </c>
      <c r="D80" s="23" t="inlineStr">
        <is>
          <t>KB자산운용</t>
        </is>
      </c>
      <c r="E80" s="24" t="n">
        <v>1597844500000</v>
      </c>
      <c r="F80" s="23" t="inlineStr">
        <is>
          <t>—</t>
        </is>
      </c>
      <c r="G80" s="25" t="n">
        <v>0.2062</v>
      </c>
      <c r="H80" s="27" t="n">
        <v>6.2e-05</v>
      </c>
    </row>
    <row r="81">
      <c r="A81" s="14" t="inlineStr">
        <is>
          <t>해외ETF</t>
        </is>
      </c>
      <c r="B81" s="14" t="inlineStr">
        <is>
          <t>SPDR S&amp;P 500</t>
        </is>
      </c>
      <c r="C81" s="14" t="inlineStr">
        <is>
          <t>—</t>
        </is>
      </c>
      <c r="D81" s="14" t="inlineStr">
        <is>
          <t>—</t>
        </is>
      </c>
      <c r="E81" s="14" t="inlineStr">
        <is>
          <t>—</t>
        </is>
      </c>
      <c r="F81" s="22" t="n">
        <v>0.1712168714029432</v>
      </c>
      <c r="G81" s="22" t="n">
        <v>0.1526270353674158</v>
      </c>
      <c r="H81" s="14" t="inlineStr">
        <is>
          <t>—</t>
        </is>
      </c>
    </row>
    <row r="82">
      <c r="A82" s="23" t="inlineStr">
        <is>
          <t>해외ETF</t>
        </is>
      </c>
      <c r="B82" s="23" t="inlineStr">
        <is>
          <t>Invesco QQQ (나스닥100)</t>
        </is>
      </c>
      <c r="C82" s="23" t="inlineStr">
        <is>
          <t>—</t>
        </is>
      </c>
      <c r="D82" s="23" t="inlineStr">
        <is>
          <t>—</t>
        </is>
      </c>
      <c r="E82" s="23" t="inlineStr">
        <is>
          <t>—</t>
        </is>
      </c>
      <c r="F82" s="25" t="n">
        <v>0.2286861820192689</v>
      </c>
      <c r="G82" s="25" t="n">
        <v>0.2038095515075217</v>
      </c>
      <c r="H82" s="23" t="inlineStr">
        <is>
          <t>—</t>
        </is>
      </c>
    </row>
    <row r="83">
      <c r="A83" s="14" t="inlineStr">
        <is>
          <t>해외ETF</t>
        </is>
      </c>
      <c r="B83" s="14" t="inlineStr">
        <is>
          <t>Vanguard 미국 전체시장</t>
        </is>
      </c>
      <c r="C83" s="14" t="inlineStr">
        <is>
          <t>—</t>
        </is>
      </c>
      <c r="D83" s="14" t="inlineStr">
        <is>
          <t>—</t>
        </is>
      </c>
      <c r="E83" s="14" t="inlineStr">
        <is>
          <t>—</t>
        </is>
      </c>
      <c r="F83" s="22" t="n">
        <v>0.1680824723535977</v>
      </c>
      <c r="G83" s="22" t="n">
        <v>0.1542903388794394</v>
      </c>
      <c r="H83" s="14" t="inlineStr">
        <is>
          <t>—</t>
        </is>
      </c>
    </row>
    <row r="84">
      <c r="A84" s="23" t="inlineStr">
        <is>
          <t>해외ETF</t>
        </is>
      </c>
      <c r="B84" s="23" t="inlineStr">
        <is>
          <t>iShares 러셀2000 (미국 중소형)</t>
        </is>
      </c>
      <c r="C84" s="23" t="inlineStr">
        <is>
          <t>—</t>
        </is>
      </c>
      <c r="D84" s="23" t="inlineStr">
        <is>
          <t>—</t>
        </is>
      </c>
      <c r="E84" s="23" t="inlineStr">
        <is>
          <t>—</t>
        </is>
      </c>
      <c r="F84" s="25" t="n">
        <v>0.2013375822034587</v>
      </c>
      <c r="G84" s="25" t="n">
        <v>0.2111022751155888</v>
      </c>
      <c r="H84" s="23" t="inlineStr">
        <is>
          <t>—</t>
        </is>
      </c>
    </row>
    <row r="85">
      <c r="A85" s="14" t="inlineStr">
        <is>
          <t>해외ETF</t>
        </is>
      </c>
      <c r="B85" s="14" t="inlineStr">
        <is>
          <t>Vanguard 선진국(미국 제외)</t>
        </is>
      </c>
      <c r="C85" s="14" t="inlineStr">
        <is>
          <t>—</t>
        </is>
      </c>
      <c r="D85" s="14" t="inlineStr">
        <is>
          <t>—</t>
        </is>
      </c>
      <c r="E85" s="14" t="inlineStr">
        <is>
          <t>—</t>
        </is>
      </c>
      <c r="F85" s="22" t="n">
        <v>0.2266691413144159</v>
      </c>
      <c r="G85" s="22" t="n">
        <v>0.1579017670450371</v>
      </c>
      <c r="H85" s="14" t="inlineStr">
        <is>
          <t>—</t>
        </is>
      </c>
    </row>
    <row r="86">
      <c r="A86" s="23" t="inlineStr">
        <is>
          <t>해외ETF</t>
        </is>
      </c>
      <c r="B86" s="23" t="inlineStr">
        <is>
          <t>Vanguard 신흥국</t>
        </is>
      </c>
      <c r="C86" s="23" t="inlineStr">
        <is>
          <t>—</t>
        </is>
      </c>
      <c r="D86" s="23" t="inlineStr">
        <is>
          <t>—</t>
        </is>
      </c>
      <c r="E86" s="23" t="inlineStr">
        <is>
          <t>—</t>
        </is>
      </c>
      <c r="F86" s="25" t="n">
        <v>0.1316236092777672</v>
      </c>
      <c r="G86" s="25" t="n">
        <v>0.1645421250031637</v>
      </c>
      <c r="H86" s="23" t="inlineStr">
        <is>
          <t>—</t>
        </is>
      </c>
    </row>
    <row r="87">
      <c r="A87" s="14" t="inlineStr">
        <is>
          <t>해외ETF</t>
        </is>
      </c>
      <c r="B87" s="14" t="inlineStr">
        <is>
          <t>iShares 미국채 1-3년</t>
        </is>
      </c>
      <c r="C87" s="14" t="inlineStr">
        <is>
          <t>—</t>
        </is>
      </c>
      <c r="D87" s="14" t="inlineStr">
        <is>
          <t>—</t>
        </is>
      </c>
      <c r="E87" s="14" t="inlineStr">
        <is>
          <t>—</t>
        </is>
      </c>
      <c r="F87" s="22" t="n">
        <v>0.01505337651433369</v>
      </c>
      <c r="G87" s="22" t="n">
        <v>0.01634004407000697</v>
      </c>
      <c r="H87" s="14" t="inlineStr">
        <is>
          <t>—</t>
        </is>
      </c>
    </row>
    <row r="88">
      <c r="A88" s="23" t="inlineStr">
        <is>
          <t>해외ETF</t>
        </is>
      </c>
      <c r="B88" s="23" t="inlineStr">
        <is>
          <t>iShares 미국채 7-10년</t>
        </is>
      </c>
      <c r="C88" s="23" t="inlineStr">
        <is>
          <t>—</t>
        </is>
      </c>
      <c r="D88" s="23" t="inlineStr">
        <is>
          <t>—</t>
        </is>
      </c>
      <c r="E88" s="23" t="inlineStr">
        <is>
          <t>—</t>
        </is>
      </c>
      <c r="F88" s="25" t="n">
        <v>-0.02675355856628381</v>
      </c>
      <c r="G88" s="25" t="n">
        <v>0.06344333160950028</v>
      </c>
      <c r="H88" s="23" t="inlineStr">
        <is>
          <t>—</t>
        </is>
      </c>
    </row>
    <row r="89">
      <c r="A89" s="14" t="inlineStr">
        <is>
          <t>해외ETF</t>
        </is>
      </c>
      <c r="B89" s="14" t="inlineStr">
        <is>
          <t>iShares 미국채 20년+</t>
        </is>
      </c>
      <c r="C89" s="14" t="inlineStr">
        <is>
          <t>—</t>
        </is>
      </c>
      <c r="D89" s="14" t="inlineStr">
        <is>
          <t>—</t>
        </is>
      </c>
      <c r="E89" s="14" t="inlineStr">
        <is>
          <t>—</t>
        </is>
      </c>
      <c r="F89" s="22" t="n">
        <v>-0.05711503892809356</v>
      </c>
      <c r="G89" s="22" t="n">
        <v>0.1348598378668211</v>
      </c>
      <c r="H89" s="14" t="inlineStr">
        <is>
          <t>—</t>
        </is>
      </c>
    </row>
    <row r="90">
      <c r="A90" s="23" t="inlineStr">
        <is>
          <t>해외ETF</t>
        </is>
      </c>
      <c r="B90" s="23" t="inlineStr">
        <is>
          <t>iShares 미국 종합채권</t>
        </is>
      </c>
      <c r="C90" s="23" t="inlineStr">
        <is>
          <t>—</t>
        </is>
      </c>
      <c r="D90" s="23" t="inlineStr">
        <is>
          <t>—</t>
        </is>
      </c>
      <c r="E90" s="23" t="inlineStr">
        <is>
          <t>—</t>
        </is>
      </c>
      <c r="F90" s="25" t="n">
        <v>-0.00707032975902111</v>
      </c>
      <c r="G90" s="25" t="n">
        <v>0.05242550774268031</v>
      </c>
      <c r="H90" s="23" t="inlineStr">
        <is>
          <t>—</t>
        </is>
      </c>
    </row>
    <row r="91">
      <c r="A91" s="14" t="inlineStr">
        <is>
          <t>해외ETF</t>
        </is>
      </c>
      <c r="B91" s="14" t="inlineStr">
        <is>
          <t>iShares 투자등급 회사채</t>
        </is>
      </c>
      <c r="C91" s="14" t="inlineStr">
        <is>
          <t>—</t>
        </is>
      </c>
      <c r="D91" s="14" t="inlineStr">
        <is>
          <t>—</t>
        </is>
      </c>
      <c r="E91" s="14" t="inlineStr">
        <is>
          <t>—</t>
        </is>
      </c>
      <c r="F91" s="22" t="n">
        <v>-0.02183448542608113</v>
      </c>
      <c r="G91" s="22" t="n">
        <v>0.07104050626038284</v>
      </c>
      <c r="H91" s="14" t="inlineStr">
        <is>
          <t>—</t>
        </is>
      </c>
    </row>
    <row r="92">
      <c r="A92" s="23" t="inlineStr">
        <is>
          <t>해외ETF</t>
        </is>
      </c>
      <c r="B92" s="23" t="inlineStr">
        <is>
          <t>iShares 하이일드 회사채</t>
        </is>
      </c>
      <c r="C92" s="23" t="inlineStr">
        <is>
          <t>—</t>
        </is>
      </c>
      <c r="D92" s="23" t="inlineStr">
        <is>
          <t>—</t>
        </is>
      </c>
      <c r="E92" s="23" t="inlineStr">
        <is>
          <t>—</t>
        </is>
      </c>
      <c r="F92" s="25" t="n">
        <v>0.02786343669994706</v>
      </c>
      <c r="G92" s="25" t="n">
        <v>0.050268463091665</v>
      </c>
      <c r="H92" s="23" t="inlineStr">
        <is>
          <t>—</t>
        </is>
      </c>
    </row>
    <row r="93">
      <c r="A93" s="14" t="inlineStr">
        <is>
          <t>해외ETF</t>
        </is>
      </c>
      <c r="B93" s="14" t="inlineStr">
        <is>
          <t>SPDR 금</t>
        </is>
      </c>
      <c r="C93" s="14" t="inlineStr">
        <is>
          <t>—</t>
        </is>
      </c>
      <c r="D93" s="14" t="inlineStr">
        <is>
          <t>—</t>
        </is>
      </c>
      <c r="E93" s="14" t="inlineStr">
        <is>
          <t>—</t>
        </is>
      </c>
      <c r="F93" s="22" t="n">
        <v>0.1905214114016085</v>
      </c>
      <c r="G93" s="22" t="n">
        <v>0.2154040053034466</v>
      </c>
      <c r="H93" s="14" t="inlineStr">
        <is>
          <t>—</t>
        </is>
      </c>
    </row>
    <row r="94">
      <c r="A94" s="23" t="inlineStr">
        <is>
          <t>해외ETF</t>
        </is>
      </c>
      <c r="B94" s="23" t="inlineStr">
        <is>
          <t>iShares 은</t>
        </is>
      </c>
      <c r="C94" s="23" t="inlineStr">
        <is>
          <t>—</t>
        </is>
      </c>
      <c r="D94" s="23" t="inlineStr">
        <is>
          <t>—</t>
        </is>
      </c>
      <c r="E94" s="23" t="inlineStr">
        <is>
          <t>—</t>
        </is>
      </c>
      <c r="F94" s="25" t="n">
        <v>0.5858692775866632</v>
      </c>
      <c r="G94" s="25" t="n">
        <v>0.4420072503135195</v>
      </c>
      <c r="H94" s="23" t="inlineStr">
        <is>
          <t>—</t>
        </is>
      </c>
    </row>
    <row r="95">
      <c r="A95" s="14" t="inlineStr">
        <is>
          <t>해외ETF</t>
        </is>
      </c>
      <c r="B95" s="14" t="inlineStr">
        <is>
          <t>United States 원유</t>
        </is>
      </c>
      <c r="C95" s="14" t="inlineStr">
        <is>
          <t>—</t>
        </is>
      </c>
      <c r="D95" s="14" t="inlineStr">
        <is>
          <t>—</t>
        </is>
      </c>
      <c r="E95" s="14" t="inlineStr">
        <is>
          <t>—</t>
        </is>
      </c>
      <c r="F95" s="22" t="n">
        <v>1.051754034947312</v>
      </c>
      <c r="G95" s="22" t="n">
        <v>0.3737647369952773</v>
      </c>
      <c r="H95" s="14" t="inlineStr">
        <is>
          <t>—</t>
        </is>
      </c>
    </row>
    <row r="96">
      <c r="A96" s="23" t="inlineStr">
        <is>
          <t>해외ETF</t>
        </is>
      </c>
      <c r="B96" s="23" t="inlineStr">
        <is>
          <t>Invesco 원자재</t>
        </is>
      </c>
      <c r="C96" s="23" t="inlineStr">
        <is>
          <t>—</t>
        </is>
      </c>
      <c r="D96" s="23" t="inlineStr">
        <is>
          <t>—</t>
        </is>
      </c>
      <c r="E96" s="23" t="inlineStr">
        <is>
          <t>—</t>
        </is>
      </c>
      <c r="F96" s="25" t="n">
        <v>0.5101417506271237</v>
      </c>
      <c r="G96" s="25" t="n">
        <v>0.1721311332624557</v>
      </c>
      <c r="H96" s="23" t="inlineStr">
        <is>
          <t>—</t>
        </is>
      </c>
    </row>
    <row r="97">
      <c r="A97" s="14" t="inlineStr">
        <is>
          <t>해외ETF</t>
        </is>
      </c>
      <c r="B97" s="14" t="inlineStr">
        <is>
          <t>Vanguard 미국 리츠</t>
        </is>
      </c>
      <c r="C97" s="14" t="inlineStr">
        <is>
          <t>—</t>
        </is>
      </c>
      <c r="D97" s="14" t="inlineStr">
        <is>
          <t>—</t>
        </is>
      </c>
      <c r="E97" s="14" t="inlineStr">
        <is>
          <t>—</t>
        </is>
      </c>
      <c r="F97" s="22" t="n">
        <v>0.04842313369172224</v>
      </c>
      <c r="G97" s="22" t="n">
        <v>0.1683615867048639</v>
      </c>
      <c r="H97" s="14" t="inlineStr">
        <is>
          <t>—</t>
        </is>
      </c>
    </row>
    <row r="98">
      <c r="A98" s="23" t="inlineStr">
        <is>
          <t>해외ETF</t>
        </is>
      </c>
      <c r="B98" s="23" t="inlineStr">
        <is>
          <t>Schwab 미국 배당주</t>
        </is>
      </c>
      <c r="C98" s="23" t="inlineStr">
        <is>
          <t>—</t>
        </is>
      </c>
      <c r="D98" s="23" t="inlineStr">
        <is>
          <t>—</t>
        </is>
      </c>
      <c r="E98" s="23" t="inlineStr">
        <is>
          <t>—</t>
        </is>
      </c>
      <c r="F98" s="25" t="n">
        <v>0.2710968871712811</v>
      </c>
      <c r="G98" s="25" t="n">
        <v>0.1321671662551849</v>
      </c>
      <c r="H98" s="23" t="inlineStr">
        <is>
          <t>—</t>
        </is>
      </c>
    </row>
    <row r="99">
      <c r="A99" s="14" t="inlineStr">
        <is>
          <t>해외ETF</t>
        </is>
      </c>
      <c r="B99" s="14" t="inlineStr">
        <is>
          <t>Vanguard 배당성장</t>
        </is>
      </c>
      <c r="C99" s="14" t="inlineStr">
        <is>
          <t>—</t>
        </is>
      </c>
      <c r="D99" s="14" t="inlineStr">
        <is>
          <t>—</t>
        </is>
      </c>
      <c r="E99" s="14" t="inlineStr">
        <is>
          <t>—</t>
        </is>
      </c>
      <c r="F99" s="22" t="n">
        <v>0.1164247275358388</v>
      </c>
      <c r="G99" s="22" t="n">
        <v>0.1223752554121164</v>
      </c>
      <c r="H99" s="14" t="inlineStr">
        <is>
          <t>—</t>
        </is>
      </c>
    </row>
    <row r="100">
      <c r="A100" s="23" t="inlineStr">
        <is>
          <t>국내펀드</t>
        </is>
      </c>
      <c r="B100" s="23" t="inlineStr">
        <is>
          <t>삼성MMF법인 1</t>
        </is>
      </c>
      <c r="C100" s="23" t="inlineStr">
        <is>
          <t>MMF</t>
        </is>
      </c>
      <c r="D100" s="23" t="inlineStr">
        <is>
          <t>삼성자산운용</t>
        </is>
      </c>
      <c r="E100" s="24" t="n">
        <v>11338987563533</v>
      </c>
      <c r="F100" s="25" t="n">
        <v>0.029549</v>
      </c>
      <c r="G100" s="23" t="inlineStr">
        <is>
          <t>—</t>
        </is>
      </c>
      <c r="H100" s="23" t="inlineStr">
        <is>
          <t>0.05~0.09%</t>
        </is>
      </c>
    </row>
    <row r="101">
      <c r="A101" s="14" t="inlineStr">
        <is>
          <t>국내펀드</t>
        </is>
      </c>
      <c r="B101" s="14" t="inlineStr">
        <is>
          <t>우리큰만족법인MMF 1(국공채)</t>
        </is>
      </c>
      <c r="C101" s="14" t="inlineStr">
        <is>
          <t>MMF</t>
        </is>
      </c>
      <c r="D101" s="14" t="inlineStr">
        <is>
          <t>우리자산운용</t>
        </is>
      </c>
      <c r="E101" s="26" t="n">
        <v>8622592894029</v>
      </c>
      <c r="F101" s="22" t="n">
        <v>0.028073</v>
      </c>
      <c r="G101" s="14" t="inlineStr">
        <is>
          <t>—</t>
        </is>
      </c>
      <c r="H101" s="14" t="inlineStr">
        <is>
          <t>0.08~0.10%</t>
        </is>
      </c>
    </row>
    <row r="102">
      <c r="A102" s="23" t="inlineStr">
        <is>
          <t>국내펀드</t>
        </is>
      </c>
      <c r="B102" s="23" t="inlineStr">
        <is>
          <t>IBK그랑프리국공채MMF법인투자신탁 1[국공채]</t>
        </is>
      </c>
      <c r="C102" s="23" t="inlineStr">
        <is>
          <t>MMF</t>
        </is>
      </c>
      <c r="D102" s="23" t="inlineStr">
        <is>
          <t>아이비케이자산운용</t>
        </is>
      </c>
      <c r="E102" s="24" t="n">
        <v>8496684909652</v>
      </c>
      <c r="F102" s="25" t="n">
        <v>0.028188</v>
      </c>
      <c r="G102" s="23" t="inlineStr">
        <is>
          <t>—</t>
        </is>
      </c>
      <c r="H102" s="23" t="inlineStr">
        <is>
          <t>0.09~0.17%</t>
        </is>
      </c>
    </row>
    <row r="103">
      <c r="A103" s="14" t="inlineStr">
        <is>
          <t>국내펀드</t>
        </is>
      </c>
      <c r="B103" s="14" t="inlineStr">
        <is>
          <t>KB법인용MMF I-1(운용)</t>
        </is>
      </c>
      <c r="C103" s="14" t="inlineStr">
        <is>
          <t>MMF</t>
        </is>
      </c>
      <c r="D103" s="14" t="inlineStr">
        <is>
          <t>케이비자산운용</t>
        </is>
      </c>
      <c r="E103" s="26" t="n">
        <v>8440063369994</v>
      </c>
      <c r="F103" s="22" t="n">
        <v>0.029889</v>
      </c>
      <c r="G103" s="14" t="inlineStr">
        <is>
          <t>—</t>
        </is>
      </c>
      <c r="H103" s="14" t="inlineStr">
        <is>
          <t>0.06~0.09%</t>
        </is>
      </c>
    </row>
    <row r="104">
      <c r="A104" s="23" t="inlineStr">
        <is>
          <t>국내펀드</t>
        </is>
      </c>
      <c r="B104" s="23" t="inlineStr">
        <is>
          <t>우리큰만족신종MMF3</t>
        </is>
      </c>
      <c r="C104" s="23" t="inlineStr">
        <is>
          <t>MMF</t>
        </is>
      </c>
      <c r="D104" s="23" t="inlineStr">
        <is>
          <t>우리자산운용</t>
        </is>
      </c>
      <c r="E104" s="24" t="n">
        <v>7422943031742</v>
      </c>
      <c r="F104" s="25" t="n">
        <v>0.030522</v>
      </c>
      <c r="G104" s="23" t="inlineStr">
        <is>
          <t>—</t>
        </is>
      </c>
      <c r="H104" s="23" t="inlineStr">
        <is>
          <t>0.09~0.11%</t>
        </is>
      </c>
    </row>
    <row r="105">
      <c r="A105" s="14" t="inlineStr">
        <is>
          <t>국내펀드</t>
        </is>
      </c>
      <c r="B105" s="14" t="inlineStr">
        <is>
          <t>신영법인용MMF4-26_운용</t>
        </is>
      </c>
      <c r="C105" s="14" t="inlineStr">
        <is>
          <t>MMF</t>
        </is>
      </c>
      <c r="D105" s="14" t="inlineStr">
        <is>
          <t>신영자산운용</t>
        </is>
      </c>
      <c r="E105" s="26" t="n">
        <v>6618786412255</v>
      </c>
      <c r="F105" s="22" t="n">
        <v>0.028373</v>
      </c>
      <c r="G105" s="14" t="inlineStr">
        <is>
          <t>—</t>
        </is>
      </c>
      <c r="H105" s="14" t="inlineStr">
        <is>
          <t>0.10~0.15%</t>
        </is>
      </c>
    </row>
    <row r="106">
      <c r="A106" s="23" t="inlineStr">
        <is>
          <t>국내펀드</t>
        </is>
      </c>
      <c r="B106" s="23" t="inlineStr">
        <is>
          <t>신한BEST신종법인용MMFGS-2(종류)</t>
        </is>
      </c>
      <c r="C106" s="23" t="inlineStr">
        <is>
          <t>MMF</t>
        </is>
      </c>
      <c r="D106" s="23" t="inlineStr">
        <is>
          <t>신한자산운용</t>
        </is>
      </c>
      <c r="E106" s="24" t="n">
        <v>5994110526287</v>
      </c>
      <c r="F106" s="25" t="n">
        <v>0.029896</v>
      </c>
      <c r="G106" s="23" t="inlineStr">
        <is>
          <t>—</t>
        </is>
      </c>
      <c r="H106" s="23" t="inlineStr">
        <is>
          <t>0.07~0.09%</t>
        </is>
      </c>
    </row>
    <row r="107">
      <c r="A107" s="14" t="inlineStr">
        <is>
          <t>국내펀드</t>
        </is>
      </c>
      <c r="B107" s="14" t="inlineStr">
        <is>
          <t>한화골드법인MMF-KM3(국공채)</t>
        </is>
      </c>
      <c r="C107" s="14" t="inlineStr">
        <is>
          <t>MMF</t>
        </is>
      </c>
      <c r="D107" s="14" t="inlineStr">
        <is>
          <t>한화자산운용</t>
        </is>
      </c>
      <c r="E107" s="26" t="n">
        <v>4824524208474</v>
      </c>
      <c r="F107" s="22" t="n">
        <v>0.028207</v>
      </c>
      <c r="G107" s="14" t="inlineStr">
        <is>
          <t>—</t>
        </is>
      </c>
      <c r="H107" s="14" t="inlineStr">
        <is>
          <t>0.06~0.10%</t>
        </is>
      </c>
    </row>
    <row r="108">
      <c r="A108" s="23" t="inlineStr">
        <is>
          <t>국내펀드</t>
        </is>
      </c>
      <c r="B108" s="23" t="inlineStr">
        <is>
          <t>하나클래스원신종MMF(K-5)</t>
        </is>
      </c>
      <c r="C108" s="23" t="inlineStr">
        <is>
          <t>MMF</t>
        </is>
      </c>
      <c r="D108" s="23" t="inlineStr">
        <is>
          <t>하나자산운용</t>
        </is>
      </c>
      <c r="E108" s="24" t="n">
        <v>4606467618325</v>
      </c>
      <c r="F108" s="25" t="n">
        <v>0.028155</v>
      </c>
      <c r="G108" s="23" t="inlineStr">
        <is>
          <t>—</t>
        </is>
      </c>
      <c r="H108" s="23" t="inlineStr">
        <is>
          <t>0.11~0.16%</t>
        </is>
      </c>
    </row>
    <row r="109">
      <c r="A109" s="14" t="inlineStr">
        <is>
          <t>국내펀드</t>
        </is>
      </c>
      <c r="B109" s="14" t="inlineStr">
        <is>
          <t>한국투자법인용MMF 2(국공채)</t>
        </is>
      </c>
      <c r="C109" s="14" t="inlineStr">
        <is>
          <t>MMF</t>
        </is>
      </c>
      <c r="D109" s="14" t="inlineStr">
        <is>
          <t>한국투자신탁운용</t>
        </is>
      </c>
      <c r="E109" s="26" t="n">
        <v>4378362865193</v>
      </c>
      <c r="F109" s="22" t="n">
        <v>0.028016</v>
      </c>
      <c r="G109" s="14" t="inlineStr">
        <is>
          <t>—</t>
        </is>
      </c>
      <c r="H109" s="14" t="inlineStr">
        <is>
          <t>0.06~0.16%</t>
        </is>
      </c>
    </row>
    <row r="110">
      <c r="A110" s="23" t="inlineStr">
        <is>
          <t>국내펀드</t>
        </is>
      </c>
      <c r="B110" s="23" t="inlineStr">
        <is>
          <t>미래에셋법인전용MMF 1(국공채)</t>
        </is>
      </c>
      <c r="C110" s="23" t="inlineStr">
        <is>
          <t>MMF</t>
        </is>
      </c>
      <c r="D110" s="23" t="inlineStr">
        <is>
          <t>미래에셋자산운용</t>
        </is>
      </c>
      <c r="E110" s="24" t="n">
        <v>4325093122649</v>
      </c>
      <c r="F110" s="25" t="n">
        <v>0.027934</v>
      </c>
      <c r="G110" s="23" t="inlineStr">
        <is>
          <t>—</t>
        </is>
      </c>
      <c r="H110" s="23" t="inlineStr">
        <is>
          <t>0.05~0.15%</t>
        </is>
      </c>
    </row>
    <row r="111">
      <c r="A111" s="14" t="inlineStr">
        <is>
          <t>국내펀드</t>
        </is>
      </c>
      <c r="B111" s="14" t="inlineStr">
        <is>
          <t>브이아이천하제일법인MMF1</t>
        </is>
      </c>
      <c r="C111" s="14" t="inlineStr">
        <is>
          <t>MMF</t>
        </is>
      </c>
      <c r="D111" s="14" t="inlineStr">
        <is>
          <t>브이아이자산운용</t>
        </is>
      </c>
      <c r="E111" s="26" t="n">
        <v>4238138300942</v>
      </c>
      <c r="F111" s="22" t="n">
        <v>0.028224</v>
      </c>
      <c r="G111" s="14" t="inlineStr">
        <is>
          <t>—</t>
        </is>
      </c>
      <c r="H111" s="14" t="inlineStr">
        <is>
          <t>0.09~0.12%</t>
        </is>
      </c>
    </row>
    <row r="112">
      <c r="A112" s="23" t="inlineStr">
        <is>
          <t>국내펀드</t>
        </is>
      </c>
      <c r="B112" s="23" t="inlineStr">
        <is>
          <t>NH-Amundi법인MMF 8</t>
        </is>
      </c>
      <c r="C112" s="23" t="inlineStr">
        <is>
          <t>MMF</t>
        </is>
      </c>
      <c r="D112" s="23" t="inlineStr">
        <is>
          <t>엔에이치아문디자산운용</t>
        </is>
      </c>
      <c r="E112" s="24" t="n">
        <v>4198179317175</v>
      </c>
      <c r="F112" s="25" t="n">
        <v>0.027945</v>
      </c>
      <c r="G112" s="23" t="inlineStr">
        <is>
          <t>—</t>
        </is>
      </c>
      <c r="H112" s="27" t="n">
        <v>0.001</v>
      </c>
    </row>
    <row r="113">
      <c r="A113" s="14" t="inlineStr">
        <is>
          <t>국내펀드</t>
        </is>
      </c>
      <c r="B113" s="14" t="inlineStr">
        <is>
          <t>하나신종MMF(S-29)</t>
        </is>
      </c>
      <c r="C113" s="14" t="inlineStr">
        <is>
          <t>MMF</t>
        </is>
      </c>
      <c r="D113" s="14" t="inlineStr">
        <is>
          <t>하나자산운용</t>
        </is>
      </c>
      <c r="E113" s="26" t="n">
        <v>3951980192407</v>
      </c>
      <c r="F113" s="22" t="n">
        <v>0.029723</v>
      </c>
      <c r="G113" s="14" t="inlineStr">
        <is>
          <t>—</t>
        </is>
      </c>
      <c r="H113" s="14" t="inlineStr">
        <is>
          <t>0.09~0.13%</t>
        </is>
      </c>
    </row>
    <row r="114">
      <c r="A114" s="23" t="inlineStr">
        <is>
          <t>국내펀드</t>
        </is>
      </c>
      <c r="B114" s="23" t="inlineStr">
        <is>
          <t>삼성스마트MMF법인 1</t>
        </is>
      </c>
      <c r="C114" s="23" t="inlineStr">
        <is>
          <t>MMF</t>
        </is>
      </c>
      <c r="D114" s="23" t="inlineStr">
        <is>
          <t>삼성자산운용</t>
        </is>
      </c>
      <c r="E114" s="24" t="n">
        <v>3884061991950</v>
      </c>
      <c r="F114" s="25" t="n">
        <v>0.028099</v>
      </c>
      <c r="G114" s="23" t="inlineStr">
        <is>
          <t>—</t>
        </is>
      </c>
      <c r="H114" s="23" t="inlineStr">
        <is>
          <t>0.07~0.10%</t>
        </is>
      </c>
    </row>
    <row r="115">
      <c r="A115" s="14" t="inlineStr">
        <is>
          <t>국내펀드</t>
        </is>
      </c>
      <c r="B115" s="14" t="inlineStr">
        <is>
          <t>신한 BEST법인용MMF GS- 1(종류)</t>
        </is>
      </c>
      <c r="C115" s="14" t="inlineStr">
        <is>
          <t>MMF</t>
        </is>
      </c>
      <c r="D115" s="14" t="inlineStr">
        <is>
          <t>신한자산운용</t>
        </is>
      </c>
      <c r="E115" s="26" t="n">
        <v>3871419558918</v>
      </c>
      <c r="F115" s="22" t="n">
        <v>0.027833</v>
      </c>
      <c r="G115" s="14" t="inlineStr">
        <is>
          <t>—</t>
        </is>
      </c>
      <c r="H115" s="14" t="inlineStr">
        <is>
          <t>0.06~0.12%</t>
        </is>
      </c>
    </row>
    <row r="116">
      <c r="A116" s="23" t="inlineStr">
        <is>
          <t>국내펀드</t>
        </is>
      </c>
      <c r="B116" s="23" t="inlineStr">
        <is>
          <t>KB법인용MMF I-2(국공채)(운용)</t>
        </is>
      </c>
      <c r="C116" s="23" t="inlineStr">
        <is>
          <t>MMF</t>
        </is>
      </c>
      <c r="D116" s="23" t="inlineStr">
        <is>
          <t>케이비자산운용</t>
        </is>
      </c>
      <c r="E116" s="24" t="n">
        <v>3836167684813</v>
      </c>
      <c r="F116" s="25" t="n">
        <v>0.027897</v>
      </c>
      <c r="G116" s="23" t="inlineStr">
        <is>
          <t>—</t>
        </is>
      </c>
      <c r="H116" s="23" t="inlineStr">
        <is>
          <t>0.07~0.12%</t>
        </is>
      </c>
    </row>
    <row r="117">
      <c r="A117" s="14" t="inlineStr">
        <is>
          <t>국내펀드</t>
        </is>
      </c>
      <c r="B117" s="14" t="inlineStr">
        <is>
          <t>BNK법인MMF 1(국공채)</t>
        </is>
      </c>
      <c r="C117" s="14" t="inlineStr">
        <is>
          <t>MMF</t>
        </is>
      </c>
      <c r="D117" s="14" t="inlineStr">
        <is>
          <t>비엔케이자산운용</t>
        </is>
      </c>
      <c r="E117" s="26" t="n">
        <v>3638336747805</v>
      </c>
      <c r="F117" s="22" t="n">
        <v>0.028014</v>
      </c>
      <c r="G117" s="14" t="inlineStr">
        <is>
          <t>—</t>
        </is>
      </c>
      <c r="H117" s="28" t="n">
        <v>0.001</v>
      </c>
    </row>
    <row r="118">
      <c r="A118" s="23" t="inlineStr">
        <is>
          <t>국내펀드</t>
        </is>
      </c>
      <c r="B118" s="23" t="inlineStr">
        <is>
          <t>교보악사프라임법인MMF J- 1(운용)</t>
        </is>
      </c>
      <c r="C118" s="23" t="inlineStr">
        <is>
          <t>MMF</t>
        </is>
      </c>
      <c r="D118" s="23" t="inlineStr">
        <is>
          <t>교보악사자산운용</t>
        </is>
      </c>
      <c r="E118" s="24" t="n">
        <v>3583677561222</v>
      </c>
      <c r="F118" s="25" t="n">
        <v>0.028143</v>
      </c>
      <c r="G118" s="23" t="inlineStr">
        <is>
          <t>—</t>
        </is>
      </c>
      <c r="H118" s="27" t="n">
        <v>0.00108</v>
      </c>
    </row>
    <row r="119">
      <c r="A119" s="14" t="inlineStr">
        <is>
          <t>국내펀드</t>
        </is>
      </c>
      <c r="B119" s="14" t="inlineStr">
        <is>
          <t>DB클린법인MMF 4운용</t>
        </is>
      </c>
      <c r="C119" s="14" t="inlineStr">
        <is>
          <t>MMF</t>
        </is>
      </c>
      <c r="D119" s="14" t="inlineStr">
        <is>
          <t>디비자산운용</t>
        </is>
      </c>
      <c r="E119" s="26" t="n">
        <v>2927764530475</v>
      </c>
      <c r="F119" s="22" t="n">
        <v>0.028008</v>
      </c>
      <c r="G119" s="14" t="inlineStr">
        <is>
          <t>—</t>
        </is>
      </c>
      <c r="H119" s="28" t="n">
        <v>0.001</v>
      </c>
    </row>
    <row r="120">
      <c r="A120" s="23" t="inlineStr">
        <is>
          <t>국내펀드</t>
        </is>
      </c>
      <c r="B120" s="23" t="inlineStr">
        <is>
          <t>Plus신종법인용MMF 1</t>
        </is>
      </c>
      <c r="C120" s="23" t="inlineStr">
        <is>
          <t>MMF</t>
        </is>
      </c>
      <c r="D120" s="23" t="inlineStr">
        <is>
          <t>플러스자산운용</t>
        </is>
      </c>
      <c r="E120" s="24" t="n">
        <v>2916524377928</v>
      </c>
      <c r="F120" s="25" t="n">
        <v>0.029821</v>
      </c>
      <c r="G120" s="23" t="inlineStr">
        <is>
          <t>—</t>
        </is>
      </c>
      <c r="H120" s="23" t="inlineStr">
        <is>
          <t>0.10~0.11%</t>
        </is>
      </c>
    </row>
    <row r="121">
      <c r="A121" s="14" t="inlineStr">
        <is>
          <t>국내펀드</t>
        </is>
      </c>
      <c r="B121" s="14" t="inlineStr">
        <is>
          <t>플러스국공채법인용MMF3</t>
        </is>
      </c>
      <c r="C121" s="14" t="inlineStr">
        <is>
          <t>MMF</t>
        </is>
      </c>
      <c r="D121" s="14" t="inlineStr">
        <is>
          <t>플러스자산운용</t>
        </is>
      </c>
      <c r="E121" s="26" t="n">
        <v>2602484819461</v>
      </c>
      <c r="F121" s="22" t="n">
        <v>0.028117</v>
      </c>
      <c r="G121" s="14" t="inlineStr">
        <is>
          <t>—</t>
        </is>
      </c>
      <c r="H121" s="14" t="inlineStr">
        <is>
          <t>0.06~0.10%</t>
        </is>
      </c>
    </row>
    <row r="122">
      <c r="A122" s="23" t="inlineStr">
        <is>
          <t>국내펀드</t>
        </is>
      </c>
      <c r="B122" s="23" t="inlineStr">
        <is>
          <t>미래에셋법인전용MMF A-4</t>
        </is>
      </c>
      <c r="C122" s="23" t="inlineStr">
        <is>
          <t>MMF</t>
        </is>
      </c>
      <c r="D122" s="23" t="inlineStr">
        <is>
          <t>미래에셋자산운용</t>
        </is>
      </c>
      <c r="E122" s="24" t="n">
        <v>2542177044879</v>
      </c>
      <c r="F122" s="25" t="n">
        <v>0.030076</v>
      </c>
      <c r="G122" s="23" t="inlineStr">
        <is>
          <t>—</t>
        </is>
      </c>
      <c r="H122" s="23" t="inlineStr">
        <is>
          <t>0.05~0.09%</t>
        </is>
      </c>
    </row>
    <row r="123">
      <c r="A123" s="14" t="inlineStr">
        <is>
          <t>국내펀드</t>
        </is>
      </c>
      <c r="B123" s="14" t="inlineStr">
        <is>
          <t>키움프런티어법인용MMF 3[국공채]</t>
        </is>
      </c>
      <c r="C123" s="14" t="inlineStr">
        <is>
          <t>MMF</t>
        </is>
      </c>
      <c r="D123" s="14" t="inlineStr">
        <is>
          <t>키움투자자산운용</t>
        </is>
      </c>
      <c r="E123" s="26" t="n">
        <v>2352868227257</v>
      </c>
      <c r="F123" s="22" t="n">
        <v>0.027922</v>
      </c>
      <c r="G123" s="14" t="inlineStr">
        <is>
          <t>—</t>
        </is>
      </c>
      <c r="H123" s="14" t="inlineStr">
        <is>
          <t>0.10~0.24%</t>
        </is>
      </c>
    </row>
    <row r="124">
      <c r="A124" s="23" t="inlineStr">
        <is>
          <t>국내펀드</t>
        </is>
      </c>
      <c r="B124" s="23" t="inlineStr">
        <is>
          <t>대신국공채법인전용MMF 1(운용)</t>
        </is>
      </c>
      <c r="C124" s="23" t="inlineStr">
        <is>
          <t>MMF</t>
        </is>
      </c>
      <c r="D124" s="23" t="inlineStr">
        <is>
          <t>대신자산운용</t>
        </is>
      </c>
      <c r="E124" s="24" t="n">
        <v>2191767203854</v>
      </c>
      <c r="F124" s="25" t="n">
        <v>0.028038</v>
      </c>
      <c r="G124" s="23" t="inlineStr">
        <is>
          <t>—</t>
        </is>
      </c>
      <c r="H124" s="23" t="inlineStr">
        <is>
          <t>0.07~0.10%</t>
        </is>
      </c>
    </row>
    <row r="125">
      <c r="A125" s="14" t="inlineStr">
        <is>
          <t>해외펀드</t>
        </is>
      </c>
      <c r="B125" s="14" t="inlineStr">
        <is>
          <t>피델리티글로벌테크놀로지증권자투자신탁(주식-재간접형)</t>
        </is>
      </c>
      <c r="C125" s="14" t="inlineStr">
        <is>
          <t>해외주식형</t>
        </is>
      </c>
      <c r="D125" s="14" t="inlineStr">
        <is>
          <t>피델리티자산운용</t>
        </is>
      </c>
      <c r="E125" s="26" t="n">
        <v>921799051290</v>
      </c>
      <c r="F125" s="22" t="n">
        <v>0.20358</v>
      </c>
      <c r="G125" s="14" t="inlineStr">
        <is>
          <t>—</t>
        </is>
      </c>
      <c r="H125" s="14" t="inlineStr">
        <is>
          <t>0.16~1.36%</t>
        </is>
      </c>
    </row>
    <row r="126">
      <c r="A126" s="23" t="inlineStr">
        <is>
          <t>해외펀드</t>
        </is>
      </c>
      <c r="B126" s="23" t="inlineStr">
        <is>
          <t>피델리티월지급식아시아하이일드증권자투자신탁[채권-재간접형]</t>
        </is>
      </c>
      <c r="C126" s="23" t="inlineStr">
        <is>
          <t>해외채권형</t>
        </is>
      </c>
      <c r="D126" s="23" t="inlineStr">
        <is>
          <t>피델리티자산운용</t>
        </is>
      </c>
      <c r="E126" s="24" t="n">
        <v>736452760783</v>
      </c>
      <c r="F126" s="25" t="n">
        <v>0.051551</v>
      </c>
      <c r="G126" s="23" t="inlineStr">
        <is>
          <t>—</t>
        </is>
      </c>
      <c r="H126" s="23" t="inlineStr">
        <is>
          <t>0.37~1.17%</t>
        </is>
      </c>
    </row>
    <row r="127">
      <c r="A127" s="14" t="inlineStr">
        <is>
          <t>해외펀드</t>
        </is>
      </c>
      <c r="B127" s="14" t="inlineStr">
        <is>
          <t>피델리티글로벌배당인컴증권자투자신탁(주식-재간접형)</t>
        </is>
      </c>
      <c r="C127" s="14" t="inlineStr">
        <is>
          <t>해외주식형</t>
        </is>
      </c>
      <c r="D127" s="14" t="inlineStr">
        <is>
          <t>피델리티자산운용</t>
        </is>
      </c>
      <c r="E127" s="26" t="n">
        <v>571560295874</v>
      </c>
      <c r="F127" s="22" t="n">
        <v>0.108062</v>
      </c>
      <c r="G127" s="14" t="inlineStr">
        <is>
          <t>—</t>
        </is>
      </c>
      <c r="H127" s="14" t="inlineStr">
        <is>
          <t>0.16~1.36%</t>
        </is>
      </c>
    </row>
    <row r="128">
      <c r="A128" s="23" t="inlineStr">
        <is>
          <t>해외펀드</t>
        </is>
      </c>
      <c r="B128" s="23" t="inlineStr">
        <is>
          <t>AB월지급글로벌고수익증권투자신탁[채권-재간접형]</t>
        </is>
      </c>
      <c r="C128" s="23" t="inlineStr">
        <is>
          <t>해외채권형</t>
        </is>
      </c>
      <c r="D128" s="23" t="inlineStr">
        <is>
          <t>얼라이언스번스틴자산운용</t>
        </is>
      </c>
      <c r="E128" s="24" t="n">
        <v>546248135264</v>
      </c>
      <c r="F128" s="25" t="n">
        <v>0.018373</v>
      </c>
      <c r="G128" s="23" t="inlineStr">
        <is>
          <t>—</t>
        </is>
      </c>
      <c r="H128" s="23" t="inlineStr">
        <is>
          <t>0.17~0.71%</t>
        </is>
      </c>
    </row>
    <row r="129">
      <c r="A129" s="14" t="inlineStr">
        <is>
          <t>해외펀드</t>
        </is>
      </c>
      <c r="B129" s="14" t="inlineStr">
        <is>
          <t>한국투자글로벌전기차&amp;자율주행증권투자신탁(주식)(모)</t>
        </is>
      </c>
      <c r="C129" s="14" t="inlineStr">
        <is>
          <t>해외주식형</t>
        </is>
      </c>
      <c r="D129" s="14" t="inlineStr">
        <is>
          <t>한국투자신탁운용</t>
        </is>
      </c>
      <c r="E129" s="26" t="n">
        <v>476227522659</v>
      </c>
      <c r="F129" s="22" t="n">
        <v>0.178201</v>
      </c>
      <c r="G129" s="14" t="inlineStr">
        <is>
          <t>—</t>
        </is>
      </c>
      <c r="H129" s="14" t="inlineStr">
        <is>
          <t>0.77~2.07%</t>
        </is>
      </c>
    </row>
    <row r="130">
      <c r="A130" s="23" t="inlineStr">
        <is>
          <t>해외펀드</t>
        </is>
      </c>
      <c r="B130" s="23" t="inlineStr">
        <is>
          <t>AB미국그로스증권투자신탁(주식-재간접형)</t>
        </is>
      </c>
      <c r="C130" s="23" t="inlineStr">
        <is>
          <t>해외주식형</t>
        </is>
      </c>
      <c r="D130" s="23" t="inlineStr">
        <is>
          <t>얼라이언스번스틴자산운용</t>
        </is>
      </c>
      <c r="E130" s="24" t="n">
        <v>443774660426</v>
      </c>
      <c r="F130" s="25" t="n">
        <v>0.009127</v>
      </c>
      <c r="G130" s="23" t="inlineStr">
        <is>
          <t>—</t>
        </is>
      </c>
      <c r="H130" s="23" t="inlineStr">
        <is>
          <t>0.17~1.67%</t>
        </is>
      </c>
    </row>
    <row r="131">
      <c r="A131" s="14" t="inlineStr">
        <is>
          <t>해외펀드</t>
        </is>
      </c>
      <c r="B131" s="14" t="inlineStr">
        <is>
          <t>KB다이나믹적격TDF2030증권자투자신탁(주식혼합-재간접형)(운용)</t>
        </is>
      </c>
      <c r="C131" s="14" t="inlineStr">
        <is>
          <t>기타형</t>
        </is>
      </c>
      <c r="D131" s="14" t="inlineStr">
        <is>
          <t>케이비자산운용</t>
        </is>
      </c>
      <c r="E131" s="26" t="n">
        <v>415554701169</v>
      </c>
      <c r="F131" s="22" t="n">
        <v>0.189953</v>
      </c>
      <c r="G131" s="14" t="inlineStr">
        <is>
          <t>—</t>
        </is>
      </c>
      <c r="H131" s="14" t="inlineStr">
        <is>
          <t>0.24~1.19%</t>
        </is>
      </c>
    </row>
    <row r="132">
      <c r="A132" s="23" t="inlineStr">
        <is>
          <t>해외펀드</t>
        </is>
      </c>
      <c r="B132" s="23" t="inlineStr">
        <is>
          <t>우리미국단기채공모주증권자투자신탁 1(H)(채권혼합)</t>
        </is>
      </c>
      <c r="C132" s="23" t="inlineStr">
        <is>
          <t>해외혼합형</t>
        </is>
      </c>
      <c r="D132" s="23" t="inlineStr">
        <is>
          <t>우리자산운용</t>
        </is>
      </c>
      <c r="E132" s="24" t="n">
        <v>355805691737</v>
      </c>
      <c r="F132" s="25" t="n">
        <v>0.052435</v>
      </c>
      <c r="G132" s="23" t="inlineStr">
        <is>
          <t>—</t>
        </is>
      </c>
      <c r="H132" s="23" t="inlineStr">
        <is>
          <t>0.80~1.70%</t>
        </is>
      </c>
    </row>
    <row r="133">
      <c r="A133" s="14" t="inlineStr">
        <is>
          <t>해외펀드</t>
        </is>
      </c>
      <c r="B133" s="14" t="inlineStr">
        <is>
          <t>한국투자미국장기국채증권자투자신탁H(채권-재간접형)(모)</t>
        </is>
      </c>
      <c r="C133" s="14" t="inlineStr">
        <is>
          <t>해외채권형</t>
        </is>
      </c>
      <c r="D133" s="14" t="inlineStr">
        <is>
          <t>한국투자신탁운용</t>
        </is>
      </c>
      <c r="E133" s="26" t="n">
        <v>312359779743</v>
      </c>
      <c r="F133" s="22" t="n">
        <v>-0.063263</v>
      </c>
      <c r="G133" s="14" t="inlineStr">
        <is>
          <t>—</t>
        </is>
      </c>
      <c r="H133" s="14" t="inlineStr">
        <is>
          <t>0.25~0.85%</t>
        </is>
      </c>
    </row>
    <row r="134">
      <c r="A134" s="23" t="inlineStr">
        <is>
          <t>해외펀드</t>
        </is>
      </c>
      <c r="B134" s="23" t="inlineStr">
        <is>
          <t>신한마음편한적격TDF2050증권자투자신탁[주식혼합-재간접형](종류)</t>
        </is>
      </c>
      <c r="C134" s="23" t="inlineStr">
        <is>
          <t>기타형</t>
        </is>
      </c>
      <c r="D134" s="23" t="inlineStr">
        <is>
          <t>신한자산운용</t>
        </is>
      </c>
      <c r="E134" s="24" t="n">
        <v>307888109504</v>
      </c>
      <c r="F134" s="25" t="n">
        <v>0.23546</v>
      </c>
      <c r="G134" s="23" t="inlineStr">
        <is>
          <t>—</t>
        </is>
      </c>
      <c r="H134" s="23" t="inlineStr">
        <is>
          <t>0.56~1.31%</t>
        </is>
      </c>
    </row>
    <row r="135">
      <c r="A135" s="14" t="inlineStr">
        <is>
          <t>해외펀드</t>
        </is>
      </c>
      <c r="B135" s="14" t="inlineStr">
        <is>
          <t>신한마음편한적격TDF2035증권자투자신탁[주식혼합-재간접형](종류)</t>
        </is>
      </c>
      <c r="C135" s="14" t="inlineStr">
        <is>
          <t>기타형</t>
        </is>
      </c>
      <c r="D135" s="14" t="inlineStr">
        <is>
          <t>신한자산운용</t>
        </is>
      </c>
      <c r="E135" s="26" t="n">
        <v>305480846988</v>
      </c>
      <c r="F135" s="22" t="n">
        <v>0.177612</v>
      </c>
      <c r="G135" s="14" t="inlineStr">
        <is>
          <t>—</t>
        </is>
      </c>
      <c r="H135" s="14" t="inlineStr">
        <is>
          <t>0.33~0.82%</t>
        </is>
      </c>
    </row>
    <row r="136">
      <c r="A136" s="23" t="inlineStr">
        <is>
          <t>해외펀드</t>
        </is>
      </c>
      <c r="B136" s="23" t="inlineStr">
        <is>
          <t>신한미국S&amp;P500인덱스증권자투자신탁(UH)[주식-파생형]</t>
        </is>
      </c>
      <c r="C136" s="23" t="inlineStr">
        <is>
          <t>해외주식형</t>
        </is>
      </c>
      <c r="D136" s="23" t="inlineStr">
        <is>
          <t>신한자산운용</t>
        </is>
      </c>
      <c r="E136" s="24" t="n">
        <v>285114854089</v>
      </c>
      <c r="F136" s="25" t="n">
        <v>0.141662</v>
      </c>
      <c r="G136" s="23" t="inlineStr">
        <is>
          <t>—</t>
        </is>
      </c>
      <c r="H136" s="23" t="inlineStr">
        <is>
          <t>0.26~1.15%</t>
        </is>
      </c>
    </row>
    <row r="137">
      <c r="A137" s="14" t="inlineStr">
        <is>
          <t>해외펀드</t>
        </is>
      </c>
      <c r="B137" s="14" t="inlineStr">
        <is>
          <t>삼성글로벌액티브적격TDF2030증권투자신탁H[주식혼합-재간접형]</t>
        </is>
      </c>
      <c r="C137" s="14" t="inlineStr">
        <is>
          <t>기타형</t>
        </is>
      </c>
      <c r="D137" s="14" t="inlineStr">
        <is>
          <t>삼성자산운용</t>
        </is>
      </c>
      <c r="E137" s="26" t="n">
        <v>284075555238</v>
      </c>
      <c r="F137" s="22" t="n">
        <v>0.097423</v>
      </c>
      <c r="G137" s="14" t="inlineStr">
        <is>
          <t>—</t>
        </is>
      </c>
      <c r="H137" s="14" t="inlineStr">
        <is>
          <t>0.23~0.76%</t>
        </is>
      </c>
    </row>
    <row r="138">
      <c r="A138" s="23" t="inlineStr">
        <is>
          <t>해외펀드</t>
        </is>
      </c>
      <c r="B138" s="23" t="inlineStr">
        <is>
          <t>NH-Amundi하나로적격TDF2030증권투자신탁[주식혼합-재간접형]</t>
        </is>
      </c>
      <c r="C138" s="23" t="inlineStr">
        <is>
          <t>기타형</t>
        </is>
      </c>
      <c r="D138" s="23" t="inlineStr">
        <is>
          <t>엔에이치아문디자산운용</t>
        </is>
      </c>
      <c r="E138" s="24" t="n">
        <v>274599368395</v>
      </c>
      <c r="F138" s="25" t="n">
        <v>0.110507</v>
      </c>
      <c r="G138" s="23" t="inlineStr">
        <is>
          <t>—</t>
        </is>
      </c>
      <c r="H138" s="23" t="inlineStr">
        <is>
          <t>0.35~0.80%</t>
        </is>
      </c>
    </row>
    <row r="139">
      <c r="A139" s="14" t="inlineStr">
        <is>
          <t>해외펀드</t>
        </is>
      </c>
      <c r="B139" s="14" t="inlineStr">
        <is>
          <t>한국투자MAN다이나믹인컴월배당증권자투자신탁H(채권-재간접형)(모)</t>
        </is>
      </c>
      <c r="C139" s="14" t="inlineStr">
        <is>
          <t>해외채권형</t>
        </is>
      </c>
      <c r="D139" s="14" t="inlineStr">
        <is>
          <t>한국투자신탁운용</t>
        </is>
      </c>
      <c r="E139" s="26" t="n">
        <v>272544857205</v>
      </c>
      <c r="F139" s="22" t="n">
        <v>0.06779</v>
      </c>
      <c r="G139" s="14" t="inlineStr">
        <is>
          <t>—</t>
        </is>
      </c>
      <c r="H139" s="14" t="inlineStr">
        <is>
          <t>0.54~1.24%</t>
        </is>
      </c>
    </row>
    <row r="140">
      <c r="A140" s="23" t="inlineStr">
        <is>
          <t>해외펀드</t>
        </is>
      </c>
      <c r="B140" s="23" t="inlineStr">
        <is>
          <t>KB다이나믹적격TDF2040증권자투자신탁(주식혼합-재간접형)(운용)</t>
        </is>
      </c>
      <c r="C140" s="23" t="inlineStr">
        <is>
          <t>기타형</t>
        </is>
      </c>
      <c r="D140" s="23" t="inlineStr">
        <is>
          <t>케이비자산운용</t>
        </is>
      </c>
      <c r="E140" s="24" t="n">
        <v>253133965500</v>
      </c>
      <c r="F140" s="25" t="n">
        <v>0.235043</v>
      </c>
      <c r="G140" s="23" t="inlineStr">
        <is>
          <t>—</t>
        </is>
      </c>
      <c r="H140" s="23" t="inlineStr">
        <is>
          <t>0.34~1.19%</t>
        </is>
      </c>
    </row>
    <row r="141">
      <c r="A141" s="14" t="inlineStr">
        <is>
          <t>해외펀드</t>
        </is>
      </c>
      <c r="B141" s="14" t="inlineStr">
        <is>
          <t>KCGI샐러리맨증권자투자신탁[주식-재간접형]</t>
        </is>
      </c>
      <c r="C141" s="14" t="inlineStr">
        <is>
          <t>해외주식형</t>
        </is>
      </c>
      <c r="D141" s="14" t="inlineStr">
        <is>
          <t>케이씨지아이자산운용</t>
        </is>
      </c>
      <c r="E141" s="26" t="n">
        <v>252365682418</v>
      </c>
      <c r="F141" s="22" t="n">
        <v>0.313328</v>
      </c>
      <c r="G141" s="14" t="inlineStr">
        <is>
          <t>—</t>
        </is>
      </c>
      <c r="H141" s="14" t="inlineStr">
        <is>
          <t>0.64~1.01%</t>
        </is>
      </c>
    </row>
    <row r="142">
      <c r="A142" s="23" t="inlineStr">
        <is>
          <t>해외펀드</t>
        </is>
      </c>
      <c r="B142" s="23" t="inlineStr">
        <is>
          <t>NH-Amundi올바른지구OCIO자산배분증권자투자신탁[혼합-재간접형]</t>
        </is>
      </c>
      <c r="C142" s="23" t="inlineStr">
        <is>
          <t>해외혼합형</t>
        </is>
      </c>
      <c r="D142" s="23" t="inlineStr">
        <is>
          <t>엔에이치아문디자산운용</t>
        </is>
      </c>
      <c r="E142" s="24" t="n">
        <v>251911631894</v>
      </c>
      <c r="F142" s="25" t="n">
        <v>0.06297700000000001</v>
      </c>
      <c r="G142" s="23" t="inlineStr">
        <is>
          <t>—</t>
        </is>
      </c>
      <c r="H142" s="23" t="inlineStr">
        <is>
          <t>0.41~1.01%</t>
        </is>
      </c>
    </row>
    <row r="143">
      <c r="A143" s="14" t="inlineStr">
        <is>
          <t>해외펀드</t>
        </is>
      </c>
      <c r="B143" s="14" t="inlineStr">
        <is>
          <t>KB다이나믹적격TDF2050증권자투자신탁(주식혼합-재간접형)(운용)</t>
        </is>
      </c>
      <c r="C143" s="14" t="inlineStr">
        <is>
          <t>기타형</t>
        </is>
      </c>
      <c r="D143" s="14" t="inlineStr">
        <is>
          <t>케이비자산운용</t>
        </is>
      </c>
      <c r="E143" s="26" t="n">
        <v>234933545728</v>
      </c>
      <c r="F143" s="22" t="n">
        <v>0.257195</v>
      </c>
      <c r="G143" s="14" t="inlineStr">
        <is>
          <t>—</t>
        </is>
      </c>
      <c r="H143" s="14" t="inlineStr">
        <is>
          <t>0.34~1.19%</t>
        </is>
      </c>
    </row>
    <row r="144">
      <c r="A144" s="23" t="inlineStr">
        <is>
          <t>해외펀드</t>
        </is>
      </c>
      <c r="B144" s="23" t="inlineStr">
        <is>
          <t>신한마음편한적격TDF2030증권자투자신탁[주식혼합-재간접형](종류)</t>
        </is>
      </c>
      <c r="C144" s="23" t="inlineStr">
        <is>
          <t>기타형</t>
        </is>
      </c>
      <c r="D144" s="23" t="inlineStr">
        <is>
          <t>신한자산운용</t>
        </is>
      </c>
      <c r="E144" s="24" t="n">
        <v>231199778656</v>
      </c>
      <c r="F144" s="25" t="n">
        <v>0.149587</v>
      </c>
      <c r="G144" s="23" t="inlineStr">
        <is>
          <t>—</t>
        </is>
      </c>
      <c r="H144" s="23" t="inlineStr">
        <is>
          <t>0.33~0.82%</t>
        </is>
      </c>
    </row>
    <row r="145">
      <c r="A145" s="14" t="inlineStr">
        <is>
          <t>해외펀드</t>
        </is>
      </c>
      <c r="B145" s="14" t="inlineStr">
        <is>
          <t>삼성글로벌액티브적격TDF2045증권투자신탁H[주식혼합-재간접형]</t>
        </is>
      </c>
      <c r="C145" s="14" t="inlineStr">
        <is>
          <t>기타형</t>
        </is>
      </c>
      <c r="D145" s="14" t="inlineStr">
        <is>
          <t>삼성자산운용</t>
        </is>
      </c>
      <c r="E145" s="26" t="n">
        <v>228747081728</v>
      </c>
      <c r="F145" s="22" t="n">
        <v>0.146997</v>
      </c>
      <c r="G145" s="14" t="inlineStr">
        <is>
          <t>—</t>
        </is>
      </c>
      <c r="H145" s="14" t="inlineStr">
        <is>
          <t>0.33~1.30%</t>
        </is>
      </c>
    </row>
    <row r="146">
      <c r="A146" s="23" t="inlineStr">
        <is>
          <t>해외펀드</t>
        </is>
      </c>
      <c r="B146" s="23" t="inlineStr">
        <is>
          <t>KCGI프리덤적격TDF2050증권자투자신탁[주식혼합-재간접형]</t>
        </is>
      </c>
      <c r="C146" s="23" t="inlineStr">
        <is>
          <t>기타형</t>
        </is>
      </c>
      <c r="D146" s="23" t="inlineStr">
        <is>
          <t>케이씨지아이자산운용</t>
        </is>
      </c>
      <c r="E146" s="24" t="n">
        <v>228544238026</v>
      </c>
      <c r="F146" s="25" t="n">
        <v>0.223357</v>
      </c>
      <c r="G146" s="23" t="inlineStr">
        <is>
          <t>—</t>
        </is>
      </c>
      <c r="H146" s="23" t="inlineStr">
        <is>
          <t>0.56~0.89%</t>
        </is>
      </c>
    </row>
    <row r="147">
      <c r="A147" s="14" t="inlineStr">
        <is>
          <t>해외펀드</t>
        </is>
      </c>
      <c r="B147" s="14" t="inlineStr">
        <is>
          <t>키움키워드림적격TDF2030증권투자신탁 1[혼합-재간접형]</t>
        </is>
      </c>
      <c r="C147" s="14" t="inlineStr">
        <is>
          <t>기타형</t>
        </is>
      </c>
      <c r="D147" s="14" t="inlineStr">
        <is>
          <t>키움투자자산운용</t>
        </is>
      </c>
      <c r="E147" s="26" t="n">
        <v>226050052467</v>
      </c>
      <c r="F147" s="22" t="n">
        <v>0.079793</v>
      </c>
      <c r="G147" s="14" t="inlineStr">
        <is>
          <t>—</t>
        </is>
      </c>
      <c r="H147" s="14" t="inlineStr">
        <is>
          <t>0.28~0.66%</t>
        </is>
      </c>
    </row>
    <row r="148">
      <c r="A148" s="23" t="inlineStr">
        <is>
          <t>해외펀드</t>
        </is>
      </c>
      <c r="B148" s="23" t="inlineStr">
        <is>
          <t>이지스글로벌공모부동산투자신탁281(파생형)</t>
        </is>
      </c>
      <c r="C148" s="23" t="inlineStr">
        <is>
          <t>해외대체</t>
        </is>
      </c>
      <c r="D148" s="23" t="inlineStr">
        <is>
          <t>이지스자산운용</t>
        </is>
      </c>
      <c r="E148" s="24" t="n">
        <v>223655294000</v>
      </c>
      <c r="F148" s="25" t="n">
        <v>-0.145053</v>
      </c>
      <c r="G148" s="23" t="inlineStr">
        <is>
          <t>—</t>
        </is>
      </c>
      <c r="H148" s="27" t="n">
        <v>0.0054</v>
      </c>
    </row>
    <row r="149">
      <c r="A149" s="14" t="inlineStr">
        <is>
          <t>해외펀드</t>
        </is>
      </c>
      <c r="B149" s="14" t="inlineStr">
        <is>
          <t>한화LIFEPLUS적격TDF2050증권자투자신탁(주식혼합-재간접형)</t>
        </is>
      </c>
      <c r="C149" s="14" t="inlineStr">
        <is>
          <t>기타형</t>
        </is>
      </c>
      <c r="D149" s="14" t="inlineStr">
        <is>
          <t>한화자산운용</t>
        </is>
      </c>
      <c r="E149" s="26" t="n">
        <v>223261070915</v>
      </c>
      <c r="F149" s="22" t="n">
        <v>0.229434</v>
      </c>
      <c r="G149" s="14" t="inlineStr">
        <is>
          <t>—</t>
        </is>
      </c>
      <c r="H149" s="14" t="inlineStr">
        <is>
          <t>0.44~1.33%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8" customWidth="1" min="3" max="3"/>
    <col width="12" customWidth="1" min="4" max="4"/>
    <col width="70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3</t>
        </is>
      </c>
      <c r="B2" s="5" t="inlineStr">
        <is>
          <t>자료 출처와 기준일</t>
        </is>
      </c>
    </row>
    <row r="3" ht="6" customHeight="1">
      <c r="A3" s="13" t="inlineStr">
        <is>
          <t>자산군</t>
        </is>
      </c>
      <c r="B3" s="13" t="inlineStr">
        <is>
          <t>원천</t>
        </is>
      </c>
      <c r="C3" s="13" t="inlineStr">
        <is>
          <t>종목</t>
        </is>
      </c>
      <c r="D3" s="13" t="inlineStr">
        <is>
          <t>기준일</t>
        </is>
      </c>
      <c r="E3" s="13" t="inlineStr">
        <is>
          <t>비고</t>
        </is>
      </c>
    </row>
    <row r="4">
      <c r="A4" s="14" t="inlineStr">
        <is>
          <t>펀드</t>
        </is>
      </c>
      <c r="B4" s="14" t="inlineStr">
        <is>
          <t>네이버 Npay 증권 + 금융투자협회 전자공시(투자지역)</t>
        </is>
      </c>
      <c r="C4" s="21" t="n">
        <v>1051</v>
      </c>
      <c r="D4" s="14" t="inlineStr">
        <is>
          <t>2026-09-14</t>
        </is>
      </c>
      <c r="E4" s="29" t="inlineStr">
        <is>
          <t>보수는 클래스마다 달라 하나로 줄이지 않고 범위(feeMin~feeMax)로 싣습니다. 변동성·최대낙폭은 기준가 이력이 7 거래일뿐이라 셈하지 않고 위험등급을 씁니다.</t>
        </is>
      </c>
    </row>
    <row r="5">
      <c r="A5" s="14" t="inlineStr">
        <is>
          <t>국내주식</t>
        </is>
      </c>
      <c r="B5" s="14" t="inlineStr">
        <is>
          <t>야후 파이낸스 일봉 (자료 가지 kr100-data)</t>
        </is>
      </c>
      <c r="C5" s="21" t="n">
        <v>100</v>
      </c>
      <c r="D5" s="14" t="inlineStr">
        <is>
          <t>2026-09-18</t>
        </is>
      </c>
      <c r="E5" s="29" t="inlineStr"/>
    </row>
    <row r="6">
      <c r="A6" s="14" t="inlineStr">
        <is>
          <t>해외주식</t>
        </is>
      </c>
      <c r="B6" s="14" t="inlineStr">
        <is>
          <t>야후 파이낸스 일봉 (자료 가지 us100-data)</t>
        </is>
      </c>
      <c r="C6" s="21" t="n">
        <v>100</v>
      </c>
      <c r="D6" s="14" t="inlineStr">
        <is>
          <t>2026-09-16</t>
        </is>
      </c>
      <c r="E6" s="29" t="inlineStr"/>
    </row>
    <row r="7">
      <c r="A7" s="14" t="inlineStr">
        <is>
          <t>국내ETF</t>
        </is>
      </c>
      <c r="B7" s="14" t="inlineStr">
        <is>
          <t>네이버 금융 일봉 + 야후 차트 일봉(close, 배당 미보정) + ETFCHECK (https://www.etfcheck.co.kr)</t>
        </is>
      </c>
      <c r="C7" s="21" t="n">
        <v>247</v>
      </c>
      <c r="D7" s="14" t="inlineStr">
        <is>
          <t>2026-09-18</t>
        </is>
      </c>
      <c r="E7" s="29" t="inlineStr"/>
    </row>
    <row r="8">
      <c r="A8" s="14" t="inlineStr">
        <is>
          <t>해외ETF</t>
        </is>
      </c>
      <c r="B8" s="14" t="inlineStr">
        <is>
          <t>한국투자증권 오픈API (모의투자, HHDFS76240000, 수정주가)</t>
        </is>
      </c>
      <c r="C8" s="21" t="n">
        <v>19</v>
      </c>
      <c r="D8" s="14" t="inlineStr">
        <is>
          <t>2026-09-19</t>
        </is>
      </c>
      <c r="E8" s="29" t="inlineStr"/>
    </row>
    <row r="11">
      <c r="A11" s="6" t="inlineStr">
        <is>
          <t>수익률계열</t>
        </is>
      </c>
      <c r="B11" s="30" t="inlineStr">
        <is>
          <t>주식·ETF 는 일봉에서 직접 셈합니다(최근 252 거래일). 펀드는 원천이 주는 1 년 수익률을 씁니다 — 두 계열은 기준일이 다를 수 있으므로 상품마다 asOf 를 답니다.</t>
        </is>
      </c>
    </row>
    <row r="12">
      <c r="A12" s="6" t="inlineStr">
        <is>
          <t>변동성</t>
        </is>
      </c>
      <c r="B12" s="30" t="inlineStr">
        <is>
          <t>일봉이 있는 상품만 연변동성(일간 로그수익률 표준편차 × √252)을 셈합니다. **펀드는 이력이 7 거래일뿐이라 셈하지 않고** 원천의 위험등급을 씁니다.</t>
        </is>
      </c>
    </row>
    <row r="13">
      <c r="A13" s="6" t="inlineStr">
        <is>
          <t>펀드보수</t>
        </is>
      </c>
      <c r="B13" s="30" t="inlineStr">
        <is>
          <t>클래스마다 달라 하나로 줄이지 않고 범위로 싣습니다.</t>
        </is>
      </c>
    </row>
    <row r="14">
      <c r="A14" s="6" t="inlineStr">
        <is>
          <t>해외펀드</t>
        </is>
      </c>
      <c r="B14" s="30" t="inlineStr">
        <is>
          <t>해외에 설정된 뮤추얼펀드가 아니라 **해외에 투자하는, 국내 설정 공모펀드**입니다.</t>
        </is>
      </c>
    </row>
    <row r="15">
      <c r="A15" s="6" t="inlineStr">
        <is>
          <t>최소설정액</t>
        </is>
      </c>
      <c r="B15" s="30" t="inlineStr">
        <is>
          <t>10000000000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4" customHeight="1">
      <c r="A1" s="3" t="n"/>
      <c r="B1" s="3" t="n"/>
      <c r="C1" s="3" t="n"/>
      <c r="D1" s="3" t="n"/>
    </row>
    <row r="2" ht="26" customHeight="1">
      <c r="A2" s="4" t="inlineStr"/>
      <c r="B2" s="5" t="inlineStr">
        <is>
          <t>쓰는 법</t>
        </is>
      </c>
    </row>
    <row r="3" ht="6" customHeight="1">
      <c r="A3" s="31" t="inlineStr">
        <is>
          <t>1. 「제안서」 시트에서 파란 글씨 칸만 고칩니다 — 고객명·투자금액·투자기간·위험성향.</t>
        </is>
      </c>
    </row>
    <row r="4">
      <c r="A4" s="31" t="inlineStr">
        <is>
          <t>2. 나머지 칸은 수식입니다. 손으로 덮어쓰면 다음에 값이 안 따라옵니다.</t>
        </is>
      </c>
    </row>
    <row r="5">
      <c r="A5" s="31" t="inlineStr">
        <is>
          <t>3. 「배분규칙」 시트는 proposal_lib.py 가 셈한 것입니다. 고치지 마십시오 — 고치면 화면(proposal.html)·PPT 와 어긋납니다.</t>
        </is>
      </c>
    </row>
    <row r="6">
      <c r="A6" s="31" t="inlineStr">
        <is>
          <t>4. 자료를 새로 받으면 python3 scripts/build_proposal_universe.py 를 돌린 뒤 이 파일을 다시 만듭니다.</t>
        </is>
      </c>
    </row>
    <row r="7">
      <c r="A7" s="31" t="inlineStr"/>
    </row>
    <row r="8">
      <c r="A8" s="31" t="inlineStr">
        <is>
          <t>셀 색 규칙 (기존 고객제안서와 같습니다)</t>
        </is>
      </c>
    </row>
    <row r="9">
      <c r="A9" s="32" t="inlineStr">
        <is>
          <t xml:space="preserve">    파란 글씨 + 옅은 칠 = 사람이 넣는 칸</t>
        </is>
      </c>
    </row>
    <row r="10">
      <c r="A10" s="32" t="inlineStr">
        <is>
          <t xml:space="preserve">    검은 글씨           = 수식</t>
        </is>
      </c>
    </row>
    <row r="11">
      <c r="A11" s="32" t="inlineStr">
        <is>
          <t xml:space="preserve">    회색 글씨           = 원천에서 받아 적은 값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2026-09-19T01:13:59Z</dcterms:created>
  <dcterms:modified xmlns:dcterms="http://purl.org/dc/terms/" xmlns:xsi="http://www.w3.org/2001/XMLSchema-instance" xsi:type="dcterms:W3CDTF">2026-09-19T01:13:59Z</dcterms:modified>
</cp:coreProperties>
</file>