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사용법" sheetId="6" state="visible" r:id="rId6"/>
  </sheets>
  <definedNames>
    <definedName name="_xlnm._FilterDatabase" localSheetId="3" hidden="1">'상품'!$A$7:$H$150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IFERROR(INDEX(자산군!$D$7:$D$12,MATCH($A19,자산군!$A$7:$A$12,0)),"—")</f>
        <v/>
      </c>
      <c r="G19" s="9" t="n"/>
      <c r="H19" s="15">
        <f>IF(ISNUMBER($F19),$F19,0)</f>
        <v/>
      </c>
      <c r="I19" s="17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IFERROR(INDEX(자산군!$D$7:$D$12,MATCH($A20,자산군!$A$7:$A$12,0)),"—")</f>
        <v/>
      </c>
      <c r="G20" s="9" t="n"/>
      <c r="H20" s="15">
        <f>IF(ISNUMBER($F20),$F20,0)</f>
        <v/>
      </c>
      <c r="I20" s="17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IFERROR(INDEX(자산군!$D$7:$D$12,MATCH($A21,자산군!$A$7:$A$12,0)),"—")</f>
        <v/>
      </c>
      <c r="G21" s="9" t="n"/>
      <c r="H21" s="15">
        <f>IF(ISNUMBER($F21),$F21,0)</f>
        <v/>
      </c>
      <c r="I21" s="17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IFERROR(INDEX(자산군!$D$7:$D$12,MATCH($A22,자산군!$A$7:$A$12,0)),"—")</f>
        <v/>
      </c>
      <c r="G22" s="9" t="n"/>
      <c r="H22" s="15">
        <f>IF(ISNUMBER($F22),$F22,0)</f>
        <v/>
      </c>
      <c r="I22" s="17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IFERROR(INDEX(자산군!$D$7:$D$12,MATCH($A23,자산군!$A$7:$A$12,0)),"—")</f>
        <v/>
      </c>
      <c r="G23" s="9" t="n"/>
      <c r="H23" s="15">
        <f>IF(ISNUMBER($F23),$F23,0)</f>
        <v/>
      </c>
      <c r="I23" s="17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IFERROR(INDEX(자산군!$D$7:$D$12,MATCH($A24,자산군!$A$7:$A$12,0)),"—")</f>
        <v/>
      </c>
      <c r="G24" s="9" t="n"/>
      <c r="H24" s="15">
        <f>IF(ISNUMBER($F24),$F24,0)</f>
        <v/>
      </c>
      <c r="I24" s="17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IFERROR(INDEX(자산군!$D$7:$D$12,MATCH($A25,자산군!$A$7:$A$12,0)),"—")</f>
        <v/>
      </c>
      <c r="G25" s="9" t="n"/>
      <c r="H25" s="15">
        <f>IF(ISNUMBER($F25),$F25,0)</f>
        <v/>
      </c>
      <c r="I25" s="17">
        <f>IF(AND($A25&lt;&gt;"현금",ISNUMBER($G25)),15,0)</f>
        <v/>
      </c>
    </row>
    <row r="26">
      <c r="A26" s="18" t="inlineStr">
        <is>
          <t>합계</t>
        </is>
      </c>
      <c r="B26" s="19">
        <f>SUM($B19:$B25)</f>
        <v/>
      </c>
      <c r="C26" s="19">
        <f>IF(COUNT($C19:$C25)=0,"—",SUM($C19:$C25))</f>
        <v/>
      </c>
      <c r="D26" s="19">
        <f>SUM($D19:$D25)</f>
        <v/>
      </c>
      <c r="E26" s="20">
        <f>SUM($E19:$E25)</f>
        <v/>
      </c>
      <c r="F26" s="19">
        <f>SUMPRODUCT($D19:$D25,$H19:$H25)</f>
        <v/>
      </c>
      <c r="G26" s="19">
        <f>IF(COUNT($G19:$G25)=0,"가정 미입력",SUMPRODUCT($D19:$D25,$G19:$G25))</f>
        <v/>
      </c>
    </row>
    <row r="27">
      <c r="A27" s="21" t="inlineStr">
        <is>
          <t>점검</t>
        </is>
      </c>
      <c r="B27" s="22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3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4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5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6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6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6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6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6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6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6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6" t="inlineStr">
        <is>
          <t>· 「해외펀드」는 해외 설정 뮤추얼펀드가 아니라 해외에 투자하는 국내 설정 공모펀드입니다.</t>
        </is>
      </c>
    </row>
    <row r="50" ht="28" customHeight="1">
      <c r="A50" s="26" t="inlineStr">
        <is>
          <t>· 이 자료는 참고용이며 투자 권유가 아닙니다. 제안 전 준법감시 검토를 받으십시오.</t>
        </is>
      </c>
    </row>
    <row r="52">
      <c r="A52" s="21" t="inlineStr">
        <is>
          <t>유니버스 2026-09-19 10:59:20 · 문서 2026-09-19 11:00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1" t="inlineStr">
        <is>
          <t>이 시트는 proposal_lib.py 가 셈한 배분입니다. 손으로 고치지 마십시오 — 고치면 화면·PPT 와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7" t="n">
        <v>1</v>
      </c>
      <c r="C4" s="14" t="inlineStr">
        <is>
          <t>1년 이내</t>
        </is>
      </c>
      <c r="D4" s="28" t="n">
        <v>0</v>
      </c>
      <c r="E4" s="28" t="n">
        <v>0</v>
      </c>
      <c r="F4" s="28" t="n">
        <v>0.02</v>
      </c>
      <c r="G4" s="28" t="n">
        <v>0.02</v>
      </c>
      <c r="H4" s="28" t="n">
        <v>0.08</v>
      </c>
      <c r="I4" s="28" t="n">
        <v>0.04</v>
      </c>
      <c r="J4" s="28" t="n">
        <v>0.84</v>
      </c>
    </row>
    <row r="5">
      <c r="A5" s="14" t="inlineStr">
        <is>
          <t>1|3</t>
        </is>
      </c>
      <c r="B5" s="27" t="n">
        <v>1</v>
      </c>
      <c r="C5" s="14" t="inlineStr">
        <is>
          <t>3년</t>
        </is>
      </c>
      <c r="D5" s="28" t="n">
        <v>0</v>
      </c>
      <c r="E5" s="28" t="n">
        <v>0</v>
      </c>
      <c r="F5" s="28" t="n">
        <v>0.035</v>
      </c>
      <c r="G5" s="28" t="n">
        <v>0.035</v>
      </c>
      <c r="H5" s="28" t="n">
        <v>0.14</v>
      </c>
      <c r="I5" s="28" t="n">
        <v>0.07000000000000001</v>
      </c>
      <c r="J5" s="28" t="n">
        <v>0.72</v>
      </c>
    </row>
    <row r="6">
      <c r="A6" s="14" t="inlineStr">
        <is>
          <t>1|5</t>
        </is>
      </c>
      <c r="B6" s="27" t="n">
        <v>1</v>
      </c>
      <c r="C6" s="14" t="inlineStr">
        <is>
          <t>5년</t>
        </is>
      </c>
      <c r="D6" s="28" t="n">
        <v>0</v>
      </c>
      <c r="E6" s="28" t="n">
        <v>0</v>
      </c>
      <c r="F6" s="28" t="n">
        <v>0.045</v>
      </c>
      <c r="G6" s="28" t="n">
        <v>0.045</v>
      </c>
      <c r="H6" s="28" t="n">
        <v>0.18</v>
      </c>
      <c r="I6" s="28" t="n">
        <v>0.09</v>
      </c>
      <c r="J6" s="28" t="n">
        <v>0.64</v>
      </c>
    </row>
    <row r="7">
      <c r="A7" s="14" t="inlineStr">
        <is>
          <t>1|10</t>
        </is>
      </c>
      <c r="B7" s="27" t="n">
        <v>1</v>
      </c>
      <c r="C7" s="14" t="inlineStr">
        <is>
          <t>5년 초과</t>
        </is>
      </c>
      <c r="D7" s="28" t="n">
        <v>0</v>
      </c>
      <c r="E7" s="28" t="n">
        <v>0</v>
      </c>
      <c r="F7" s="28" t="n">
        <v>0.05</v>
      </c>
      <c r="G7" s="28" t="n">
        <v>0.05</v>
      </c>
      <c r="H7" s="28" t="n">
        <v>0.2</v>
      </c>
      <c r="I7" s="28" t="n">
        <v>0.1</v>
      </c>
      <c r="J7" s="28" t="n">
        <v>0.6</v>
      </c>
    </row>
    <row r="8">
      <c r="A8" s="14" t="inlineStr">
        <is>
          <t>2|1</t>
        </is>
      </c>
      <c r="B8" s="27" t="n">
        <v>2</v>
      </c>
      <c r="C8" s="14" t="inlineStr">
        <is>
          <t>1년 이내</t>
        </is>
      </c>
      <c r="D8" s="28" t="n">
        <v>0</v>
      </c>
      <c r="E8" s="28" t="n">
        <v>0.02</v>
      </c>
      <c r="F8" s="28" t="n">
        <v>0.04</v>
      </c>
      <c r="G8" s="28" t="n">
        <v>0.04</v>
      </c>
      <c r="H8" s="28" t="n">
        <v>0.1</v>
      </c>
      <c r="I8" s="28" t="n">
        <v>0.06</v>
      </c>
      <c r="J8" s="28" t="n">
        <v>0.74</v>
      </c>
    </row>
    <row r="9">
      <c r="A9" s="14" t="inlineStr">
        <is>
          <t>2|3</t>
        </is>
      </c>
      <c r="B9" s="27" t="n">
        <v>2</v>
      </c>
      <c r="C9" s="14" t="inlineStr">
        <is>
          <t>3년</t>
        </is>
      </c>
      <c r="D9" s="28" t="n">
        <v>0</v>
      </c>
      <c r="E9" s="28" t="n">
        <v>0.035</v>
      </c>
      <c r="F9" s="28" t="n">
        <v>0.07000000000000001</v>
      </c>
      <c r="G9" s="28" t="n">
        <v>0.07000000000000001</v>
      </c>
      <c r="H9" s="28" t="n">
        <v>0.175</v>
      </c>
      <c r="I9" s="28" t="n">
        <v>0.105</v>
      </c>
      <c r="J9" s="28" t="n">
        <v>0.545</v>
      </c>
    </row>
    <row r="10">
      <c r="A10" s="14" t="inlineStr">
        <is>
          <t>2|5</t>
        </is>
      </c>
      <c r="B10" s="27" t="n">
        <v>2</v>
      </c>
      <c r="C10" s="14" t="inlineStr">
        <is>
          <t>5년</t>
        </is>
      </c>
      <c r="D10" s="28" t="n">
        <v>0</v>
      </c>
      <c r="E10" s="28" t="n">
        <v>0.045</v>
      </c>
      <c r="F10" s="28" t="n">
        <v>0.09</v>
      </c>
      <c r="G10" s="28" t="n">
        <v>0.09</v>
      </c>
      <c r="H10" s="28" t="n">
        <v>0.225</v>
      </c>
      <c r="I10" s="28" t="n">
        <v>0.135</v>
      </c>
      <c r="J10" s="28" t="n">
        <v>0.415</v>
      </c>
    </row>
    <row r="11">
      <c r="A11" s="14" t="inlineStr">
        <is>
          <t>2|10</t>
        </is>
      </c>
      <c r="B11" s="27" t="n">
        <v>2</v>
      </c>
      <c r="C11" s="14" t="inlineStr">
        <is>
          <t>5년 초과</t>
        </is>
      </c>
      <c r="D11" s="28" t="n">
        <v>0</v>
      </c>
      <c r="E11" s="28" t="n">
        <v>0.05</v>
      </c>
      <c r="F11" s="28" t="n">
        <v>0.1</v>
      </c>
      <c r="G11" s="28" t="n">
        <v>0.1</v>
      </c>
      <c r="H11" s="28" t="n">
        <v>0.25</v>
      </c>
      <c r="I11" s="28" t="n">
        <v>0.15</v>
      </c>
      <c r="J11" s="28" t="n">
        <v>0.35</v>
      </c>
    </row>
    <row r="12">
      <c r="A12" s="14" t="inlineStr">
        <is>
          <t>3|1</t>
        </is>
      </c>
      <c r="B12" s="27" t="n">
        <v>3</v>
      </c>
      <c r="C12" s="14" t="inlineStr">
        <is>
          <t>1년 이내</t>
        </is>
      </c>
      <c r="D12" s="28" t="n">
        <v>0.02</v>
      </c>
      <c r="E12" s="28" t="n">
        <v>0.04</v>
      </c>
      <c r="F12" s="28" t="n">
        <v>0.06</v>
      </c>
      <c r="G12" s="28" t="n">
        <v>0.06</v>
      </c>
      <c r="H12" s="28" t="n">
        <v>0.08</v>
      </c>
      <c r="I12" s="28" t="n">
        <v>0.08</v>
      </c>
      <c r="J12" s="28" t="n">
        <v>0.66</v>
      </c>
    </row>
    <row r="13">
      <c r="A13" s="14" t="inlineStr">
        <is>
          <t>3|3</t>
        </is>
      </c>
      <c r="B13" s="27" t="n">
        <v>3</v>
      </c>
      <c r="C13" s="14" t="inlineStr">
        <is>
          <t>3년</t>
        </is>
      </c>
      <c r="D13" s="28" t="n">
        <v>0.035</v>
      </c>
      <c r="E13" s="28" t="n">
        <v>0.07000000000000001</v>
      </c>
      <c r="F13" s="28" t="n">
        <v>0.105</v>
      </c>
      <c r="G13" s="28" t="n">
        <v>0.105</v>
      </c>
      <c r="H13" s="28" t="n">
        <v>0.14</v>
      </c>
      <c r="I13" s="28" t="n">
        <v>0.14</v>
      </c>
      <c r="J13" s="28" t="n">
        <v>0.405</v>
      </c>
    </row>
    <row r="14">
      <c r="A14" s="14" t="inlineStr">
        <is>
          <t>3|5</t>
        </is>
      </c>
      <c r="B14" s="27" t="n">
        <v>3</v>
      </c>
      <c r="C14" s="14" t="inlineStr">
        <is>
          <t>5년</t>
        </is>
      </c>
      <c r="D14" s="28" t="n">
        <v>0.045</v>
      </c>
      <c r="E14" s="28" t="n">
        <v>0.09</v>
      </c>
      <c r="F14" s="28" t="n">
        <v>0.135</v>
      </c>
      <c r="G14" s="28" t="n">
        <v>0.135</v>
      </c>
      <c r="H14" s="28" t="n">
        <v>0.18</v>
      </c>
      <c r="I14" s="28" t="n">
        <v>0.18</v>
      </c>
      <c r="J14" s="28" t="n">
        <v>0.235</v>
      </c>
    </row>
    <row r="15">
      <c r="A15" s="14" t="inlineStr">
        <is>
          <t>3|10</t>
        </is>
      </c>
      <c r="B15" s="27" t="n">
        <v>3</v>
      </c>
      <c r="C15" s="14" t="inlineStr">
        <is>
          <t>5년 초과</t>
        </is>
      </c>
      <c r="D15" s="28" t="n">
        <v>0.05</v>
      </c>
      <c r="E15" s="28" t="n">
        <v>0.1</v>
      </c>
      <c r="F15" s="28" t="n">
        <v>0.15</v>
      </c>
      <c r="G15" s="28" t="n">
        <v>0.15</v>
      </c>
      <c r="H15" s="28" t="n">
        <v>0.2</v>
      </c>
      <c r="I15" s="28" t="n">
        <v>0.2</v>
      </c>
      <c r="J15" s="28" t="n">
        <v>0.15</v>
      </c>
    </row>
    <row r="16">
      <c r="A16" s="14" t="inlineStr">
        <is>
          <t>4|1</t>
        </is>
      </c>
      <c r="B16" s="27" t="n">
        <v>4</v>
      </c>
      <c r="C16" s="14" t="inlineStr">
        <is>
          <t>1년 이내</t>
        </is>
      </c>
      <c r="D16" s="28" t="n">
        <v>0.06</v>
      </c>
      <c r="E16" s="28" t="n">
        <v>0.08</v>
      </c>
      <c r="F16" s="28" t="n">
        <v>0.06</v>
      </c>
      <c r="G16" s="28" t="n">
        <v>0.08</v>
      </c>
      <c r="H16" s="28" t="n">
        <v>0.04</v>
      </c>
      <c r="I16" s="28" t="n">
        <v>0.06</v>
      </c>
      <c r="J16" s="28" t="n">
        <v>0.62</v>
      </c>
    </row>
    <row r="17">
      <c r="A17" s="14" t="inlineStr">
        <is>
          <t>4|3</t>
        </is>
      </c>
      <c r="B17" s="27" t="n">
        <v>4</v>
      </c>
      <c r="C17" s="14" t="inlineStr">
        <is>
          <t>3년</t>
        </is>
      </c>
      <c r="D17" s="28" t="n">
        <v>0.105</v>
      </c>
      <c r="E17" s="28" t="n">
        <v>0.14</v>
      </c>
      <c r="F17" s="28" t="n">
        <v>0.105</v>
      </c>
      <c r="G17" s="28" t="n">
        <v>0.14</v>
      </c>
      <c r="H17" s="28" t="n">
        <v>0.07000000000000001</v>
      </c>
      <c r="I17" s="28" t="n">
        <v>0.105</v>
      </c>
      <c r="J17" s="28" t="n">
        <v>0.335</v>
      </c>
    </row>
    <row r="18">
      <c r="A18" s="14" t="inlineStr">
        <is>
          <t>4|5</t>
        </is>
      </c>
      <c r="B18" s="27" t="n">
        <v>4</v>
      </c>
      <c r="C18" s="14" t="inlineStr">
        <is>
          <t>5년</t>
        </is>
      </c>
      <c r="D18" s="28" t="n">
        <v>0.135</v>
      </c>
      <c r="E18" s="28" t="n">
        <v>0.18</v>
      </c>
      <c r="F18" s="28" t="n">
        <v>0.135</v>
      </c>
      <c r="G18" s="28" t="n">
        <v>0.18</v>
      </c>
      <c r="H18" s="28" t="n">
        <v>0.09</v>
      </c>
      <c r="I18" s="28" t="n">
        <v>0.135</v>
      </c>
      <c r="J18" s="28" t="n">
        <v>0.145</v>
      </c>
    </row>
    <row r="19">
      <c r="A19" s="14" t="inlineStr">
        <is>
          <t>4|10</t>
        </is>
      </c>
      <c r="B19" s="27" t="n">
        <v>4</v>
      </c>
      <c r="C19" s="14" t="inlineStr">
        <is>
          <t>5년 초과</t>
        </is>
      </c>
      <c r="D19" s="28" t="n">
        <v>0.15</v>
      </c>
      <c r="E19" s="28" t="n">
        <v>0.2</v>
      </c>
      <c r="F19" s="28" t="n">
        <v>0.15</v>
      </c>
      <c r="G19" s="28" t="n">
        <v>0.2</v>
      </c>
      <c r="H19" s="28" t="n">
        <v>0.1</v>
      </c>
      <c r="I19" s="28" t="n">
        <v>0.15</v>
      </c>
      <c r="J19" s="28" t="n">
        <v>0.05</v>
      </c>
    </row>
    <row r="20">
      <c r="A20" s="14" t="inlineStr">
        <is>
          <t>5|1</t>
        </is>
      </c>
      <c r="B20" s="27" t="n">
        <v>5</v>
      </c>
      <c r="C20" s="14" t="inlineStr">
        <is>
          <t>1년 이내</t>
        </is>
      </c>
      <c r="D20" s="28" t="n">
        <v>0.1</v>
      </c>
      <c r="E20" s="28" t="n">
        <v>0.12</v>
      </c>
      <c r="F20" s="28" t="n">
        <v>0.06</v>
      </c>
      <c r="G20" s="28" t="n">
        <v>0.08</v>
      </c>
      <c r="H20" s="28" t="n">
        <v>0.02</v>
      </c>
      <c r="I20" s="28" t="n">
        <v>0.02</v>
      </c>
      <c r="J20" s="28" t="n">
        <v>0.6</v>
      </c>
    </row>
    <row r="21">
      <c r="A21" s="14" t="inlineStr">
        <is>
          <t>5|3</t>
        </is>
      </c>
      <c r="B21" s="27" t="n">
        <v>5</v>
      </c>
      <c r="C21" s="14" t="inlineStr">
        <is>
          <t>3년</t>
        </is>
      </c>
      <c r="D21" s="28" t="n">
        <v>0.175</v>
      </c>
      <c r="E21" s="28" t="n">
        <v>0.21</v>
      </c>
      <c r="F21" s="28" t="n">
        <v>0.105</v>
      </c>
      <c r="G21" s="28" t="n">
        <v>0.14</v>
      </c>
      <c r="H21" s="28" t="n">
        <v>0.035</v>
      </c>
      <c r="I21" s="28" t="n">
        <v>0.035</v>
      </c>
      <c r="J21" s="28" t="n">
        <v>0.3</v>
      </c>
    </row>
    <row r="22">
      <c r="A22" s="14" t="inlineStr">
        <is>
          <t>5|5</t>
        </is>
      </c>
      <c r="B22" s="27" t="n">
        <v>5</v>
      </c>
      <c r="C22" s="14" t="inlineStr">
        <is>
          <t>5년</t>
        </is>
      </c>
      <c r="D22" s="28" t="n">
        <v>0.225</v>
      </c>
      <c r="E22" s="28" t="n">
        <v>0.27</v>
      </c>
      <c r="F22" s="28" t="n">
        <v>0.135</v>
      </c>
      <c r="G22" s="28" t="n">
        <v>0.18</v>
      </c>
      <c r="H22" s="28" t="n">
        <v>0.045</v>
      </c>
      <c r="I22" s="28" t="n">
        <v>0.045</v>
      </c>
      <c r="J22" s="28" t="n">
        <v>0.1</v>
      </c>
    </row>
    <row r="23">
      <c r="A23" s="14" t="inlineStr">
        <is>
          <t>5|10</t>
        </is>
      </c>
      <c r="B23" s="27" t="n">
        <v>5</v>
      </c>
      <c r="C23" s="14" t="inlineStr">
        <is>
          <t>5년 초과</t>
        </is>
      </c>
      <c r="D23" s="28" t="n">
        <v>0.25</v>
      </c>
      <c r="E23" s="28" t="n">
        <v>0.3</v>
      </c>
      <c r="F23" s="28" t="n">
        <v>0.15</v>
      </c>
      <c r="G23" s="28" t="n">
        <v>0.2</v>
      </c>
      <c r="H23" s="28" t="n">
        <v>0.05</v>
      </c>
      <c r="I23" s="28" t="n">
        <v>0.05</v>
      </c>
      <c r="J23" s="28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6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7" t="n">
        <v>247</v>
      </c>
      <c r="C7" s="27" t="n">
        <v>66</v>
      </c>
      <c r="D7" s="28" t="n">
        <v>0.2124918732311036</v>
      </c>
      <c r="E7" s="28" t="n">
        <v>0.1636</v>
      </c>
      <c r="F7" s="28" t="n">
        <v>-0.3638325865485312</v>
      </c>
    </row>
    <row r="8">
      <c r="A8" s="14" t="inlineStr">
        <is>
          <t>국내주식</t>
        </is>
      </c>
      <c r="B8" s="27" t="n">
        <v>100</v>
      </c>
      <c r="C8" s="27" t="n">
        <v>100</v>
      </c>
      <c r="D8" s="28" t="n">
        <v>0.3829843398606768</v>
      </c>
      <c r="E8" s="28" t="n">
        <v>0.5695122538369983</v>
      </c>
      <c r="F8" s="28" t="n">
        <v>-0.4675840087252487</v>
      </c>
    </row>
    <row r="9">
      <c r="A9" s="14" t="inlineStr">
        <is>
          <t>국내펀드</t>
        </is>
      </c>
      <c r="B9" s="27" t="n">
        <v>615</v>
      </c>
      <c r="C9" s="27" t="n">
        <v>606</v>
      </c>
      <c r="D9" s="28" t="n">
        <v>0.206671</v>
      </c>
      <c r="E9" s="27" t="inlineStr">
        <is>
          <t>—</t>
        </is>
      </c>
      <c r="F9" s="27" t="inlineStr">
        <is>
          <t>—</t>
        </is>
      </c>
    </row>
    <row r="10">
      <c r="A10" s="14" t="inlineStr">
        <is>
          <t>해외ETF</t>
        </is>
      </c>
      <c r="B10" s="27" t="n">
        <v>19</v>
      </c>
      <c r="C10" s="27" t="n">
        <v>19</v>
      </c>
      <c r="D10" s="28" t="n">
        <v>0.1680824723535977</v>
      </c>
      <c r="E10" s="28" t="n">
        <v>0.1542903388794394</v>
      </c>
      <c r="F10" s="28" t="n">
        <v>-0.1653518460082045</v>
      </c>
    </row>
    <row r="11">
      <c r="A11" s="14" t="inlineStr">
        <is>
          <t>해외주식</t>
        </is>
      </c>
      <c r="B11" s="27" t="n">
        <v>100</v>
      </c>
      <c r="C11" s="27" t="n">
        <v>99</v>
      </c>
      <c r="D11" s="28" t="n">
        <v>0.1051235812029279</v>
      </c>
      <c r="E11" s="28" t="n">
        <v>0.2914505456297338</v>
      </c>
      <c r="F11" s="28" t="n">
        <v>-0.3235610824922673</v>
      </c>
    </row>
    <row r="12">
      <c r="A12" s="14" t="inlineStr">
        <is>
          <t>해외펀드</t>
        </is>
      </c>
      <c r="B12" s="27" t="n">
        <v>436</v>
      </c>
      <c r="C12" s="27" t="n">
        <v>436</v>
      </c>
      <c r="D12" s="28" t="n">
        <v>0.116974</v>
      </c>
      <c r="E12" s="27" t="inlineStr">
        <is>
          <t>—</t>
        </is>
      </c>
      <c r="F12" s="27" t="inlineStr">
        <is>
          <t>—</t>
        </is>
      </c>
    </row>
    <row r="14" ht="30" customHeight="1">
      <c r="A14" s="26" t="inlineStr">
        <is>
          <t>펀드는 기준가 이력이 7 거래일뿐이라 변동성·최대낙폭을 셈하지 않고 원천의 위험등급을 씁니다.</t>
        </is>
      </c>
    </row>
  </sheetData>
  <mergeCells count="2">
    <mergeCell ref="A14:F14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4" customWidth="1" min="3" max="3"/>
    <col width="16" customWidth="1" min="4" max="4"/>
    <col width="22" customWidth="1" min="5" max="5"/>
    <col width="13" customWidth="1" min="6" max="6"/>
    <col width="11" customWidth="1" min="7" max="7"/>
    <col width="11" customWidth="1" min="8" max="8"/>
    <col width="13" customWidth="1" min="9" max="9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30" customHeight="1">
      <c r="A4" s="26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과거 1년</t>
        </is>
      </c>
      <c r="H6" s="12" t="inlineStr">
        <is>
          <t>변동성</t>
        </is>
      </c>
      <c r="I6" s="12" t="inlineStr">
        <is>
          <t>보수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삼성전자</t>
        </is>
      </c>
      <c r="D7" s="14" t="inlineStr">
        <is>
          <t>반도체</t>
        </is>
      </c>
      <c r="E7" s="14" t="inlineStr">
        <is>
          <t>—</t>
        </is>
      </c>
      <c r="F7" s="27" t="inlineStr">
        <is>
          <t>1,707조원</t>
        </is>
      </c>
      <c r="G7" s="28" t="n">
        <v>2.741007194244604</v>
      </c>
      <c r="H7" s="28" t="inlineStr">
        <is>
          <t>—</t>
        </is>
      </c>
    </row>
    <row r="8">
      <c r="A8" s="13" t="inlineStr">
        <is>
          <t>Y</t>
        </is>
      </c>
      <c r="B8" s="29" t="inlineStr">
        <is>
          <t>국내주식</t>
        </is>
      </c>
      <c r="C8" s="29" t="inlineStr">
        <is>
          <t>SK하이닉스</t>
        </is>
      </c>
      <c r="D8" s="29" t="inlineStr">
        <is>
          <t>반도체</t>
        </is>
      </c>
      <c r="E8" s="29" t="inlineStr">
        <is>
          <t>—</t>
        </is>
      </c>
      <c r="F8" s="30" t="inlineStr">
        <is>
          <t>1,313조원</t>
        </is>
      </c>
      <c r="G8" s="31" t="n">
        <v>5.760511882998171</v>
      </c>
      <c r="H8" s="31" t="inlineStr">
        <is>
          <t>—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SK스퀘어</t>
        </is>
      </c>
      <c r="D9" s="14" t="inlineStr">
        <is>
          <t>지주</t>
        </is>
      </c>
      <c r="E9" s="14" t="inlineStr">
        <is>
          <t>—</t>
        </is>
      </c>
      <c r="F9" s="27" t="inlineStr">
        <is>
          <t>141조원</t>
        </is>
      </c>
      <c r="G9" s="28" t="n">
        <v>6.015706806282721</v>
      </c>
      <c r="H9" s="28" t="inlineStr">
        <is>
          <t>—</t>
        </is>
      </c>
    </row>
    <row r="10">
      <c r="A10" s="13" t="inlineStr">
        <is>
          <t>Y</t>
        </is>
      </c>
      <c r="B10" s="29" t="inlineStr">
        <is>
          <t>국내주식</t>
        </is>
      </c>
      <c r="C10" s="29" t="inlineStr">
        <is>
          <t>삼성전기</t>
        </is>
      </c>
      <c r="D10" s="29" t="inlineStr">
        <is>
          <t>전기전자</t>
        </is>
      </c>
      <c r="E10" s="29" t="inlineStr">
        <is>
          <t>—</t>
        </is>
      </c>
      <c r="F10" s="30" t="inlineStr">
        <is>
          <t>105조원</t>
        </is>
      </c>
      <c r="G10" s="31" t="n">
        <v>6.789001122334455</v>
      </c>
      <c r="H10" s="31" t="inlineStr">
        <is>
          <t>—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현대차</t>
        </is>
      </c>
      <c r="D11" s="14" t="inlineStr">
        <is>
          <t>자동차</t>
        </is>
      </c>
      <c r="E11" s="14" t="inlineStr">
        <is>
          <t>—</t>
        </is>
      </c>
      <c r="F11" s="27" t="inlineStr">
        <is>
          <t>96조원</t>
        </is>
      </c>
      <c r="G11" s="28" t="n">
        <v>0.6659090909090909</v>
      </c>
      <c r="H11" s="28" t="inlineStr">
        <is>
          <t>—</t>
        </is>
      </c>
    </row>
    <row r="12">
      <c r="A12" s="13" t="inlineStr">
        <is>
          <t>Y</t>
        </is>
      </c>
      <c r="B12" s="29" t="inlineStr">
        <is>
          <t>국내주식</t>
        </is>
      </c>
      <c r="C12" s="29" t="inlineStr">
        <is>
          <t>LG에너지솔루션</t>
        </is>
      </c>
      <c r="D12" s="29" t="inlineStr">
        <is>
          <t>2차전지</t>
        </is>
      </c>
      <c r="E12" s="29" t="inlineStr">
        <is>
          <t>—</t>
        </is>
      </c>
      <c r="F12" s="30" t="inlineStr">
        <is>
          <t>85조원</t>
        </is>
      </c>
      <c r="G12" s="31" t="n">
        <v>0.05976676384839652</v>
      </c>
      <c r="H12" s="31" t="inlineStr">
        <is>
          <t>—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삼성바이오로직스</t>
        </is>
      </c>
      <c r="D13" s="14" t="inlineStr">
        <is>
          <t>바이오</t>
        </is>
      </c>
      <c r="E13" s="14" t="inlineStr">
        <is>
          <t>—</t>
        </is>
      </c>
      <c r="F13" s="27" t="inlineStr">
        <is>
          <t>65조원</t>
        </is>
      </c>
      <c r="G13" s="28" t="n">
        <v>-0.07711346952561393</v>
      </c>
      <c r="H13" s="28" t="inlineStr">
        <is>
          <t>—</t>
        </is>
      </c>
    </row>
    <row r="14">
      <c r="A14" s="13" t="inlineStr">
        <is>
          <t>Y</t>
        </is>
      </c>
      <c r="B14" s="29" t="inlineStr">
        <is>
          <t>국내주식</t>
        </is>
      </c>
      <c r="C14" s="29" t="inlineStr">
        <is>
          <t>KB금융</t>
        </is>
      </c>
      <c r="D14" s="29" t="inlineStr">
        <is>
          <t>금융</t>
        </is>
      </c>
      <c r="E14" s="29" t="inlineStr">
        <is>
          <t>—</t>
        </is>
      </c>
      <c r="F14" s="30" t="inlineStr">
        <is>
          <t>62조원</t>
        </is>
      </c>
      <c r="G14" s="31" t="n">
        <v>0.6178637200736647</v>
      </c>
      <c r="H14" s="31" t="inlineStr">
        <is>
          <t>—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삼성물산</t>
        </is>
      </c>
      <c r="D15" s="14" t="inlineStr">
        <is>
          <t>지주</t>
        </is>
      </c>
      <c r="E15" s="14" t="inlineStr">
        <is>
          <t>—</t>
        </is>
      </c>
      <c r="F15" s="27" t="inlineStr">
        <is>
          <t>58조원</t>
        </is>
      </c>
      <c r="G15" s="28" t="n">
        <v>1.02</v>
      </c>
      <c r="H15" s="28" t="inlineStr">
        <is>
          <t>—</t>
        </is>
      </c>
    </row>
    <row r="16">
      <c r="A16" s="13" t="inlineStr">
        <is>
          <t>Y</t>
        </is>
      </c>
      <c r="B16" s="29" t="inlineStr">
        <is>
          <t>국내주식</t>
        </is>
      </c>
      <c r="C16" s="29" t="inlineStr">
        <is>
          <t>한화에어로스페이스</t>
        </is>
      </c>
      <c r="D16" s="29" t="inlineStr">
        <is>
          <t>중공업</t>
        </is>
      </c>
      <c r="E16" s="29" t="inlineStr">
        <is>
          <t>—</t>
        </is>
      </c>
      <c r="F16" s="30" t="inlineStr">
        <is>
          <t>56조원</t>
        </is>
      </c>
      <c r="G16" s="31" t="n">
        <v>0.1869565217391305</v>
      </c>
      <c r="H16" s="31" t="inlineStr">
        <is>
          <t>—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두산에너빌리티</t>
        </is>
      </c>
      <c r="D17" s="14" t="inlineStr">
        <is>
          <t>중공업</t>
        </is>
      </c>
      <c r="E17" s="14" t="inlineStr">
        <is>
          <t>—</t>
        </is>
      </c>
      <c r="F17" s="27" t="inlineStr">
        <is>
          <t>55조원</t>
        </is>
      </c>
      <c r="G17" s="28" t="n">
        <v>0.3867313915857604</v>
      </c>
      <c r="H17" s="28" t="inlineStr">
        <is>
          <t>—</t>
        </is>
      </c>
    </row>
    <row r="18">
      <c r="A18" s="13" t="inlineStr">
        <is>
          <t>Y</t>
        </is>
      </c>
      <c r="B18" s="29" t="inlineStr">
        <is>
          <t>국내주식</t>
        </is>
      </c>
      <c r="C18" s="29" t="inlineStr">
        <is>
          <t>신한지주</t>
        </is>
      </c>
      <c r="D18" s="29" t="inlineStr">
        <is>
          <t>금융</t>
        </is>
      </c>
      <c r="E18" s="29" t="inlineStr">
        <is>
          <t>—</t>
        </is>
      </c>
      <c r="F18" s="30" t="inlineStr">
        <is>
          <t>52조원</t>
        </is>
      </c>
      <c r="G18" s="31" t="n">
        <v>0.7198142414860682</v>
      </c>
      <c r="H18" s="31" t="inlineStr">
        <is>
          <t>—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삼성생명</t>
        </is>
      </c>
      <c r="D19" s="14" t="inlineStr">
        <is>
          <t>금융</t>
        </is>
      </c>
      <c r="E19" s="14" t="inlineStr">
        <is>
          <t>—</t>
        </is>
      </c>
      <c r="F19" s="27" t="inlineStr">
        <is>
          <t>51조원</t>
        </is>
      </c>
      <c r="G19" s="28" t="n">
        <v>0.8912608405603737</v>
      </c>
      <c r="H19" s="28" t="inlineStr">
        <is>
          <t>—</t>
        </is>
      </c>
    </row>
    <row r="20">
      <c r="A20" s="13" t="inlineStr">
        <is>
          <t>Y</t>
        </is>
      </c>
      <c r="B20" s="29" t="inlineStr">
        <is>
          <t>국내주식</t>
        </is>
      </c>
      <c r="C20" s="29" t="inlineStr">
        <is>
          <t>HD현대중공업</t>
        </is>
      </c>
      <c r="D20" s="29" t="inlineStr">
        <is>
          <t>중공업</t>
        </is>
      </c>
      <c r="E20" s="29" t="inlineStr">
        <is>
          <t>—</t>
        </is>
      </c>
      <c r="F20" s="30" t="inlineStr">
        <is>
          <t>48조원</t>
        </is>
      </c>
      <c r="G20" s="31" t="n">
        <v>-0.09941520467836262</v>
      </c>
      <c r="H20" s="31" t="inlineStr">
        <is>
          <t>—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기아</t>
        </is>
      </c>
      <c r="D21" s="14" t="inlineStr">
        <is>
          <t>자동차</t>
        </is>
      </c>
      <c r="E21" s="14" t="inlineStr">
        <is>
          <t>—</t>
        </is>
      </c>
      <c r="F21" s="27" t="inlineStr">
        <is>
          <t>47조원</t>
        </is>
      </c>
      <c r="G21" s="28" t="n">
        <v>0.1407129455909943</v>
      </c>
      <c r="H21" s="28" t="inlineStr">
        <is>
          <t>—</t>
        </is>
      </c>
    </row>
    <row r="22">
      <c r="A22" s="13" t="inlineStr">
        <is>
          <t>Y</t>
        </is>
      </c>
      <c r="B22" s="29" t="inlineStr">
        <is>
          <t>국내주식</t>
        </is>
      </c>
      <c r="C22" s="29" t="inlineStr">
        <is>
          <t>삼성SDI</t>
        </is>
      </c>
      <c r="D22" s="29" t="inlineStr">
        <is>
          <t>2차전지</t>
        </is>
      </c>
      <c r="E22" s="29" t="inlineStr">
        <is>
          <t>—</t>
        </is>
      </c>
      <c r="F22" s="30" t="inlineStr">
        <is>
          <t>43조원</t>
        </is>
      </c>
      <c r="G22" s="31" t="n">
        <v>1.716791979949875</v>
      </c>
      <c r="H22" s="31" t="inlineStr">
        <is>
          <t>—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셀트리온</t>
        </is>
      </c>
      <c r="D23" s="14" t="inlineStr">
        <is>
          <t>바이오</t>
        </is>
      </c>
      <c r="E23" s="14" t="inlineStr">
        <is>
          <t>—</t>
        </is>
      </c>
      <c r="F23" s="27" t="inlineStr">
        <is>
          <t>41조원</t>
        </is>
      </c>
      <c r="G23" s="28" t="n">
        <v>0.1180432690815407</v>
      </c>
      <c r="H23" s="28" t="inlineStr">
        <is>
          <t>—</t>
        </is>
      </c>
    </row>
    <row r="24">
      <c r="A24" s="13" t="inlineStr">
        <is>
          <t>Y</t>
        </is>
      </c>
      <c r="B24" s="29" t="inlineStr">
        <is>
          <t>국내주식</t>
        </is>
      </c>
      <c r="C24" s="29" t="inlineStr">
        <is>
          <t>하나금융지주</t>
        </is>
      </c>
      <c r="D24" s="29" t="inlineStr">
        <is>
          <t>금융</t>
        </is>
      </c>
      <c r="E24" s="29" t="inlineStr">
        <is>
          <t>—</t>
        </is>
      </c>
      <c r="F24" s="30" t="inlineStr">
        <is>
          <t>36조원</t>
        </is>
      </c>
      <c r="G24" s="31" t="n">
        <v>0.646551724137931</v>
      </c>
      <c r="H24" s="31" t="inlineStr">
        <is>
          <t>—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LG전자</t>
        </is>
      </c>
      <c r="D25" s="14" t="inlineStr">
        <is>
          <t>전기전자</t>
        </is>
      </c>
      <c r="E25" s="14" t="inlineStr">
        <is>
          <t>—</t>
        </is>
      </c>
      <c r="F25" s="27" t="inlineStr">
        <is>
          <t>36조원</t>
        </is>
      </c>
      <c r="G25" s="28" t="n">
        <v>1.645805592543275</v>
      </c>
      <c r="H25" s="28" t="inlineStr">
        <is>
          <t>—</t>
        </is>
      </c>
    </row>
    <row r="26">
      <c r="A26" s="13" t="inlineStr">
        <is>
          <t>Y</t>
        </is>
      </c>
      <c r="B26" s="29" t="inlineStr">
        <is>
          <t>국내주식</t>
        </is>
      </c>
      <c r="C26" s="29" t="inlineStr">
        <is>
          <t>현대모비스</t>
        </is>
      </c>
      <c r="D26" s="29" t="inlineStr">
        <is>
          <t>자동차</t>
        </is>
      </c>
      <c r="E26" s="29" t="inlineStr">
        <is>
          <t>—</t>
        </is>
      </c>
      <c r="F26" s="30" t="inlineStr">
        <is>
          <t>34조원</t>
        </is>
      </c>
      <c r="G26" s="31" t="n">
        <v>0.1780185758513932</v>
      </c>
      <c r="H26" s="31" t="inlineStr">
        <is>
          <t>—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LS일렉트릭</t>
        </is>
      </c>
      <c r="D27" s="14" t="inlineStr">
        <is>
          <t>중공업</t>
        </is>
      </c>
      <c r="E27" s="14" t="inlineStr">
        <is>
          <t>—</t>
        </is>
      </c>
      <c r="F27" s="27" t="inlineStr">
        <is>
          <t>31조원</t>
        </is>
      </c>
      <c r="G27" s="28" t="n">
        <v>2.5580204778157</v>
      </c>
      <c r="H27" s="28" t="inlineStr">
        <is>
          <t>—</t>
        </is>
      </c>
    </row>
    <row r="28">
      <c r="A28" s="13" t="inlineStr">
        <is>
          <t>Y</t>
        </is>
      </c>
      <c r="B28" s="29" t="inlineStr">
        <is>
          <t>국내주식</t>
        </is>
      </c>
      <c r="C28" s="29" t="inlineStr">
        <is>
          <t>SK</t>
        </is>
      </c>
      <c r="D28" s="29" t="inlineStr">
        <is>
          <t>지주</t>
        </is>
      </c>
      <c r="E28" s="29" t="inlineStr">
        <is>
          <t>—</t>
        </is>
      </c>
      <c r="F28" s="30" t="inlineStr">
        <is>
          <t>30조원</t>
        </is>
      </c>
      <c r="G28" s="31" t="n">
        <v>1.663438256658595</v>
      </c>
      <c r="H28" s="31" t="inlineStr">
        <is>
          <t>—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NAVER</t>
        </is>
      </c>
      <c r="D29" s="14" t="inlineStr">
        <is>
          <t>IT</t>
        </is>
      </c>
      <c r="E29" s="14" t="inlineStr">
        <is>
          <t>—</t>
        </is>
      </c>
      <c r="F29" s="27" t="inlineStr">
        <is>
          <t>30조원</t>
        </is>
      </c>
      <c r="G29" s="28" t="n">
        <v>-0.1375545851528385</v>
      </c>
      <c r="H29" s="28" t="inlineStr">
        <is>
          <t>—</t>
        </is>
      </c>
    </row>
    <row r="30">
      <c r="A30" s="13" t="inlineStr">
        <is>
          <t>Y</t>
        </is>
      </c>
      <c r="B30" s="29" t="inlineStr">
        <is>
          <t>국내주식</t>
        </is>
      </c>
      <c r="C30" s="29" t="inlineStr">
        <is>
          <t>삼성화재</t>
        </is>
      </c>
      <c r="D30" s="29" t="inlineStr">
        <is>
          <t>금융</t>
        </is>
      </c>
      <c r="E30" s="29" t="inlineStr">
        <is>
          <t>—</t>
        </is>
      </c>
      <c r="F30" s="30" t="inlineStr">
        <is>
          <t>29조원</t>
        </is>
      </c>
      <c r="G30" s="31" t="n">
        <v>0.4316939890710383</v>
      </c>
      <c r="H30" s="31" t="inlineStr">
        <is>
          <t>—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효성중공업</t>
        </is>
      </c>
      <c r="D31" s="14" t="inlineStr">
        <is>
          <t>중공업</t>
        </is>
      </c>
      <c r="E31" s="14" t="inlineStr">
        <is>
          <t>—</t>
        </is>
      </c>
      <c r="F31" s="27" t="inlineStr">
        <is>
          <t>27조원</t>
        </is>
      </c>
      <c r="G31" s="28" t="n">
        <v>1.344155844155844</v>
      </c>
      <c r="H31" s="28" t="inlineStr">
        <is>
          <t>—</t>
        </is>
      </c>
    </row>
    <row r="32">
      <c r="A32" s="13" t="inlineStr">
        <is>
          <t>Y</t>
        </is>
      </c>
      <c r="B32" s="29" t="inlineStr">
        <is>
          <t>해외주식</t>
        </is>
      </c>
      <c r="C32" s="29" t="inlineStr">
        <is>
          <t>엔비디아</t>
        </is>
      </c>
      <c r="D32" s="29" t="inlineStr">
        <is>
          <t>IT</t>
        </is>
      </c>
      <c r="E32" s="29" t="inlineStr">
        <is>
          <t>—</t>
        </is>
      </c>
      <c r="F32" s="30" t="inlineStr">
        <is>
          <t>7,326조원</t>
        </is>
      </c>
      <c r="G32" s="31" t="n">
        <v>0.2033755274261604</v>
      </c>
      <c r="H32" s="31" t="inlineStr">
        <is>
          <t>—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애플</t>
        </is>
      </c>
      <c r="D33" s="14" t="inlineStr">
        <is>
          <t>IT</t>
        </is>
      </c>
      <c r="E33" s="14" t="inlineStr">
        <is>
          <t>—</t>
        </is>
      </c>
      <c r="F33" s="27" t="inlineStr">
        <is>
          <t>6,803조원</t>
        </is>
      </c>
      <c r="G33" s="28" t="n">
        <v>0.4043514997887623</v>
      </c>
      <c r="H33" s="28" t="inlineStr">
        <is>
          <t>—</t>
        </is>
      </c>
    </row>
    <row r="34">
      <c r="A34" s="13" t="inlineStr">
        <is>
          <t>Y</t>
        </is>
      </c>
      <c r="B34" s="29" t="inlineStr">
        <is>
          <t>해외주식</t>
        </is>
      </c>
      <c r="C34" s="29" t="inlineStr">
        <is>
          <t>알파벳(구글)</t>
        </is>
      </c>
      <c r="D34" s="29" t="inlineStr">
        <is>
          <t>커뮤니케이션</t>
        </is>
      </c>
      <c r="E34" s="29" t="inlineStr">
        <is>
          <t>—</t>
        </is>
      </c>
      <c r="F34" s="30" t="inlineStr">
        <is>
          <t>5,875조원</t>
        </is>
      </c>
      <c r="G34" s="31" t="n">
        <v>0.3627041850482891</v>
      </c>
      <c r="H34" s="31" t="inlineStr">
        <is>
          <t>—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마이크로소프트</t>
        </is>
      </c>
      <c r="D35" s="14" t="inlineStr">
        <is>
          <t>IT</t>
        </is>
      </c>
      <c r="E35" s="14" t="inlineStr">
        <is>
          <t>—</t>
        </is>
      </c>
      <c r="F35" s="27" t="inlineStr">
        <is>
          <t>5,112조원</t>
        </is>
      </c>
      <c r="G35" s="28" t="n">
        <v>-0.04862620304253341</v>
      </c>
      <c r="H35" s="28" t="inlineStr">
        <is>
          <t>—</t>
        </is>
      </c>
    </row>
    <row r="36">
      <c r="A36" s="13" t="inlineStr">
        <is>
          <t>Y</t>
        </is>
      </c>
      <c r="B36" s="29" t="inlineStr">
        <is>
          <t>해외주식</t>
        </is>
      </c>
      <c r="C36" s="29" t="inlineStr">
        <is>
          <t>아마존</t>
        </is>
      </c>
      <c r="D36" s="29" t="inlineStr">
        <is>
          <t>경기소비재</t>
        </is>
      </c>
      <c r="E36" s="29" t="inlineStr">
        <is>
          <t>—</t>
        </is>
      </c>
      <c r="F36" s="30" t="inlineStr">
        <is>
          <t>3,748조원</t>
        </is>
      </c>
      <c r="G36" s="31" t="n">
        <v>0.06278356306442556</v>
      </c>
      <c r="H36" s="31" t="inlineStr">
        <is>
          <t>—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TSMC</t>
        </is>
      </c>
      <c r="D37" s="14" t="inlineStr">
        <is>
          <t>IT</t>
        </is>
      </c>
      <c r="E37" s="14" t="inlineStr">
        <is>
          <t>—</t>
        </is>
      </c>
      <c r="F37" s="27" t="inlineStr">
        <is>
          <t>3,087조원</t>
        </is>
      </c>
      <c r="G37" s="28" t="n">
        <v>0.5981329864565001</v>
      </c>
      <c r="H37" s="28" t="inlineStr">
        <is>
          <t>—</t>
        </is>
      </c>
    </row>
    <row r="38">
      <c r="A38" s="13" t="inlineStr">
        <is>
          <t>Y</t>
        </is>
      </c>
      <c r="B38" s="29" t="inlineStr">
        <is>
          <t>해외주식</t>
        </is>
      </c>
      <c r="C38" s="29" t="inlineStr">
        <is>
          <t>스페이스X</t>
        </is>
      </c>
      <c r="D38" s="29" t="inlineStr">
        <is>
          <t>산업재</t>
        </is>
      </c>
      <c r="E38" s="29" t="inlineStr">
        <is>
          <t>—</t>
        </is>
      </c>
      <c r="F38" s="30" t="inlineStr">
        <is>
          <t>2,823조원</t>
        </is>
      </c>
      <c r="G38" s="30" t="inlineStr">
        <is>
          <t>—</t>
        </is>
      </c>
      <c r="H38" s="31" t="inlineStr">
        <is>
          <t>—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메타 플랫폼스</t>
        </is>
      </c>
      <c r="D39" s="14" t="inlineStr">
        <is>
          <t>커뮤니케이션</t>
        </is>
      </c>
      <c r="E39" s="14" t="inlineStr">
        <is>
          <t>—</t>
        </is>
      </c>
      <c r="F39" s="27" t="inlineStr">
        <is>
          <t>2,404조원</t>
        </is>
      </c>
      <c r="G39" s="28" t="n">
        <v>-0.1195109193147641</v>
      </c>
      <c r="H39" s="28" t="inlineStr">
        <is>
          <t>—</t>
        </is>
      </c>
    </row>
    <row r="40">
      <c r="A40" s="13" t="inlineStr">
        <is>
          <t>Y</t>
        </is>
      </c>
      <c r="B40" s="29" t="inlineStr">
        <is>
          <t>해외주식</t>
        </is>
      </c>
      <c r="C40" s="29" t="inlineStr">
        <is>
          <t>브로드컴</t>
        </is>
      </c>
      <c r="D40" s="29" t="inlineStr">
        <is>
          <t>IT</t>
        </is>
      </c>
      <c r="E40" s="29" t="inlineStr">
        <is>
          <t>—</t>
        </is>
      </c>
      <c r="F40" s="30" t="inlineStr">
        <is>
          <t>2,293조원</t>
        </is>
      </c>
      <c r="G40" s="31" t="n">
        <v>-0.06751078030157376</v>
      </c>
      <c r="H40" s="31" t="inlineStr">
        <is>
          <t>—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테슬라</t>
        </is>
      </c>
      <c r="D41" s="14" t="inlineStr">
        <is>
          <t>경기소비재</t>
        </is>
      </c>
      <c r="E41" s="14" t="inlineStr">
        <is>
          <t>—</t>
        </is>
      </c>
      <c r="F41" s="27" t="inlineStr">
        <is>
          <t>2,001조원</t>
        </is>
      </c>
      <c r="G41" s="28" t="n">
        <v>-0.1267193444541996</v>
      </c>
      <c r="H41" s="28" t="inlineStr">
        <is>
          <t>—</t>
        </is>
      </c>
    </row>
    <row r="42">
      <c r="A42" s="13" t="inlineStr">
        <is>
          <t>Y</t>
        </is>
      </c>
      <c r="B42" s="29" t="inlineStr">
        <is>
          <t>해외주식</t>
        </is>
      </c>
      <c r="C42" s="29" t="inlineStr">
        <is>
          <t>마이크론</t>
        </is>
      </c>
      <c r="D42" s="29" t="inlineStr">
        <is>
          <t>IT</t>
        </is>
      </c>
      <c r="E42" s="29" t="inlineStr">
        <is>
          <t>—</t>
        </is>
      </c>
      <c r="F42" s="30" t="inlineStr">
        <is>
          <t>1,527조원</t>
        </is>
      </c>
      <c r="G42" s="31" t="n">
        <v>4.872789503707929</v>
      </c>
      <c r="H42" s="31" t="inlineStr">
        <is>
          <t>—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7" t="inlineStr">
        <is>
          <t>1,508조원</t>
        </is>
      </c>
      <c r="G43" s="28" t="n">
        <v>0.05749277780038242</v>
      </c>
      <c r="H43" s="28" t="inlineStr">
        <is>
          <t>—</t>
        </is>
      </c>
    </row>
    <row r="44">
      <c r="A44" s="13" t="inlineStr">
        <is>
          <t>Y</t>
        </is>
      </c>
      <c r="B44" s="29" t="inlineStr">
        <is>
          <t>해외주식</t>
        </is>
      </c>
      <c r="C44" s="29" t="inlineStr">
        <is>
          <t>일라이 릴리</t>
        </is>
      </c>
      <c r="D44" s="29" t="inlineStr">
        <is>
          <t>헬스케어</t>
        </is>
      </c>
      <c r="E44" s="29" t="inlineStr">
        <is>
          <t>—</t>
        </is>
      </c>
      <c r="F44" s="30" t="inlineStr">
        <is>
          <t>1,421조원</t>
        </is>
      </c>
      <c r="G44" s="31" t="n">
        <v>0.5207633087852015</v>
      </c>
      <c r="H44" s="31" t="inlineStr">
        <is>
          <t>—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JP모간체이스</t>
        </is>
      </c>
      <c r="D45" s="14" t="inlineStr">
        <is>
          <t>금융</t>
        </is>
      </c>
      <c r="E45" s="14" t="inlineStr">
        <is>
          <t>—</t>
        </is>
      </c>
      <c r="F45" s="27" t="inlineStr">
        <is>
          <t>1,284조원</t>
        </is>
      </c>
      <c r="G45" s="28" t="n">
        <v>0.1295564907737132</v>
      </c>
      <c r="H45" s="28" t="inlineStr">
        <is>
          <t>—</t>
        </is>
      </c>
    </row>
    <row r="46">
      <c r="A46" s="13" t="inlineStr">
        <is>
          <t>Y</t>
        </is>
      </c>
      <c r="B46" s="29" t="inlineStr">
        <is>
          <t>해외주식</t>
        </is>
      </c>
      <c r="C46" s="29" t="inlineStr">
        <is>
          <t>AMD</t>
        </is>
      </c>
      <c r="D46" s="29" t="inlineStr">
        <is>
          <t>IT</t>
        </is>
      </c>
      <c r="E46" s="29" t="inlineStr">
        <is>
          <t>—</t>
        </is>
      </c>
      <c r="F46" s="30" t="inlineStr">
        <is>
          <t>1,231조원</t>
        </is>
      </c>
      <c r="G46" s="31" t="n">
        <v>2.180069496152892</v>
      </c>
      <c r="H46" s="31" t="inlineStr">
        <is>
          <t>—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월마트</t>
        </is>
      </c>
      <c r="D47" s="14" t="inlineStr">
        <is>
          <t>필수소비재</t>
        </is>
      </c>
      <c r="E47" s="14" t="inlineStr">
        <is>
          <t>—</t>
        </is>
      </c>
      <c r="F47" s="27" t="inlineStr">
        <is>
          <t>1,175조원</t>
        </is>
      </c>
      <c r="G47" s="28" t="n">
        <v>0.03674414119008595</v>
      </c>
      <c r="H47" s="28" t="inlineStr">
        <is>
          <t>—</t>
        </is>
      </c>
    </row>
    <row r="48">
      <c r="A48" s="13" t="inlineStr">
        <is>
          <t>Y</t>
        </is>
      </c>
      <c r="B48" s="29" t="inlineStr">
        <is>
          <t>해외주식</t>
        </is>
      </c>
      <c r="C48" s="29" t="inlineStr">
        <is>
          <t>비자</t>
        </is>
      </c>
      <c r="D48" s="29" t="inlineStr">
        <is>
          <t>금융</t>
        </is>
      </c>
      <c r="E48" s="29" t="inlineStr">
        <is>
          <t>—</t>
        </is>
      </c>
      <c r="F48" s="30" t="inlineStr">
        <is>
          <t>955조원</t>
        </is>
      </c>
      <c r="G48" s="31" t="n">
        <v>0.09402742958265729</v>
      </c>
      <c r="H48" s="31" t="inlineStr">
        <is>
          <t>—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엑슨모빌</t>
        </is>
      </c>
      <c r="D49" s="14" t="inlineStr">
        <is>
          <t>에너지</t>
        </is>
      </c>
      <c r="E49" s="14" t="inlineStr">
        <is>
          <t>—</t>
        </is>
      </c>
      <c r="F49" s="27" t="inlineStr">
        <is>
          <t>929조원</t>
        </is>
      </c>
      <c r="G49" s="28" t="n">
        <v>0.4536715620827771</v>
      </c>
      <c r="H49" s="28" t="inlineStr">
        <is>
          <t>—</t>
        </is>
      </c>
    </row>
    <row r="50">
      <c r="A50" s="13" t="inlineStr">
        <is>
          <t>Y</t>
        </is>
      </c>
      <c r="B50" s="29" t="inlineStr">
        <is>
          <t>해외주식</t>
        </is>
      </c>
      <c r="C50" s="29" t="inlineStr">
        <is>
          <t>존슨앤드존슨</t>
        </is>
      </c>
      <c r="D50" s="29" t="inlineStr">
        <is>
          <t>헬스케어</t>
        </is>
      </c>
      <c r="E50" s="29" t="inlineStr">
        <is>
          <t>—</t>
        </is>
      </c>
      <c r="F50" s="30" t="inlineStr">
        <is>
          <t>901조원</t>
        </is>
      </c>
      <c r="G50" s="31" t="n">
        <v>0.5066516347237879</v>
      </c>
      <c r="H50" s="31" t="inlineStr">
        <is>
          <t>—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ASML</t>
        </is>
      </c>
      <c r="D51" s="14" t="inlineStr">
        <is>
          <t>IT</t>
        </is>
      </c>
      <c r="E51" s="14" t="inlineStr">
        <is>
          <t>—</t>
        </is>
      </c>
      <c r="F51" s="27" t="inlineStr">
        <is>
          <t>866조원</t>
        </is>
      </c>
      <c r="G51" s="28" t="n">
        <v>0.8473653868326995</v>
      </c>
      <c r="H51" s="28" t="inlineStr">
        <is>
          <t>—</t>
        </is>
      </c>
    </row>
    <row r="52">
      <c r="A52" s="13" t="inlineStr">
        <is>
          <t>Y</t>
        </is>
      </c>
      <c r="B52" s="29" t="inlineStr">
        <is>
          <t>해외주식</t>
        </is>
      </c>
      <c r="C52" s="29" t="inlineStr">
        <is>
          <t>인텔</t>
        </is>
      </c>
      <c r="D52" s="29" t="inlineStr">
        <is>
          <t>IT</t>
        </is>
      </c>
      <c r="E52" s="29" t="inlineStr">
        <is>
          <t>—</t>
        </is>
      </c>
      <c r="F52" s="30" t="inlineStr">
        <is>
          <t>796조원</t>
        </is>
      </c>
      <c r="G52" s="31" t="n">
        <v>3.079531691562374</v>
      </c>
      <c r="H52" s="31" t="inlineStr">
        <is>
          <t>—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마스터카드</t>
        </is>
      </c>
      <c r="D53" s="14" t="inlineStr">
        <is>
          <t>금융</t>
        </is>
      </c>
      <c r="E53" s="14" t="inlineStr">
        <is>
          <t>—</t>
        </is>
      </c>
      <c r="F53" s="27" t="inlineStr">
        <is>
          <t>685조원</t>
        </is>
      </c>
      <c r="G53" s="28" t="n">
        <v>-0.02609098394400999</v>
      </c>
      <c r="H53" s="28" t="inlineStr">
        <is>
          <t>—</t>
        </is>
      </c>
    </row>
    <row r="54">
      <c r="A54" s="13" t="inlineStr">
        <is>
          <t>Y</t>
        </is>
      </c>
      <c r="B54" s="29" t="inlineStr">
        <is>
          <t>해외주식</t>
        </is>
      </c>
      <c r="C54" s="29" t="inlineStr">
        <is>
          <t>애브비</t>
        </is>
      </c>
      <c r="D54" s="29" t="inlineStr">
        <is>
          <t>헬스케어</t>
        </is>
      </c>
      <c r="E54" s="29" t="inlineStr">
        <is>
          <t>—</t>
        </is>
      </c>
      <c r="F54" s="30" t="inlineStr">
        <is>
          <t>645조원</t>
        </is>
      </c>
      <c r="G54" s="31" t="n">
        <v>0.2063324295758466</v>
      </c>
      <c r="H54" s="31" t="inlineStr">
        <is>
          <t>—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오라클</t>
        </is>
      </c>
      <c r="D55" s="14" t="inlineStr">
        <is>
          <t>IT</t>
        </is>
      </c>
      <c r="E55" s="14" t="inlineStr">
        <is>
          <t>—</t>
        </is>
      </c>
      <c r="F55" s="27" t="inlineStr">
        <is>
          <t>630조원</t>
        </is>
      </c>
      <c r="G55" s="28" t="n">
        <v>-0.5261799165949559</v>
      </c>
      <c r="H55" s="28" t="inlineStr">
        <is>
          <t>—</t>
        </is>
      </c>
    </row>
    <row r="56">
      <c r="A56" s="13" t="inlineStr">
        <is>
          <t>Y</t>
        </is>
      </c>
      <c r="B56" s="29" t="inlineStr">
        <is>
          <t>해외주식</t>
        </is>
      </c>
      <c r="C56" s="29" t="inlineStr">
        <is>
          <t>시스코</t>
        </is>
      </c>
      <c r="D56" s="29" t="inlineStr">
        <is>
          <t>IT</t>
        </is>
      </c>
      <c r="E56" s="29" t="inlineStr">
        <is>
          <t>—</t>
        </is>
      </c>
      <c r="F56" s="30" t="inlineStr">
        <is>
          <t>601조원</t>
        </is>
      </c>
      <c r="G56" s="31" t="n">
        <v>0.607579826917338</v>
      </c>
      <c r="H56" s="31" t="inlineStr">
        <is>
          <t>—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TIGER 미국S&amp;P500</t>
        </is>
      </c>
      <c r="D57" s="14" t="inlineStr">
        <is>
          <t>일반</t>
        </is>
      </c>
      <c r="E57" s="14" t="inlineStr">
        <is>
          <t>미래에셋자산운용</t>
        </is>
      </c>
      <c r="F57" s="27" t="inlineStr">
        <is>
          <t>21조원</t>
        </is>
      </c>
      <c r="G57" s="28" t="n">
        <v>0.1782639885222381</v>
      </c>
      <c r="H57" s="32" t="n">
        <v>6.8e-05</v>
      </c>
    </row>
    <row r="58">
      <c r="A58" s="13" t="inlineStr">
        <is>
          <t>Y</t>
        </is>
      </c>
      <c r="B58" s="29" t="inlineStr">
        <is>
          <t>국내ETF</t>
        </is>
      </c>
      <c r="C58" s="29" t="inlineStr">
        <is>
          <t>TIGER 미국나스닥100</t>
        </is>
      </c>
      <c r="D58" s="29" t="inlineStr">
        <is>
          <t>일반</t>
        </is>
      </c>
      <c r="E58" s="29" t="inlineStr">
        <is>
          <t>미래에셋자산운용</t>
        </is>
      </c>
      <c r="F58" s="30" t="inlineStr">
        <is>
          <t>12조원</t>
        </is>
      </c>
      <c r="G58" s="31" t="n">
        <v>0.2434730103402611</v>
      </c>
      <c r="H58" s="33" t="n">
        <v>6.8e-05</v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KODEX 미국S&amp;P500</t>
        </is>
      </c>
      <c r="D59" s="14" t="inlineStr">
        <is>
          <t>일반</t>
        </is>
      </c>
      <c r="E59" s="14" t="inlineStr">
        <is>
          <t>삼성자산운용(ETF)</t>
        </is>
      </c>
      <c r="F59" s="27" t="inlineStr">
        <is>
          <t>10조원</t>
        </is>
      </c>
      <c r="G59" s="27" t="inlineStr">
        <is>
          <t>—</t>
        </is>
      </c>
      <c r="H59" s="32" t="n">
        <v>6.2e-05</v>
      </c>
    </row>
    <row r="60">
      <c r="A60" s="13" t="inlineStr">
        <is>
          <t>Y</t>
        </is>
      </c>
      <c r="B60" s="29" t="inlineStr">
        <is>
          <t>국내ETF</t>
        </is>
      </c>
      <c r="C60" s="29" t="inlineStr">
        <is>
          <t>KODEX 미국나스닥100</t>
        </is>
      </c>
      <c r="D60" s="29" t="inlineStr">
        <is>
          <t>일반</t>
        </is>
      </c>
      <c r="E60" s="29" t="inlineStr">
        <is>
          <t>삼성자산운용(ETF)</t>
        </is>
      </c>
      <c r="F60" s="30" t="inlineStr">
        <is>
          <t>9조원</t>
        </is>
      </c>
      <c r="G60" s="30" t="inlineStr">
        <is>
          <t>—</t>
        </is>
      </c>
      <c r="H60" s="33" t="n">
        <v>6.2e-05</v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KODEX 머니마켓액티브</t>
        </is>
      </c>
      <c r="D61" s="14" t="inlineStr">
        <is>
          <t>일반</t>
        </is>
      </c>
      <c r="E61" s="14" t="inlineStr">
        <is>
          <t>삼성자산운용(ETF)</t>
        </is>
      </c>
      <c r="F61" s="27" t="inlineStr">
        <is>
          <t>9조원</t>
        </is>
      </c>
      <c r="G61" s="27" t="inlineStr">
        <is>
          <t>—</t>
        </is>
      </c>
      <c r="H61" s="32" t="n">
        <v>0.0005</v>
      </c>
    </row>
    <row r="62">
      <c r="A62" s="13" t="inlineStr">
        <is>
          <t>Y</t>
        </is>
      </c>
      <c r="B62" s="29" t="inlineStr">
        <is>
          <t>국내ETF</t>
        </is>
      </c>
      <c r="C62" s="29" t="inlineStr">
        <is>
          <t>KODEX CD금리액티브(합성)</t>
        </is>
      </c>
      <c r="D62" s="29" t="inlineStr">
        <is>
          <t>일반</t>
        </is>
      </c>
      <c r="E62" s="29" t="inlineStr">
        <is>
          <t>삼성자산운용(ETF)</t>
        </is>
      </c>
      <c r="F62" s="30" t="inlineStr">
        <is>
          <t>7조원</t>
        </is>
      </c>
      <c r="G62" s="30" t="inlineStr">
        <is>
          <t>—</t>
        </is>
      </c>
      <c r="H62" s="33" t="n">
        <v>0.0002</v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TIGER 미국배당다우존스</t>
        </is>
      </c>
      <c r="D63" s="14" t="inlineStr">
        <is>
          <t>일반</t>
        </is>
      </c>
      <c r="E63" s="14" t="inlineStr">
        <is>
          <t>미래에셋자산운용</t>
        </is>
      </c>
      <c r="F63" s="27" t="inlineStr">
        <is>
          <t>4조원</t>
        </is>
      </c>
      <c r="G63" s="28" t="n">
        <v>0.2478942048517521</v>
      </c>
      <c r="H63" s="32" t="n">
        <v>0.0001</v>
      </c>
    </row>
    <row r="64">
      <c r="A64" s="13" t="inlineStr">
        <is>
          <t>Y</t>
        </is>
      </c>
      <c r="B64" s="29" t="inlineStr">
        <is>
          <t>국내ETF</t>
        </is>
      </c>
      <c r="C64" s="29" t="inlineStr">
        <is>
          <t>ACE KRX금현물</t>
        </is>
      </c>
      <c r="D64" s="29" t="inlineStr">
        <is>
          <t>일반</t>
        </is>
      </c>
      <c r="E64" s="29" t="inlineStr">
        <is>
          <t>한국투자신탁운용</t>
        </is>
      </c>
      <c r="F64" s="30" t="inlineStr">
        <is>
          <t>4조원</t>
        </is>
      </c>
      <c r="G64" s="30" t="inlineStr">
        <is>
          <t>—</t>
        </is>
      </c>
      <c r="H64" s="33" t="n">
        <v>0.0019</v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ACE 미국S&amp;P500</t>
        </is>
      </c>
      <c r="D65" s="14" t="inlineStr">
        <is>
          <t>일반</t>
        </is>
      </c>
      <c r="E65" s="14" t="inlineStr">
        <is>
          <t>한국투신운용(ETF)</t>
        </is>
      </c>
      <c r="F65" s="27" t="inlineStr">
        <is>
          <t>4조원</t>
        </is>
      </c>
      <c r="G65" s="27" t="inlineStr">
        <is>
          <t>—</t>
        </is>
      </c>
      <c r="H65" s="32" t="n">
        <v>4.7e-05</v>
      </c>
    </row>
    <row r="66">
      <c r="A66" s="13" t="inlineStr">
        <is>
          <t>Y</t>
        </is>
      </c>
      <c r="B66" s="29" t="inlineStr">
        <is>
          <t>국내ETF</t>
        </is>
      </c>
      <c r="C66" s="29" t="inlineStr">
        <is>
          <t>TIGER 미국테크TOP10 INDXX</t>
        </is>
      </c>
      <c r="D66" s="29" t="inlineStr">
        <is>
          <t>일반</t>
        </is>
      </c>
      <c r="E66" s="29" t="inlineStr">
        <is>
          <t>미래에셋자산운용</t>
        </is>
      </c>
      <c r="F66" s="30" t="inlineStr">
        <is>
          <t>4조원</t>
        </is>
      </c>
      <c r="G66" s="31" t="n">
        <v>0.1565284066014312</v>
      </c>
      <c r="H66" s="33" t="n">
        <v>0.0049</v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KODEX KOFR금리액티브(합성)</t>
        </is>
      </c>
      <c r="D67" s="14" t="inlineStr">
        <is>
          <t>일반</t>
        </is>
      </c>
      <c r="E67" s="14" t="inlineStr">
        <is>
          <t>삼성자산운용(ETF)</t>
        </is>
      </c>
      <c r="F67" s="27" t="inlineStr">
        <is>
          <t>4조원</t>
        </is>
      </c>
      <c r="G67" s="27" t="inlineStr">
        <is>
          <t>—</t>
        </is>
      </c>
      <c r="H67" s="32" t="n">
        <v>0.0005</v>
      </c>
    </row>
    <row r="68">
      <c r="A68" s="13" t="inlineStr">
        <is>
          <t>Y</t>
        </is>
      </c>
      <c r="B68" s="29" t="inlineStr">
        <is>
          <t>국내ETF</t>
        </is>
      </c>
      <c r="C68" s="29" t="inlineStr">
        <is>
          <t>ACE 미국나스닥100</t>
        </is>
      </c>
      <c r="D68" s="29" t="inlineStr">
        <is>
          <t>일반</t>
        </is>
      </c>
      <c r="E68" s="29" t="inlineStr">
        <is>
          <t>한국투신운용(ETF)</t>
        </is>
      </c>
      <c r="F68" s="30" t="inlineStr">
        <is>
          <t>4조원</t>
        </is>
      </c>
      <c r="G68" s="30" t="inlineStr">
        <is>
          <t>—</t>
        </is>
      </c>
      <c r="H68" s="33" t="n">
        <v>6.2e-05</v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KODEX 종합채권(AA-이상)액티브</t>
        </is>
      </c>
      <c r="D69" s="14" t="inlineStr">
        <is>
          <t>일반</t>
        </is>
      </c>
      <c r="E69" s="14" t="inlineStr">
        <is>
          <t>삼성자산운용(ETF)</t>
        </is>
      </c>
      <c r="F69" s="27" t="inlineStr">
        <is>
          <t>4조원</t>
        </is>
      </c>
      <c r="G69" s="27" t="inlineStr">
        <is>
          <t>—</t>
        </is>
      </c>
      <c r="H69" s="32" t="n">
        <v>0.00045</v>
      </c>
    </row>
    <row r="70">
      <c r="A70" s="13" t="inlineStr">
        <is>
          <t>Y</t>
        </is>
      </c>
      <c r="B70" s="29" t="inlineStr">
        <is>
          <t>국내ETF</t>
        </is>
      </c>
      <c r="C70" s="29" t="inlineStr">
        <is>
          <t>TIGER CD금리투자KIS(합성)</t>
        </is>
      </c>
      <c r="D70" s="29" t="inlineStr">
        <is>
          <t>일반</t>
        </is>
      </c>
      <c r="E70" s="29" t="inlineStr">
        <is>
          <t>미래에셋자산운용</t>
        </is>
      </c>
      <c r="F70" s="30" t="inlineStr">
        <is>
          <t>3조원</t>
        </is>
      </c>
      <c r="G70" s="30" t="inlineStr">
        <is>
          <t>—</t>
        </is>
      </c>
      <c r="H70" s="33" t="n">
        <v>0.0003</v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RISE 머니마켓액티브</t>
        </is>
      </c>
      <c r="D71" s="14" t="inlineStr">
        <is>
          <t>일반</t>
        </is>
      </c>
      <c r="E71" s="14" t="inlineStr">
        <is>
          <t>KB자산운용</t>
        </is>
      </c>
      <c r="F71" s="27" t="inlineStr">
        <is>
          <t>3조원</t>
        </is>
      </c>
      <c r="G71" s="27" t="inlineStr">
        <is>
          <t>—</t>
        </is>
      </c>
      <c r="H71" s="32" t="n">
        <v>0.0005</v>
      </c>
    </row>
    <row r="72">
      <c r="A72" s="13" t="inlineStr">
        <is>
          <t>Y</t>
        </is>
      </c>
      <c r="B72" s="29" t="inlineStr">
        <is>
          <t>국내ETF</t>
        </is>
      </c>
      <c r="C72" s="29" t="inlineStr">
        <is>
          <t>TIGER 머니마켓액티브</t>
        </is>
      </c>
      <c r="D72" s="29" t="inlineStr">
        <is>
          <t>일반</t>
        </is>
      </c>
      <c r="E72" s="29" t="inlineStr">
        <is>
          <t>미래에셋자산운용</t>
        </is>
      </c>
      <c r="F72" s="30" t="inlineStr">
        <is>
          <t>3조원</t>
        </is>
      </c>
      <c r="G72" s="30" t="inlineStr">
        <is>
          <t>—</t>
        </is>
      </c>
      <c r="H72" s="33" t="n">
        <v>0.0004</v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KODEX CD1년금리플러스액티브(합성)</t>
        </is>
      </c>
      <c r="D73" s="14" t="inlineStr">
        <is>
          <t>일반</t>
        </is>
      </c>
      <c r="E73" s="14" t="inlineStr">
        <is>
          <t>삼성자산운용(ETF)</t>
        </is>
      </c>
      <c r="F73" s="27" t="inlineStr">
        <is>
          <t>3조원</t>
        </is>
      </c>
      <c r="G73" s="27" t="inlineStr">
        <is>
          <t>—</t>
        </is>
      </c>
      <c r="H73" s="32" t="n">
        <v>0.0005</v>
      </c>
    </row>
    <row r="74">
      <c r="A74" s="13" t="inlineStr">
        <is>
          <t>Y</t>
        </is>
      </c>
      <c r="B74" s="29" t="inlineStr">
        <is>
          <t>국내ETF</t>
        </is>
      </c>
      <c r="C74" s="29" t="inlineStr">
        <is>
          <t>TIGER 미국나스닥100타겟데일리커버드콜</t>
        </is>
      </c>
      <c r="D74" s="29" t="inlineStr">
        <is>
          <t>커버드콜</t>
        </is>
      </c>
      <c r="E74" s="29" t="inlineStr">
        <is>
          <t>미래에셋자산운용</t>
        </is>
      </c>
      <c r="F74" s="30" t="inlineStr">
        <is>
          <t>3조원</t>
        </is>
      </c>
      <c r="G74" s="30" t="inlineStr">
        <is>
          <t>—</t>
        </is>
      </c>
      <c r="H74" s="33" t="n">
        <v>0.0025</v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PLUS 고배당주</t>
        </is>
      </c>
      <c r="D75" s="14" t="inlineStr">
        <is>
          <t>일반</t>
        </is>
      </c>
      <c r="E75" s="14" t="inlineStr">
        <is>
          <t>한화자산운용</t>
        </is>
      </c>
      <c r="F75" s="27" t="inlineStr">
        <is>
          <t>2조원</t>
        </is>
      </c>
      <c r="G75" s="27" t="inlineStr">
        <is>
          <t>—</t>
        </is>
      </c>
      <c r="H75" s="32" t="n">
        <v>0.0023</v>
      </c>
    </row>
    <row r="76">
      <c r="A76" s="13" t="inlineStr">
        <is>
          <t>Y</t>
        </is>
      </c>
      <c r="B76" s="29" t="inlineStr">
        <is>
          <t>국내ETF</t>
        </is>
      </c>
      <c r="C76" s="29" t="inlineStr">
        <is>
          <t>TIGER KOFR금리액티브(합성)</t>
        </is>
      </c>
      <c r="D76" s="29" t="inlineStr">
        <is>
          <t>일반</t>
        </is>
      </c>
      <c r="E76" s="29" t="inlineStr">
        <is>
          <t>미래에셋자산운용</t>
        </is>
      </c>
      <c r="F76" s="30" t="inlineStr">
        <is>
          <t>2조원</t>
        </is>
      </c>
      <c r="G76" s="30" t="inlineStr">
        <is>
          <t>—</t>
        </is>
      </c>
      <c r="H76" s="33" t="n">
        <v>0.0003</v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KODEX 200미국채혼합50</t>
        </is>
      </c>
      <c r="D77" s="14" t="inlineStr">
        <is>
          <t>일반</t>
        </is>
      </c>
      <c r="E77" s="14" t="inlineStr">
        <is>
          <t>삼성자산운용(ETF)</t>
        </is>
      </c>
      <c r="F77" s="27" t="inlineStr">
        <is>
          <t>2조원</t>
        </is>
      </c>
      <c r="G77" s="27" t="inlineStr">
        <is>
          <t>—</t>
        </is>
      </c>
      <c r="H77" s="32" t="n">
        <v>0.0035</v>
      </c>
    </row>
    <row r="78">
      <c r="A78" s="13" t="inlineStr">
        <is>
          <t>Y</t>
        </is>
      </c>
      <c r="B78" s="29" t="inlineStr">
        <is>
          <t>국내ETF</t>
        </is>
      </c>
      <c r="C78" s="29" t="inlineStr">
        <is>
          <t>KODEX 단기채권PLUS</t>
        </is>
      </c>
      <c r="D78" s="29" t="inlineStr">
        <is>
          <t>일반</t>
        </is>
      </c>
      <c r="E78" s="29" t="inlineStr">
        <is>
          <t>삼성자산운용(ETF)</t>
        </is>
      </c>
      <c r="F78" s="30" t="inlineStr">
        <is>
          <t>2조원</t>
        </is>
      </c>
      <c r="G78" s="30" t="inlineStr">
        <is>
          <t>—</t>
        </is>
      </c>
      <c r="H78" s="33" t="n">
        <v>0.0015</v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KODEX 미국배당커버드콜액티브</t>
        </is>
      </c>
      <c r="D79" s="14" t="inlineStr">
        <is>
          <t>커버드콜</t>
        </is>
      </c>
      <c r="E79" s="14" t="inlineStr">
        <is>
          <t>삼성자산운용(ETF)</t>
        </is>
      </c>
      <c r="F79" s="27" t="inlineStr">
        <is>
          <t>2조원</t>
        </is>
      </c>
      <c r="G79" s="27" t="inlineStr">
        <is>
          <t>—</t>
        </is>
      </c>
      <c r="H79" s="32" t="n">
        <v>0.0019</v>
      </c>
    </row>
    <row r="80">
      <c r="A80" s="13" t="inlineStr">
        <is>
          <t>Y</t>
        </is>
      </c>
      <c r="B80" s="29" t="inlineStr">
        <is>
          <t>국내ETF</t>
        </is>
      </c>
      <c r="C80" s="29" t="inlineStr">
        <is>
          <t>TIGER CD1년금리액티브(합성)</t>
        </is>
      </c>
      <c r="D80" s="29" t="inlineStr">
        <is>
          <t>일반</t>
        </is>
      </c>
      <c r="E80" s="29" t="inlineStr">
        <is>
          <t>미래에셋자산운용</t>
        </is>
      </c>
      <c r="F80" s="30" t="inlineStr">
        <is>
          <t>2조원</t>
        </is>
      </c>
      <c r="G80" s="30" t="inlineStr">
        <is>
          <t>—</t>
        </is>
      </c>
      <c r="H80" s="33" t="n">
        <v>9.8e-05</v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RISE 미국나스닥100</t>
        </is>
      </c>
      <c r="D81" s="14" t="inlineStr">
        <is>
          <t>일반</t>
        </is>
      </c>
      <c r="E81" s="14" t="inlineStr">
        <is>
          <t>KB자산운용</t>
        </is>
      </c>
      <c r="F81" s="27" t="inlineStr">
        <is>
          <t>2조원</t>
        </is>
      </c>
      <c r="G81" s="27" t="inlineStr">
        <is>
          <t>—</t>
        </is>
      </c>
      <c r="H81" s="32" t="n">
        <v>6.2e-05</v>
      </c>
    </row>
    <row r="82">
      <c r="A82" s="13" t="inlineStr">
        <is>
          <t>Y</t>
        </is>
      </c>
      <c r="B82" s="29" t="inlineStr">
        <is>
          <t>해외ETF</t>
        </is>
      </c>
      <c r="C82" s="29" t="inlineStr">
        <is>
          <t>SPDR S&amp;P 500</t>
        </is>
      </c>
      <c r="D82" s="29" t="inlineStr">
        <is>
          <t>주식</t>
        </is>
      </c>
      <c r="E82" s="29" t="inlineStr">
        <is>
          <t>—</t>
        </is>
      </c>
      <c r="F82" s="30" t="inlineStr">
        <is>
          <t>—</t>
        </is>
      </c>
      <c r="G82" s="31" t="n">
        <v>0.1712168714029432</v>
      </c>
      <c r="H82" s="31" t="inlineStr">
        <is>
          <t>—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Invesco QQQ (나스닥100)</t>
        </is>
      </c>
      <c r="D83" s="14" t="inlineStr">
        <is>
          <t>주식</t>
        </is>
      </c>
      <c r="E83" s="14" t="inlineStr">
        <is>
          <t>—</t>
        </is>
      </c>
      <c r="F83" s="27" t="inlineStr">
        <is>
          <t>—</t>
        </is>
      </c>
      <c r="G83" s="28" t="n">
        <v>0.2286861820192689</v>
      </c>
      <c r="H83" s="28" t="inlineStr">
        <is>
          <t>—</t>
        </is>
      </c>
    </row>
    <row r="84">
      <c r="A84" s="13" t="inlineStr">
        <is>
          <t>Y</t>
        </is>
      </c>
      <c r="B84" s="29" t="inlineStr">
        <is>
          <t>해외ETF</t>
        </is>
      </c>
      <c r="C84" s="29" t="inlineStr">
        <is>
          <t>Vanguard 미국 전체시장</t>
        </is>
      </c>
      <c r="D84" s="29" t="inlineStr">
        <is>
          <t>주식</t>
        </is>
      </c>
      <c r="E84" s="29" t="inlineStr">
        <is>
          <t>—</t>
        </is>
      </c>
      <c r="F84" s="30" t="inlineStr">
        <is>
          <t>—</t>
        </is>
      </c>
      <c r="G84" s="31" t="n">
        <v>0.1680824723535977</v>
      </c>
      <c r="H84" s="31" t="inlineStr">
        <is>
          <t>—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iShares 러셀2000 (미국 중소형)</t>
        </is>
      </c>
      <c r="D85" s="14" t="inlineStr">
        <is>
          <t>주식</t>
        </is>
      </c>
      <c r="E85" s="14" t="inlineStr">
        <is>
          <t>—</t>
        </is>
      </c>
      <c r="F85" s="27" t="inlineStr">
        <is>
          <t>—</t>
        </is>
      </c>
      <c r="G85" s="28" t="n">
        <v>0.2013375822034587</v>
      </c>
      <c r="H85" s="28" t="inlineStr">
        <is>
          <t>—</t>
        </is>
      </c>
    </row>
    <row r="86">
      <c r="A86" s="13" t="inlineStr">
        <is>
          <t>Y</t>
        </is>
      </c>
      <c r="B86" s="29" t="inlineStr">
        <is>
          <t>해외ETF</t>
        </is>
      </c>
      <c r="C86" s="29" t="inlineStr">
        <is>
          <t>Vanguard 선진국(미국 제외)</t>
        </is>
      </c>
      <c r="D86" s="29" t="inlineStr">
        <is>
          <t>주식</t>
        </is>
      </c>
      <c r="E86" s="29" t="inlineStr">
        <is>
          <t>—</t>
        </is>
      </c>
      <c r="F86" s="30" t="inlineStr">
        <is>
          <t>—</t>
        </is>
      </c>
      <c r="G86" s="31" t="n">
        <v>0.2266691413144159</v>
      </c>
      <c r="H86" s="31" t="inlineStr">
        <is>
          <t>—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Vanguard 신흥국</t>
        </is>
      </c>
      <c r="D87" s="14" t="inlineStr">
        <is>
          <t>주식</t>
        </is>
      </c>
      <c r="E87" s="14" t="inlineStr">
        <is>
          <t>—</t>
        </is>
      </c>
      <c r="F87" s="27" t="inlineStr">
        <is>
          <t>—</t>
        </is>
      </c>
      <c r="G87" s="28" t="n">
        <v>0.1316236092777672</v>
      </c>
      <c r="H87" s="28" t="inlineStr">
        <is>
          <t>—</t>
        </is>
      </c>
    </row>
    <row r="88">
      <c r="A88" s="13" t="inlineStr">
        <is>
          <t>Y</t>
        </is>
      </c>
      <c r="B88" s="29" t="inlineStr">
        <is>
          <t>해외ETF</t>
        </is>
      </c>
      <c r="C88" s="29" t="inlineStr">
        <is>
          <t>iShares 미국채 1-3년</t>
        </is>
      </c>
      <c r="D88" s="29" t="inlineStr">
        <is>
          <t>채권</t>
        </is>
      </c>
      <c r="E88" s="29" t="inlineStr">
        <is>
          <t>—</t>
        </is>
      </c>
      <c r="F88" s="30" t="inlineStr">
        <is>
          <t>—</t>
        </is>
      </c>
      <c r="G88" s="31" t="n">
        <v>0.01505337651433369</v>
      </c>
      <c r="H88" s="31" t="inlineStr">
        <is>
          <t>—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iShares 미국채 7-10년</t>
        </is>
      </c>
      <c r="D89" s="14" t="inlineStr">
        <is>
          <t>채권</t>
        </is>
      </c>
      <c r="E89" s="14" t="inlineStr">
        <is>
          <t>—</t>
        </is>
      </c>
      <c r="F89" s="27" t="inlineStr">
        <is>
          <t>—</t>
        </is>
      </c>
      <c r="G89" s="28" t="n">
        <v>-0.02675355856628381</v>
      </c>
      <c r="H89" s="28" t="inlineStr">
        <is>
          <t>—</t>
        </is>
      </c>
    </row>
    <row r="90">
      <c r="A90" s="13" t="inlineStr">
        <is>
          <t>Y</t>
        </is>
      </c>
      <c r="B90" s="29" t="inlineStr">
        <is>
          <t>해외ETF</t>
        </is>
      </c>
      <c r="C90" s="29" t="inlineStr">
        <is>
          <t>iShares 미국채 20년+</t>
        </is>
      </c>
      <c r="D90" s="29" t="inlineStr">
        <is>
          <t>채권</t>
        </is>
      </c>
      <c r="E90" s="29" t="inlineStr">
        <is>
          <t>—</t>
        </is>
      </c>
      <c r="F90" s="30" t="inlineStr">
        <is>
          <t>—</t>
        </is>
      </c>
      <c r="G90" s="31" t="n">
        <v>-0.05711503892809356</v>
      </c>
      <c r="H90" s="31" t="inlineStr">
        <is>
          <t>—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iShares 미국 종합채권</t>
        </is>
      </c>
      <c r="D91" s="14" t="inlineStr">
        <is>
          <t>채권</t>
        </is>
      </c>
      <c r="E91" s="14" t="inlineStr">
        <is>
          <t>—</t>
        </is>
      </c>
      <c r="F91" s="27" t="inlineStr">
        <is>
          <t>—</t>
        </is>
      </c>
      <c r="G91" s="28" t="n">
        <v>-0.00707032975902111</v>
      </c>
      <c r="H91" s="28" t="inlineStr">
        <is>
          <t>—</t>
        </is>
      </c>
    </row>
    <row r="92">
      <c r="A92" s="13" t="inlineStr">
        <is>
          <t>Y</t>
        </is>
      </c>
      <c r="B92" s="29" t="inlineStr">
        <is>
          <t>해외ETF</t>
        </is>
      </c>
      <c r="C92" s="29" t="inlineStr">
        <is>
          <t>iShares 투자등급 회사채</t>
        </is>
      </c>
      <c r="D92" s="29" t="inlineStr">
        <is>
          <t>채권</t>
        </is>
      </c>
      <c r="E92" s="29" t="inlineStr">
        <is>
          <t>—</t>
        </is>
      </c>
      <c r="F92" s="30" t="inlineStr">
        <is>
          <t>—</t>
        </is>
      </c>
      <c r="G92" s="31" t="n">
        <v>-0.02183448542608113</v>
      </c>
      <c r="H92" s="31" t="inlineStr">
        <is>
          <t>—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iShares 하이일드 회사채</t>
        </is>
      </c>
      <c r="D93" s="14" t="inlineStr">
        <is>
          <t>채권</t>
        </is>
      </c>
      <c r="E93" s="14" t="inlineStr">
        <is>
          <t>—</t>
        </is>
      </c>
      <c r="F93" s="27" t="inlineStr">
        <is>
          <t>—</t>
        </is>
      </c>
      <c r="G93" s="28" t="n">
        <v>0.02786343669994706</v>
      </c>
      <c r="H93" s="28" t="inlineStr">
        <is>
          <t>—</t>
        </is>
      </c>
    </row>
    <row r="94">
      <c r="A94" s="13" t="inlineStr">
        <is>
          <t>Y</t>
        </is>
      </c>
      <c r="B94" s="29" t="inlineStr">
        <is>
          <t>해외ETF</t>
        </is>
      </c>
      <c r="C94" s="29" t="inlineStr">
        <is>
          <t>SPDR 금</t>
        </is>
      </c>
      <c r="D94" s="29" t="inlineStr">
        <is>
          <t>대체</t>
        </is>
      </c>
      <c r="E94" s="29" t="inlineStr">
        <is>
          <t>—</t>
        </is>
      </c>
      <c r="F94" s="30" t="inlineStr">
        <is>
          <t>—</t>
        </is>
      </c>
      <c r="G94" s="31" t="n">
        <v>0.1905214114016085</v>
      </c>
      <c r="H94" s="31" t="inlineStr">
        <is>
          <t>—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iShares 은</t>
        </is>
      </c>
      <c r="D95" s="14" t="inlineStr">
        <is>
          <t>대체</t>
        </is>
      </c>
      <c r="E95" s="14" t="inlineStr">
        <is>
          <t>—</t>
        </is>
      </c>
      <c r="F95" s="27" t="inlineStr">
        <is>
          <t>—</t>
        </is>
      </c>
      <c r="G95" s="28" t="n">
        <v>0.5858692775866632</v>
      </c>
      <c r="H95" s="28" t="inlineStr">
        <is>
          <t>—</t>
        </is>
      </c>
    </row>
    <row r="96">
      <c r="A96" s="13" t="inlineStr">
        <is>
          <t>Y</t>
        </is>
      </c>
      <c r="B96" s="29" t="inlineStr">
        <is>
          <t>해외ETF</t>
        </is>
      </c>
      <c r="C96" s="29" t="inlineStr">
        <is>
          <t>United States 원유</t>
        </is>
      </c>
      <c r="D96" s="29" t="inlineStr">
        <is>
          <t>대체</t>
        </is>
      </c>
      <c r="E96" s="29" t="inlineStr">
        <is>
          <t>—</t>
        </is>
      </c>
      <c r="F96" s="30" t="inlineStr">
        <is>
          <t>—</t>
        </is>
      </c>
      <c r="G96" s="31" t="n">
        <v>1.051754034947312</v>
      </c>
      <c r="H96" s="31" t="inlineStr">
        <is>
          <t>—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Invesco 원자재</t>
        </is>
      </c>
      <c r="D97" s="14" t="inlineStr">
        <is>
          <t>대체</t>
        </is>
      </c>
      <c r="E97" s="14" t="inlineStr">
        <is>
          <t>—</t>
        </is>
      </c>
      <c r="F97" s="27" t="inlineStr">
        <is>
          <t>—</t>
        </is>
      </c>
      <c r="G97" s="28" t="n">
        <v>0.5101417506271237</v>
      </c>
      <c r="H97" s="28" t="inlineStr">
        <is>
          <t>—</t>
        </is>
      </c>
    </row>
    <row r="98">
      <c r="A98" s="13" t="inlineStr">
        <is>
          <t>Y</t>
        </is>
      </c>
      <c r="B98" s="29" t="inlineStr">
        <is>
          <t>해외ETF</t>
        </is>
      </c>
      <c r="C98" s="29" t="inlineStr">
        <is>
          <t>Vanguard 미국 리츠</t>
        </is>
      </c>
      <c r="D98" s="29" t="inlineStr">
        <is>
          <t>대체</t>
        </is>
      </c>
      <c r="E98" s="29" t="inlineStr">
        <is>
          <t>—</t>
        </is>
      </c>
      <c r="F98" s="30" t="inlineStr">
        <is>
          <t>—</t>
        </is>
      </c>
      <c r="G98" s="31" t="n">
        <v>0.04842313369172224</v>
      </c>
      <c r="H98" s="31" t="inlineStr">
        <is>
          <t>—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Schwab 미국 배당주</t>
        </is>
      </c>
      <c r="D99" s="14" t="inlineStr">
        <is>
          <t>주식</t>
        </is>
      </c>
      <c r="E99" s="14" t="inlineStr">
        <is>
          <t>—</t>
        </is>
      </c>
      <c r="F99" s="27" t="inlineStr">
        <is>
          <t>—</t>
        </is>
      </c>
      <c r="G99" s="28" t="n">
        <v>0.2710968871712811</v>
      </c>
      <c r="H99" s="28" t="inlineStr">
        <is>
          <t>—</t>
        </is>
      </c>
    </row>
    <row r="100">
      <c r="A100" s="13" t="inlineStr">
        <is>
          <t>Y</t>
        </is>
      </c>
      <c r="B100" s="29" t="inlineStr">
        <is>
          <t>해외ETF</t>
        </is>
      </c>
      <c r="C100" s="29" t="inlineStr">
        <is>
          <t>Vanguard 배당성장</t>
        </is>
      </c>
      <c r="D100" s="29" t="inlineStr">
        <is>
          <t>주식</t>
        </is>
      </c>
      <c r="E100" s="29" t="inlineStr">
        <is>
          <t>—</t>
        </is>
      </c>
      <c r="F100" s="30" t="inlineStr">
        <is>
          <t>—</t>
        </is>
      </c>
      <c r="G100" s="31" t="n">
        <v>0.1164247275358388</v>
      </c>
      <c r="H100" s="31" t="inlineStr">
        <is>
          <t>—</t>
        </is>
      </c>
    </row>
    <row r="101">
      <c r="A101" s="13" t="inlineStr">
        <is>
          <t>Y</t>
        </is>
      </c>
      <c r="B101" s="14" t="inlineStr">
        <is>
          <t>국내펀드</t>
        </is>
      </c>
      <c r="C101" s="14" t="inlineStr">
        <is>
          <t>삼성MMF법인 1</t>
        </is>
      </c>
      <c r="D101" s="14" t="inlineStr">
        <is>
          <t>MMF</t>
        </is>
      </c>
      <c r="E101" s="14" t="inlineStr">
        <is>
          <t>삼성자산운용</t>
        </is>
      </c>
      <c r="F101" s="27" t="inlineStr">
        <is>
          <t>11조원</t>
        </is>
      </c>
      <c r="G101" s="28" t="n">
        <v>0.029549</v>
      </c>
      <c r="H101" s="27" t="inlineStr">
        <is>
          <t>0.05~0.09%</t>
        </is>
      </c>
    </row>
    <row r="102">
      <c r="A102" s="13" t="inlineStr">
        <is>
          <t>Y</t>
        </is>
      </c>
      <c r="B102" s="29" t="inlineStr">
        <is>
          <t>국내펀드</t>
        </is>
      </c>
      <c r="C102" s="29" t="inlineStr">
        <is>
          <t>우리큰만족법인MMF 1(국공채)</t>
        </is>
      </c>
      <c r="D102" s="29" t="inlineStr">
        <is>
          <t>MMF</t>
        </is>
      </c>
      <c r="E102" s="29" t="inlineStr">
        <is>
          <t>우리자산운용</t>
        </is>
      </c>
      <c r="F102" s="30" t="inlineStr">
        <is>
          <t>9조원</t>
        </is>
      </c>
      <c r="G102" s="31" t="n">
        <v>0.028073</v>
      </c>
      <c r="H102" s="30" t="inlineStr">
        <is>
          <t>0.08~0.10%</t>
        </is>
      </c>
    </row>
    <row r="103">
      <c r="A103" s="13" t="inlineStr">
        <is>
          <t>Y</t>
        </is>
      </c>
      <c r="B103" s="14" t="inlineStr">
        <is>
          <t>국내펀드</t>
        </is>
      </c>
      <c r="C103" s="14" t="inlineStr">
        <is>
          <t>IBK그랑프리국공채MMF법인투자신탁 1[국공채]</t>
        </is>
      </c>
      <c r="D103" s="14" t="inlineStr">
        <is>
          <t>MMF</t>
        </is>
      </c>
      <c r="E103" s="14" t="inlineStr">
        <is>
          <t>아이비케이자산운용</t>
        </is>
      </c>
      <c r="F103" s="27" t="inlineStr">
        <is>
          <t>8조원</t>
        </is>
      </c>
      <c r="G103" s="28" t="n">
        <v>0.028188</v>
      </c>
      <c r="H103" s="27" t="inlineStr">
        <is>
          <t>0.09~0.17%</t>
        </is>
      </c>
    </row>
    <row r="104">
      <c r="A104" s="13" t="inlineStr">
        <is>
          <t>Y</t>
        </is>
      </c>
      <c r="B104" s="29" t="inlineStr">
        <is>
          <t>국내펀드</t>
        </is>
      </c>
      <c r="C104" s="29" t="inlineStr">
        <is>
          <t>KB법인용MMF I-1(운용)</t>
        </is>
      </c>
      <c r="D104" s="29" t="inlineStr">
        <is>
          <t>MMF</t>
        </is>
      </c>
      <c r="E104" s="29" t="inlineStr">
        <is>
          <t>케이비자산운용</t>
        </is>
      </c>
      <c r="F104" s="30" t="inlineStr">
        <is>
          <t>8조원</t>
        </is>
      </c>
      <c r="G104" s="31" t="n">
        <v>0.029889</v>
      </c>
      <c r="H104" s="30" t="inlineStr">
        <is>
          <t>0.06~0.09%</t>
        </is>
      </c>
    </row>
    <row r="105">
      <c r="A105" s="13" t="inlineStr">
        <is>
          <t>Y</t>
        </is>
      </c>
      <c r="B105" s="14" t="inlineStr">
        <is>
          <t>국내펀드</t>
        </is>
      </c>
      <c r="C105" s="14" t="inlineStr">
        <is>
          <t>우리큰만족신종MMF3</t>
        </is>
      </c>
      <c r="D105" s="14" t="inlineStr">
        <is>
          <t>MMF</t>
        </is>
      </c>
      <c r="E105" s="14" t="inlineStr">
        <is>
          <t>우리자산운용</t>
        </is>
      </c>
      <c r="F105" s="27" t="inlineStr">
        <is>
          <t>7조원</t>
        </is>
      </c>
      <c r="G105" s="28" t="n">
        <v>0.030522</v>
      </c>
      <c r="H105" s="27" t="inlineStr">
        <is>
          <t>0.09~0.11%</t>
        </is>
      </c>
    </row>
    <row r="106">
      <c r="A106" s="13" t="inlineStr">
        <is>
          <t>Y</t>
        </is>
      </c>
      <c r="B106" s="29" t="inlineStr">
        <is>
          <t>국내펀드</t>
        </is>
      </c>
      <c r="C106" s="29" t="inlineStr">
        <is>
          <t>신영법인용MMF4-26_운용</t>
        </is>
      </c>
      <c r="D106" s="29" t="inlineStr">
        <is>
          <t>MMF</t>
        </is>
      </c>
      <c r="E106" s="29" t="inlineStr">
        <is>
          <t>신영자산운용</t>
        </is>
      </c>
      <c r="F106" s="30" t="inlineStr">
        <is>
          <t>7조원</t>
        </is>
      </c>
      <c r="G106" s="31" t="n">
        <v>0.028373</v>
      </c>
      <c r="H106" s="30" t="inlineStr">
        <is>
          <t>0.10~0.15%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신한BEST신종법인용MMFGS-2(종류)</t>
        </is>
      </c>
      <c r="D107" s="14" t="inlineStr">
        <is>
          <t>MMF</t>
        </is>
      </c>
      <c r="E107" s="14" t="inlineStr">
        <is>
          <t>신한자산운용</t>
        </is>
      </c>
      <c r="F107" s="27" t="inlineStr">
        <is>
          <t>6조원</t>
        </is>
      </c>
      <c r="G107" s="28" t="n">
        <v>0.029896</v>
      </c>
      <c r="H107" s="27" t="inlineStr">
        <is>
          <t>0.07~0.09%</t>
        </is>
      </c>
    </row>
    <row r="108">
      <c r="A108" s="13" t="inlineStr">
        <is>
          <t>Y</t>
        </is>
      </c>
      <c r="B108" s="29" t="inlineStr">
        <is>
          <t>국내펀드</t>
        </is>
      </c>
      <c r="C108" s="29" t="inlineStr">
        <is>
          <t>한화골드법인MMF-KM3(국공채)</t>
        </is>
      </c>
      <c r="D108" s="29" t="inlineStr">
        <is>
          <t>MMF</t>
        </is>
      </c>
      <c r="E108" s="29" t="inlineStr">
        <is>
          <t>한화자산운용</t>
        </is>
      </c>
      <c r="F108" s="30" t="inlineStr">
        <is>
          <t>5조원</t>
        </is>
      </c>
      <c r="G108" s="31" t="n">
        <v>0.028207</v>
      </c>
      <c r="H108" s="30" t="inlineStr">
        <is>
          <t>0.06~0.10%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하나클래스원신종MMF(K-5)</t>
        </is>
      </c>
      <c r="D109" s="14" t="inlineStr">
        <is>
          <t>MMF</t>
        </is>
      </c>
      <c r="E109" s="14" t="inlineStr">
        <is>
          <t>하나자산운용</t>
        </is>
      </c>
      <c r="F109" s="27" t="inlineStr">
        <is>
          <t>5조원</t>
        </is>
      </c>
      <c r="G109" s="28" t="n">
        <v>0.028155</v>
      </c>
      <c r="H109" s="27" t="inlineStr">
        <is>
          <t>0.11~0.16%</t>
        </is>
      </c>
    </row>
    <row r="110">
      <c r="A110" s="13" t="inlineStr">
        <is>
          <t>Y</t>
        </is>
      </c>
      <c r="B110" s="29" t="inlineStr">
        <is>
          <t>국내펀드</t>
        </is>
      </c>
      <c r="C110" s="29" t="inlineStr">
        <is>
          <t>한국투자법인용MMF 2(국공채)</t>
        </is>
      </c>
      <c r="D110" s="29" t="inlineStr">
        <is>
          <t>MMF</t>
        </is>
      </c>
      <c r="E110" s="29" t="inlineStr">
        <is>
          <t>한국투자신탁운용</t>
        </is>
      </c>
      <c r="F110" s="30" t="inlineStr">
        <is>
          <t>4조원</t>
        </is>
      </c>
      <c r="G110" s="31" t="n">
        <v>0.028016</v>
      </c>
      <c r="H110" s="30" t="inlineStr">
        <is>
          <t>0.06~0.16%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미래에셋법인전용MMF 1(국공채)</t>
        </is>
      </c>
      <c r="D111" s="14" t="inlineStr">
        <is>
          <t>MMF</t>
        </is>
      </c>
      <c r="E111" s="14" t="inlineStr">
        <is>
          <t>미래에셋자산운용</t>
        </is>
      </c>
      <c r="F111" s="27" t="inlineStr">
        <is>
          <t>4조원</t>
        </is>
      </c>
      <c r="G111" s="28" t="n">
        <v>0.027934</v>
      </c>
      <c r="H111" s="27" t="inlineStr">
        <is>
          <t>0.05~0.15%</t>
        </is>
      </c>
    </row>
    <row r="112">
      <c r="A112" s="13" t="inlineStr">
        <is>
          <t>Y</t>
        </is>
      </c>
      <c r="B112" s="29" t="inlineStr">
        <is>
          <t>국내펀드</t>
        </is>
      </c>
      <c r="C112" s="29" t="inlineStr">
        <is>
          <t>브이아이천하제일법인MMF1</t>
        </is>
      </c>
      <c r="D112" s="29" t="inlineStr">
        <is>
          <t>MMF</t>
        </is>
      </c>
      <c r="E112" s="29" t="inlineStr">
        <is>
          <t>브이아이자산운용</t>
        </is>
      </c>
      <c r="F112" s="30" t="inlineStr">
        <is>
          <t>4조원</t>
        </is>
      </c>
      <c r="G112" s="31" t="n">
        <v>0.028224</v>
      </c>
      <c r="H112" s="30" t="inlineStr">
        <is>
          <t>0.09~0.12%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NH-Amundi법인MMF 8</t>
        </is>
      </c>
      <c r="D113" s="14" t="inlineStr">
        <is>
          <t>MMF</t>
        </is>
      </c>
      <c r="E113" s="14" t="inlineStr">
        <is>
          <t>엔에이치아문디자산운용</t>
        </is>
      </c>
      <c r="F113" s="27" t="inlineStr">
        <is>
          <t>4조원</t>
        </is>
      </c>
      <c r="G113" s="28" t="n">
        <v>0.027945</v>
      </c>
      <c r="H113" s="32" t="n">
        <v>0.001</v>
      </c>
    </row>
    <row r="114">
      <c r="A114" s="13" t="inlineStr">
        <is>
          <t>Y</t>
        </is>
      </c>
      <c r="B114" s="29" t="inlineStr">
        <is>
          <t>국내펀드</t>
        </is>
      </c>
      <c r="C114" s="29" t="inlineStr">
        <is>
          <t>하나신종MMF(S-29)</t>
        </is>
      </c>
      <c r="D114" s="29" t="inlineStr">
        <is>
          <t>MMF</t>
        </is>
      </c>
      <c r="E114" s="29" t="inlineStr">
        <is>
          <t>하나자산운용</t>
        </is>
      </c>
      <c r="F114" s="30" t="inlineStr">
        <is>
          <t>4조원</t>
        </is>
      </c>
      <c r="G114" s="31" t="n">
        <v>0.029723</v>
      </c>
      <c r="H114" s="30" t="inlineStr">
        <is>
          <t>0.09~0.13%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삼성스마트MMF법인 1</t>
        </is>
      </c>
      <c r="D115" s="14" t="inlineStr">
        <is>
          <t>MMF</t>
        </is>
      </c>
      <c r="E115" s="14" t="inlineStr">
        <is>
          <t>삼성자산운용</t>
        </is>
      </c>
      <c r="F115" s="27" t="inlineStr">
        <is>
          <t>4조원</t>
        </is>
      </c>
      <c r="G115" s="28" t="n">
        <v>0.028099</v>
      </c>
      <c r="H115" s="27" t="inlineStr">
        <is>
          <t>0.07~0.10%</t>
        </is>
      </c>
    </row>
    <row r="116">
      <c r="A116" s="13" t="inlineStr">
        <is>
          <t>Y</t>
        </is>
      </c>
      <c r="B116" s="29" t="inlineStr">
        <is>
          <t>국내펀드</t>
        </is>
      </c>
      <c r="C116" s="29" t="inlineStr">
        <is>
          <t>신한 BEST법인용MMF GS- 1(종류)</t>
        </is>
      </c>
      <c r="D116" s="29" t="inlineStr">
        <is>
          <t>MMF</t>
        </is>
      </c>
      <c r="E116" s="29" t="inlineStr">
        <is>
          <t>신한자산운용</t>
        </is>
      </c>
      <c r="F116" s="30" t="inlineStr">
        <is>
          <t>4조원</t>
        </is>
      </c>
      <c r="G116" s="31" t="n">
        <v>0.027833</v>
      </c>
      <c r="H116" s="30" t="inlineStr">
        <is>
          <t>0.06~0.12%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KB법인용MMF I-2(국공채)(운용)</t>
        </is>
      </c>
      <c r="D117" s="14" t="inlineStr">
        <is>
          <t>MMF</t>
        </is>
      </c>
      <c r="E117" s="14" t="inlineStr">
        <is>
          <t>케이비자산운용</t>
        </is>
      </c>
      <c r="F117" s="27" t="inlineStr">
        <is>
          <t>4조원</t>
        </is>
      </c>
      <c r="G117" s="28" t="n">
        <v>0.027897</v>
      </c>
      <c r="H117" s="27" t="inlineStr">
        <is>
          <t>0.07~0.12%</t>
        </is>
      </c>
    </row>
    <row r="118">
      <c r="A118" s="13" t="inlineStr">
        <is>
          <t>Y</t>
        </is>
      </c>
      <c r="B118" s="29" t="inlineStr">
        <is>
          <t>국내펀드</t>
        </is>
      </c>
      <c r="C118" s="29" t="inlineStr">
        <is>
          <t>BNK법인MMF 1(국공채)</t>
        </is>
      </c>
      <c r="D118" s="29" t="inlineStr">
        <is>
          <t>MMF</t>
        </is>
      </c>
      <c r="E118" s="29" t="inlineStr">
        <is>
          <t>비엔케이자산운용</t>
        </is>
      </c>
      <c r="F118" s="30" t="inlineStr">
        <is>
          <t>4조원</t>
        </is>
      </c>
      <c r="G118" s="31" t="n">
        <v>0.028014</v>
      </c>
      <c r="H118" s="33" t="n">
        <v>0.001</v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교보악사프라임법인MMF J- 1(운용)</t>
        </is>
      </c>
      <c r="D119" s="14" t="inlineStr">
        <is>
          <t>MMF</t>
        </is>
      </c>
      <c r="E119" s="14" t="inlineStr">
        <is>
          <t>교보악사자산운용</t>
        </is>
      </c>
      <c r="F119" s="27" t="inlineStr">
        <is>
          <t>4조원</t>
        </is>
      </c>
      <c r="G119" s="28" t="n">
        <v>0.028143</v>
      </c>
      <c r="H119" s="32" t="n">
        <v>0.00108</v>
      </c>
    </row>
    <row r="120">
      <c r="A120" s="13" t="inlineStr">
        <is>
          <t>Y</t>
        </is>
      </c>
      <c r="B120" s="29" t="inlineStr">
        <is>
          <t>국내펀드</t>
        </is>
      </c>
      <c r="C120" s="29" t="inlineStr">
        <is>
          <t>DB클린법인MMF 4운용</t>
        </is>
      </c>
      <c r="D120" s="29" t="inlineStr">
        <is>
          <t>MMF</t>
        </is>
      </c>
      <c r="E120" s="29" t="inlineStr">
        <is>
          <t>디비자산운용</t>
        </is>
      </c>
      <c r="F120" s="30" t="inlineStr">
        <is>
          <t>3조원</t>
        </is>
      </c>
      <c r="G120" s="31" t="n">
        <v>0.028008</v>
      </c>
      <c r="H120" s="33" t="n">
        <v>0.001</v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Plus신종법인용MMF 1</t>
        </is>
      </c>
      <c r="D121" s="14" t="inlineStr">
        <is>
          <t>MMF</t>
        </is>
      </c>
      <c r="E121" s="14" t="inlineStr">
        <is>
          <t>플러스자산운용</t>
        </is>
      </c>
      <c r="F121" s="27" t="inlineStr">
        <is>
          <t>3조원</t>
        </is>
      </c>
      <c r="G121" s="28" t="n">
        <v>0.029821</v>
      </c>
      <c r="H121" s="27" t="inlineStr">
        <is>
          <t>0.10~0.11%</t>
        </is>
      </c>
    </row>
    <row r="122">
      <c r="A122" s="13" t="inlineStr">
        <is>
          <t>Y</t>
        </is>
      </c>
      <c r="B122" s="29" t="inlineStr">
        <is>
          <t>국내펀드</t>
        </is>
      </c>
      <c r="C122" s="29" t="inlineStr">
        <is>
          <t>플러스국공채법인용MMF3</t>
        </is>
      </c>
      <c r="D122" s="29" t="inlineStr">
        <is>
          <t>MMF</t>
        </is>
      </c>
      <c r="E122" s="29" t="inlineStr">
        <is>
          <t>플러스자산운용</t>
        </is>
      </c>
      <c r="F122" s="30" t="inlineStr">
        <is>
          <t>3조원</t>
        </is>
      </c>
      <c r="G122" s="31" t="n">
        <v>0.028117</v>
      </c>
      <c r="H122" s="30" t="inlineStr">
        <is>
          <t>0.06~0.10%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미래에셋법인전용MMF A-4</t>
        </is>
      </c>
      <c r="D123" s="14" t="inlineStr">
        <is>
          <t>MMF</t>
        </is>
      </c>
      <c r="E123" s="14" t="inlineStr">
        <is>
          <t>미래에셋자산운용</t>
        </is>
      </c>
      <c r="F123" s="27" t="inlineStr">
        <is>
          <t>3조원</t>
        </is>
      </c>
      <c r="G123" s="28" t="n">
        <v>0.030076</v>
      </c>
      <c r="H123" s="27" t="inlineStr">
        <is>
          <t>0.05~0.09%</t>
        </is>
      </c>
    </row>
    <row r="124">
      <c r="A124" s="13" t="inlineStr">
        <is>
          <t>Y</t>
        </is>
      </c>
      <c r="B124" s="29" t="inlineStr">
        <is>
          <t>국내펀드</t>
        </is>
      </c>
      <c r="C124" s="29" t="inlineStr">
        <is>
          <t>키움프런티어법인용MMF 3[국공채]</t>
        </is>
      </c>
      <c r="D124" s="29" t="inlineStr">
        <is>
          <t>MMF</t>
        </is>
      </c>
      <c r="E124" s="29" t="inlineStr">
        <is>
          <t>키움투자자산운용</t>
        </is>
      </c>
      <c r="F124" s="30" t="inlineStr">
        <is>
          <t>2조원</t>
        </is>
      </c>
      <c r="G124" s="31" t="n">
        <v>0.027922</v>
      </c>
      <c r="H124" s="30" t="inlineStr">
        <is>
          <t>0.10~0.24%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대신국공채법인전용MMF 1(운용)</t>
        </is>
      </c>
      <c r="D125" s="14" t="inlineStr">
        <is>
          <t>MMF</t>
        </is>
      </c>
      <c r="E125" s="14" t="inlineStr">
        <is>
          <t>대신자산운용</t>
        </is>
      </c>
      <c r="F125" s="27" t="inlineStr">
        <is>
          <t>2조원</t>
        </is>
      </c>
      <c r="G125" s="28" t="n">
        <v>0.028038</v>
      </c>
      <c r="H125" s="27" t="inlineStr">
        <is>
          <t>0.07~0.10%</t>
        </is>
      </c>
    </row>
    <row r="126">
      <c r="A126" s="13" t="inlineStr">
        <is>
          <t>Y</t>
        </is>
      </c>
      <c r="B126" s="29" t="inlineStr">
        <is>
          <t>해외펀드</t>
        </is>
      </c>
      <c r="C126" s="29" t="inlineStr">
        <is>
          <t>피델리티글로벌테크놀로지증권자투자신탁(주식-재간접형)</t>
        </is>
      </c>
      <c r="D126" s="29" t="inlineStr">
        <is>
          <t>해외주식형</t>
        </is>
      </c>
      <c r="E126" s="29" t="inlineStr">
        <is>
          <t>피델리티자산운용</t>
        </is>
      </c>
      <c r="F126" s="30" t="inlineStr">
        <is>
          <t>9,218억원</t>
        </is>
      </c>
      <c r="G126" s="31" t="n">
        <v>0.20358</v>
      </c>
      <c r="H126" s="30" t="inlineStr">
        <is>
          <t>0.16~1.36%</t>
        </is>
      </c>
    </row>
    <row r="127">
      <c r="A127" s="13" t="inlineStr">
        <is>
          <t>Y</t>
        </is>
      </c>
      <c r="B127" s="14" t="inlineStr">
        <is>
          <t>해외펀드</t>
        </is>
      </c>
      <c r="C127" s="14" t="inlineStr">
        <is>
          <t>피델리티월지급식아시아하이일드증권자투자신탁[채권-재간접형]</t>
        </is>
      </c>
      <c r="D127" s="14" t="inlineStr">
        <is>
          <t>해외채권형</t>
        </is>
      </c>
      <c r="E127" s="14" t="inlineStr">
        <is>
          <t>피델리티자산운용</t>
        </is>
      </c>
      <c r="F127" s="27" t="inlineStr">
        <is>
          <t>7,365억원</t>
        </is>
      </c>
      <c r="G127" s="28" t="n">
        <v>0.051551</v>
      </c>
      <c r="H127" s="27" t="inlineStr">
        <is>
          <t>0.37~1.17%</t>
        </is>
      </c>
    </row>
    <row r="128">
      <c r="A128" s="13" t="inlineStr">
        <is>
          <t>Y</t>
        </is>
      </c>
      <c r="B128" s="29" t="inlineStr">
        <is>
          <t>해외펀드</t>
        </is>
      </c>
      <c r="C128" s="29" t="inlineStr">
        <is>
          <t>피델리티글로벌배당인컴증권자투자신탁(주식-재간접형)</t>
        </is>
      </c>
      <c r="D128" s="29" t="inlineStr">
        <is>
          <t>해외주식형</t>
        </is>
      </c>
      <c r="E128" s="29" t="inlineStr">
        <is>
          <t>피델리티자산운용</t>
        </is>
      </c>
      <c r="F128" s="30" t="inlineStr">
        <is>
          <t>5,716억원</t>
        </is>
      </c>
      <c r="G128" s="31" t="n">
        <v>0.108062</v>
      </c>
      <c r="H128" s="30" t="inlineStr">
        <is>
          <t>0.16~1.36%</t>
        </is>
      </c>
    </row>
    <row r="129">
      <c r="A129" s="13" t="inlineStr">
        <is>
          <t>Y</t>
        </is>
      </c>
      <c r="B129" s="14" t="inlineStr">
        <is>
          <t>해외펀드</t>
        </is>
      </c>
      <c r="C129" s="14" t="inlineStr">
        <is>
          <t>AB월지급글로벌고수익증권투자신탁[채권-재간접형]</t>
        </is>
      </c>
      <c r="D129" s="14" t="inlineStr">
        <is>
          <t>해외채권형</t>
        </is>
      </c>
      <c r="E129" s="14" t="inlineStr">
        <is>
          <t>얼라이언스번스틴자산운용</t>
        </is>
      </c>
      <c r="F129" s="27" t="inlineStr">
        <is>
          <t>5,462억원</t>
        </is>
      </c>
      <c r="G129" s="28" t="n">
        <v>0.018373</v>
      </c>
      <c r="H129" s="27" t="inlineStr">
        <is>
          <t>0.17~0.71%</t>
        </is>
      </c>
    </row>
    <row r="130">
      <c r="A130" s="13" t="inlineStr">
        <is>
          <t>Y</t>
        </is>
      </c>
      <c r="B130" s="29" t="inlineStr">
        <is>
          <t>해외펀드</t>
        </is>
      </c>
      <c r="C130" s="29" t="inlineStr">
        <is>
          <t>한국투자글로벌전기차&amp;자율주행증권투자신탁(주식)(모)</t>
        </is>
      </c>
      <c r="D130" s="29" t="inlineStr">
        <is>
          <t>해외주식형</t>
        </is>
      </c>
      <c r="E130" s="29" t="inlineStr">
        <is>
          <t>한국투자신탁운용</t>
        </is>
      </c>
      <c r="F130" s="30" t="inlineStr">
        <is>
          <t>4,762억원</t>
        </is>
      </c>
      <c r="G130" s="31" t="n">
        <v>0.178201</v>
      </c>
      <c r="H130" s="30" t="inlineStr">
        <is>
          <t>0.77~2.07%</t>
        </is>
      </c>
    </row>
    <row r="131">
      <c r="A131" s="13" t="inlineStr">
        <is>
          <t>Y</t>
        </is>
      </c>
      <c r="B131" s="14" t="inlineStr">
        <is>
          <t>해외펀드</t>
        </is>
      </c>
      <c r="C131" s="14" t="inlineStr">
        <is>
          <t>AB미국그로스증권투자신탁(주식-재간접형)</t>
        </is>
      </c>
      <c r="D131" s="14" t="inlineStr">
        <is>
          <t>해외주식형</t>
        </is>
      </c>
      <c r="E131" s="14" t="inlineStr">
        <is>
          <t>얼라이언스번스틴자산운용</t>
        </is>
      </c>
      <c r="F131" s="27" t="inlineStr">
        <is>
          <t>4,438억원</t>
        </is>
      </c>
      <c r="G131" s="28" t="n">
        <v>0.009127</v>
      </c>
      <c r="H131" s="27" t="inlineStr">
        <is>
          <t>0.17~1.67%</t>
        </is>
      </c>
    </row>
    <row r="132">
      <c r="A132" s="13" t="inlineStr">
        <is>
          <t>Y</t>
        </is>
      </c>
      <c r="B132" s="29" t="inlineStr">
        <is>
          <t>해외펀드</t>
        </is>
      </c>
      <c r="C132" s="29" t="inlineStr">
        <is>
          <t>KB다이나믹적격TDF2030증권자투자신탁(주식혼합-재간접형)(운용)</t>
        </is>
      </c>
      <c r="D132" s="29" t="inlineStr">
        <is>
          <t>기타형</t>
        </is>
      </c>
      <c r="E132" s="29" t="inlineStr">
        <is>
          <t>케이비자산운용</t>
        </is>
      </c>
      <c r="F132" s="30" t="inlineStr">
        <is>
          <t>4,156억원</t>
        </is>
      </c>
      <c r="G132" s="31" t="n">
        <v>0.189953</v>
      </c>
      <c r="H132" s="30" t="inlineStr">
        <is>
          <t>0.24~1.19%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우리미국단기채공모주증권자투자신탁 1(H)(채권혼합)</t>
        </is>
      </c>
      <c r="D133" s="14" t="inlineStr">
        <is>
          <t>해외혼합형</t>
        </is>
      </c>
      <c r="E133" s="14" t="inlineStr">
        <is>
          <t>우리자산운용</t>
        </is>
      </c>
      <c r="F133" s="27" t="inlineStr">
        <is>
          <t>3,558억원</t>
        </is>
      </c>
      <c r="G133" s="28" t="n">
        <v>0.052435</v>
      </c>
      <c r="H133" s="27" t="inlineStr">
        <is>
          <t>0.80~1.70%</t>
        </is>
      </c>
    </row>
    <row r="134">
      <c r="A134" s="13" t="inlineStr">
        <is>
          <t>Y</t>
        </is>
      </c>
      <c r="B134" s="29" t="inlineStr">
        <is>
          <t>해외펀드</t>
        </is>
      </c>
      <c r="C134" s="29" t="inlineStr">
        <is>
          <t>한국투자미국장기국채증권자투자신탁H(채권-재간접형)(모)</t>
        </is>
      </c>
      <c r="D134" s="29" t="inlineStr">
        <is>
          <t>해외채권형</t>
        </is>
      </c>
      <c r="E134" s="29" t="inlineStr">
        <is>
          <t>한국투자신탁운용</t>
        </is>
      </c>
      <c r="F134" s="30" t="inlineStr">
        <is>
          <t>3,124억원</t>
        </is>
      </c>
      <c r="G134" s="31" t="n">
        <v>-0.063263</v>
      </c>
      <c r="H134" s="30" t="inlineStr">
        <is>
          <t>0.25~0.85%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신한마음편한적격TDF2050증권자투자신탁[주식혼합-재간접형](종류)</t>
        </is>
      </c>
      <c r="D135" s="14" t="inlineStr">
        <is>
          <t>기타형</t>
        </is>
      </c>
      <c r="E135" s="14" t="inlineStr">
        <is>
          <t>신한자산운용</t>
        </is>
      </c>
      <c r="F135" s="27" t="inlineStr">
        <is>
          <t>3,079억원</t>
        </is>
      </c>
      <c r="G135" s="28" t="n">
        <v>0.23546</v>
      </c>
      <c r="H135" s="27" t="inlineStr">
        <is>
          <t>0.56~1.31%</t>
        </is>
      </c>
    </row>
    <row r="136">
      <c r="A136" s="13" t="inlineStr">
        <is>
          <t>Y</t>
        </is>
      </c>
      <c r="B136" s="29" t="inlineStr">
        <is>
          <t>해외펀드</t>
        </is>
      </c>
      <c r="C136" s="29" t="inlineStr">
        <is>
          <t>신한마음편한적격TDF2035증권자투자신탁[주식혼합-재간접형](종류)</t>
        </is>
      </c>
      <c r="D136" s="29" t="inlineStr">
        <is>
          <t>기타형</t>
        </is>
      </c>
      <c r="E136" s="29" t="inlineStr">
        <is>
          <t>신한자산운용</t>
        </is>
      </c>
      <c r="F136" s="30" t="inlineStr">
        <is>
          <t>3,055억원</t>
        </is>
      </c>
      <c r="G136" s="31" t="n">
        <v>0.177612</v>
      </c>
      <c r="H136" s="30" t="inlineStr">
        <is>
          <t>0.33~0.82%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신한미국S&amp;P500인덱스증권자투자신탁(UH)[주식-파생형]</t>
        </is>
      </c>
      <c r="D137" s="14" t="inlineStr">
        <is>
          <t>해외주식형</t>
        </is>
      </c>
      <c r="E137" s="14" t="inlineStr">
        <is>
          <t>신한자산운용</t>
        </is>
      </c>
      <c r="F137" s="27" t="inlineStr">
        <is>
          <t>2,851억원</t>
        </is>
      </c>
      <c r="G137" s="28" t="n">
        <v>0.141662</v>
      </c>
      <c r="H137" s="27" t="inlineStr">
        <is>
          <t>0.26~1.15%</t>
        </is>
      </c>
    </row>
    <row r="138">
      <c r="A138" s="13" t="inlineStr">
        <is>
          <t>Y</t>
        </is>
      </c>
      <c r="B138" s="29" t="inlineStr">
        <is>
          <t>해외펀드</t>
        </is>
      </c>
      <c r="C138" s="29" t="inlineStr">
        <is>
          <t>삼성글로벌액티브적격TDF2030증권투자신탁H[주식혼합-재간접형]</t>
        </is>
      </c>
      <c r="D138" s="29" t="inlineStr">
        <is>
          <t>기타형</t>
        </is>
      </c>
      <c r="E138" s="29" t="inlineStr">
        <is>
          <t>삼성자산운용</t>
        </is>
      </c>
      <c r="F138" s="30" t="inlineStr">
        <is>
          <t>2,841억원</t>
        </is>
      </c>
      <c r="G138" s="31" t="n">
        <v>0.097423</v>
      </c>
      <c r="H138" s="30" t="inlineStr">
        <is>
          <t>0.23~0.76%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NH-Amundi하나로적격TDF2030증권투자신탁[주식혼합-재간접형]</t>
        </is>
      </c>
      <c r="D139" s="14" t="inlineStr">
        <is>
          <t>기타형</t>
        </is>
      </c>
      <c r="E139" s="14" t="inlineStr">
        <is>
          <t>엔에이치아문디자산운용</t>
        </is>
      </c>
      <c r="F139" s="27" t="inlineStr">
        <is>
          <t>2,746억원</t>
        </is>
      </c>
      <c r="G139" s="28" t="n">
        <v>0.110507</v>
      </c>
      <c r="H139" s="27" t="inlineStr">
        <is>
          <t>0.35~0.80%</t>
        </is>
      </c>
    </row>
    <row r="140">
      <c r="A140" s="13" t="inlineStr">
        <is>
          <t>Y</t>
        </is>
      </c>
      <c r="B140" s="29" t="inlineStr">
        <is>
          <t>해외펀드</t>
        </is>
      </c>
      <c r="C140" s="29" t="inlineStr">
        <is>
          <t>한국투자MAN다이나믹인컴월배당증권자투자신탁H(채권-재간접형)(모)</t>
        </is>
      </c>
      <c r="D140" s="29" t="inlineStr">
        <is>
          <t>해외채권형</t>
        </is>
      </c>
      <c r="E140" s="29" t="inlineStr">
        <is>
          <t>한국투자신탁운용</t>
        </is>
      </c>
      <c r="F140" s="30" t="inlineStr">
        <is>
          <t>2,725억원</t>
        </is>
      </c>
      <c r="G140" s="31" t="n">
        <v>0.06779</v>
      </c>
      <c r="H140" s="30" t="inlineStr">
        <is>
          <t>0.54~1.24%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KB다이나믹적격TDF2040증권자투자신탁(주식혼합-재간접형)(운용)</t>
        </is>
      </c>
      <c r="D141" s="14" t="inlineStr">
        <is>
          <t>기타형</t>
        </is>
      </c>
      <c r="E141" s="14" t="inlineStr">
        <is>
          <t>케이비자산운용</t>
        </is>
      </c>
      <c r="F141" s="27" t="inlineStr">
        <is>
          <t>2,531억원</t>
        </is>
      </c>
      <c r="G141" s="28" t="n">
        <v>0.235043</v>
      </c>
      <c r="H141" s="27" t="inlineStr">
        <is>
          <t>0.34~1.19%</t>
        </is>
      </c>
    </row>
    <row r="142">
      <c r="A142" s="13" t="inlineStr">
        <is>
          <t>Y</t>
        </is>
      </c>
      <c r="B142" s="29" t="inlineStr">
        <is>
          <t>해외펀드</t>
        </is>
      </c>
      <c r="C142" s="29" t="inlineStr">
        <is>
          <t>KCGI샐러리맨증권자투자신탁[주식-재간접형]</t>
        </is>
      </c>
      <c r="D142" s="29" t="inlineStr">
        <is>
          <t>해외주식형</t>
        </is>
      </c>
      <c r="E142" s="29" t="inlineStr">
        <is>
          <t>케이씨지아이자산운용</t>
        </is>
      </c>
      <c r="F142" s="30" t="inlineStr">
        <is>
          <t>2,524억원</t>
        </is>
      </c>
      <c r="G142" s="31" t="n">
        <v>0.313328</v>
      </c>
      <c r="H142" s="30" t="inlineStr">
        <is>
          <t>0.64~1.01%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NH-Amundi올바른지구OCIO자산배분증권자투자신탁[혼합-재간접형]</t>
        </is>
      </c>
      <c r="D143" s="14" t="inlineStr">
        <is>
          <t>해외혼합형</t>
        </is>
      </c>
      <c r="E143" s="14" t="inlineStr">
        <is>
          <t>엔에이치아문디자산운용</t>
        </is>
      </c>
      <c r="F143" s="27" t="inlineStr">
        <is>
          <t>2,519억원</t>
        </is>
      </c>
      <c r="G143" s="28" t="n">
        <v>0.06297700000000001</v>
      </c>
      <c r="H143" s="27" t="inlineStr">
        <is>
          <t>0.41~1.01%</t>
        </is>
      </c>
    </row>
    <row r="144">
      <c r="A144" s="13" t="inlineStr">
        <is>
          <t>Y</t>
        </is>
      </c>
      <c r="B144" s="29" t="inlineStr">
        <is>
          <t>해외펀드</t>
        </is>
      </c>
      <c r="C144" s="29" t="inlineStr">
        <is>
          <t>KB다이나믹적격TDF2050증권자투자신탁(주식혼합-재간접형)(운용)</t>
        </is>
      </c>
      <c r="D144" s="29" t="inlineStr">
        <is>
          <t>기타형</t>
        </is>
      </c>
      <c r="E144" s="29" t="inlineStr">
        <is>
          <t>케이비자산운용</t>
        </is>
      </c>
      <c r="F144" s="30" t="inlineStr">
        <is>
          <t>2,349억원</t>
        </is>
      </c>
      <c r="G144" s="31" t="n">
        <v>0.257195</v>
      </c>
      <c r="H144" s="30" t="inlineStr">
        <is>
          <t>0.34~1.19%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신한마음편한적격TDF2030증권자투자신탁[주식혼합-재간접형](종류)</t>
        </is>
      </c>
      <c r="D145" s="14" t="inlineStr">
        <is>
          <t>기타형</t>
        </is>
      </c>
      <c r="E145" s="14" t="inlineStr">
        <is>
          <t>신한자산운용</t>
        </is>
      </c>
      <c r="F145" s="27" t="inlineStr">
        <is>
          <t>2,312억원</t>
        </is>
      </c>
      <c r="G145" s="28" t="n">
        <v>0.149587</v>
      </c>
      <c r="H145" s="27" t="inlineStr">
        <is>
          <t>0.33~0.82%</t>
        </is>
      </c>
    </row>
    <row r="146">
      <c r="A146" s="13" t="inlineStr">
        <is>
          <t>Y</t>
        </is>
      </c>
      <c r="B146" s="29" t="inlineStr">
        <is>
          <t>해외펀드</t>
        </is>
      </c>
      <c r="C146" s="29" t="inlineStr">
        <is>
          <t>삼성글로벌액티브적격TDF2045증권투자신탁H[주식혼합-재간접형]</t>
        </is>
      </c>
      <c r="D146" s="29" t="inlineStr">
        <is>
          <t>기타형</t>
        </is>
      </c>
      <c r="E146" s="29" t="inlineStr">
        <is>
          <t>삼성자산운용</t>
        </is>
      </c>
      <c r="F146" s="30" t="inlineStr">
        <is>
          <t>2,287억원</t>
        </is>
      </c>
      <c r="G146" s="31" t="n">
        <v>0.146997</v>
      </c>
      <c r="H146" s="30" t="inlineStr">
        <is>
          <t>0.33~1.30%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KCGI프리덤적격TDF2050증권자투자신탁[주식혼합-재간접형]</t>
        </is>
      </c>
      <c r="D147" s="14" t="inlineStr">
        <is>
          <t>기타형</t>
        </is>
      </c>
      <c r="E147" s="14" t="inlineStr">
        <is>
          <t>케이씨지아이자산운용</t>
        </is>
      </c>
      <c r="F147" s="27" t="inlineStr">
        <is>
          <t>2,285억원</t>
        </is>
      </c>
      <c r="G147" s="28" t="n">
        <v>0.223357</v>
      </c>
      <c r="H147" s="27" t="inlineStr">
        <is>
          <t>0.56~0.89%</t>
        </is>
      </c>
    </row>
    <row r="148">
      <c r="A148" s="13" t="inlineStr">
        <is>
          <t>Y</t>
        </is>
      </c>
      <c r="B148" s="29" t="inlineStr">
        <is>
          <t>해외펀드</t>
        </is>
      </c>
      <c r="C148" s="29" t="inlineStr">
        <is>
          <t>키움키워드림적격TDF2030증권투자신탁 1[혼합-재간접형]</t>
        </is>
      </c>
      <c r="D148" s="29" t="inlineStr">
        <is>
          <t>기타형</t>
        </is>
      </c>
      <c r="E148" s="29" t="inlineStr">
        <is>
          <t>키움투자자산운용</t>
        </is>
      </c>
      <c r="F148" s="30" t="inlineStr">
        <is>
          <t>2,261억원</t>
        </is>
      </c>
      <c r="G148" s="31" t="n">
        <v>0.079793</v>
      </c>
      <c r="H148" s="30" t="inlineStr">
        <is>
          <t>0.28~0.66%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이지스글로벌공모부동산투자신탁281(파생형)</t>
        </is>
      </c>
      <c r="D149" s="14" t="inlineStr">
        <is>
          <t>해외대체</t>
        </is>
      </c>
      <c r="E149" s="14" t="inlineStr">
        <is>
          <t>이지스자산운용</t>
        </is>
      </c>
      <c r="F149" s="27" t="inlineStr">
        <is>
          <t>2,237억원</t>
        </is>
      </c>
      <c r="G149" s="28" t="n">
        <v>-0.145053</v>
      </c>
      <c r="H149" s="32" t="n">
        <v>0.0054</v>
      </c>
    </row>
    <row r="150">
      <c r="A150" s="13" t="inlineStr">
        <is>
          <t>Y</t>
        </is>
      </c>
      <c r="B150" s="29" t="inlineStr">
        <is>
          <t>해외펀드</t>
        </is>
      </c>
      <c r="C150" s="29" t="inlineStr">
        <is>
          <t>한화LIFEPLUS적격TDF2050증권자투자신탁(주식혼합-재간접형)</t>
        </is>
      </c>
      <c r="D150" s="29" t="inlineStr">
        <is>
          <t>기타형</t>
        </is>
      </c>
      <c r="E150" s="29" t="inlineStr">
        <is>
          <t>한화자산운용</t>
        </is>
      </c>
      <c r="F150" s="30" t="inlineStr">
        <is>
          <t>2,233억원</t>
        </is>
      </c>
      <c r="G150" s="31" t="n">
        <v>0.229434</v>
      </c>
      <c r="H150" s="30" t="inlineStr">
        <is>
          <t>0.44~1.33%</t>
        </is>
      </c>
    </row>
  </sheetData>
  <autoFilter ref="A7:H150"/>
  <mergeCells count="1">
    <mergeCell ref="A4:H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34" t="inlineStr">
        <is>
          <t>네이버 Npay 증권 + 금융투자협회 전자공시(투자지역)</t>
        </is>
      </c>
      <c r="C5" s="27" t="n">
        <v>1051</v>
      </c>
      <c r="D5" s="14" t="inlineStr">
        <is>
          <t>2026-09-14</t>
        </is>
      </c>
      <c r="E5" s="34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34" t="inlineStr">
        <is>
          <t>한국투자증권 오픈API (모의투자) — 100 종 (나머지 0 종은 야후 파이낸스)</t>
        </is>
      </c>
      <c r="C6" s="27" t="n">
        <v>100</v>
      </c>
      <c r="D6" s="14" t="inlineStr">
        <is>
          <t>2026-09-18</t>
        </is>
      </c>
      <c r="E6" s="34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34" t="inlineStr">
        <is>
          <t>야후 파이낸스 일봉 (자료 가지 us100-data)</t>
        </is>
      </c>
      <c r="C7" s="27" t="n">
        <v>100</v>
      </c>
      <c r="D7" s="14" t="inlineStr">
        <is>
          <t>2026-09-16</t>
        </is>
      </c>
      <c r="E7" s="34" t="inlineStr"/>
    </row>
    <row r="8" ht="42" customHeight="1">
      <c r="A8" s="14" t="inlineStr">
        <is>
          <t>국내ETF</t>
        </is>
      </c>
      <c r="B8" s="34" t="inlineStr">
        <is>
          <t>네이버 금융 일봉 + 야후 차트 일봉(close, 배당 미보정) + ETFCHECK (https://www.etfcheck.co.kr)</t>
        </is>
      </c>
      <c r="C8" s="27" t="n">
        <v>247</v>
      </c>
      <c r="D8" s="14" t="inlineStr">
        <is>
          <t>2026-09-18</t>
        </is>
      </c>
      <c r="E8" s="34" t="inlineStr"/>
    </row>
    <row r="9" ht="42" customHeight="1">
      <c r="A9" s="14" t="inlineStr">
        <is>
          <t>해외ETF</t>
        </is>
      </c>
      <c r="B9" s="34" t="inlineStr">
        <is>
          <t>한국투자증권 오픈API (모의투자, HHDFS76240000, 수정주가)</t>
        </is>
      </c>
      <c r="C9" s="27" t="n">
        <v>19</v>
      </c>
      <c r="D9" s="14" t="inlineStr">
        <is>
          <t>2026-09-19</t>
        </is>
      </c>
      <c r="E9" s="34" t="inlineStr"/>
    </row>
    <row r="12">
      <c r="A12" s="35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36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36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36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36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36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37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37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37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37" t="inlineStr">
        <is>
          <t>2. 나머지 칸은 수식입니다. 손으로 덮어쓰면 다음에 값이 안 따라옵니다.</t>
        </is>
      </c>
    </row>
    <row r="8" ht="18" customHeight="1">
      <c r="B8" s="37" t="inlineStr">
        <is>
          <t>3. 「배분규칙」 시트는 proposal_lib.py 가 셈한 것입니다. 고치지 마십시오 — 고치면 화면(proposal.html)·PPT 와 어긋납니다.</t>
        </is>
      </c>
    </row>
    <row r="9" ht="18" customHeight="1">
      <c r="B9" s="37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37" t="inlineStr">
        <is>
          <t>5. 자료를 새로 받으면 python3 scripts/build_proposal_universe.py 를 돌린 뒤 이 파일을 다시 만듭니다.</t>
        </is>
      </c>
    </row>
    <row r="11" ht="8" customHeight="1">
      <c r="B11" s="37" t="inlineStr"/>
    </row>
    <row r="12" ht="18" customHeight="1">
      <c r="B12" s="37" t="inlineStr">
        <is>
          <t>셀 색 규칙 (기존 고객제안서와 같습니다)</t>
        </is>
      </c>
    </row>
    <row r="13" ht="18" customHeight="1">
      <c r="B13" s="38" t="inlineStr">
        <is>
          <t xml:space="preserve">      파란 글씨 + 옅은 칠 = 사람이 넣는 칸</t>
        </is>
      </c>
    </row>
    <row r="14" ht="18" customHeight="1">
      <c r="B14" s="38" t="inlineStr">
        <is>
          <t xml:space="preserve">      검은 글씨            = 수식</t>
        </is>
      </c>
    </row>
    <row r="15" ht="18" customHeight="1">
      <c r="B15" s="38" t="inlineStr">
        <is>
          <t xml:space="preserve">      회색 글씨            = 원천에서 받아 적은 값</t>
        </is>
      </c>
    </row>
    <row r="16" ht="8" customHeight="1">
      <c r="B16" s="37" t="inlineStr"/>
    </row>
    <row r="17" ht="18" customHeight="1">
      <c r="B17" s="37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2026-09-19T02:00:35Z</dcterms:created>
  <dcterms:modified xmlns:dcterms="http://purl.org/dc/terms/" xmlns:xsi="http://www.w3.org/2001/XMLSchema-instance" xsi:type="dcterms:W3CDTF">2026-09-19T02:00:35Z</dcterms:modified>
</cp:coreProperties>
</file>