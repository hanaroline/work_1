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안서" sheetId="1" state="visible" r:id="rId1"/>
    <sheet xmlns:r="http://schemas.openxmlformats.org/officeDocument/2006/relationships" name="배분규칙" sheetId="2" state="visible" r:id="rId2"/>
    <sheet xmlns:r="http://schemas.openxmlformats.org/officeDocument/2006/relationships" name="자산군" sheetId="3" state="visible" r:id="rId3"/>
    <sheet xmlns:r="http://schemas.openxmlformats.org/officeDocument/2006/relationships" name="상품" sheetId="4" state="visible" r:id="rId4"/>
    <sheet xmlns:r="http://schemas.openxmlformats.org/officeDocument/2006/relationships" name="출처" sheetId="5" state="visible" r:id="rId5"/>
    <sheet xmlns:r="http://schemas.openxmlformats.org/officeDocument/2006/relationships" name="기대수익률" sheetId="6" state="visible" r:id="rId6"/>
    <sheet xmlns:r="http://schemas.openxmlformats.org/officeDocument/2006/relationships" name="사용법" sheetId="7" state="visible" r:id="rId7"/>
  </sheets>
  <definedNames>
    <definedName name="_xlnm._FilterDatabase" localSheetId="3" hidden="1">'상품'!$A$6:$M$156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%;-0.0%"/>
  </numFmts>
  <fonts count="12">
    <font>
      <name val="Calibri"/>
      <family val="2"/>
      <color theme="1"/>
      <sz val="11"/>
      <scheme val="minor"/>
    </font>
    <font>
      <name val="Spoqa Han Sans Neo"/>
      <color rgb="006C6C6C"/>
      <sz val="9"/>
    </font>
    <font>
      <name val="Spoqa Han Sans Neo"/>
      <b val="1"/>
      <color rgb="001A1A1A"/>
      <sz val="10"/>
    </font>
    <font>
      <name val="Spoqa Han Sans Neo"/>
      <color rgb="006C6C6C"/>
      <sz val="10"/>
    </font>
    <font>
      <name val="Spoqa Han Sans Neo"/>
      <b val="1"/>
      <color rgb="00F58220"/>
      <sz val="13"/>
    </font>
    <font>
      <name val="Spoqa Han Sans Neo"/>
      <b val="1"/>
      <color rgb="001A1A1A"/>
      <sz val="13"/>
    </font>
    <font>
      <name val="Spoqa Han Sans Neo"/>
      <b val="1"/>
      <color rgb="000000FF"/>
      <sz val="10"/>
    </font>
    <font>
      <name val="Spoqa Han Sans Neo"/>
      <b val="1"/>
      <color rgb="001A1A1A"/>
      <sz val="11"/>
    </font>
    <font>
      <name val="Spoqa Han Sans Neo"/>
      <color rgb="001A1A1A"/>
      <sz val="10"/>
    </font>
    <font>
      <name val="Spoqa Han Sans Neo"/>
      <b val="1"/>
      <color rgb="00F58220"/>
      <sz val="20"/>
    </font>
    <font>
      <name val="Spoqa Han Sans Neo"/>
      <b val="1"/>
      <color rgb="00FFFFFF"/>
      <sz val="11"/>
    </font>
    <font>
      <name val="Spoqa Han Sans Neo"/>
      <b val="1"/>
      <color rgb="006C6C6C"/>
      <sz val="10"/>
    </font>
  </fonts>
  <fills count="7">
    <fill>
      <patternFill/>
    </fill>
    <fill>
      <patternFill patternType="gray125"/>
    </fill>
    <fill>
      <patternFill patternType="solid">
        <fgColor rgb="00FAB072"/>
      </patternFill>
    </fill>
    <fill>
      <patternFill patternType="solid">
        <fgColor rgb="00FFF7E6"/>
      </patternFill>
    </fill>
    <fill>
      <patternFill patternType="solid">
        <fgColor rgb="00F7F8FA"/>
      </patternFill>
    </fill>
    <fill>
      <patternFill patternType="solid">
        <fgColor rgb="00F58220"/>
      </patternFill>
    </fill>
    <fill>
      <patternFill patternType="solid">
        <fgColor rgb="00D7D7D7"/>
      </patternFill>
    </fill>
  </fills>
  <borders count="7">
    <border>
      <left/>
      <right/>
      <top/>
      <bottom/>
      <diagonal/>
    </border>
    <border>
      <left style="thin">
        <color rgb="00E5E4E1"/>
      </left>
      <right style="thin">
        <color rgb="00E5E4E1"/>
      </right>
      <top style="thin">
        <color rgb="00E5E4E1"/>
      </top>
      <bottom style="thin">
        <color rgb="00E5E4E1"/>
      </bottom>
    </border>
    <border>
      <bottom style="thin">
        <color rgb="00F58220"/>
      </bottom>
    </border>
    <border>
      <left/>
      <right/>
      <top style="thin">
        <color rgb="00E5E4E1"/>
      </top>
      <bottom/>
      <diagonal/>
    </border>
    <border>
      <left/>
      <right style="thin">
        <color rgb="00E5E4E1"/>
      </right>
      <top style="thin">
        <color rgb="00E5E4E1"/>
      </top>
      <bottom/>
      <diagonal/>
    </border>
    <border>
      <left/>
      <right/>
      <top style="thin">
        <color rgb="00E5E4E1"/>
      </top>
      <bottom style="thin">
        <color rgb="00E5E4E1"/>
      </bottom>
      <diagonal/>
    </border>
    <border>
      <left/>
      <right style="thin">
        <color rgb="00E5E4E1"/>
      </right>
      <top style="thin">
        <color rgb="00E5E4E1"/>
      </top>
      <bottom style="thin">
        <color rgb="00E5E4E1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/>
    </xf>
    <xf numFmtId="0" fontId="2" fillId="0" borderId="0" pivotButton="0" quotePrefix="0" xfId="0"/>
    <xf numFmtId="0" fontId="6" fillId="3" borderId="1" pivotButton="0" quotePrefix="0" xfId="0"/>
    <xf numFmtId="3" fontId="6" fillId="3" borderId="1" applyAlignment="1" pivotButton="0" quotePrefix="0" xfId="0">
      <alignment horizontal="right"/>
    </xf>
    <xf numFmtId="164" fontId="6" fillId="3" borderId="1" pivotButton="0" quotePrefix="0" xfId="0"/>
    <xf numFmtId="0" fontId="10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1" pivotButton="0" quotePrefix="0" xfId="0"/>
    <xf numFmtId="164" fontId="8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164" fontId="6" fillId="3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0" fontId="11" fillId="6" borderId="1" pivotButton="0" quotePrefix="0" xfId="0"/>
    <xf numFmtId="164" fontId="2" fillId="6" borderId="1" applyAlignment="1" pivotButton="0" quotePrefix="0" xfId="0">
      <alignment horizontal="right"/>
    </xf>
    <xf numFmtId="3" fontId="2" fillId="6" borderId="1" applyAlignment="1" pivotButton="0" quotePrefix="0" xfId="0">
      <alignment horizontal="right"/>
    </xf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 wrapText="1"/>
    </xf>
    <xf numFmtId="166" fontId="8" fillId="0" borderId="1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right"/>
    </xf>
    <xf numFmtId="0" fontId="3" fillId="4" borderId="1" pivotButton="0" quotePrefix="0" xfId="0"/>
    <xf numFmtId="0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/>
    </xf>
    <xf numFmtId="9" fontId="3" fillId="4" borderId="1" applyAlignment="1" pivotButton="0" quotePrefix="0" xfId="0">
      <alignment horizontal="right"/>
    </xf>
    <xf numFmtId="0" fontId="3" fillId="4" borderId="1" applyAlignment="1" pivotButton="0" quotePrefix="0" xfId="0">
      <alignment vertical="center" wrapText="1"/>
    </xf>
    <xf numFmtId="10" fontId="3" fillId="0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3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1" fillId="0" borderId="0" applyAlignment="1" pivotButton="0" quotePrefix="0" xfId="0">
      <alignment horizontal="left" vertical="top" wrapText="1"/>
    </xf>
    <xf numFmtId="165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Spoqa Han Sans Neo"/>
        <b val="1"/>
        <color rgb="00C62828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 showOutlineSymbols="1"/>
    <pageSetUpPr fitToPage="1"/>
  </sheetPr>
  <dimension ref="A1:S1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  <col width="18" customWidth="1" min="7" max="7"/>
    <col hidden="1" width="13" customWidth="1" min="8" max="8"/>
    <col hidden="1" width="13" customWidth="1" min="9" max="9"/>
    <col hidden="1" width="13" customWidth="1" min="19" max="19"/>
  </cols>
  <sheetData>
    <row r="1">
      <c r="A1" s="1" t="inlineStr">
        <is>
          <t>자산배분 제안서</t>
        </is>
      </c>
      <c r="H1">
        <f>IFERROR(VALUE(LEFT($B$11,1)),3)</f>
        <v/>
      </c>
    </row>
    <row r="2">
      <c r="A2" s="2" t="inlineStr">
        <is>
          <t>미래에셋증권</t>
        </is>
      </c>
      <c r="H2">
        <f>IF($B$13&lt;&gt;"▶ 조회 실행","",$H$1&amp;"|"&amp;CHOOSE(MATCH($B$10,{"1년 이내","3년","5년","5년 초과"},0),1,3,5,10))</f>
        <v/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>
        <f>IF(SUM($I19:$I25)=0,"",SUMPRODUCT($I19:$I25,$G19:$G25)/SUM($I19:$I25))</f>
        <v/>
      </c>
    </row>
    <row r="4">
      <c r="H4">
        <f>IF(ISNUMBER($G25),$G25,0)</f>
        <v/>
      </c>
    </row>
    <row r="5" ht="4" customHeight="1">
      <c r="A5" s="3" t="n"/>
      <c r="B5" s="3" t="n"/>
      <c r="C5" s="3" t="n"/>
      <c r="D5" s="3" t="n"/>
      <c r="E5" s="3" t="n"/>
      <c r="F5" s="3" t="n"/>
      <c r="G5" s="3" t="n"/>
      <c r="H5">
        <f>IF(OR($H$3="",$B$12="",$H$3&lt;=$H$4),"",MEDIAN(0,($B$12-$H$4)/($H$3-$H$4),1))</f>
        <v/>
      </c>
    </row>
    <row r="6" ht="26" customHeight="1">
      <c r="A6" s="4" t="inlineStr">
        <is>
          <t>1</t>
        </is>
      </c>
      <c r="B6" s="5" t="inlineStr">
        <is>
          <t>조회 조건</t>
        </is>
      </c>
    </row>
    <row r="7" ht="6" customHeight="1"/>
    <row r="8">
      <c r="A8" s="6" t="inlineStr">
        <is>
          <t>고객명</t>
        </is>
      </c>
      <c r="B8" s="7" t="inlineStr"/>
    </row>
    <row r="9">
      <c r="A9" s="6" t="inlineStr">
        <is>
          <t>투자금액 (만원)</t>
        </is>
      </c>
      <c r="B9" s="8" t="n">
        <v>10000</v>
      </c>
    </row>
    <row r="10">
      <c r="A10" s="6" t="inlineStr">
        <is>
          <t>투자기간</t>
        </is>
      </c>
      <c r="B10" s="7" t="inlineStr">
        <is>
          <t>5년 초과</t>
        </is>
      </c>
    </row>
    <row r="11">
      <c r="A11" s="6" t="inlineStr">
        <is>
          <t>위험성향</t>
        </is>
      </c>
      <c r="B11" s="7" t="inlineStr">
        <is>
          <t>3 위험중립형</t>
        </is>
      </c>
    </row>
    <row r="12">
      <c r="A12" s="6" t="inlineStr">
        <is>
          <t>목표 연수익률 (%)</t>
        </is>
      </c>
      <c r="B12" s="9" t="n"/>
    </row>
    <row r="13" ht="24" customHeight="1">
      <c r="A13" s="6" t="inlineStr">
        <is>
          <t>조회</t>
        </is>
      </c>
      <c r="B13" s="10" t="inlineStr">
        <is>
          <t>▶ 조회 실행</t>
        </is>
      </c>
      <c r="C13" s="11" t="inlineStr">
        <is>
          <t>← 조건을 고친 뒤 이 칸에서 「▶ 조회 실행」을 고르십시오. 「… 조건 입력 중」로 두면 표가 비워집니다.</t>
        </is>
      </c>
    </row>
    <row r="15" ht="4" customHeight="1">
      <c r="A15" s="3" t="n"/>
      <c r="B15" s="3" t="n"/>
      <c r="C15" s="3" t="n"/>
      <c r="D15" s="3" t="n"/>
      <c r="E15" s="3" t="n"/>
      <c r="F15" s="3" t="n"/>
      <c r="G15" s="3" t="n"/>
    </row>
    <row r="16" ht="26" customHeight="1">
      <c r="A16" s="4" t="inlineStr">
        <is>
          <t>2</t>
        </is>
      </c>
      <c r="B16" s="5" t="inlineStr">
        <is>
          <t>제안 배분</t>
        </is>
      </c>
    </row>
    <row r="17" ht="6" customHeight="1"/>
    <row r="18">
      <c r="A18" s="12" t="inlineStr">
        <is>
          <t>자산군</t>
        </is>
      </c>
      <c r="B18" s="12" t="inlineStr">
        <is>
          <t>제안 비중</t>
        </is>
      </c>
      <c r="C18" s="13" t="inlineStr">
        <is>
          <t>조정 비중</t>
        </is>
      </c>
      <c r="D18" s="12" t="inlineStr">
        <is>
          <t>쓰는 비중</t>
        </is>
      </c>
      <c r="E18" s="12" t="inlineStr">
        <is>
          <t>금액(만원)</t>
        </is>
      </c>
      <c r="F18" s="12" t="inlineStr">
        <is>
          <t>과거 1년(중앙)</t>
        </is>
      </c>
      <c r="G18" s="13" t="inlineStr">
        <is>
          <t>기대수익률 (가정)</t>
        </is>
      </c>
    </row>
    <row r="19">
      <c r="A19" s="14" t="inlineStr">
        <is>
          <t>국내주식</t>
        </is>
      </c>
      <c r="B19" s="15">
        <f>IFERROR(INDEX(배분규칙!$D$4:$J$23,MATCH($H$2,배분규칙!$A$4:$A$23,0),MATCH($A19,배분규칙!$D$3:$J$3,0)),"")</f>
        <v/>
      </c>
      <c r="C19" s="9" t="n"/>
      <c r="D19" s="15">
        <f>IF($C19="",IF(ISNUMBER($B19),$B19,0),$C19)</f>
        <v/>
      </c>
      <c r="E19" s="16">
        <f>$B$9*$D19</f>
        <v/>
      </c>
      <c r="F19" s="15">
        <f>IFERROR(INDEX(자산군!$D$7:$D$13,MATCH($A19,자산군!$A$7:$A$13,0)),"—")</f>
        <v/>
      </c>
      <c r="G19" s="17" t="n">
        <v>0.0781</v>
      </c>
      <c r="H19" s="15">
        <f>IF(ISNUMBER($F19),$F19,0)</f>
        <v/>
      </c>
      <c r="I19" s="18">
        <f>IF(AND($A19&lt;&gt;"현금",ISNUMBER($G19)),5,0)</f>
        <v/>
      </c>
    </row>
    <row r="20">
      <c r="A20" s="14" t="inlineStr">
        <is>
          <t>해외주식</t>
        </is>
      </c>
      <c r="B20" s="15">
        <f>IFERROR(INDEX(배분규칙!$D$4:$J$23,MATCH($H$2,배분규칙!$A$4:$A$23,0),MATCH($A20,배분규칙!$D$3:$J$3,0)),"")</f>
        <v/>
      </c>
      <c r="C20" s="9" t="n"/>
      <c r="D20" s="15">
        <f>IF($C20="",IF(ISNUMBER($B20),$B20,0),$C20)</f>
        <v/>
      </c>
      <c r="E20" s="16">
        <f>$B$9*$D20</f>
        <v/>
      </c>
      <c r="F20" s="15">
        <f>IFERROR(INDEX(자산군!$D$7:$D$13,MATCH($A20,자산군!$A$7:$A$13,0)),"—")</f>
        <v/>
      </c>
      <c r="G20" s="17" t="n">
        <v>0.0781</v>
      </c>
      <c r="H20" s="15">
        <f>IF(ISNUMBER($F20),$F20,0)</f>
        <v/>
      </c>
      <c r="I20" s="18">
        <f>IF(AND($A20&lt;&gt;"현금",ISNUMBER($G20)),10,0)</f>
        <v/>
      </c>
    </row>
    <row r="21">
      <c r="A21" s="14" t="inlineStr">
        <is>
          <t>국내ETF</t>
        </is>
      </c>
      <c r="B21" s="15">
        <f>IFERROR(INDEX(배분규칙!$D$4:$J$23,MATCH($H$2,배분규칙!$A$4:$A$23,0),MATCH($A21,배분규칙!$D$3:$J$3,0)),"")</f>
        <v/>
      </c>
      <c r="C21" s="9" t="n"/>
      <c r="D21" s="15">
        <f>IF($C21="",IF(ISNUMBER($B21),$B21,0),$C21)</f>
        <v/>
      </c>
      <c r="E21" s="16">
        <f>$B$9*$D21</f>
        <v/>
      </c>
      <c r="F21" s="15">
        <f>IFERROR(INDEX(자산군!$D$7:$D$13,MATCH($A21,자산군!$A$7:$A$13,0)),"—")</f>
        <v/>
      </c>
      <c r="G21" s="17" t="n">
        <v>0.0553</v>
      </c>
      <c r="H21" s="15">
        <f>IF(ISNUMBER($F21),$F21,0)</f>
        <v/>
      </c>
      <c r="I21" s="18">
        <f>IF(AND($A21&lt;&gt;"현금",ISNUMBER($G21)),15,0)</f>
        <v/>
      </c>
    </row>
    <row r="22">
      <c r="A22" s="14" t="inlineStr">
        <is>
          <t>해외ETF</t>
        </is>
      </c>
      <c r="B22" s="15">
        <f>IFERROR(INDEX(배분규칙!$D$4:$J$23,MATCH($H$2,배분규칙!$A$4:$A$23,0),MATCH($A22,배분규칙!$D$3:$J$3,0)),"")</f>
        <v/>
      </c>
      <c r="C22" s="9" t="n"/>
      <c r="D22" s="15">
        <f>IF($C22="",IF(ISNUMBER($B22),$B22,0),$C22)</f>
        <v/>
      </c>
      <c r="E22" s="16">
        <f>$B$9*$D22</f>
        <v/>
      </c>
      <c r="F22" s="15">
        <f>IFERROR(INDEX(자산군!$D$7:$D$13,MATCH($A22,자산군!$A$7:$A$13,0)),"—")</f>
        <v/>
      </c>
      <c r="G22" s="17" t="n">
        <v>0.0561</v>
      </c>
      <c r="H22" s="15">
        <f>IF(ISNUMBER($F22),$F22,0)</f>
        <v/>
      </c>
      <c r="I22" s="18">
        <f>IF(AND($A22&lt;&gt;"현금",ISNUMBER($G22)),15,0)</f>
        <v/>
      </c>
    </row>
    <row r="23">
      <c r="A23" s="14" t="inlineStr">
        <is>
          <t>국내펀드</t>
        </is>
      </c>
      <c r="B23" s="15">
        <f>IFERROR(INDEX(배분규칙!$D$4:$J$23,MATCH($H$2,배분규칙!$A$4:$A$23,0),MATCH($A23,배분규칙!$D$3:$J$3,0)),"")</f>
        <v/>
      </c>
      <c r="C23" s="9" t="n"/>
      <c r="D23" s="15">
        <f>IF($C23="",IF(ISNUMBER($B23),$B23,0),$C23)</f>
        <v/>
      </c>
      <c r="E23" s="16">
        <f>$B$9*$D23</f>
        <v/>
      </c>
      <c r="F23" s="15">
        <f>IFERROR(INDEX(자산군!$D$7:$D$13,MATCH($A23,자산군!$A$7:$A$13,0)),"—")</f>
        <v/>
      </c>
      <c r="G23" s="17" t="n">
        <v>0.0451</v>
      </c>
      <c r="H23" s="15">
        <f>IF(ISNUMBER($F23),$F23,0)</f>
        <v/>
      </c>
      <c r="I23" s="18">
        <f>IF(AND($A23&lt;&gt;"현금",ISNUMBER($G23)),20,0)</f>
        <v/>
      </c>
    </row>
    <row r="24">
      <c r="A24" s="14" t="inlineStr">
        <is>
          <t>해외펀드</t>
        </is>
      </c>
      <c r="B24" s="15">
        <f>IFERROR(INDEX(배분규칙!$D$4:$J$23,MATCH($H$2,배분규칙!$A$4:$A$23,0),MATCH($A24,배분규칙!$D$3:$J$3,0)),"")</f>
        <v/>
      </c>
      <c r="C24" s="9" t="n"/>
      <c r="D24" s="15">
        <f>IF($C24="",IF(ISNUMBER($B24),$B24,0),$C24)</f>
        <v/>
      </c>
      <c r="E24" s="16">
        <f>$B$9*$D24</f>
        <v/>
      </c>
      <c r="F24" s="15">
        <f>IFERROR(INDEX(자산군!$D$7:$D$13,MATCH($A24,자산군!$A$7:$A$13,0)),"—")</f>
        <v/>
      </c>
      <c r="G24" s="17" t="n">
        <v>0.0561</v>
      </c>
      <c r="H24" s="15">
        <f>IF(ISNUMBER($F24),$F24,0)</f>
        <v/>
      </c>
      <c r="I24" s="18">
        <f>IF(AND($A24&lt;&gt;"현금",ISNUMBER($G24)),20,0)</f>
        <v/>
      </c>
    </row>
    <row r="25">
      <c r="A25" s="14" t="inlineStr">
        <is>
          <t>현금</t>
        </is>
      </c>
      <c r="B25" s="15">
        <f>IFERROR(INDEX(배분규칙!$D$4:$J$23,MATCH($H$2,배분규칙!$A$4:$A$23,0),MATCH($A25,배분규칙!$D$3:$J$3,0)),"")</f>
        <v/>
      </c>
      <c r="C25" s="9" t="n"/>
      <c r="D25" s="15">
        <f>IF($C25="",IF(ISNUMBER($B25),$B25,0),$C25)</f>
        <v/>
      </c>
      <c r="E25" s="16">
        <f>$B$9*$D25</f>
        <v/>
      </c>
      <c r="F25" s="15">
        <f>IFERROR(INDEX(자산군!$D$7:$D$13,MATCH($A25,자산군!$A$7:$A$13,0)),"—")</f>
        <v/>
      </c>
      <c r="G25" s="17" t="n">
        <v>0.0281</v>
      </c>
      <c r="H25" s="15">
        <f>IF(ISNUMBER($F25),$F25,0)</f>
        <v/>
      </c>
      <c r="I25" s="18">
        <f>IF(AND($A25&lt;&gt;"현금",ISNUMBER($G25)),15,0)</f>
        <v/>
      </c>
    </row>
    <row r="26">
      <c r="A26" s="19" t="inlineStr">
        <is>
          <t>합계</t>
        </is>
      </c>
      <c r="B26" s="20">
        <f>SUM($B19:$B25)</f>
        <v/>
      </c>
      <c r="C26" s="20">
        <f>IF(COUNT($C19:$C25)=0,"—",SUM($C19:$C25))</f>
        <v/>
      </c>
      <c r="D26" s="20">
        <f>SUM($D19:$D25)</f>
        <v/>
      </c>
      <c r="E26" s="21">
        <f>SUM($E19:$E25)</f>
        <v/>
      </c>
      <c r="F26" s="20">
        <f>SUMPRODUCT($D19:$D25,$H19:$H25)</f>
        <v/>
      </c>
      <c r="G26" s="20">
        <f>IF(COUNT($G19:$G25)=0,"가정 미입력",SUMPRODUCT($D19:$D25,$G19:$G25))</f>
        <v/>
      </c>
    </row>
    <row r="27">
      <c r="A27" s="22" t="inlineStr">
        <is>
          <t>점검</t>
        </is>
      </c>
      <c r="B27" s="23">
        <f>IF($H$2="","조회 조건에서 「▶ 조회 실행」을 고르시면 배분이 나옵니다",IF(ABS($D26-1)&gt;0.0005,"비중 합계가 100% 가 아닙니다 — 조정 비중을 맞추십시오","비중 합계 100% 입니다"))</f>
        <v/>
      </c>
      <c r="G27" s="24">
        <f>COUNT($G19:$G25)&amp;" / 7 가정"</f>
        <v/>
      </c>
    </row>
    <row r="29" ht="4" customHeight="1">
      <c r="A29" s="3" t="n"/>
      <c r="B29" s="3" t="n"/>
      <c r="C29" s="3" t="n"/>
      <c r="D29" s="3" t="n"/>
      <c r="E29" s="3" t="n"/>
      <c r="F29" s="3" t="n"/>
      <c r="G29" s="3" t="n"/>
    </row>
    <row r="30" ht="26" customHeight="1">
      <c r="A30" s="4" t="inlineStr">
        <is>
          <t>3</t>
        </is>
      </c>
      <c r="B30" s="5" t="inlineStr">
        <is>
          <t>제안 상품</t>
        </is>
      </c>
    </row>
    <row r="31" ht="6" customHeight="1"/>
    <row r="32">
      <c r="A32" s="22" t="inlineStr">
        <is>
          <t>「상품」 시트에서 채택을 Y 로 바꾸면 여기에 올라옵니다. 배분액은 그 자산군 금액을 채택한 수로 나눈 것입니다. 상품 아래 회색 줄이 고른 까닭입니다 — 왼쪽 여백의 「−」로 접으면 인쇄에서도 빠집니다.</t>
        </is>
      </c>
    </row>
    <row r="34">
      <c r="A34" s="12" t="inlineStr">
        <is>
          <t>자산군</t>
        </is>
      </c>
      <c r="B34" s="12" t="inlineStr">
        <is>
          <t>상품</t>
        </is>
      </c>
      <c r="C34" s="12" t="inlineStr">
        <is>
          <t>측정</t>
        </is>
      </c>
      <c r="D34" s="12" t="inlineStr">
        <is>
          <t>연평균</t>
        </is>
      </c>
      <c r="E34" s="12" t="inlineStr">
        <is>
          <t>변동성</t>
        </is>
      </c>
      <c r="F34" s="12" t="inlineStr">
        <is>
          <t>보수</t>
        </is>
      </c>
      <c r="G34" s="12" t="inlineStr">
        <is>
          <t>배분액(만원)</t>
        </is>
      </c>
    </row>
    <row r="35">
      <c r="A35" s="14" t="inlineStr">
        <is>
          <t>국내주식</t>
        </is>
      </c>
      <c r="B35" s="18">
        <f>IFERROR(INDEX(상품!$C$7:$C$156,MATCH($A$35&amp;"|"&amp;1,상품!$N$7:$N$156,0)),"")</f>
        <v/>
      </c>
      <c r="C35" s="18">
        <f>IFERROR(INDEX(상품!$G$7:$G$156,MATCH($A$35&amp;"|"&amp;1,상품!$N$7:$N$156,0)),"")</f>
        <v/>
      </c>
      <c r="D35" s="15">
        <f>IFERROR(INDEX(상품!$I$7:$I$156,MATCH($A$35&amp;"|"&amp;1,상품!$N$7:$N$156,0)),"")</f>
        <v/>
      </c>
      <c r="E35" s="15">
        <f>IFERROR(INDEX(상품!$J$7:$J$156,MATCH($A$35&amp;"|"&amp;1,상품!$N$7:$N$156,0)),"")</f>
        <v/>
      </c>
      <c r="F35" s="25">
        <f>IFERROR(INDEX(상품!$L$7:$L$156,MATCH($A$35&amp;"|"&amp;1,상품!$N$7:$N$156,0)),"")</f>
        <v/>
      </c>
      <c r="G35" s="16">
        <f>IFERROR(IF(INDEX(상품!$C$7:$C$156,MATCH($A$35&amp;"|"&amp;1,상품!$N$7:$N$156,0))="","",ROUND($E$19/COUNTIFS(상품!$A$7:$A$156,"Y",상품!$B$7:$B$156,$A35),0)),"")</f>
        <v/>
      </c>
    </row>
    <row r="36" outlineLevel="1" ht="24" customHeight="1">
      <c r="A36" s="26">
        <f>IFERROR(INDEX(상품!$M$7:$M$156,MATCH($A$35&amp;"|"&amp;1,상품!$N$7:$N$156,0)),"")</f>
        <v/>
      </c>
      <c r="S36" s="22" t="inlineStr">
        <is>
          <t>근거</t>
        </is>
      </c>
    </row>
    <row r="37">
      <c r="A37" s="14" t="inlineStr"/>
      <c r="B37" s="18">
        <f>IFERROR(INDEX(상품!$C$7:$C$156,MATCH($A$35&amp;"|"&amp;2,상품!$N$7:$N$156,0)),"")</f>
        <v/>
      </c>
      <c r="C37" s="18">
        <f>IFERROR(INDEX(상품!$G$7:$G$156,MATCH($A$35&amp;"|"&amp;2,상품!$N$7:$N$156,0)),"")</f>
        <v/>
      </c>
      <c r="D37" s="15">
        <f>IFERROR(INDEX(상품!$I$7:$I$156,MATCH($A$35&amp;"|"&amp;2,상품!$N$7:$N$156,0)),"")</f>
        <v/>
      </c>
      <c r="E37" s="15">
        <f>IFERROR(INDEX(상품!$J$7:$J$156,MATCH($A$35&amp;"|"&amp;2,상품!$N$7:$N$156,0)),"")</f>
        <v/>
      </c>
      <c r="F37" s="25">
        <f>IFERROR(INDEX(상품!$L$7:$L$156,MATCH($A$35&amp;"|"&amp;2,상품!$N$7:$N$156,0)),"")</f>
        <v/>
      </c>
      <c r="G37" s="16">
        <f>IFERROR(IF(INDEX(상품!$C$7:$C$156,MATCH($A$35&amp;"|"&amp;2,상품!$N$7:$N$156,0))="","",ROUND($E$19/COUNTIFS(상품!$A$7:$A$156,"Y",상품!$B$7:$B$156,$A35),0)),"")</f>
        <v/>
      </c>
    </row>
    <row r="38" outlineLevel="1" ht="24" customHeight="1">
      <c r="A38" s="26">
        <f>IFERROR(INDEX(상품!$M$7:$M$156,MATCH($A$35&amp;"|"&amp;2,상품!$N$7:$N$156,0)),"")</f>
        <v/>
      </c>
      <c r="S38" s="22" t="inlineStr">
        <is>
          <t>근거</t>
        </is>
      </c>
    </row>
    <row r="39">
      <c r="A39" s="14" t="inlineStr"/>
      <c r="B39" s="18">
        <f>IFERROR(INDEX(상품!$C$7:$C$156,MATCH($A$35&amp;"|"&amp;3,상품!$N$7:$N$156,0)),"")</f>
        <v/>
      </c>
      <c r="C39" s="18">
        <f>IFERROR(INDEX(상품!$G$7:$G$156,MATCH($A$35&amp;"|"&amp;3,상품!$N$7:$N$156,0)),"")</f>
        <v/>
      </c>
      <c r="D39" s="15">
        <f>IFERROR(INDEX(상품!$I$7:$I$156,MATCH($A$35&amp;"|"&amp;3,상품!$N$7:$N$156,0)),"")</f>
        <v/>
      </c>
      <c r="E39" s="15">
        <f>IFERROR(INDEX(상품!$J$7:$J$156,MATCH($A$35&amp;"|"&amp;3,상품!$N$7:$N$156,0)),"")</f>
        <v/>
      </c>
      <c r="F39" s="25">
        <f>IFERROR(INDEX(상품!$L$7:$L$156,MATCH($A$35&amp;"|"&amp;3,상품!$N$7:$N$156,0)),"")</f>
        <v/>
      </c>
      <c r="G39" s="16">
        <f>IFERROR(IF(INDEX(상품!$C$7:$C$156,MATCH($A$35&amp;"|"&amp;3,상품!$N$7:$N$156,0))="","",ROUND($E$19/COUNTIFS(상품!$A$7:$A$156,"Y",상품!$B$7:$B$156,$A35),0)),"")</f>
        <v/>
      </c>
    </row>
    <row r="40" outlineLevel="1" ht="24" customHeight="1">
      <c r="A40" s="26">
        <f>IFERROR(INDEX(상품!$M$7:$M$156,MATCH($A$35&amp;"|"&amp;3,상품!$N$7:$N$156,0)),"")</f>
        <v/>
      </c>
      <c r="S40" s="22" t="inlineStr">
        <is>
          <t>근거</t>
        </is>
      </c>
    </row>
    <row r="41">
      <c r="A41" s="14" t="inlineStr"/>
      <c r="B41" s="18">
        <f>IFERROR(INDEX(상품!$C$7:$C$156,MATCH($A$35&amp;"|"&amp;4,상품!$N$7:$N$156,0)),"")</f>
        <v/>
      </c>
      <c r="C41" s="18">
        <f>IFERROR(INDEX(상품!$G$7:$G$156,MATCH($A$35&amp;"|"&amp;4,상품!$N$7:$N$156,0)),"")</f>
        <v/>
      </c>
      <c r="D41" s="15">
        <f>IFERROR(INDEX(상품!$I$7:$I$156,MATCH($A$35&amp;"|"&amp;4,상품!$N$7:$N$156,0)),"")</f>
        <v/>
      </c>
      <c r="E41" s="15">
        <f>IFERROR(INDEX(상품!$J$7:$J$156,MATCH($A$35&amp;"|"&amp;4,상품!$N$7:$N$156,0)),"")</f>
        <v/>
      </c>
      <c r="F41" s="25">
        <f>IFERROR(INDEX(상품!$L$7:$L$156,MATCH($A$35&amp;"|"&amp;4,상품!$N$7:$N$156,0)),"")</f>
        <v/>
      </c>
      <c r="G41" s="16">
        <f>IFERROR(IF(INDEX(상품!$C$7:$C$156,MATCH($A$35&amp;"|"&amp;4,상품!$N$7:$N$156,0))="","",ROUND($E$19/COUNTIFS(상품!$A$7:$A$156,"Y",상품!$B$7:$B$156,$A35),0)),"")</f>
        <v/>
      </c>
    </row>
    <row r="42" outlineLevel="1" ht="24" customHeight="1">
      <c r="A42" s="26">
        <f>IFERROR(INDEX(상품!$M$7:$M$156,MATCH($A$35&amp;"|"&amp;4,상품!$N$7:$N$156,0)),"")</f>
        <v/>
      </c>
      <c r="S42" s="22" t="inlineStr">
        <is>
          <t>근거</t>
        </is>
      </c>
    </row>
    <row r="43">
      <c r="A43" s="14" t="inlineStr"/>
      <c r="B43" s="18">
        <f>IFERROR(INDEX(상품!$C$7:$C$156,MATCH($A$35&amp;"|"&amp;5,상품!$N$7:$N$156,0)),"")</f>
        <v/>
      </c>
      <c r="C43" s="18">
        <f>IFERROR(INDEX(상품!$G$7:$G$156,MATCH($A$35&amp;"|"&amp;5,상품!$N$7:$N$156,0)),"")</f>
        <v/>
      </c>
      <c r="D43" s="15">
        <f>IFERROR(INDEX(상품!$I$7:$I$156,MATCH($A$35&amp;"|"&amp;5,상품!$N$7:$N$156,0)),"")</f>
        <v/>
      </c>
      <c r="E43" s="15">
        <f>IFERROR(INDEX(상품!$J$7:$J$156,MATCH($A$35&amp;"|"&amp;5,상품!$N$7:$N$156,0)),"")</f>
        <v/>
      </c>
      <c r="F43" s="25">
        <f>IFERROR(INDEX(상품!$L$7:$L$156,MATCH($A$35&amp;"|"&amp;5,상품!$N$7:$N$156,0)),"")</f>
        <v/>
      </c>
      <c r="G43" s="16">
        <f>IFERROR(IF(INDEX(상품!$C$7:$C$156,MATCH($A$35&amp;"|"&amp;5,상품!$N$7:$N$156,0))="","",ROUND($E$19/COUNTIFS(상품!$A$7:$A$156,"Y",상품!$B$7:$B$156,$A35),0)),"")</f>
        <v/>
      </c>
    </row>
    <row r="44" outlineLevel="1" ht="24" customHeight="1">
      <c r="A44" s="26">
        <f>IFERROR(INDEX(상품!$M$7:$M$156,MATCH($A$35&amp;"|"&amp;5,상품!$N$7:$N$156,0)),"")</f>
        <v/>
      </c>
      <c r="S44" s="22" t="inlineStr">
        <is>
          <t>근거</t>
        </is>
      </c>
    </row>
    <row r="45">
      <c r="A45" s="14" t="inlineStr">
        <is>
          <t>해외주식</t>
        </is>
      </c>
      <c r="B45" s="18">
        <f>IFERROR(INDEX(상품!$C$7:$C$156,MATCH($A$45&amp;"|"&amp;1,상품!$N$7:$N$156,0)),"")</f>
        <v/>
      </c>
      <c r="C45" s="18">
        <f>IFERROR(INDEX(상품!$G$7:$G$156,MATCH($A$45&amp;"|"&amp;1,상품!$N$7:$N$156,0)),"")</f>
        <v/>
      </c>
      <c r="D45" s="15">
        <f>IFERROR(INDEX(상품!$I$7:$I$156,MATCH($A$45&amp;"|"&amp;1,상품!$N$7:$N$156,0)),"")</f>
        <v/>
      </c>
      <c r="E45" s="15">
        <f>IFERROR(INDEX(상품!$J$7:$J$156,MATCH($A$45&amp;"|"&amp;1,상품!$N$7:$N$156,0)),"")</f>
        <v/>
      </c>
      <c r="F45" s="25">
        <f>IFERROR(INDEX(상품!$L$7:$L$156,MATCH($A$45&amp;"|"&amp;1,상품!$N$7:$N$156,0)),"")</f>
        <v/>
      </c>
      <c r="G45" s="16">
        <f>IFERROR(IF(INDEX(상품!$C$7:$C$156,MATCH($A$45&amp;"|"&amp;1,상품!$N$7:$N$156,0))="","",ROUND($E$20/COUNTIFS(상품!$A$7:$A$156,"Y",상품!$B$7:$B$156,$A45),0)),"")</f>
        <v/>
      </c>
    </row>
    <row r="46" outlineLevel="1" ht="24" customHeight="1">
      <c r="A46" s="26">
        <f>IFERROR(INDEX(상품!$M$7:$M$156,MATCH($A$45&amp;"|"&amp;1,상품!$N$7:$N$156,0)),"")</f>
        <v/>
      </c>
      <c r="S46" s="22" t="inlineStr">
        <is>
          <t>근거</t>
        </is>
      </c>
    </row>
    <row r="47">
      <c r="A47" s="14" t="inlineStr"/>
      <c r="B47" s="18">
        <f>IFERROR(INDEX(상품!$C$7:$C$156,MATCH($A$45&amp;"|"&amp;2,상품!$N$7:$N$156,0)),"")</f>
        <v/>
      </c>
      <c r="C47" s="18">
        <f>IFERROR(INDEX(상품!$G$7:$G$156,MATCH($A$45&amp;"|"&amp;2,상품!$N$7:$N$156,0)),"")</f>
        <v/>
      </c>
      <c r="D47" s="15">
        <f>IFERROR(INDEX(상품!$I$7:$I$156,MATCH($A$45&amp;"|"&amp;2,상품!$N$7:$N$156,0)),"")</f>
        <v/>
      </c>
      <c r="E47" s="15">
        <f>IFERROR(INDEX(상품!$J$7:$J$156,MATCH($A$45&amp;"|"&amp;2,상품!$N$7:$N$156,0)),"")</f>
        <v/>
      </c>
      <c r="F47" s="25">
        <f>IFERROR(INDEX(상품!$L$7:$L$156,MATCH($A$45&amp;"|"&amp;2,상품!$N$7:$N$156,0)),"")</f>
        <v/>
      </c>
      <c r="G47" s="16">
        <f>IFERROR(IF(INDEX(상품!$C$7:$C$156,MATCH($A$45&amp;"|"&amp;2,상품!$N$7:$N$156,0))="","",ROUND($E$20/COUNTIFS(상품!$A$7:$A$156,"Y",상품!$B$7:$B$156,$A45),0)),"")</f>
        <v/>
      </c>
    </row>
    <row r="48" outlineLevel="1" ht="24" customHeight="1">
      <c r="A48" s="26">
        <f>IFERROR(INDEX(상품!$M$7:$M$156,MATCH($A$45&amp;"|"&amp;2,상품!$N$7:$N$156,0)),"")</f>
        <v/>
      </c>
      <c r="S48" s="22" t="inlineStr">
        <is>
          <t>근거</t>
        </is>
      </c>
    </row>
    <row r="49">
      <c r="A49" s="14" t="inlineStr"/>
      <c r="B49" s="18">
        <f>IFERROR(INDEX(상품!$C$7:$C$156,MATCH($A$45&amp;"|"&amp;3,상품!$N$7:$N$156,0)),"")</f>
        <v/>
      </c>
      <c r="C49" s="18">
        <f>IFERROR(INDEX(상품!$G$7:$G$156,MATCH($A$45&amp;"|"&amp;3,상품!$N$7:$N$156,0)),"")</f>
        <v/>
      </c>
      <c r="D49" s="15">
        <f>IFERROR(INDEX(상품!$I$7:$I$156,MATCH($A$45&amp;"|"&amp;3,상품!$N$7:$N$156,0)),"")</f>
        <v/>
      </c>
      <c r="E49" s="15">
        <f>IFERROR(INDEX(상품!$J$7:$J$156,MATCH($A$45&amp;"|"&amp;3,상품!$N$7:$N$156,0)),"")</f>
        <v/>
      </c>
      <c r="F49" s="25">
        <f>IFERROR(INDEX(상품!$L$7:$L$156,MATCH($A$45&amp;"|"&amp;3,상품!$N$7:$N$156,0)),"")</f>
        <v/>
      </c>
      <c r="G49" s="16">
        <f>IFERROR(IF(INDEX(상품!$C$7:$C$156,MATCH($A$45&amp;"|"&amp;3,상품!$N$7:$N$156,0))="","",ROUND($E$20/COUNTIFS(상품!$A$7:$A$156,"Y",상품!$B$7:$B$156,$A45),0)),"")</f>
        <v/>
      </c>
    </row>
    <row r="50" outlineLevel="1" ht="24" customHeight="1">
      <c r="A50" s="26">
        <f>IFERROR(INDEX(상품!$M$7:$M$156,MATCH($A$45&amp;"|"&amp;3,상품!$N$7:$N$156,0)),"")</f>
        <v/>
      </c>
      <c r="S50" s="22" t="inlineStr">
        <is>
          <t>근거</t>
        </is>
      </c>
    </row>
    <row r="51">
      <c r="A51" s="14" t="inlineStr"/>
      <c r="B51" s="18">
        <f>IFERROR(INDEX(상품!$C$7:$C$156,MATCH($A$45&amp;"|"&amp;4,상품!$N$7:$N$156,0)),"")</f>
        <v/>
      </c>
      <c r="C51" s="18">
        <f>IFERROR(INDEX(상품!$G$7:$G$156,MATCH($A$45&amp;"|"&amp;4,상품!$N$7:$N$156,0)),"")</f>
        <v/>
      </c>
      <c r="D51" s="15">
        <f>IFERROR(INDEX(상품!$I$7:$I$156,MATCH($A$45&amp;"|"&amp;4,상품!$N$7:$N$156,0)),"")</f>
        <v/>
      </c>
      <c r="E51" s="15">
        <f>IFERROR(INDEX(상품!$J$7:$J$156,MATCH($A$45&amp;"|"&amp;4,상품!$N$7:$N$156,0)),"")</f>
        <v/>
      </c>
      <c r="F51" s="25">
        <f>IFERROR(INDEX(상품!$L$7:$L$156,MATCH($A$45&amp;"|"&amp;4,상품!$N$7:$N$156,0)),"")</f>
        <v/>
      </c>
      <c r="G51" s="16">
        <f>IFERROR(IF(INDEX(상품!$C$7:$C$156,MATCH($A$45&amp;"|"&amp;4,상품!$N$7:$N$156,0))="","",ROUND($E$20/COUNTIFS(상품!$A$7:$A$156,"Y",상품!$B$7:$B$156,$A45),0)),"")</f>
        <v/>
      </c>
    </row>
    <row r="52" outlineLevel="1" ht="24" customHeight="1">
      <c r="A52" s="26">
        <f>IFERROR(INDEX(상품!$M$7:$M$156,MATCH($A$45&amp;"|"&amp;4,상품!$N$7:$N$156,0)),"")</f>
        <v/>
      </c>
      <c r="S52" s="22" t="inlineStr">
        <is>
          <t>근거</t>
        </is>
      </c>
    </row>
    <row r="53">
      <c r="A53" s="14" t="inlineStr"/>
      <c r="B53" s="18">
        <f>IFERROR(INDEX(상품!$C$7:$C$156,MATCH($A$45&amp;"|"&amp;5,상품!$N$7:$N$156,0)),"")</f>
        <v/>
      </c>
      <c r="C53" s="18">
        <f>IFERROR(INDEX(상품!$G$7:$G$156,MATCH($A$45&amp;"|"&amp;5,상품!$N$7:$N$156,0)),"")</f>
        <v/>
      </c>
      <c r="D53" s="15">
        <f>IFERROR(INDEX(상품!$I$7:$I$156,MATCH($A$45&amp;"|"&amp;5,상품!$N$7:$N$156,0)),"")</f>
        <v/>
      </c>
      <c r="E53" s="15">
        <f>IFERROR(INDEX(상품!$J$7:$J$156,MATCH($A$45&amp;"|"&amp;5,상품!$N$7:$N$156,0)),"")</f>
        <v/>
      </c>
      <c r="F53" s="25">
        <f>IFERROR(INDEX(상품!$L$7:$L$156,MATCH($A$45&amp;"|"&amp;5,상품!$N$7:$N$156,0)),"")</f>
        <v/>
      </c>
      <c r="G53" s="16">
        <f>IFERROR(IF(INDEX(상품!$C$7:$C$156,MATCH($A$45&amp;"|"&amp;5,상품!$N$7:$N$156,0))="","",ROUND($E$20/COUNTIFS(상품!$A$7:$A$156,"Y",상품!$B$7:$B$156,$A45),0)),"")</f>
        <v/>
      </c>
    </row>
    <row r="54" outlineLevel="1" ht="24" customHeight="1">
      <c r="A54" s="26">
        <f>IFERROR(INDEX(상품!$M$7:$M$156,MATCH($A$45&amp;"|"&amp;5,상품!$N$7:$N$156,0)),"")</f>
        <v/>
      </c>
      <c r="S54" s="22" t="inlineStr">
        <is>
          <t>근거</t>
        </is>
      </c>
    </row>
    <row r="55">
      <c r="A55" s="14" t="inlineStr">
        <is>
          <t>국내ETF</t>
        </is>
      </c>
      <c r="B55" s="18">
        <f>IFERROR(INDEX(상품!$C$7:$C$156,MATCH($A$55&amp;"|"&amp;1,상품!$N$7:$N$156,0)),"")</f>
        <v/>
      </c>
      <c r="C55" s="18">
        <f>IFERROR(INDEX(상품!$G$7:$G$156,MATCH($A$55&amp;"|"&amp;1,상품!$N$7:$N$156,0)),"")</f>
        <v/>
      </c>
      <c r="D55" s="15">
        <f>IFERROR(INDEX(상품!$I$7:$I$156,MATCH($A$55&amp;"|"&amp;1,상품!$N$7:$N$156,0)),"")</f>
        <v/>
      </c>
      <c r="E55" s="15">
        <f>IFERROR(INDEX(상품!$J$7:$J$156,MATCH($A$55&amp;"|"&amp;1,상품!$N$7:$N$156,0)),"")</f>
        <v/>
      </c>
      <c r="F55" s="25">
        <f>IFERROR(INDEX(상품!$L$7:$L$156,MATCH($A$55&amp;"|"&amp;1,상품!$N$7:$N$156,0)),"")</f>
        <v/>
      </c>
      <c r="G55" s="16">
        <f>IFERROR(IF(INDEX(상품!$C$7:$C$156,MATCH($A$55&amp;"|"&amp;1,상품!$N$7:$N$156,0))="","",ROUND($E$21/COUNTIFS(상품!$A$7:$A$156,"Y",상품!$B$7:$B$156,$A55),0)),"")</f>
        <v/>
      </c>
    </row>
    <row r="56" outlineLevel="1" ht="24" customHeight="1">
      <c r="A56" s="26">
        <f>IFERROR(INDEX(상품!$M$7:$M$156,MATCH($A$55&amp;"|"&amp;1,상품!$N$7:$N$156,0)),"")</f>
        <v/>
      </c>
      <c r="S56" s="22" t="inlineStr">
        <is>
          <t>근거</t>
        </is>
      </c>
    </row>
    <row r="57">
      <c r="A57" s="14" t="inlineStr"/>
      <c r="B57" s="18">
        <f>IFERROR(INDEX(상품!$C$7:$C$156,MATCH($A$55&amp;"|"&amp;2,상품!$N$7:$N$156,0)),"")</f>
        <v/>
      </c>
      <c r="C57" s="18">
        <f>IFERROR(INDEX(상품!$G$7:$G$156,MATCH($A$55&amp;"|"&amp;2,상품!$N$7:$N$156,0)),"")</f>
        <v/>
      </c>
      <c r="D57" s="15">
        <f>IFERROR(INDEX(상품!$I$7:$I$156,MATCH($A$55&amp;"|"&amp;2,상품!$N$7:$N$156,0)),"")</f>
        <v/>
      </c>
      <c r="E57" s="15">
        <f>IFERROR(INDEX(상품!$J$7:$J$156,MATCH($A$55&amp;"|"&amp;2,상품!$N$7:$N$156,0)),"")</f>
        <v/>
      </c>
      <c r="F57" s="25">
        <f>IFERROR(INDEX(상품!$L$7:$L$156,MATCH($A$55&amp;"|"&amp;2,상품!$N$7:$N$156,0)),"")</f>
        <v/>
      </c>
      <c r="G57" s="16">
        <f>IFERROR(IF(INDEX(상품!$C$7:$C$156,MATCH($A$55&amp;"|"&amp;2,상품!$N$7:$N$156,0))="","",ROUND($E$21/COUNTIFS(상품!$A$7:$A$156,"Y",상품!$B$7:$B$156,$A55),0)),"")</f>
        <v/>
      </c>
    </row>
    <row r="58" outlineLevel="1" ht="24" customHeight="1">
      <c r="A58" s="26">
        <f>IFERROR(INDEX(상품!$M$7:$M$156,MATCH($A$55&amp;"|"&amp;2,상품!$N$7:$N$156,0)),"")</f>
        <v/>
      </c>
      <c r="S58" s="22" t="inlineStr">
        <is>
          <t>근거</t>
        </is>
      </c>
    </row>
    <row r="59">
      <c r="A59" s="14" t="inlineStr"/>
      <c r="B59" s="18">
        <f>IFERROR(INDEX(상품!$C$7:$C$156,MATCH($A$55&amp;"|"&amp;3,상품!$N$7:$N$156,0)),"")</f>
        <v/>
      </c>
      <c r="C59" s="18">
        <f>IFERROR(INDEX(상품!$G$7:$G$156,MATCH($A$55&amp;"|"&amp;3,상품!$N$7:$N$156,0)),"")</f>
        <v/>
      </c>
      <c r="D59" s="15">
        <f>IFERROR(INDEX(상품!$I$7:$I$156,MATCH($A$55&amp;"|"&amp;3,상품!$N$7:$N$156,0)),"")</f>
        <v/>
      </c>
      <c r="E59" s="15">
        <f>IFERROR(INDEX(상품!$J$7:$J$156,MATCH($A$55&amp;"|"&amp;3,상품!$N$7:$N$156,0)),"")</f>
        <v/>
      </c>
      <c r="F59" s="25">
        <f>IFERROR(INDEX(상품!$L$7:$L$156,MATCH($A$55&amp;"|"&amp;3,상품!$N$7:$N$156,0)),"")</f>
        <v/>
      </c>
      <c r="G59" s="16">
        <f>IFERROR(IF(INDEX(상품!$C$7:$C$156,MATCH($A$55&amp;"|"&amp;3,상품!$N$7:$N$156,0))="","",ROUND($E$21/COUNTIFS(상품!$A$7:$A$156,"Y",상품!$B$7:$B$156,$A55),0)),"")</f>
        <v/>
      </c>
    </row>
    <row r="60" outlineLevel="1" ht="24" customHeight="1">
      <c r="A60" s="26">
        <f>IFERROR(INDEX(상품!$M$7:$M$156,MATCH($A$55&amp;"|"&amp;3,상품!$N$7:$N$156,0)),"")</f>
        <v/>
      </c>
      <c r="S60" s="22" t="inlineStr">
        <is>
          <t>근거</t>
        </is>
      </c>
    </row>
    <row r="61">
      <c r="A61" s="14" t="inlineStr"/>
      <c r="B61" s="18">
        <f>IFERROR(INDEX(상품!$C$7:$C$156,MATCH($A$55&amp;"|"&amp;4,상품!$N$7:$N$156,0)),"")</f>
        <v/>
      </c>
      <c r="C61" s="18">
        <f>IFERROR(INDEX(상품!$G$7:$G$156,MATCH($A$55&amp;"|"&amp;4,상품!$N$7:$N$156,0)),"")</f>
        <v/>
      </c>
      <c r="D61" s="15">
        <f>IFERROR(INDEX(상품!$I$7:$I$156,MATCH($A$55&amp;"|"&amp;4,상품!$N$7:$N$156,0)),"")</f>
        <v/>
      </c>
      <c r="E61" s="15">
        <f>IFERROR(INDEX(상품!$J$7:$J$156,MATCH($A$55&amp;"|"&amp;4,상품!$N$7:$N$156,0)),"")</f>
        <v/>
      </c>
      <c r="F61" s="25">
        <f>IFERROR(INDEX(상품!$L$7:$L$156,MATCH($A$55&amp;"|"&amp;4,상품!$N$7:$N$156,0)),"")</f>
        <v/>
      </c>
      <c r="G61" s="16">
        <f>IFERROR(IF(INDEX(상품!$C$7:$C$156,MATCH($A$55&amp;"|"&amp;4,상품!$N$7:$N$156,0))="","",ROUND($E$21/COUNTIFS(상품!$A$7:$A$156,"Y",상품!$B$7:$B$156,$A55),0)),"")</f>
        <v/>
      </c>
    </row>
    <row r="62" outlineLevel="1" ht="24" customHeight="1">
      <c r="A62" s="26">
        <f>IFERROR(INDEX(상품!$M$7:$M$156,MATCH($A$55&amp;"|"&amp;4,상품!$N$7:$N$156,0)),"")</f>
        <v/>
      </c>
      <c r="S62" s="22" t="inlineStr">
        <is>
          <t>근거</t>
        </is>
      </c>
    </row>
    <row r="63">
      <c r="A63" s="14" t="inlineStr"/>
      <c r="B63" s="18">
        <f>IFERROR(INDEX(상품!$C$7:$C$156,MATCH($A$55&amp;"|"&amp;5,상품!$N$7:$N$156,0)),"")</f>
        <v/>
      </c>
      <c r="C63" s="18">
        <f>IFERROR(INDEX(상품!$G$7:$G$156,MATCH($A$55&amp;"|"&amp;5,상품!$N$7:$N$156,0)),"")</f>
        <v/>
      </c>
      <c r="D63" s="15">
        <f>IFERROR(INDEX(상품!$I$7:$I$156,MATCH($A$55&amp;"|"&amp;5,상품!$N$7:$N$156,0)),"")</f>
        <v/>
      </c>
      <c r="E63" s="15">
        <f>IFERROR(INDEX(상품!$J$7:$J$156,MATCH($A$55&amp;"|"&amp;5,상품!$N$7:$N$156,0)),"")</f>
        <v/>
      </c>
      <c r="F63" s="25">
        <f>IFERROR(INDEX(상품!$L$7:$L$156,MATCH($A$55&amp;"|"&amp;5,상품!$N$7:$N$156,0)),"")</f>
        <v/>
      </c>
      <c r="G63" s="16">
        <f>IFERROR(IF(INDEX(상품!$C$7:$C$156,MATCH($A$55&amp;"|"&amp;5,상품!$N$7:$N$156,0))="","",ROUND($E$21/COUNTIFS(상품!$A$7:$A$156,"Y",상품!$B$7:$B$156,$A55),0)),"")</f>
        <v/>
      </c>
    </row>
    <row r="64" outlineLevel="1" ht="24" customHeight="1">
      <c r="A64" s="26">
        <f>IFERROR(INDEX(상품!$M$7:$M$156,MATCH($A$55&amp;"|"&amp;5,상품!$N$7:$N$156,0)),"")</f>
        <v/>
      </c>
      <c r="S64" s="22" t="inlineStr">
        <is>
          <t>근거</t>
        </is>
      </c>
    </row>
    <row r="65">
      <c r="A65" s="14" t="inlineStr">
        <is>
          <t>해외ETF</t>
        </is>
      </c>
      <c r="B65" s="18">
        <f>IFERROR(INDEX(상품!$C$7:$C$156,MATCH($A$65&amp;"|"&amp;1,상품!$N$7:$N$156,0)),"")</f>
        <v/>
      </c>
      <c r="C65" s="18">
        <f>IFERROR(INDEX(상품!$G$7:$G$156,MATCH($A$65&amp;"|"&amp;1,상품!$N$7:$N$156,0)),"")</f>
        <v/>
      </c>
      <c r="D65" s="15">
        <f>IFERROR(INDEX(상품!$I$7:$I$156,MATCH($A$65&amp;"|"&amp;1,상품!$N$7:$N$156,0)),"")</f>
        <v/>
      </c>
      <c r="E65" s="15">
        <f>IFERROR(INDEX(상품!$J$7:$J$156,MATCH($A$65&amp;"|"&amp;1,상품!$N$7:$N$156,0)),"")</f>
        <v/>
      </c>
      <c r="F65" s="25">
        <f>IFERROR(INDEX(상품!$L$7:$L$156,MATCH($A$65&amp;"|"&amp;1,상품!$N$7:$N$156,0)),"")</f>
        <v/>
      </c>
      <c r="G65" s="16">
        <f>IFERROR(IF(INDEX(상품!$C$7:$C$156,MATCH($A$65&amp;"|"&amp;1,상품!$N$7:$N$156,0))="","",ROUND($E$22/COUNTIFS(상품!$A$7:$A$156,"Y",상품!$B$7:$B$156,$A65),0)),"")</f>
        <v/>
      </c>
    </row>
    <row r="66" outlineLevel="1" ht="24" customHeight="1">
      <c r="A66" s="26">
        <f>IFERROR(INDEX(상품!$M$7:$M$156,MATCH($A$65&amp;"|"&amp;1,상품!$N$7:$N$156,0)),"")</f>
        <v/>
      </c>
      <c r="S66" s="22" t="inlineStr">
        <is>
          <t>근거</t>
        </is>
      </c>
    </row>
    <row r="67">
      <c r="A67" s="14" t="inlineStr"/>
      <c r="B67" s="18">
        <f>IFERROR(INDEX(상품!$C$7:$C$156,MATCH($A$65&amp;"|"&amp;2,상품!$N$7:$N$156,0)),"")</f>
        <v/>
      </c>
      <c r="C67" s="18">
        <f>IFERROR(INDEX(상품!$G$7:$G$156,MATCH($A$65&amp;"|"&amp;2,상품!$N$7:$N$156,0)),"")</f>
        <v/>
      </c>
      <c r="D67" s="15">
        <f>IFERROR(INDEX(상품!$I$7:$I$156,MATCH($A$65&amp;"|"&amp;2,상품!$N$7:$N$156,0)),"")</f>
        <v/>
      </c>
      <c r="E67" s="15">
        <f>IFERROR(INDEX(상품!$J$7:$J$156,MATCH($A$65&amp;"|"&amp;2,상품!$N$7:$N$156,0)),"")</f>
        <v/>
      </c>
      <c r="F67" s="25">
        <f>IFERROR(INDEX(상품!$L$7:$L$156,MATCH($A$65&amp;"|"&amp;2,상품!$N$7:$N$156,0)),"")</f>
        <v/>
      </c>
      <c r="G67" s="16">
        <f>IFERROR(IF(INDEX(상품!$C$7:$C$156,MATCH($A$65&amp;"|"&amp;2,상품!$N$7:$N$156,0))="","",ROUND($E$22/COUNTIFS(상품!$A$7:$A$156,"Y",상품!$B$7:$B$156,$A65),0)),"")</f>
        <v/>
      </c>
    </row>
    <row r="68" outlineLevel="1" ht="24" customHeight="1">
      <c r="A68" s="26">
        <f>IFERROR(INDEX(상품!$M$7:$M$156,MATCH($A$65&amp;"|"&amp;2,상품!$N$7:$N$156,0)),"")</f>
        <v/>
      </c>
      <c r="S68" s="22" t="inlineStr">
        <is>
          <t>근거</t>
        </is>
      </c>
    </row>
    <row r="69">
      <c r="A69" s="14" t="inlineStr"/>
      <c r="B69" s="18">
        <f>IFERROR(INDEX(상품!$C$7:$C$156,MATCH($A$65&amp;"|"&amp;3,상품!$N$7:$N$156,0)),"")</f>
        <v/>
      </c>
      <c r="C69" s="18">
        <f>IFERROR(INDEX(상품!$G$7:$G$156,MATCH($A$65&amp;"|"&amp;3,상품!$N$7:$N$156,0)),"")</f>
        <v/>
      </c>
      <c r="D69" s="15">
        <f>IFERROR(INDEX(상품!$I$7:$I$156,MATCH($A$65&amp;"|"&amp;3,상품!$N$7:$N$156,0)),"")</f>
        <v/>
      </c>
      <c r="E69" s="15">
        <f>IFERROR(INDEX(상품!$J$7:$J$156,MATCH($A$65&amp;"|"&amp;3,상품!$N$7:$N$156,0)),"")</f>
        <v/>
      </c>
      <c r="F69" s="25">
        <f>IFERROR(INDEX(상품!$L$7:$L$156,MATCH($A$65&amp;"|"&amp;3,상품!$N$7:$N$156,0)),"")</f>
        <v/>
      </c>
      <c r="G69" s="16">
        <f>IFERROR(IF(INDEX(상품!$C$7:$C$156,MATCH($A$65&amp;"|"&amp;3,상품!$N$7:$N$156,0))="","",ROUND($E$22/COUNTIFS(상품!$A$7:$A$156,"Y",상품!$B$7:$B$156,$A65),0)),"")</f>
        <v/>
      </c>
    </row>
    <row r="70" outlineLevel="1" ht="24" customHeight="1">
      <c r="A70" s="26">
        <f>IFERROR(INDEX(상품!$M$7:$M$156,MATCH($A$65&amp;"|"&amp;3,상품!$N$7:$N$156,0)),"")</f>
        <v/>
      </c>
      <c r="S70" s="22" t="inlineStr">
        <is>
          <t>근거</t>
        </is>
      </c>
    </row>
    <row r="71">
      <c r="A71" s="14" t="inlineStr"/>
      <c r="B71" s="18">
        <f>IFERROR(INDEX(상품!$C$7:$C$156,MATCH($A$65&amp;"|"&amp;4,상품!$N$7:$N$156,0)),"")</f>
        <v/>
      </c>
      <c r="C71" s="18">
        <f>IFERROR(INDEX(상품!$G$7:$G$156,MATCH($A$65&amp;"|"&amp;4,상품!$N$7:$N$156,0)),"")</f>
        <v/>
      </c>
      <c r="D71" s="15">
        <f>IFERROR(INDEX(상품!$I$7:$I$156,MATCH($A$65&amp;"|"&amp;4,상품!$N$7:$N$156,0)),"")</f>
        <v/>
      </c>
      <c r="E71" s="15">
        <f>IFERROR(INDEX(상품!$J$7:$J$156,MATCH($A$65&amp;"|"&amp;4,상품!$N$7:$N$156,0)),"")</f>
        <v/>
      </c>
      <c r="F71" s="25">
        <f>IFERROR(INDEX(상품!$L$7:$L$156,MATCH($A$65&amp;"|"&amp;4,상품!$N$7:$N$156,0)),"")</f>
        <v/>
      </c>
      <c r="G71" s="16">
        <f>IFERROR(IF(INDEX(상품!$C$7:$C$156,MATCH($A$65&amp;"|"&amp;4,상품!$N$7:$N$156,0))="","",ROUND($E$22/COUNTIFS(상품!$A$7:$A$156,"Y",상품!$B$7:$B$156,$A65),0)),"")</f>
        <v/>
      </c>
    </row>
    <row r="72" outlineLevel="1" ht="24" customHeight="1">
      <c r="A72" s="26">
        <f>IFERROR(INDEX(상품!$M$7:$M$156,MATCH($A$65&amp;"|"&amp;4,상품!$N$7:$N$156,0)),"")</f>
        <v/>
      </c>
      <c r="S72" s="22" t="inlineStr">
        <is>
          <t>근거</t>
        </is>
      </c>
    </row>
    <row r="73">
      <c r="A73" s="14" t="inlineStr"/>
      <c r="B73" s="18">
        <f>IFERROR(INDEX(상품!$C$7:$C$156,MATCH($A$65&amp;"|"&amp;5,상품!$N$7:$N$156,0)),"")</f>
        <v/>
      </c>
      <c r="C73" s="18">
        <f>IFERROR(INDEX(상품!$G$7:$G$156,MATCH($A$65&amp;"|"&amp;5,상품!$N$7:$N$156,0)),"")</f>
        <v/>
      </c>
      <c r="D73" s="15">
        <f>IFERROR(INDEX(상품!$I$7:$I$156,MATCH($A$65&amp;"|"&amp;5,상품!$N$7:$N$156,0)),"")</f>
        <v/>
      </c>
      <c r="E73" s="15">
        <f>IFERROR(INDEX(상품!$J$7:$J$156,MATCH($A$65&amp;"|"&amp;5,상품!$N$7:$N$156,0)),"")</f>
        <v/>
      </c>
      <c r="F73" s="25">
        <f>IFERROR(INDEX(상품!$L$7:$L$156,MATCH($A$65&amp;"|"&amp;5,상품!$N$7:$N$156,0)),"")</f>
        <v/>
      </c>
      <c r="G73" s="16">
        <f>IFERROR(IF(INDEX(상품!$C$7:$C$156,MATCH($A$65&amp;"|"&amp;5,상품!$N$7:$N$156,0))="","",ROUND($E$22/COUNTIFS(상품!$A$7:$A$156,"Y",상품!$B$7:$B$156,$A65),0)),"")</f>
        <v/>
      </c>
    </row>
    <row r="74" outlineLevel="1" ht="24" customHeight="1">
      <c r="A74" s="26">
        <f>IFERROR(INDEX(상품!$M$7:$M$156,MATCH($A$65&amp;"|"&amp;5,상품!$N$7:$N$156,0)),"")</f>
        <v/>
      </c>
      <c r="S74" s="22" t="inlineStr">
        <is>
          <t>근거</t>
        </is>
      </c>
    </row>
    <row r="75">
      <c r="A75" s="14" t="inlineStr">
        <is>
          <t>국내펀드</t>
        </is>
      </c>
      <c r="B75" s="18">
        <f>IFERROR(INDEX(상품!$C$7:$C$156,MATCH($A$75&amp;"|"&amp;1,상품!$N$7:$N$156,0)),"")</f>
        <v/>
      </c>
      <c r="C75" s="18">
        <f>IFERROR(INDEX(상품!$G$7:$G$156,MATCH($A$75&amp;"|"&amp;1,상품!$N$7:$N$156,0)),"")</f>
        <v/>
      </c>
      <c r="D75" s="15">
        <f>IFERROR(INDEX(상품!$I$7:$I$156,MATCH($A$75&amp;"|"&amp;1,상품!$N$7:$N$156,0)),"")</f>
        <v/>
      </c>
      <c r="E75" s="15">
        <f>IFERROR(INDEX(상품!$J$7:$J$156,MATCH($A$75&amp;"|"&amp;1,상품!$N$7:$N$156,0)),"")</f>
        <v/>
      </c>
      <c r="F75" s="25">
        <f>IFERROR(INDEX(상품!$L$7:$L$156,MATCH($A$75&amp;"|"&amp;1,상품!$N$7:$N$156,0)),"")</f>
        <v/>
      </c>
      <c r="G75" s="16">
        <f>IFERROR(IF(INDEX(상품!$C$7:$C$156,MATCH($A$75&amp;"|"&amp;1,상품!$N$7:$N$156,0))="","",ROUND($E$23/COUNTIFS(상품!$A$7:$A$156,"Y",상품!$B$7:$B$156,$A75),0)),"")</f>
        <v/>
      </c>
    </row>
    <row r="76" outlineLevel="1" ht="24" customHeight="1">
      <c r="A76" s="26">
        <f>IFERROR(INDEX(상품!$M$7:$M$156,MATCH($A$75&amp;"|"&amp;1,상품!$N$7:$N$156,0)),"")</f>
        <v/>
      </c>
      <c r="S76" s="22" t="inlineStr">
        <is>
          <t>근거</t>
        </is>
      </c>
    </row>
    <row r="77">
      <c r="A77" s="14" t="inlineStr"/>
      <c r="B77" s="18">
        <f>IFERROR(INDEX(상품!$C$7:$C$156,MATCH($A$75&amp;"|"&amp;2,상품!$N$7:$N$156,0)),"")</f>
        <v/>
      </c>
      <c r="C77" s="18">
        <f>IFERROR(INDEX(상품!$G$7:$G$156,MATCH($A$75&amp;"|"&amp;2,상품!$N$7:$N$156,0)),"")</f>
        <v/>
      </c>
      <c r="D77" s="15">
        <f>IFERROR(INDEX(상품!$I$7:$I$156,MATCH($A$75&amp;"|"&amp;2,상품!$N$7:$N$156,0)),"")</f>
        <v/>
      </c>
      <c r="E77" s="15">
        <f>IFERROR(INDEX(상품!$J$7:$J$156,MATCH($A$75&amp;"|"&amp;2,상품!$N$7:$N$156,0)),"")</f>
        <v/>
      </c>
      <c r="F77" s="25">
        <f>IFERROR(INDEX(상품!$L$7:$L$156,MATCH($A$75&amp;"|"&amp;2,상품!$N$7:$N$156,0)),"")</f>
        <v/>
      </c>
      <c r="G77" s="16">
        <f>IFERROR(IF(INDEX(상품!$C$7:$C$156,MATCH($A$75&amp;"|"&amp;2,상품!$N$7:$N$156,0))="","",ROUND($E$23/COUNTIFS(상품!$A$7:$A$156,"Y",상품!$B$7:$B$156,$A75),0)),"")</f>
        <v/>
      </c>
    </row>
    <row r="78" outlineLevel="1" ht="24" customHeight="1">
      <c r="A78" s="26">
        <f>IFERROR(INDEX(상품!$M$7:$M$156,MATCH($A$75&amp;"|"&amp;2,상품!$N$7:$N$156,0)),"")</f>
        <v/>
      </c>
      <c r="S78" s="22" t="inlineStr">
        <is>
          <t>근거</t>
        </is>
      </c>
    </row>
    <row r="79">
      <c r="A79" s="14" t="inlineStr"/>
      <c r="B79" s="18">
        <f>IFERROR(INDEX(상품!$C$7:$C$156,MATCH($A$75&amp;"|"&amp;3,상품!$N$7:$N$156,0)),"")</f>
        <v/>
      </c>
      <c r="C79" s="18">
        <f>IFERROR(INDEX(상품!$G$7:$G$156,MATCH($A$75&amp;"|"&amp;3,상품!$N$7:$N$156,0)),"")</f>
        <v/>
      </c>
      <c r="D79" s="15">
        <f>IFERROR(INDEX(상품!$I$7:$I$156,MATCH($A$75&amp;"|"&amp;3,상품!$N$7:$N$156,0)),"")</f>
        <v/>
      </c>
      <c r="E79" s="15">
        <f>IFERROR(INDEX(상품!$J$7:$J$156,MATCH($A$75&amp;"|"&amp;3,상품!$N$7:$N$156,0)),"")</f>
        <v/>
      </c>
      <c r="F79" s="25">
        <f>IFERROR(INDEX(상품!$L$7:$L$156,MATCH($A$75&amp;"|"&amp;3,상품!$N$7:$N$156,0)),"")</f>
        <v/>
      </c>
      <c r="G79" s="16">
        <f>IFERROR(IF(INDEX(상품!$C$7:$C$156,MATCH($A$75&amp;"|"&amp;3,상품!$N$7:$N$156,0))="","",ROUND($E$23/COUNTIFS(상품!$A$7:$A$156,"Y",상품!$B$7:$B$156,$A75),0)),"")</f>
        <v/>
      </c>
    </row>
    <row r="80" outlineLevel="1" ht="24" customHeight="1">
      <c r="A80" s="26">
        <f>IFERROR(INDEX(상품!$M$7:$M$156,MATCH($A$75&amp;"|"&amp;3,상품!$N$7:$N$156,0)),"")</f>
        <v/>
      </c>
      <c r="S80" s="22" t="inlineStr">
        <is>
          <t>근거</t>
        </is>
      </c>
    </row>
    <row r="81">
      <c r="A81" s="14" t="inlineStr"/>
      <c r="B81" s="18">
        <f>IFERROR(INDEX(상품!$C$7:$C$156,MATCH($A$75&amp;"|"&amp;4,상품!$N$7:$N$156,0)),"")</f>
        <v/>
      </c>
      <c r="C81" s="18">
        <f>IFERROR(INDEX(상품!$G$7:$G$156,MATCH($A$75&amp;"|"&amp;4,상품!$N$7:$N$156,0)),"")</f>
        <v/>
      </c>
      <c r="D81" s="15">
        <f>IFERROR(INDEX(상품!$I$7:$I$156,MATCH($A$75&amp;"|"&amp;4,상품!$N$7:$N$156,0)),"")</f>
        <v/>
      </c>
      <c r="E81" s="15">
        <f>IFERROR(INDEX(상품!$J$7:$J$156,MATCH($A$75&amp;"|"&amp;4,상품!$N$7:$N$156,0)),"")</f>
        <v/>
      </c>
      <c r="F81" s="25">
        <f>IFERROR(INDEX(상품!$L$7:$L$156,MATCH($A$75&amp;"|"&amp;4,상품!$N$7:$N$156,0)),"")</f>
        <v/>
      </c>
      <c r="G81" s="16">
        <f>IFERROR(IF(INDEX(상품!$C$7:$C$156,MATCH($A$75&amp;"|"&amp;4,상품!$N$7:$N$156,0))="","",ROUND($E$23/COUNTIFS(상품!$A$7:$A$156,"Y",상품!$B$7:$B$156,$A75),0)),"")</f>
        <v/>
      </c>
    </row>
    <row r="82" outlineLevel="1" ht="24" customHeight="1">
      <c r="A82" s="26">
        <f>IFERROR(INDEX(상품!$M$7:$M$156,MATCH($A$75&amp;"|"&amp;4,상품!$N$7:$N$156,0)),"")</f>
        <v/>
      </c>
      <c r="S82" s="22" t="inlineStr">
        <is>
          <t>근거</t>
        </is>
      </c>
    </row>
    <row r="83">
      <c r="A83" s="14" t="inlineStr"/>
      <c r="B83" s="18">
        <f>IFERROR(INDEX(상품!$C$7:$C$156,MATCH($A$75&amp;"|"&amp;5,상품!$N$7:$N$156,0)),"")</f>
        <v/>
      </c>
      <c r="C83" s="18">
        <f>IFERROR(INDEX(상품!$G$7:$G$156,MATCH($A$75&amp;"|"&amp;5,상품!$N$7:$N$156,0)),"")</f>
        <v/>
      </c>
      <c r="D83" s="15">
        <f>IFERROR(INDEX(상품!$I$7:$I$156,MATCH($A$75&amp;"|"&amp;5,상품!$N$7:$N$156,0)),"")</f>
        <v/>
      </c>
      <c r="E83" s="15">
        <f>IFERROR(INDEX(상품!$J$7:$J$156,MATCH($A$75&amp;"|"&amp;5,상품!$N$7:$N$156,0)),"")</f>
        <v/>
      </c>
      <c r="F83" s="25">
        <f>IFERROR(INDEX(상품!$L$7:$L$156,MATCH($A$75&amp;"|"&amp;5,상품!$N$7:$N$156,0)),"")</f>
        <v/>
      </c>
      <c r="G83" s="16">
        <f>IFERROR(IF(INDEX(상품!$C$7:$C$156,MATCH($A$75&amp;"|"&amp;5,상품!$N$7:$N$156,0))="","",ROUND($E$23/COUNTIFS(상품!$A$7:$A$156,"Y",상품!$B$7:$B$156,$A75),0)),"")</f>
        <v/>
      </c>
    </row>
    <row r="84" outlineLevel="1" ht="24" customHeight="1">
      <c r="A84" s="26">
        <f>IFERROR(INDEX(상품!$M$7:$M$156,MATCH($A$75&amp;"|"&amp;5,상품!$N$7:$N$156,0)),"")</f>
        <v/>
      </c>
      <c r="S84" s="22" t="inlineStr">
        <is>
          <t>근거</t>
        </is>
      </c>
    </row>
    <row r="85">
      <c r="A85" s="14" t="inlineStr">
        <is>
          <t>해외펀드</t>
        </is>
      </c>
      <c r="B85" s="18">
        <f>IFERROR(INDEX(상품!$C$7:$C$156,MATCH($A$85&amp;"|"&amp;1,상품!$N$7:$N$156,0)),"")</f>
        <v/>
      </c>
      <c r="C85" s="18">
        <f>IFERROR(INDEX(상품!$G$7:$G$156,MATCH($A$85&amp;"|"&amp;1,상품!$N$7:$N$156,0)),"")</f>
        <v/>
      </c>
      <c r="D85" s="15">
        <f>IFERROR(INDEX(상품!$I$7:$I$156,MATCH($A$85&amp;"|"&amp;1,상품!$N$7:$N$156,0)),"")</f>
        <v/>
      </c>
      <c r="E85" s="15">
        <f>IFERROR(INDEX(상품!$J$7:$J$156,MATCH($A$85&amp;"|"&amp;1,상품!$N$7:$N$156,0)),"")</f>
        <v/>
      </c>
      <c r="F85" s="25">
        <f>IFERROR(INDEX(상품!$L$7:$L$156,MATCH($A$85&amp;"|"&amp;1,상품!$N$7:$N$156,0)),"")</f>
        <v/>
      </c>
      <c r="G85" s="16">
        <f>IFERROR(IF(INDEX(상품!$C$7:$C$156,MATCH($A$85&amp;"|"&amp;1,상품!$N$7:$N$156,0))="","",ROUND($E$24/COUNTIFS(상품!$A$7:$A$156,"Y",상품!$B$7:$B$156,$A85),0)),"")</f>
        <v/>
      </c>
    </row>
    <row r="86" outlineLevel="1" ht="24" customHeight="1">
      <c r="A86" s="26">
        <f>IFERROR(INDEX(상품!$M$7:$M$156,MATCH($A$85&amp;"|"&amp;1,상품!$N$7:$N$156,0)),"")</f>
        <v/>
      </c>
      <c r="S86" s="22" t="inlineStr">
        <is>
          <t>근거</t>
        </is>
      </c>
    </row>
    <row r="87">
      <c r="A87" s="14" t="inlineStr"/>
      <c r="B87" s="18">
        <f>IFERROR(INDEX(상품!$C$7:$C$156,MATCH($A$85&amp;"|"&amp;2,상품!$N$7:$N$156,0)),"")</f>
        <v/>
      </c>
      <c r="C87" s="18">
        <f>IFERROR(INDEX(상품!$G$7:$G$156,MATCH($A$85&amp;"|"&amp;2,상품!$N$7:$N$156,0)),"")</f>
        <v/>
      </c>
      <c r="D87" s="15">
        <f>IFERROR(INDEX(상품!$I$7:$I$156,MATCH($A$85&amp;"|"&amp;2,상품!$N$7:$N$156,0)),"")</f>
        <v/>
      </c>
      <c r="E87" s="15">
        <f>IFERROR(INDEX(상품!$J$7:$J$156,MATCH($A$85&amp;"|"&amp;2,상품!$N$7:$N$156,0)),"")</f>
        <v/>
      </c>
      <c r="F87" s="25">
        <f>IFERROR(INDEX(상품!$L$7:$L$156,MATCH($A$85&amp;"|"&amp;2,상품!$N$7:$N$156,0)),"")</f>
        <v/>
      </c>
      <c r="G87" s="16">
        <f>IFERROR(IF(INDEX(상품!$C$7:$C$156,MATCH($A$85&amp;"|"&amp;2,상품!$N$7:$N$156,0))="","",ROUND($E$24/COUNTIFS(상품!$A$7:$A$156,"Y",상품!$B$7:$B$156,$A85),0)),"")</f>
        <v/>
      </c>
    </row>
    <row r="88" outlineLevel="1" ht="24" customHeight="1">
      <c r="A88" s="26">
        <f>IFERROR(INDEX(상품!$M$7:$M$156,MATCH($A$85&amp;"|"&amp;2,상품!$N$7:$N$156,0)),"")</f>
        <v/>
      </c>
      <c r="S88" s="22" t="inlineStr">
        <is>
          <t>근거</t>
        </is>
      </c>
    </row>
    <row r="89">
      <c r="A89" s="14" t="inlineStr"/>
      <c r="B89" s="18">
        <f>IFERROR(INDEX(상품!$C$7:$C$156,MATCH($A$85&amp;"|"&amp;3,상품!$N$7:$N$156,0)),"")</f>
        <v/>
      </c>
      <c r="C89" s="18">
        <f>IFERROR(INDEX(상품!$G$7:$G$156,MATCH($A$85&amp;"|"&amp;3,상품!$N$7:$N$156,0)),"")</f>
        <v/>
      </c>
      <c r="D89" s="15">
        <f>IFERROR(INDEX(상품!$I$7:$I$156,MATCH($A$85&amp;"|"&amp;3,상품!$N$7:$N$156,0)),"")</f>
        <v/>
      </c>
      <c r="E89" s="15">
        <f>IFERROR(INDEX(상품!$J$7:$J$156,MATCH($A$85&amp;"|"&amp;3,상품!$N$7:$N$156,0)),"")</f>
        <v/>
      </c>
      <c r="F89" s="25">
        <f>IFERROR(INDEX(상품!$L$7:$L$156,MATCH($A$85&amp;"|"&amp;3,상품!$N$7:$N$156,0)),"")</f>
        <v/>
      </c>
      <c r="G89" s="16">
        <f>IFERROR(IF(INDEX(상품!$C$7:$C$156,MATCH($A$85&amp;"|"&amp;3,상품!$N$7:$N$156,0))="","",ROUND($E$24/COUNTIFS(상품!$A$7:$A$156,"Y",상품!$B$7:$B$156,$A85),0)),"")</f>
        <v/>
      </c>
    </row>
    <row r="90" outlineLevel="1" ht="24" customHeight="1">
      <c r="A90" s="26">
        <f>IFERROR(INDEX(상품!$M$7:$M$156,MATCH($A$85&amp;"|"&amp;3,상품!$N$7:$N$156,0)),"")</f>
        <v/>
      </c>
      <c r="S90" s="22" t="inlineStr">
        <is>
          <t>근거</t>
        </is>
      </c>
    </row>
    <row r="91">
      <c r="A91" s="14" t="inlineStr"/>
      <c r="B91" s="18">
        <f>IFERROR(INDEX(상품!$C$7:$C$156,MATCH($A$85&amp;"|"&amp;4,상품!$N$7:$N$156,0)),"")</f>
        <v/>
      </c>
      <c r="C91" s="18">
        <f>IFERROR(INDEX(상품!$G$7:$G$156,MATCH($A$85&amp;"|"&amp;4,상품!$N$7:$N$156,0)),"")</f>
        <v/>
      </c>
      <c r="D91" s="15">
        <f>IFERROR(INDEX(상품!$I$7:$I$156,MATCH($A$85&amp;"|"&amp;4,상품!$N$7:$N$156,0)),"")</f>
        <v/>
      </c>
      <c r="E91" s="15">
        <f>IFERROR(INDEX(상품!$J$7:$J$156,MATCH($A$85&amp;"|"&amp;4,상품!$N$7:$N$156,0)),"")</f>
        <v/>
      </c>
      <c r="F91" s="25">
        <f>IFERROR(INDEX(상품!$L$7:$L$156,MATCH($A$85&amp;"|"&amp;4,상품!$N$7:$N$156,0)),"")</f>
        <v/>
      </c>
      <c r="G91" s="16">
        <f>IFERROR(IF(INDEX(상품!$C$7:$C$156,MATCH($A$85&amp;"|"&amp;4,상품!$N$7:$N$156,0))="","",ROUND($E$24/COUNTIFS(상품!$A$7:$A$156,"Y",상품!$B$7:$B$156,$A85),0)),"")</f>
        <v/>
      </c>
    </row>
    <row r="92" outlineLevel="1" ht="24" customHeight="1">
      <c r="A92" s="26">
        <f>IFERROR(INDEX(상품!$M$7:$M$156,MATCH($A$85&amp;"|"&amp;4,상품!$N$7:$N$156,0)),"")</f>
        <v/>
      </c>
      <c r="S92" s="22" t="inlineStr">
        <is>
          <t>근거</t>
        </is>
      </c>
    </row>
    <row r="93">
      <c r="A93" s="14" t="inlineStr"/>
      <c r="B93" s="18">
        <f>IFERROR(INDEX(상품!$C$7:$C$156,MATCH($A$85&amp;"|"&amp;5,상품!$N$7:$N$156,0)),"")</f>
        <v/>
      </c>
      <c r="C93" s="18">
        <f>IFERROR(INDEX(상품!$G$7:$G$156,MATCH($A$85&amp;"|"&amp;5,상품!$N$7:$N$156,0)),"")</f>
        <v/>
      </c>
      <c r="D93" s="15">
        <f>IFERROR(INDEX(상품!$I$7:$I$156,MATCH($A$85&amp;"|"&amp;5,상품!$N$7:$N$156,0)),"")</f>
        <v/>
      </c>
      <c r="E93" s="15">
        <f>IFERROR(INDEX(상품!$J$7:$J$156,MATCH($A$85&amp;"|"&amp;5,상품!$N$7:$N$156,0)),"")</f>
        <v/>
      </c>
      <c r="F93" s="25">
        <f>IFERROR(INDEX(상품!$L$7:$L$156,MATCH($A$85&amp;"|"&amp;5,상품!$N$7:$N$156,0)),"")</f>
        <v/>
      </c>
      <c r="G93" s="16">
        <f>IFERROR(IF(INDEX(상품!$C$7:$C$156,MATCH($A$85&amp;"|"&amp;5,상품!$N$7:$N$156,0))="","",ROUND($E$24/COUNTIFS(상품!$A$7:$A$156,"Y",상품!$B$7:$B$156,$A85),0)),"")</f>
        <v/>
      </c>
    </row>
    <row r="94" outlineLevel="1" ht="24" customHeight="1">
      <c r="A94" s="26">
        <f>IFERROR(INDEX(상품!$M$7:$M$156,MATCH($A$85&amp;"|"&amp;5,상품!$N$7:$N$156,0)),"")</f>
        <v/>
      </c>
      <c r="S94" s="22" t="inlineStr">
        <is>
          <t>근거</t>
        </is>
      </c>
    </row>
    <row r="95" ht="26" customHeight="1">
      <c r="A95" s="22" t="inlineStr">
        <is>
          <t>개별 주식은 종목 추천이 아닙니다. 적힌 수치는 모두 지나간 실적이며 미래 수익률이 아닙니다. 고른 근거는 「상품」 시트의 「고른 까닭」 칸에 있습니다.</t>
        </is>
      </c>
    </row>
    <row r="97" ht="4" customHeight="1">
      <c r="A97" s="3" t="n"/>
      <c r="B97" s="3" t="n"/>
      <c r="C97" s="3" t="n"/>
      <c r="D97" s="3" t="n"/>
      <c r="E97" s="3" t="n"/>
      <c r="F97" s="3" t="n"/>
      <c r="G97" s="3" t="n"/>
    </row>
    <row r="98" ht="26" customHeight="1">
      <c r="A98" s="4" t="inlineStr">
        <is>
          <t>4</t>
        </is>
      </c>
      <c r="B98" s="5" t="inlineStr">
        <is>
          <t>목표 수익률 견주기</t>
        </is>
      </c>
    </row>
    <row r="99" ht="6" customHeight="1"/>
    <row r="100">
      <c r="A100" s="6" t="inlineStr">
        <is>
          <t>고객 목표 (연)</t>
        </is>
      </c>
      <c r="D100" s="15">
        <f>IF($B$12="","—",$B$12)</f>
        <v/>
      </c>
    </row>
    <row r="101">
      <c r="A101" s="6" t="inlineStr">
        <is>
          <t>이 배분의 기대수익률 (가정 가중합)</t>
        </is>
      </c>
      <c r="D101" s="15">
        <f>IF(COUNT($G19:$G25)=0,"가정 미입력",$G26)</f>
        <v/>
      </c>
    </row>
    <row r="102">
      <c r="A102" s="6" t="inlineStr">
        <is>
          <t>차이 (기대 − 목표)</t>
        </is>
      </c>
      <c r="D102" s="27">
        <f>IF(OR($B$12="",COUNT($G19:$G25)=0),"—",$G26-$B$12)</f>
        <v/>
      </c>
    </row>
    <row r="103">
      <c r="A103" s="6" t="inlineStr">
        <is>
          <t>목표에 닿으려면 필요한 위험자산 비중</t>
        </is>
      </c>
      <c r="D103" s="15">
        <f>IF($H$5="","—",$H$5)</f>
        <v/>
      </c>
    </row>
    <row r="104">
      <c r="A104" s="6" t="inlineStr">
        <is>
          <t>지금 배분의 위험자산 비중</t>
        </is>
      </c>
      <c r="D104" s="15">
        <f>IF($H$2="","—",1-$D25)</f>
        <v/>
      </c>
    </row>
    <row r="105">
      <c r="A105" s="28">
        <f>IF($B$12="","목표 연수익률을 넣으시면 견주어 드립니다.",IF(COUNT($G19:$G25)=0,"자산군별 기대수익률 가정을 넣으셔야 견줄 수 있습니다.",IF($H$5="","가정한 위험자산 기대수익률이 현금보다 높지 않아 역산할 수 없습니다.",IF($H$5&gt;=1,"목표는 현금을 0 으로 해도 닿지 않습니다 — 목표를 낮추거나 가정을 다시 보십시오.",IF($G26&gt;=$B$12,"가정대로라면 목표를 웃돕니다.","가정대로라면 목표에 모자랍니다 — 목표를 낮추거나 위험자산을 늘려야 합니다.")))))</f>
        <v/>
      </c>
    </row>
    <row r="106" ht="30" customHeight="1">
      <c r="A106" s="29" t="inlineStr">
        <is>
          <t>⚠ 역산은 「목표를 올리면 위험자산이 이만큼 늘어난다」는 산수일 뿐, 그렇게 하면 목표를 번다는 뜻이 아닙니다. 위험자산 안의 구성은 위험중립형 비율을 그대로 씁니다 — 목표를 맞추려고 한 자산군에 몰아주면 분산이 깨집니다.</t>
        </is>
      </c>
    </row>
    <row r="108" ht="4" customHeight="1">
      <c r="A108" s="3" t="n"/>
      <c r="B108" s="3" t="n"/>
      <c r="C108" s="3" t="n"/>
      <c r="D108" s="3" t="n"/>
      <c r="E108" s="3" t="n"/>
      <c r="F108" s="3" t="n"/>
      <c r="G108" s="3" t="n"/>
    </row>
    <row r="109" ht="26" customHeight="1">
      <c r="A109" s="4" t="inlineStr">
        <is>
          <t>5</t>
        </is>
      </c>
      <c r="B109" s="5" t="inlineStr">
        <is>
          <t>이 표를 읽는 법</t>
        </is>
      </c>
    </row>
    <row r="110" ht="6" customHeight="1"/>
    <row r="111" ht="28" customHeight="1">
      <c r="A111" s="29" t="inlineStr">
        <is>
          <t>· 「기대수익률 (가정)」은 비어 있습니다. 사람이 넣는 칸이며 기본값을 두지 않았습니다 — 넣으실 때 근거를 함께 적어 두십시오.</t>
        </is>
      </c>
    </row>
    <row r="112" ht="28" customHeight="1">
      <c r="A112" s="29" t="inlineStr">
        <is>
          <t>· 「과거 1년」을 「기대수익률」 칸에 복사해 넣지 마십시오. 「지난해처럼 오른다」고 가정하는 것이 됩니다.</t>
        </is>
      </c>
    </row>
    <row r="113" ht="28" customHeight="1">
      <c r="A113" s="29" t="inlineStr">
        <is>
          <t>· 기대수익률 합계는 빈 칸을 0 으로 셈합니다. 일부만 넣으면 그만큼 낮게 나오므로 아래 「가정 넣은 자산군」 수를 함께 보십시오.</t>
        </is>
      </c>
    </row>
    <row r="114" ht="28" customHeight="1">
      <c r="A114" s="29" t="inlineStr">
        <is>
          <t>· 「과거 1년」은 실제로 잰 값이며 미래 수익률이 아닙니다 — 최근 1년이 그랬다는 것과 앞으로 그러리라는 것은 다른 말입니다.</t>
        </is>
      </c>
    </row>
    <row r="115" ht="28" customHeight="1">
      <c r="A115" s="29" t="inlineStr">
        <is>
          <t>· 변동성은 상관관계를 셈하지 않은 가중합이라 실제보다 높게 나옵니다. 낮게 보이게 만드는 것보다 안전합니다.</t>
        </is>
      </c>
    </row>
    <row r="116" ht="28" customHeight="1">
      <c r="A116" s="29" t="inlineStr">
        <is>
          <t>· 펀드 변동성은 달 간격 기준가로 셈한 것이라 결이 다릅니다. 합계 변동성은 포트폴리오의 일부만 덮습니다 — 「자산군」 시트의 빈칸(—)이 그것입니다.</t>
        </is>
      </c>
    </row>
    <row r="117" ht="28" customHeight="1">
      <c r="A117" s="29" t="inlineStr">
        <is>
          <t>· 「해외펀드」는 해외 설정 뮤추얼펀드가 아니라 해외에 투자하는 국내 설정 공모펀드입니다.</t>
        </is>
      </c>
    </row>
    <row r="118" ht="28" customHeight="1">
      <c r="A118" s="29" t="inlineStr">
        <is>
          <t>· 이 자료는 참고용이며 투자 권유가 아닙니다. 제안 전 준법감시 검토를 받으십시오.</t>
        </is>
      </c>
    </row>
    <row r="120">
      <c r="A120" s="22" t="inlineStr">
        <is>
          <t>유니버스 2026-10-01 13:53:07 · 문서 2026-10-01 13:53 (KST)</t>
        </is>
      </c>
    </row>
  </sheetData>
  <mergeCells count="49">
    <mergeCell ref="A32:G32"/>
    <mergeCell ref="A116:G116"/>
    <mergeCell ref="A106:G106"/>
    <mergeCell ref="A62:G62"/>
    <mergeCell ref="A38:G38"/>
    <mergeCell ref="A72:G72"/>
    <mergeCell ref="A52:G52"/>
    <mergeCell ref="A101:C101"/>
    <mergeCell ref="A112:G112"/>
    <mergeCell ref="A68:G68"/>
    <mergeCell ref="A115:G115"/>
    <mergeCell ref="A104:C104"/>
    <mergeCell ref="A117:G117"/>
    <mergeCell ref="A111:G111"/>
    <mergeCell ref="A44:G44"/>
    <mergeCell ref="A58:G58"/>
    <mergeCell ref="A40:G40"/>
    <mergeCell ref="A114:G114"/>
    <mergeCell ref="A48:G48"/>
    <mergeCell ref="A92:G92"/>
    <mergeCell ref="A100:C100"/>
    <mergeCell ref="A64:G64"/>
    <mergeCell ref="A82:G82"/>
    <mergeCell ref="A60:G60"/>
    <mergeCell ref="A36:G36"/>
    <mergeCell ref="B27:E27"/>
    <mergeCell ref="A88:G88"/>
    <mergeCell ref="A94:G94"/>
    <mergeCell ref="A70:G70"/>
    <mergeCell ref="A102:C102"/>
    <mergeCell ref="A78:G78"/>
    <mergeCell ref="A54:G54"/>
    <mergeCell ref="A90:G90"/>
    <mergeCell ref="A46:G46"/>
    <mergeCell ref="A84:G84"/>
    <mergeCell ref="A66:G66"/>
    <mergeCell ref="A74:G74"/>
    <mergeCell ref="A80:G80"/>
    <mergeCell ref="A56:G56"/>
    <mergeCell ref="A103:C103"/>
    <mergeCell ref="A118:G118"/>
    <mergeCell ref="A105:G105"/>
    <mergeCell ref="A76:G76"/>
    <mergeCell ref="A50:G50"/>
    <mergeCell ref="A95:G95"/>
    <mergeCell ref="A86:G86"/>
    <mergeCell ref="A113:G113"/>
    <mergeCell ref="C13:G13"/>
    <mergeCell ref="A42:G42"/>
  </mergeCells>
  <conditionalFormatting sqref="B27">
    <cfRule type="expression" priority="1" dxfId="0">
      <formula>AND($H$2&lt;&gt;"",ABS($D26-1)&gt;0.0005)</formula>
    </cfRule>
  </conditionalFormatting>
  <dataValidations count="3">
    <dataValidation sqref="B10" showDropDown="0" showInputMessage="0" showErrorMessage="0" allowBlank="0" type="list">
      <formula1>"1년 이내,3년,5년,5년 초과"</formula1>
    </dataValidation>
    <dataValidation sqref="B11" showDropDown="0" showInputMessage="0" showErrorMessage="0" allowBlank="0" type="list">
      <formula1>"1 안정형,2 안정추구형,3 위험중립형,4 적극투자형,5 공격투자형"</formula1>
    </dataValidation>
    <dataValidation sqref="B13" showDropDown="0" showInputMessage="0" showErrorMessage="0" allowBlank="0" type="list">
      <formula1>"▶ 조회 실행,… 조건 입력 중"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22" t="inlineStr">
        <is>
          <t>이 시트는 proposal_lib.py 가 셈한 배분입니다. 손으로 고치지 마십시오 — 고치면 화면(proposal.html)과 어긋납니다.</t>
        </is>
      </c>
    </row>
    <row r="3">
      <c r="A3" s="12" t="inlineStr">
        <is>
          <t>키</t>
        </is>
      </c>
      <c r="B3" s="12" t="inlineStr">
        <is>
          <t>성향</t>
        </is>
      </c>
      <c r="C3" s="12" t="inlineStr">
        <is>
          <t>기간</t>
        </is>
      </c>
      <c r="D3" s="12" t="inlineStr">
        <is>
          <t>국내주식</t>
        </is>
      </c>
      <c r="E3" s="12" t="inlineStr">
        <is>
          <t>해외주식</t>
        </is>
      </c>
      <c r="F3" s="12" t="inlineStr">
        <is>
          <t>국내ETF</t>
        </is>
      </c>
      <c r="G3" s="12" t="inlineStr">
        <is>
          <t>해외ETF</t>
        </is>
      </c>
      <c r="H3" s="12" t="inlineStr">
        <is>
          <t>국내펀드</t>
        </is>
      </c>
      <c r="I3" s="12" t="inlineStr">
        <is>
          <t>해외펀드</t>
        </is>
      </c>
      <c r="J3" s="12" t="inlineStr">
        <is>
          <t>현금</t>
        </is>
      </c>
    </row>
    <row r="4">
      <c r="A4" s="14" t="inlineStr">
        <is>
          <t>1|1</t>
        </is>
      </c>
      <c r="B4" s="30" t="n">
        <v>1</v>
      </c>
      <c r="C4" s="14" t="inlineStr">
        <is>
          <t>1년 이내</t>
        </is>
      </c>
      <c r="D4" s="31" t="n">
        <v>0</v>
      </c>
      <c r="E4" s="31" t="n">
        <v>0</v>
      </c>
      <c r="F4" s="31" t="n">
        <v>0.02</v>
      </c>
      <c r="G4" s="31" t="n">
        <v>0.02</v>
      </c>
      <c r="H4" s="31" t="n">
        <v>0.08</v>
      </c>
      <c r="I4" s="31" t="n">
        <v>0.04</v>
      </c>
      <c r="J4" s="31" t="n">
        <v>0.84</v>
      </c>
    </row>
    <row r="5">
      <c r="A5" s="14" t="inlineStr">
        <is>
          <t>1|3</t>
        </is>
      </c>
      <c r="B5" s="30" t="n">
        <v>1</v>
      </c>
      <c r="C5" s="14" t="inlineStr">
        <is>
          <t>3년</t>
        </is>
      </c>
      <c r="D5" s="31" t="n">
        <v>0</v>
      </c>
      <c r="E5" s="31" t="n">
        <v>0</v>
      </c>
      <c r="F5" s="31" t="n">
        <v>0.035</v>
      </c>
      <c r="G5" s="31" t="n">
        <v>0.035</v>
      </c>
      <c r="H5" s="31" t="n">
        <v>0.14</v>
      </c>
      <c r="I5" s="31" t="n">
        <v>0.07000000000000001</v>
      </c>
      <c r="J5" s="31" t="n">
        <v>0.72</v>
      </c>
    </row>
    <row r="6">
      <c r="A6" s="14" t="inlineStr">
        <is>
          <t>1|5</t>
        </is>
      </c>
      <c r="B6" s="30" t="n">
        <v>1</v>
      </c>
      <c r="C6" s="14" t="inlineStr">
        <is>
          <t>5년</t>
        </is>
      </c>
      <c r="D6" s="31" t="n">
        <v>0</v>
      </c>
      <c r="E6" s="31" t="n">
        <v>0</v>
      </c>
      <c r="F6" s="31" t="n">
        <v>0.045</v>
      </c>
      <c r="G6" s="31" t="n">
        <v>0.045</v>
      </c>
      <c r="H6" s="31" t="n">
        <v>0.18</v>
      </c>
      <c r="I6" s="31" t="n">
        <v>0.09</v>
      </c>
      <c r="J6" s="31" t="n">
        <v>0.64</v>
      </c>
    </row>
    <row r="7">
      <c r="A7" s="14" t="inlineStr">
        <is>
          <t>1|10</t>
        </is>
      </c>
      <c r="B7" s="30" t="n">
        <v>1</v>
      </c>
      <c r="C7" s="14" t="inlineStr">
        <is>
          <t>5년 초과</t>
        </is>
      </c>
      <c r="D7" s="31" t="n">
        <v>0</v>
      </c>
      <c r="E7" s="31" t="n">
        <v>0</v>
      </c>
      <c r="F7" s="31" t="n">
        <v>0.05</v>
      </c>
      <c r="G7" s="31" t="n">
        <v>0.05</v>
      </c>
      <c r="H7" s="31" t="n">
        <v>0.2</v>
      </c>
      <c r="I7" s="31" t="n">
        <v>0.1</v>
      </c>
      <c r="J7" s="31" t="n">
        <v>0.6</v>
      </c>
    </row>
    <row r="8">
      <c r="A8" s="14" t="inlineStr">
        <is>
          <t>2|1</t>
        </is>
      </c>
      <c r="B8" s="30" t="n">
        <v>2</v>
      </c>
      <c r="C8" s="14" t="inlineStr">
        <is>
          <t>1년 이내</t>
        </is>
      </c>
      <c r="D8" s="31" t="n">
        <v>0</v>
      </c>
      <c r="E8" s="31" t="n">
        <v>0.02</v>
      </c>
      <c r="F8" s="31" t="n">
        <v>0.04</v>
      </c>
      <c r="G8" s="31" t="n">
        <v>0.04</v>
      </c>
      <c r="H8" s="31" t="n">
        <v>0.1</v>
      </c>
      <c r="I8" s="31" t="n">
        <v>0.06</v>
      </c>
      <c r="J8" s="31" t="n">
        <v>0.74</v>
      </c>
    </row>
    <row r="9">
      <c r="A9" s="14" t="inlineStr">
        <is>
          <t>2|3</t>
        </is>
      </c>
      <c r="B9" s="30" t="n">
        <v>2</v>
      </c>
      <c r="C9" s="14" t="inlineStr">
        <is>
          <t>3년</t>
        </is>
      </c>
      <c r="D9" s="31" t="n">
        <v>0</v>
      </c>
      <c r="E9" s="31" t="n">
        <v>0.035</v>
      </c>
      <c r="F9" s="31" t="n">
        <v>0.07000000000000001</v>
      </c>
      <c r="G9" s="31" t="n">
        <v>0.07000000000000001</v>
      </c>
      <c r="H9" s="31" t="n">
        <v>0.175</v>
      </c>
      <c r="I9" s="31" t="n">
        <v>0.105</v>
      </c>
      <c r="J9" s="31" t="n">
        <v>0.545</v>
      </c>
    </row>
    <row r="10">
      <c r="A10" s="14" t="inlineStr">
        <is>
          <t>2|5</t>
        </is>
      </c>
      <c r="B10" s="30" t="n">
        <v>2</v>
      </c>
      <c r="C10" s="14" t="inlineStr">
        <is>
          <t>5년</t>
        </is>
      </c>
      <c r="D10" s="31" t="n">
        <v>0</v>
      </c>
      <c r="E10" s="31" t="n">
        <v>0.045</v>
      </c>
      <c r="F10" s="31" t="n">
        <v>0.09</v>
      </c>
      <c r="G10" s="31" t="n">
        <v>0.09</v>
      </c>
      <c r="H10" s="31" t="n">
        <v>0.225</v>
      </c>
      <c r="I10" s="31" t="n">
        <v>0.135</v>
      </c>
      <c r="J10" s="31" t="n">
        <v>0.415</v>
      </c>
    </row>
    <row r="11">
      <c r="A11" s="14" t="inlineStr">
        <is>
          <t>2|10</t>
        </is>
      </c>
      <c r="B11" s="30" t="n">
        <v>2</v>
      </c>
      <c r="C11" s="14" t="inlineStr">
        <is>
          <t>5년 초과</t>
        </is>
      </c>
      <c r="D11" s="31" t="n">
        <v>0</v>
      </c>
      <c r="E11" s="31" t="n">
        <v>0.05</v>
      </c>
      <c r="F11" s="31" t="n">
        <v>0.1</v>
      </c>
      <c r="G11" s="31" t="n">
        <v>0.1</v>
      </c>
      <c r="H11" s="31" t="n">
        <v>0.25</v>
      </c>
      <c r="I11" s="31" t="n">
        <v>0.15</v>
      </c>
      <c r="J11" s="31" t="n">
        <v>0.35</v>
      </c>
    </row>
    <row r="12">
      <c r="A12" s="14" t="inlineStr">
        <is>
          <t>3|1</t>
        </is>
      </c>
      <c r="B12" s="30" t="n">
        <v>3</v>
      </c>
      <c r="C12" s="14" t="inlineStr">
        <is>
          <t>1년 이내</t>
        </is>
      </c>
      <c r="D12" s="31" t="n">
        <v>0.02</v>
      </c>
      <c r="E12" s="31" t="n">
        <v>0.04</v>
      </c>
      <c r="F12" s="31" t="n">
        <v>0.06</v>
      </c>
      <c r="G12" s="31" t="n">
        <v>0.06</v>
      </c>
      <c r="H12" s="31" t="n">
        <v>0.08</v>
      </c>
      <c r="I12" s="31" t="n">
        <v>0.08</v>
      </c>
      <c r="J12" s="31" t="n">
        <v>0.66</v>
      </c>
    </row>
    <row r="13">
      <c r="A13" s="14" t="inlineStr">
        <is>
          <t>3|3</t>
        </is>
      </c>
      <c r="B13" s="30" t="n">
        <v>3</v>
      </c>
      <c r="C13" s="14" t="inlineStr">
        <is>
          <t>3년</t>
        </is>
      </c>
      <c r="D13" s="31" t="n">
        <v>0.035</v>
      </c>
      <c r="E13" s="31" t="n">
        <v>0.07000000000000001</v>
      </c>
      <c r="F13" s="31" t="n">
        <v>0.105</v>
      </c>
      <c r="G13" s="31" t="n">
        <v>0.105</v>
      </c>
      <c r="H13" s="31" t="n">
        <v>0.14</v>
      </c>
      <c r="I13" s="31" t="n">
        <v>0.14</v>
      </c>
      <c r="J13" s="31" t="n">
        <v>0.405</v>
      </c>
    </row>
    <row r="14">
      <c r="A14" s="14" t="inlineStr">
        <is>
          <t>3|5</t>
        </is>
      </c>
      <c r="B14" s="30" t="n">
        <v>3</v>
      </c>
      <c r="C14" s="14" t="inlineStr">
        <is>
          <t>5년</t>
        </is>
      </c>
      <c r="D14" s="31" t="n">
        <v>0.045</v>
      </c>
      <c r="E14" s="31" t="n">
        <v>0.09</v>
      </c>
      <c r="F14" s="31" t="n">
        <v>0.135</v>
      </c>
      <c r="G14" s="31" t="n">
        <v>0.135</v>
      </c>
      <c r="H14" s="31" t="n">
        <v>0.18</v>
      </c>
      <c r="I14" s="31" t="n">
        <v>0.18</v>
      </c>
      <c r="J14" s="31" t="n">
        <v>0.235</v>
      </c>
    </row>
    <row r="15">
      <c r="A15" s="14" t="inlineStr">
        <is>
          <t>3|10</t>
        </is>
      </c>
      <c r="B15" s="30" t="n">
        <v>3</v>
      </c>
      <c r="C15" s="14" t="inlineStr">
        <is>
          <t>5년 초과</t>
        </is>
      </c>
      <c r="D15" s="31" t="n">
        <v>0.05</v>
      </c>
      <c r="E15" s="31" t="n">
        <v>0.1</v>
      </c>
      <c r="F15" s="31" t="n">
        <v>0.15</v>
      </c>
      <c r="G15" s="31" t="n">
        <v>0.15</v>
      </c>
      <c r="H15" s="31" t="n">
        <v>0.2</v>
      </c>
      <c r="I15" s="31" t="n">
        <v>0.2</v>
      </c>
      <c r="J15" s="31" t="n">
        <v>0.15</v>
      </c>
    </row>
    <row r="16">
      <c r="A16" s="14" t="inlineStr">
        <is>
          <t>4|1</t>
        </is>
      </c>
      <c r="B16" s="30" t="n">
        <v>4</v>
      </c>
      <c r="C16" s="14" t="inlineStr">
        <is>
          <t>1년 이내</t>
        </is>
      </c>
      <c r="D16" s="31" t="n">
        <v>0.06</v>
      </c>
      <c r="E16" s="31" t="n">
        <v>0.08</v>
      </c>
      <c r="F16" s="31" t="n">
        <v>0.06</v>
      </c>
      <c r="G16" s="31" t="n">
        <v>0.08</v>
      </c>
      <c r="H16" s="31" t="n">
        <v>0.04</v>
      </c>
      <c r="I16" s="31" t="n">
        <v>0.06</v>
      </c>
      <c r="J16" s="31" t="n">
        <v>0.62</v>
      </c>
    </row>
    <row r="17">
      <c r="A17" s="14" t="inlineStr">
        <is>
          <t>4|3</t>
        </is>
      </c>
      <c r="B17" s="30" t="n">
        <v>4</v>
      </c>
      <c r="C17" s="14" t="inlineStr">
        <is>
          <t>3년</t>
        </is>
      </c>
      <c r="D17" s="31" t="n">
        <v>0.105</v>
      </c>
      <c r="E17" s="31" t="n">
        <v>0.14</v>
      </c>
      <c r="F17" s="31" t="n">
        <v>0.105</v>
      </c>
      <c r="G17" s="31" t="n">
        <v>0.14</v>
      </c>
      <c r="H17" s="31" t="n">
        <v>0.07000000000000001</v>
      </c>
      <c r="I17" s="31" t="n">
        <v>0.105</v>
      </c>
      <c r="J17" s="31" t="n">
        <v>0.335</v>
      </c>
    </row>
    <row r="18">
      <c r="A18" s="14" t="inlineStr">
        <is>
          <t>4|5</t>
        </is>
      </c>
      <c r="B18" s="30" t="n">
        <v>4</v>
      </c>
      <c r="C18" s="14" t="inlineStr">
        <is>
          <t>5년</t>
        </is>
      </c>
      <c r="D18" s="31" t="n">
        <v>0.135</v>
      </c>
      <c r="E18" s="31" t="n">
        <v>0.18</v>
      </c>
      <c r="F18" s="31" t="n">
        <v>0.135</v>
      </c>
      <c r="G18" s="31" t="n">
        <v>0.18</v>
      </c>
      <c r="H18" s="31" t="n">
        <v>0.09</v>
      </c>
      <c r="I18" s="31" t="n">
        <v>0.135</v>
      </c>
      <c r="J18" s="31" t="n">
        <v>0.145</v>
      </c>
    </row>
    <row r="19">
      <c r="A19" s="14" t="inlineStr">
        <is>
          <t>4|10</t>
        </is>
      </c>
      <c r="B19" s="30" t="n">
        <v>4</v>
      </c>
      <c r="C19" s="14" t="inlineStr">
        <is>
          <t>5년 초과</t>
        </is>
      </c>
      <c r="D19" s="31" t="n">
        <v>0.15</v>
      </c>
      <c r="E19" s="31" t="n">
        <v>0.2</v>
      </c>
      <c r="F19" s="31" t="n">
        <v>0.15</v>
      </c>
      <c r="G19" s="31" t="n">
        <v>0.2</v>
      </c>
      <c r="H19" s="31" t="n">
        <v>0.1</v>
      </c>
      <c r="I19" s="31" t="n">
        <v>0.15</v>
      </c>
      <c r="J19" s="31" t="n">
        <v>0.05</v>
      </c>
    </row>
    <row r="20">
      <c r="A20" s="14" t="inlineStr">
        <is>
          <t>5|1</t>
        </is>
      </c>
      <c r="B20" s="30" t="n">
        <v>5</v>
      </c>
      <c r="C20" s="14" t="inlineStr">
        <is>
          <t>1년 이내</t>
        </is>
      </c>
      <c r="D20" s="31" t="n">
        <v>0.1</v>
      </c>
      <c r="E20" s="31" t="n">
        <v>0.12</v>
      </c>
      <c r="F20" s="31" t="n">
        <v>0.06</v>
      </c>
      <c r="G20" s="31" t="n">
        <v>0.08</v>
      </c>
      <c r="H20" s="31" t="n">
        <v>0.02</v>
      </c>
      <c r="I20" s="31" t="n">
        <v>0.02</v>
      </c>
      <c r="J20" s="31" t="n">
        <v>0.6</v>
      </c>
    </row>
    <row r="21">
      <c r="A21" s="14" t="inlineStr">
        <is>
          <t>5|3</t>
        </is>
      </c>
      <c r="B21" s="30" t="n">
        <v>5</v>
      </c>
      <c r="C21" s="14" t="inlineStr">
        <is>
          <t>3년</t>
        </is>
      </c>
      <c r="D21" s="31" t="n">
        <v>0.175</v>
      </c>
      <c r="E21" s="31" t="n">
        <v>0.21</v>
      </c>
      <c r="F21" s="31" t="n">
        <v>0.105</v>
      </c>
      <c r="G21" s="31" t="n">
        <v>0.14</v>
      </c>
      <c r="H21" s="31" t="n">
        <v>0.035</v>
      </c>
      <c r="I21" s="31" t="n">
        <v>0.035</v>
      </c>
      <c r="J21" s="31" t="n">
        <v>0.3</v>
      </c>
    </row>
    <row r="22">
      <c r="A22" s="14" t="inlineStr">
        <is>
          <t>5|5</t>
        </is>
      </c>
      <c r="B22" s="30" t="n">
        <v>5</v>
      </c>
      <c r="C22" s="14" t="inlineStr">
        <is>
          <t>5년</t>
        </is>
      </c>
      <c r="D22" s="31" t="n">
        <v>0.225</v>
      </c>
      <c r="E22" s="31" t="n">
        <v>0.27</v>
      </c>
      <c r="F22" s="31" t="n">
        <v>0.135</v>
      </c>
      <c r="G22" s="31" t="n">
        <v>0.18</v>
      </c>
      <c r="H22" s="31" t="n">
        <v>0.045</v>
      </c>
      <c r="I22" s="31" t="n">
        <v>0.045</v>
      </c>
      <c r="J22" s="31" t="n">
        <v>0.1</v>
      </c>
    </row>
    <row r="23">
      <c r="A23" s="14" t="inlineStr">
        <is>
          <t>5|10</t>
        </is>
      </c>
      <c r="B23" s="30" t="n">
        <v>5</v>
      </c>
      <c r="C23" s="14" t="inlineStr">
        <is>
          <t>5년 초과</t>
        </is>
      </c>
      <c r="D23" s="31" t="n">
        <v>0.25</v>
      </c>
      <c r="E23" s="31" t="n">
        <v>0.3</v>
      </c>
      <c r="F23" s="31" t="n">
        <v>0.15</v>
      </c>
      <c r="G23" s="31" t="n">
        <v>0.2</v>
      </c>
      <c r="H23" s="31" t="n">
        <v>0.05</v>
      </c>
      <c r="I23" s="31" t="n">
        <v>0.05</v>
      </c>
      <c r="J23" s="31" t="n">
        <v>0</v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6" customWidth="1" min="4" max="4"/>
    <col width="15" customWidth="1" min="5" max="5"/>
    <col width="16" customWidth="1" min="6" max="6"/>
  </cols>
  <sheetData>
    <row r="1" ht="4" customHeight="1">
      <c r="A1" s="3" t="n"/>
      <c r="B1" s="3" t="n"/>
      <c r="C1" s="3" t="n"/>
      <c r="D1" s="3" t="n"/>
      <c r="E1" s="3" t="n"/>
      <c r="F1" s="3" t="n"/>
    </row>
    <row r="2" ht="26" customHeight="1">
      <c r="A2" s="4" t="inlineStr">
        <is>
          <t>1</t>
        </is>
      </c>
      <c r="B2" s="5" t="inlineStr">
        <is>
          <t>자산군 실측치</t>
        </is>
      </c>
    </row>
    <row r="3" ht="6" customHeight="1"/>
    <row r="4" ht="30" customHeight="1">
      <c r="A4" s="29" t="inlineStr">
        <is>
          <t>아래는 원천에서 실제로 잰 값입니다. 미래 수익률이 아닙니다. 빈칸(—)은 원천에 없어 셈하지 않은 것이며 만들어 넣지 않습니다.</t>
        </is>
      </c>
    </row>
    <row r="6">
      <c r="A6" s="12" t="inlineStr">
        <is>
          <t>자산군</t>
        </is>
      </c>
      <c r="B6" s="12" t="inlineStr">
        <is>
          <t>종목수</t>
        </is>
      </c>
      <c r="C6" s="12" t="inlineStr">
        <is>
          <t>수익률 산출</t>
        </is>
      </c>
      <c r="D6" s="12" t="inlineStr">
        <is>
          <t>과거 1년(중앙)</t>
        </is>
      </c>
      <c r="E6" s="12" t="inlineStr">
        <is>
          <t>변동성(중앙)</t>
        </is>
      </c>
      <c r="F6" s="12" t="inlineStr">
        <is>
          <t>최대낙폭(중앙)</t>
        </is>
      </c>
    </row>
    <row r="7">
      <c r="A7" s="14" t="inlineStr">
        <is>
          <t>국내ETF</t>
        </is>
      </c>
      <c r="B7" s="30" t="n">
        <v>78</v>
      </c>
      <c r="C7" s="30" t="n">
        <v>25</v>
      </c>
      <c r="D7" s="31" t="n">
        <v>0.1469550686966208</v>
      </c>
      <c r="E7" s="31" t="n">
        <v>0.24025</v>
      </c>
      <c r="F7" s="31" t="n">
        <v>-0.4063048225942869</v>
      </c>
    </row>
    <row r="8">
      <c r="A8" s="14" t="inlineStr">
        <is>
          <t>국내주식</t>
        </is>
      </c>
      <c r="B8" s="30" t="n">
        <v>100</v>
      </c>
      <c r="C8" s="30" t="n">
        <v>100</v>
      </c>
      <c r="D8" s="31" t="n">
        <v>0.3829843398606768</v>
      </c>
      <c r="E8" s="31" t="n">
        <v>0.5695122538369983</v>
      </c>
      <c r="F8" s="31" t="n">
        <v>-0.4675840087252487</v>
      </c>
    </row>
    <row r="9">
      <c r="A9" s="14" t="inlineStr">
        <is>
          <t>국내펀드</t>
        </is>
      </c>
      <c r="B9" s="30" t="n">
        <v>526</v>
      </c>
      <c r="C9" s="30" t="n">
        <v>523</v>
      </c>
      <c r="D9" s="31" t="n">
        <v>0.294202</v>
      </c>
      <c r="E9" s="31" t="n">
        <v>0.18285</v>
      </c>
      <c r="F9" s="31" t="n">
        <v>-0.1577</v>
      </c>
    </row>
    <row r="10">
      <c r="A10" s="14" t="inlineStr">
        <is>
          <t>해외ETF</t>
        </is>
      </c>
      <c r="B10" s="30" t="n">
        <v>153</v>
      </c>
      <c r="C10" s="30" t="n">
        <v>60</v>
      </c>
      <c r="D10" s="31" t="n">
        <v>0.1673868255660437</v>
      </c>
      <c r="E10" s="31" t="n">
        <v>0.1834939037658289</v>
      </c>
      <c r="F10" s="31" t="n">
        <v>-0.3371736857143508</v>
      </c>
    </row>
    <row r="11">
      <c r="A11" s="14" t="inlineStr">
        <is>
          <t>해외주식</t>
        </is>
      </c>
      <c r="B11" s="30" t="n">
        <v>100</v>
      </c>
      <c r="C11" s="30" t="n">
        <v>99</v>
      </c>
      <c r="D11" s="31" t="n">
        <v>0.06148925357964918</v>
      </c>
      <c r="E11" s="31" t="n">
        <v>0.2930684106655739</v>
      </c>
      <c r="F11" s="31" t="n">
        <v>-0.3249499680915918</v>
      </c>
    </row>
    <row r="12">
      <c r="A12" s="14" t="inlineStr">
        <is>
          <t>해외펀드</t>
        </is>
      </c>
      <c r="B12" s="30" t="n">
        <v>434</v>
      </c>
      <c r="C12" s="30" t="n">
        <v>434</v>
      </c>
      <c r="D12" s="31" t="n">
        <v>0.104064</v>
      </c>
      <c r="E12" s="31" t="n">
        <v>0.1361</v>
      </c>
      <c r="F12" s="31" t="n">
        <v>-0.11885</v>
      </c>
    </row>
    <row r="13">
      <c r="A13" s="14" t="inlineStr">
        <is>
          <t>현금성</t>
        </is>
      </c>
      <c r="B13" s="30" t="n">
        <v>112</v>
      </c>
      <c r="C13" s="30" t="n">
        <v>80</v>
      </c>
      <c r="D13" s="31" t="n">
        <v>0.0281925</v>
      </c>
      <c r="E13" s="31" t="n">
        <v>0.003</v>
      </c>
      <c r="F13" s="31" t="n">
        <v>0</v>
      </c>
    </row>
    <row r="15" ht="30" customHeight="1">
      <c r="A15" s="29" t="inlineStr">
        <is>
          <t>펀드는 달 간격 기준가로 셈합니다 — 일봉보다 거칠어 최대낙폭이 다소 얕게 나옵니다. 계열이 없는 펀드는 원천이 준 누적 수익률과 52주 표준편차를 쓰고, 최대낙폭은 비워 둡니다.</t>
        </is>
      </c>
    </row>
  </sheetData>
  <mergeCells count="2">
    <mergeCell ref="A15:F15"/>
    <mergeCell ref="A4:F4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4" customWidth="1" min="4" max="4"/>
    <col width="20" customWidth="1" min="5" max="5"/>
    <col width="12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2" customWidth="1" min="12" max="12"/>
    <col width="62" customWidth="1" min="13" max="13"/>
    <col hidden="1" width="13" customWidth="1" min="14" max="14"/>
  </cols>
  <sheetData>
    <row r="1" ht="4" customHeight="1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26" customHeight="1">
      <c r="A2" s="4" t="inlineStr">
        <is>
          <t>2</t>
        </is>
      </c>
      <c r="B2" s="5" t="inlineStr">
        <is>
          <t>자산군별 제안 상품</t>
        </is>
      </c>
    </row>
    <row r="3" ht="6" customHeight="1"/>
    <row r="4" ht="58" customHeight="1">
      <c r="A4" s="29" t="inlineStr">
        <is>
          <t>여러 해의 위험조정 성과로 고릅니다 — 1·3·5 해의 연평균 수익률, 연변동성, 최대낙폭, 보수, 그리고 창이 바뀌어도 성과가 유지되는지를 함께 보아 점수를 냅니다. 지난해 수익률 순으로도, 규모 순으로도 고르지 않습니다 (규모는 문턱일 뿐입니다). 「측정」이 미측정인 상품은 시세가 없어 변동성·최대낙폭을 못 쟀습니다 — 잰 상품이 넉넉하면 후보에서 뺍니다. 적힌 수치는 모두 지나간 실적이며 미래 수익률이 아닙니다. 개별 주식은 종목 추천이 아닙니다.</t>
        </is>
      </c>
    </row>
    <row r="6">
      <c r="A6" s="13" t="inlineStr">
        <is>
          <t>채택</t>
        </is>
      </c>
      <c r="B6" s="12" t="inlineStr">
        <is>
          <t>자산군</t>
        </is>
      </c>
      <c r="C6" s="12" t="inlineStr">
        <is>
          <t>상품</t>
        </is>
      </c>
      <c r="D6" s="12" t="inlineStr">
        <is>
          <t>유형</t>
        </is>
      </c>
      <c r="E6" s="12" t="inlineStr">
        <is>
          <t>운용/발행</t>
        </is>
      </c>
      <c r="F6" s="12" t="inlineStr">
        <is>
          <t>규모</t>
        </is>
      </c>
      <c r="G6" s="12" t="inlineStr">
        <is>
          <t>측정</t>
        </is>
      </c>
      <c r="H6" s="12" t="inlineStr">
        <is>
          <t>잰 기간</t>
        </is>
      </c>
      <c r="I6" s="12" t="inlineStr">
        <is>
          <t>연평균</t>
        </is>
      </c>
      <c r="J6" s="12" t="inlineStr">
        <is>
          <t>변동성</t>
        </is>
      </c>
      <c r="K6" s="12" t="inlineStr">
        <is>
          <t>최대낙폭</t>
        </is>
      </c>
      <c r="L6" s="12" t="inlineStr">
        <is>
          <t>보수</t>
        </is>
      </c>
      <c r="M6" s="12" t="inlineStr">
        <is>
          <t>고른 까닭</t>
        </is>
      </c>
    </row>
    <row r="7">
      <c r="A7" s="13" t="inlineStr">
        <is>
          <t>Y</t>
        </is>
      </c>
      <c r="B7" s="14" t="inlineStr">
        <is>
          <t>국내주식</t>
        </is>
      </c>
      <c r="C7" s="14" t="inlineStr">
        <is>
          <t>우리금융지주</t>
        </is>
      </c>
      <c r="D7" s="14" t="inlineStr">
        <is>
          <t>금융</t>
        </is>
      </c>
      <c r="E7" s="14" t="inlineStr">
        <is>
          <t>—</t>
        </is>
      </c>
      <c r="F7" s="30" t="inlineStr">
        <is>
          <t>26조원</t>
        </is>
      </c>
      <c r="G7" s="32" t="inlineStr">
        <is>
          <t>다년 실측</t>
        </is>
      </c>
      <c r="H7" s="32" t="inlineStr">
        <is>
          <t>5해</t>
        </is>
      </c>
      <c r="I7" s="31" t="n">
        <v>0.2601</v>
      </c>
      <c r="J7" s="31" t="n">
        <v>0.2987</v>
      </c>
      <c r="K7" s="33" t="n">
        <v>-0.3395</v>
      </c>
      <c r="L7" s="30" t="inlineStr">
        <is>
          <t>—</t>
        </is>
      </c>
      <c r="M7" s="34" t="inlineStr">
        <is>
          <t>5해 연26.0% · 변동성 29.9% (위험대비 0.78) · 최대낙폭 -34% · 가장 나쁜 창 연26.0%</t>
        </is>
      </c>
      <c r="N7" s="35">
        <f>IF($A7="Y",$B7&amp;"|"&amp;COUNTIFS($A$7:$A7,"Y",$B$7:$B7,$B7),"")</f>
        <v/>
      </c>
    </row>
    <row r="8">
      <c r="A8" s="13" t="inlineStr">
        <is>
          <t>Y</t>
        </is>
      </c>
      <c r="B8" s="36" t="inlineStr">
        <is>
          <t>국내주식</t>
        </is>
      </c>
      <c r="C8" s="36" t="inlineStr">
        <is>
          <t>KB금융</t>
        </is>
      </c>
      <c r="D8" s="36" t="inlineStr">
        <is>
          <t>금융</t>
        </is>
      </c>
      <c r="E8" s="36" t="inlineStr">
        <is>
          <t>—</t>
        </is>
      </c>
      <c r="F8" s="37" t="inlineStr">
        <is>
          <t>62조원</t>
        </is>
      </c>
      <c r="G8" s="38" t="inlineStr">
        <is>
          <t>다년 실측</t>
        </is>
      </c>
      <c r="H8" s="38" t="inlineStr">
        <is>
          <t>5해</t>
        </is>
      </c>
      <c r="I8" s="39" t="n">
        <v>0.2678</v>
      </c>
      <c r="J8" s="39" t="n">
        <v>0.3533</v>
      </c>
      <c r="K8" s="40" t="n">
        <v>-0.3359</v>
      </c>
      <c r="L8" s="37" t="inlineStr">
        <is>
          <t>—</t>
        </is>
      </c>
      <c r="M8" s="41" t="inlineStr">
        <is>
          <t>5해 연26.8% · 변동성 35.3% (위험대비 0.68) · 최대낙폭 -34% · 가장 나쁜 창 연26.8%</t>
        </is>
      </c>
      <c r="N8" s="35">
        <f>IF($A8="Y",$B8&amp;"|"&amp;COUNTIFS($A$7:$A8,"Y",$B$7:$B8,$B8),"")</f>
        <v/>
      </c>
    </row>
    <row r="9">
      <c r="A9" s="13" t="inlineStr">
        <is>
          <t>N</t>
        </is>
      </c>
      <c r="B9" s="14" t="inlineStr">
        <is>
          <t>국내주식</t>
        </is>
      </c>
      <c r="C9" s="14" t="inlineStr">
        <is>
          <t>신한지주</t>
        </is>
      </c>
      <c r="D9" s="14" t="inlineStr">
        <is>
          <t>금융</t>
        </is>
      </c>
      <c r="E9" s="14" t="inlineStr">
        <is>
          <t>—</t>
        </is>
      </c>
      <c r="F9" s="30" t="inlineStr">
        <is>
          <t>52조원</t>
        </is>
      </c>
      <c r="G9" s="32" t="inlineStr">
        <is>
          <t>다년 실측</t>
        </is>
      </c>
      <c r="H9" s="32" t="inlineStr">
        <is>
          <t>5해</t>
        </is>
      </c>
      <c r="I9" s="31" t="n">
        <v>0.2321</v>
      </c>
      <c r="J9" s="31" t="n">
        <v>0.3143</v>
      </c>
      <c r="K9" s="33" t="n">
        <v>-0.2899</v>
      </c>
      <c r="L9" s="30" t="inlineStr">
        <is>
          <t>—</t>
        </is>
      </c>
      <c r="M9" s="34" t="inlineStr">
        <is>
          <t>5해 연23.2% · 변동성 31.4% (위험대비 0.65) · 최대낙폭 -29% · 가장 나쁜 창 연23.2%</t>
        </is>
      </c>
      <c r="N9" s="35">
        <f>IF($A9="Y",$B9&amp;"|"&amp;COUNTIFS($A$7:$A9,"Y",$B$7:$B9,$B9),"")</f>
        <v/>
      </c>
    </row>
    <row r="10">
      <c r="A10" s="13" t="inlineStr">
        <is>
          <t>N</t>
        </is>
      </c>
      <c r="B10" s="36" t="inlineStr">
        <is>
          <t>국내주식</t>
        </is>
      </c>
      <c r="C10" s="36" t="inlineStr">
        <is>
          <t>DB손해보험</t>
        </is>
      </c>
      <c r="D10" s="36" t="inlineStr">
        <is>
          <t>금융</t>
        </is>
      </c>
      <c r="E10" s="36" t="inlineStr">
        <is>
          <t>—</t>
        </is>
      </c>
      <c r="F10" s="37" t="inlineStr">
        <is>
          <t>11조원</t>
        </is>
      </c>
      <c r="G10" s="38" t="inlineStr">
        <is>
          <t>다년 실측</t>
        </is>
      </c>
      <c r="H10" s="38" t="inlineStr">
        <is>
          <t>5해</t>
        </is>
      </c>
      <c r="I10" s="39" t="n">
        <v>0.2699</v>
      </c>
      <c r="J10" s="39" t="n">
        <v>0.3849</v>
      </c>
      <c r="K10" s="40" t="n">
        <v>-0.3601</v>
      </c>
      <c r="L10" s="37" t="inlineStr">
        <is>
          <t>—</t>
        </is>
      </c>
      <c r="M10" s="41" t="inlineStr">
        <is>
          <t>5해 연27.0% · 변동성 38.5% (위험대비 0.63) · 최대낙폭 -36% · 가장 나쁜 창 연27.0%</t>
        </is>
      </c>
      <c r="N10" s="35">
        <f>IF($A10="Y",$B10&amp;"|"&amp;COUNTIFS($A$7:$A10,"Y",$B$7:$B10,$B10),"")</f>
        <v/>
      </c>
    </row>
    <row r="11">
      <c r="A11" s="13" t="inlineStr">
        <is>
          <t>N</t>
        </is>
      </c>
      <c r="B11" s="14" t="inlineStr">
        <is>
          <t>국내주식</t>
        </is>
      </c>
      <c r="C11" s="14" t="inlineStr">
        <is>
          <t>하나금융지주</t>
        </is>
      </c>
      <c r="D11" s="14" t="inlineStr">
        <is>
          <t>금융</t>
        </is>
      </c>
      <c r="E11" s="14" t="inlineStr">
        <is>
          <t>—</t>
        </is>
      </c>
      <c r="F11" s="30" t="inlineStr">
        <is>
          <t>36조원</t>
        </is>
      </c>
      <c r="G11" s="32" t="inlineStr">
        <is>
          <t>다년 실측</t>
        </is>
      </c>
      <c r="H11" s="32" t="inlineStr">
        <is>
          <t>5해</t>
        </is>
      </c>
      <c r="I11" s="31" t="n">
        <v>0.2421</v>
      </c>
      <c r="J11" s="31" t="n">
        <v>0.3427</v>
      </c>
      <c r="K11" s="33" t="n">
        <v>-0.354</v>
      </c>
      <c r="L11" s="30" t="inlineStr">
        <is>
          <t>—</t>
        </is>
      </c>
      <c r="M11" s="34" t="inlineStr">
        <is>
          <t>5해 연24.2% · 변동성 34.3% (위험대비 0.62) · 최대낙폭 -35% · 가장 나쁜 창 연24.2%</t>
        </is>
      </c>
      <c r="N11" s="35">
        <f>IF($A11="Y",$B11&amp;"|"&amp;COUNTIFS($A$7:$A11,"Y",$B$7:$B11,$B11),"")</f>
        <v/>
      </c>
    </row>
    <row r="12">
      <c r="A12" s="13" t="inlineStr">
        <is>
          <t>Y</t>
        </is>
      </c>
      <c r="B12" s="36" t="inlineStr">
        <is>
          <t>국내주식</t>
        </is>
      </c>
      <c r="C12" s="36" t="inlineStr">
        <is>
          <t>KT&amp;G</t>
        </is>
      </c>
      <c r="D12" s="36" t="inlineStr">
        <is>
          <t>소비재</t>
        </is>
      </c>
      <c r="E12" s="36" t="inlineStr">
        <is>
          <t>—</t>
        </is>
      </c>
      <c r="F12" s="37" t="inlineStr">
        <is>
          <t>18조원</t>
        </is>
      </c>
      <c r="G12" s="38" t="inlineStr">
        <is>
          <t>다년 실측</t>
        </is>
      </c>
      <c r="H12" s="38" t="inlineStr">
        <is>
          <t>5해</t>
        </is>
      </c>
      <c r="I12" s="39" t="n">
        <v>0.1542</v>
      </c>
      <c r="J12" s="39" t="n">
        <v>0.2396</v>
      </c>
      <c r="K12" s="40" t="n">
        <v>-0.2301</v>
      </c>
      <c r="L12" s="37" t="inlineStr">
        <is>
          <t>—</t>
        </is>
      </c>
      <c r="M12" s="41" t="inlineStr">
        <is>
          <t>5해 연15.4% · 변동성 24.0% (위험대비 0.53) · 최대낙폭 -23% · 가장 나쁜 창 연15.4%</t>
        </is>
      </c>
      <c r="N12" s="35">
        <f>IF($A12="Y",$B12&amp;"|"&amp;COUNTIFS($A$7:$A12,"Y",$B$7:$B12,$B12),"")</f>
        <v/>
      </c>
    </row>
    <row r="13">
      <c r="A13" s="13" t="inlineStr">
        <is>
          <t>Y</t>
        </is>
      </c>
      <c r="B13" s="14" t="inlineStr">
        <is>
          <t>국내주식</t>
        </is>
      </c>
      <c r="C13" s="14" t="inlineStr">
        <is>
          <t>LIG넥스원</t>
        </is>
      </c>
      <c r="D13" s="14" t="inlineStr">
        <is>
          <t>중공업</t>
        </is>
      </c>
      <c r="E13" s="14" t="inlineStr">
        <is>
          <t>—</t>
        </is>
      </c>
      <c r="F13" s="30" t="inlineStr">
        <is>
          <t>16조원</t>
        </is>
      </c>
      <c r="G13" s="32" t="inlineStr">
        <is>
          <t>다년 실측</t>
        </is>
      </c>
      <c r="H13" s="32" t="inlineStr">
        <is>
          <t>5해</t>
        </is>
      </c>
      <c r="I13" s="31" t="n">
        <v>0.7317</v>
      </c>
      <c r="J13" s="31" t="n">
        <v>0.6138</v>
      </c>
      <c r="K13" s="33" t="n">
        <v>-0.4223</v>
      </c>
      <c r="L13" s="30" t="inlineStr">
        <is>
          <t>—</t>
        </is>
      </c>
      <c r="M13" s="34" t="inlineStr">
        <is>
          <t>5해 연73.2% · 변동성 61.4% (위험대비 1.15) · 최대낙폭 -42% · 가장 나쁜 창 연52.6%</t>
        </is>
      </c>
      <c r="N13" s="35">
        <f>IF($A13="Y",$B13&amp;"|"&amp;COUNTIFS($A$7:$A13,"Y",$B$7:$B13,$B13),"")</f>
        <v/>
      </c>
    </row>
    <row r="14">
      <c r="A14" s="13" t="inlineStr">
        <is>
          <t>N</t>
        </is>
      </c>
      <c r="B14" s="36" t="inlineStr">
        <is>
          <t>국내주식</t>
        </is>
      </c>
      <c r="C14" s="36" t="inlineStr">
        <is>
          <t>삼성화재</t>
        </is>
      </c>
      <c r="D14" s="36" t="inlineStr">
        <is>
          <t>금융</t>
        </is>
      </c>
      <c r="E14" s="36" t="inlineStr">
        <is>
          <t>—</t>
        </is>
      </c>
      <c r="F14" s="37" t="inlineStr">
        <is>
          <t>29조원</t>
        </is>
      </c>
      <c r="G14" s="38" t="inlineStr">
        <is>
          <t>다년 실측</t>
        </is>
      </c>
      <c r="H14" s="38" t="inlineStr">
        <is>
          <t>5해</t>
        </is>
      </c>
      <c r="I14" s="39" t="n">
        <v>0.2422</v>
      </c>
      <c r="J14" s="39" t="n">
        <v>0.4141</v>
      </c>
      <c r="K14" s="40" t="n">
        <v>-0.3008</v>
      </c>
      <c r="L14" s="37" t="inlineStr">
        <is>
          <t>—</t>
        </is>
      </c>
      <c r="M14" s="41" t="inlineStr">
        <is>
          <t>5해 연24.2% · 변동성 41.4% (위험대비 0.52) · 최대낙폭 -30% · 가장 나쁜 창 연24.2%</t>
        </is>
      </c>
      <c r="N14" s="35">
        <f>IF($A14="Y",$B14&amp;"|"&amp;COUNTIFS($A$7:$A14,"Y",$B$7:$B14,$B14),"")</f>
        <v/>
      </c>
    </row>
    <row r="15">
      <c r="A15" s="13" t="inlineStr">
        <is>
          <t>Y</t>
        </is>
      </c>
      <c r="B15" s="14" t="inlineStr">
        <is>
          <t>국내주식</t>
        </is>
      </c>
      <c r="C15" s="14" t="inlineStr">
        <is>
          <t>HD현대</t>
        </is>
      </c>
      <c r="D15" s="14" t="inlineStr">
        <is>
          <t>지주</t>
        </is>
      </c>
      <c r="E15" s="14" t="inlineStr">
        <is>
          <t>—</t>
        </is>
      </c>
      <c r="F15" s="30" t="inlineStr">
        <is>
          <t>15조원</t>
        </is>
      </c>
      <c r="G15" s="32" t="inlineStr">
        <is>
          <t>다년 실측</t>
        </is>
      </c>
      <c r="H15" s="32" t="inlineStr">
        <is>
          <t>5해</t>
        </is>
      </c>
      <c r="I15" s="31" t="n">
        <v>0.2472</v>
      </c>
      <c r="J15" s="31" t="n">
        <v>0.3909</v>
      </c>
      <c r="K15" s="33" t="n">
        <v>-0.3955</v>
      </c>
      <c r="L15" s="30" t="inlineStr">
        <is>
          <t>—</t>
        </is>
      </c>
      <c r="M15" s="34" t="inlineStr">
        <is>
          <t>5해 연24.7% · 변동성 39.1% (위험대비 0.56) · 최대낙폭 -40% · 가장 나쁜 창 연24.7%</t>
        </is>
      </c>
      <c r="N15" s="35">
        <f>IF($A15="Y",$B15&amp;"|"&amp;COUNTIFS($A$7:$A15,"Y",$B$7:$B15,$B15),"")</f>
        <v/>
      </c>
    </row>
    <row r="16">
      <c r="A16" s="13" t="inlineStr">
        <is>
          <t>N</t>
        </is>
      </c>
      <c r="B16" s="36" t="inlineStr">
        <is>
          <t>국내주식</t>
        </is>
      </c>
      <c r="C16" s="36" t="inlineStr">
        <is>
          <t>GS</t>
        </is>
      </c>
      <c r="D16" s="36" t="inlineStr">
        <is>
          <t>지주</t>
        </is>
      </c>
      <c r="E16" s="36" t="inlineStr">
        <is>
          <t>—</t>
        </is>
      </c>
      <c r="F16" s="37" t="inlineStr">
        <is>
          <t>11조원</t>
        </is>
      </c>
      <c r="G16" s="38" t="inlineStr">
        <is>
          <t>다년 실측</t>
        </is>
      </c>
      <c r="H16" s="38" t="inlineStr">
        <is>
          <t>5해</t>
        </is>
      </c>
      <c r="I16" s="39" t="n">
        <v>0.2077</v>
      </c>
      <c r="J16" s="39" t="n">
        <v>0.3608</v>
      </c>
      <c r="K16" s="40" t="n">
        <v>-0.3525</v>
      </c>
      <c r="L16" s="37" t="inlineStr">
        <is>
          <t>—</t>
        </is>
      </c>
      <c r="M16" s="41" t="inlineStr">
        <is>
          <t>5해 연20.8% · 변동성 36.1% (위험대비 0.50) · 최대낙폭 -35% · 가장 나쁜 창 연20.8%</t>
        </is>
      </c>
      <c r="N16" s="35">
        <f>IF($A16="Y",$B16&amp;"|"&amp;COUNTIFS($A$7:$A16,"Y",$B$7:$B16,$B16),"")</f>
        <v/>
      </c>
    </row>
    <row r="17">
      <c r="A17" s="13" t="inlineStr">
        <is>
          <t>N</t>
        </is>
      </c>
      <c r="B17" s="14" t="inlineStr">
        <is>
          <t>국내주식</t>
        </is>
      </c>
      <c r="C17" s="14" t="inlineStr">
        <is>
          <t>SK하이닉스</t>
        </is>
      </c>
      <c r="D17" s="14" t="inlineStr">
        <is>
          <t>반도체</t>
        </is>
      </c>
      <c r="E17" s="14" t="inlineStr">
        <is>
          <t>—</t>
        </is>
      </c>
      <c r="F17" s="30" t="inlineStr">
        <is>
          <t>1,313조원</t>
        </is>
      </c>
      <c r="G17" s="32" t="inlineStr">
        <is>
          <t>다년 실측</t>
        </is>
      </c>
      <c r="H17" s="32" t="inlineStr">
        <is>
          <t>5해</t>
        </is>
      </c>
      <c r="I17" s="31" t="n">
        <v>0.7095999999999999</v>
      </c>
      <c r="J17" s="31" t="n">
        <v>0.5455</v>
      </c>
      <c r="K17" s="33" t="n">
        <v>-0.5471</v>
      </c>
      <c r="L17" s="30" t="inlineStr">
        <is>
          <t>—</t>
        </is>
      </c>
      <c r="M17" s="34" t="inlineStr">
        <is>
          <t>5해 연71.0% · 변동성 54.5% (위험대비 1.25) · 최대낙폭 -55% · 가장 나쁜 창 연71.0%</t>
        </is>
      </c>
      <c r="N17" s="35">
        <f>IF($A17="Y",$B17&amp;"|"&amp;COUNTIFS($A$7:$A17,"Y",$B$7:$B17,$B17),"")</f>
        <v/>
      </c>
    </row>
    <row r="18">
      <c r="A18" s="13" t="inlineStr">
        <is>
          <t>N</t>
        </is>
      </c>
      <c r="B18" s="36" t="inlineStr">
        <is>
          <t>국내주식</t>
        </is>
      </c>
      <c r="C18" s="36" t="inlineStr">
        <is>
          <t>한국항공우주</t>
        </is>
      </c>
      <c r="D18" s="36" t="inlineStr">
        <is>
          <t>중공업</t>
        </is>
      </c>
      <c r="E18" s="36" t="inlineStr">
        <is>
          <t>—</t>
        </is>
      </c>
      <c r="F18" s="37" t="inlineStr">
        <is>
          <t>13조원</t>
        </is>
      </c>
      <c r="G18" s="38" t="inlineStr">
        <is>
          <t>다년 실측</t>
        </is>
      </c>
      <c r="H18" s="38" t="inlineStr">
        <is>
          <t>5해</t>
        </is>
      </c>
      <c r="I18" s="39" t="n">
        <v>0.3003</v>
      </c>
      <c r="J18" s="39" t="n">
        <v>0.4761</v>
      </c>
      <c r="K18" s="40" t="n">
        <v>-0.4183</v>
      </c>
      <c r="L18" s="37" t="inlineStr">
        <is>
          <t>—</t>
        </is>
      </c>
      <c r="M18" s="41" t="inlineStr">
        <is>
          <t>5해 연30.0% · 변동성 47.6% (위험대비 0.57) · 최대낙폭 -42% · 가장 나쁜 창 연30.0%</t>
        </is>
      </c>
      <c r="N18" s="35">
        <f>IF($A18="Y",$B18&amp;"|"&amp;COUNTIFS($A$7:$A18,"Y",$B$7:$B18,$B18),"")</f>
        <v/>
      </c>
    </row>
    <row r="19">
      <c r="A19" s="13" t="inlineStr">
        <is>
          <t>N</t>
        </is>
      </c>
      <c r="B19" s="14" t="inlineStr">
        <is>
          <t>국내주식</t>
        </is>
      </c>
      <c r="C19" s="14" t="inlineStr">
        <is>
          <t>기업은행</t>
        </is>
      </c>
      <c r="D19" s="14" t="inlineStr">
        <is>
          <t>금융</t>
        </is>
      </c>
      <c r="E19" s="14" t="inlineStr">
        <is>
          <t>—</t>
        </is>
      </c>
      <c r="F19" s="30" t="inlineStr">
        <is>
          <t>16조원</t>
        </is>
      </c>
      <c r="G19" s="32" t="inlineStr">
        <is>
          <t>다년 실측</t>
        </is>
      </c>
      <c r="H19" s="32" t="inlineStr">
        <is>
          <t>5해</t>
        </is>
      </c>
      <c r="I19" s="31" t="n">
        <v>0.1403</v>
      </c>
      <c r="J19" s="31" t="n">
        <v>0.2356</v>
      </c>
      <c r="K19" s="33" t="n">
        <v>-0.3114</v>
      </c>
      <c r="L19" s="30" t="inlineStr">
        <is>
          <t>—</t>
        </is>
      </c>
      <c r="M19" s="34" t="inlineStr">
        <is>
          <t>5해 연14.0% · 변동성 23.6% (위험대비 0.48) · 최대낙폭 -31% · 가장 나쁜 창 연5.8%</t>
        </is>
      </c>
      <c r="N19" s="35">
        <f>IF($A19="Y",$B19&amp;"|"&amp;COUNTIFS($A$7:$A19,"Y",$B$7:$B19,$B19),"")</f>
        <v/>
      </c>
    </row>
    <row r="20">
      <c r="A20" s="13" t="inlineStr">
        <is>
          <t>N</t>
        </is>
      </c>
      <c r="B20" s="36" t="inlineStr">
        <is>
          <t>국내주식</t>
        </is>
      </c>
      <c r="C20" s="36" t="inlineStr">
        <is>
          <t>LS일렉트릭</t>
        </is>
      </c>
      <c r="D20" s="36" t="inlineStr">
        <is>
          <t>중공업</t>
        </is>
      </c>
      <c r="E20" s="36" t="inlineStr">
        <is>
          <t>—</t>
        </is>
      </c>
      <c r="F20" s="37" t="inlineStr">
        <is>
          <t>31조원</t>
        </is>
      </c>
      <c r="G20" s="38" t="inlineStr">
        <is>
          <t>다년 실측</t>
        </is>
      </c>
      <c r="H20" s="38" t="inlineStr">
        <is>
          <t>5해</t>
        </is>
      </c>
      <c r="I20" s="39" t="n">
        <v>0.7292000000000001</v>
      </c>
      <c r="J20" s="39" t="n">
        <v>0.6245000000000001</v>
      </c>
      <c r="K20" s="40" t="n">
        <v>-0.5281</v>
      </c>
      <c r="L20" s="37" t="inlineStr">
        <is>
          <t>—</t>
        </is>
      </c>
      <c r="M20" s="41" t="inlineStr">
        <is>
          <t>5해 연72.9% · 변동성 62.5% (위험대비 1.12) · 최대낙폭 -53% · 가장 나쁜 창 연72.9%</t>
        </is>
      </c>
      <c r="N20" s="35">
        <f>IF($A20="Y",$B20&amp;"|"&amp;COUNTIFS($A$7:$A20,"Y",$B$7:$B20,$B20),"")</f>
        <v/>
      </c>
    </row>
    <row r="21">
      <c r="A21" s="13" t="inlineStr">
        <is>
          <t>N</t>
        </is>
      </c>
      <c r="B21" s="14" t="inlineStr">
        <is>
          <t>국내주식</t>
        </is>
      </c>
      <c r="C21" s="14" t="inlineStr">
        <is>
          <t>한화에어로스페이스</t>
        </is>
      </c>
      <c r="D21" s="14" t="inlineStr">
        <is>
          <t>중공업</t>
        </is>
      </c>
      <c r="E21" s="14" t="inlineStr">
        <is>
          <t>—</t>
        </is>
      </c>
      <c r="F21" s="30" t="inlineStr">
        <is>
          <t>56조원</t>
        </is>
      </c>
      <c r="G21" s="32" t="inlineStr">
        <is>
          <t>다년 실측</t>
        </is>
      </c>
      <c r="H21" s="32" t="inlineStr">
        <is>
          <t>5해</t>
        </is>
      </c>
      <c r="I21" s="31" t="n">
        <v>0.8077</v>
      </c>
      <c r="J21" s="31" t="n">
        <v>0.5496</v>
      </c>
      <c r="K21" s="33" t="n">
        <v>-0.473</v>
      </c>
      <c r="L21" s="30" t="inlineStr">
        <is>
          <t>—</t>
        </is>
      </c>
      <c r="M21" s="34" t="inlineStr">
        <is>
          <t>5해 연80.8% · 변동성 55.0% (위험대비 1.42) · 최대낙폭 -47% · 가장 나쁜 창 연18.0%</t>
        </is>
      </c>
      <c r="N21" s="35">
        <f>IF($A21="Y",$B21&amp;"|"&amp;COUNTIFS($A$7:$A21,"Y",$B$7:$B21,$B21),"")</f>
        <v/>
      </c>
    </row>
    <row r="22">
      <c r="A22" s="13" t="inlineStr">
        <is>
          <t>N</t>
        </is>
      </c>
      <c r="B22" s="36" t="inlineStr">
        <is>
          <t>국내주식</t>
        </is>
      </c>
      <c r="C22" s="36" t="inlineStr">
        <is>
          <t>효성중공업</t>
        </is>
      </c>
      <c r="D22" s="36" t="inlineStr">
        <is>
          <t>중공업</t>
        </is>
      </c>
      <c r="E22" s="36" t="inlineStr">
        <is>
          <t>—</t>
        </is>
      </c>
      <c r="F22" s="37" t="inlineStr">
        <is>
          <t>27조원</t>
        </is>
      </c>
      <c r="G22" s="38" t="inlineStr">
        <is>
          <t>다년 실측</t>
        </is>
      </c>
      <c r="H22" s="38" t="inlineStr">
        <is>
          <t>5해</t>
        </is>
      </c>
      <c r="I22" s="39" t="n">
        <v>0.9986</v>
      </c>
      <c r="J22" s="39" t="n">
        <v>0.6304999999999999</v>
      </c>
      <c r="K22" s="40" t="n">
        <v>-0.5884</v>
      </c>
      <c r="L22" s="37" t="inlineStr">
        <is>
          <t>—</t>
        </is>
      </c>
      <c r="M22" s="41" t="inlineStr">
        <is>
          <t>5해 연99.9% · 변동성 63.0% (위험대비 1.54) · 최대낙폭 -59% · 가장 나쁜 창 연99.9%</t>
        </is>
      </c>
      <c r="N22" s="35">
        <f>IF($A22="Y",$B22&amp;"|"&amp;COUNTIFS($A$7:$A22,"Y",$B$7:$B22,$B22),"")</f>
        <v/>
      </c>
    </row>
    <row r="23">
      <c r="A23" s="13" t="inlineStr">
        <is>
          <t>N</t>
        </is>
      </c>
      <c r="B23" s="14" t="inlineStr">
        <is>
          <t>국내주식</t>
        </is>
      </c>
      <c r="C23" s="14" t="inlineStr">
        <is>
          <t>NH투자증권</t>
        </is>
      </c>
      <c r="D23" s="14" t="inlineStr">
        <is>
          <t>금융</t>
        </is>
      </c>
      <c r="E23" s="14" t="inlineStr">
        <is>
          <t>—</t>
        </is>
      </c>
      <c r="F23" s="30" t="inlineStr">
        <is>
          <t>10조원</t>
        </is>
      </c>
      <c r="G23" s="32" t="inlineStr">
        <is>
          <t>다년 실측</t>
        </is>
      </c>
      <c r="H23" s="32" t="inlineStr">
        <is>
          <t>5해</t>
        </is>
      </c>
      <c r="I23" s="31" t="n">
        <v>0.1463</v>
      </c>
      <c r="J23" s="31" t="n">
        <v>0.3341</v>
      </c>
      <c r="K23" s="33" t="n">
        <v>-0.375</v>
      </c>
      <c r="L23" s="30" t="inlineStr">
        <is>
          <t>—</t>
        </is>
      </c>
      <c r="M23" s="34" t="inlineStr">
        <is>
          <t>5해 연14.6% · 변동성 33.4% (위험대비 0.35) · 최대낙폭 -38% · 가장 나쁜 창 연14.6%</t>
        </is>
      </c>
      <c r="N23" s="35">
        <f>IF($A23="Y",$B23&amp;"|"&amp;COUNTIFS($A$7:$A23,"Y",$B$7:$B23,$B23),"")</f>
        <v/>
      </c>
    </row>
    <row r="24">
      <c r="A24" s="13" t="inlineStr">
        <is>
          <t>N</t>
        </is>
      </c>
      <c r="B24" s="36" t="inlineStr">
        <is>
          <t>국내주식</t>
        </is>
      </c>
      <c r="C24" s="36" t="inlineStr">
        <is>
          <t>삼양식품</t>
        </is>
      </c>
      <c r="D24" s="36" t="inlineStr">
        <is>
          <t>소비재</t>
        </is>
      </c>
      <c r="E24" s="36" t="inlineStr">
        <is>
          <t>—</t>
        </is>
      </c>
      <c r="F24" s="37" t="inlineStr">
        <is>
          <t>10조원</t>
        </is>
      </c>
      <c r="G24" s="38" t="inlineStr">
        <is>
          <t>다년 실측</t>
        </is>
      </c>
      <c r="H24" s="38" t="inlineStr">
        <is>
          <t>5해</t>
        </is>
      </c>
      <c r="I24" s="39" t="n">
        <v>0.679</v>
      </c>
      <c r="J24" s="39" t="n">
        <v>0.484</v>
      </c>
      <c r="K24" s="40" t="n">
        <v>-0.373</v>
      </c>
      <c r="L24" s="37" t="inlineStr">
        <is>
          <t>—</t>
        </is>
      </c>
      <c r="M24" s="41" t="inlineStr">
        <is>
          <t>5해 연67.9% · 변동성 48.4% (위험대비 1.34) · 최대낙폭 -37% · 가장 나쁜 창 연-16.0%</t>
        </is>
      </c>
      <c r="N24" s="35">
        <f>IF($A24="Y",$B24&amp;"|"&amp;COUNTIFS($A$7:$A24,"Y",$B$7:$B24,$B24),"")</f>
        <v/>
      </c>
    </row>
    <row r="25">
      <c r="A25" s="13" t="inlineStr">
        <is>
          <t>N</t>
        </is>
      </c>
      <c r="B25" s="14" t="inlineStr">
        <is>
          <t>국내주식</t>
        </is>
      </c>
      <c r="C25" s="14" t="inlineStr">
        <is>
          <t>레인보우로보틱스</t>
        </is>
      </c>
      <c r="D25" s="14" t="inlineStr">
        <is>
          <t>중공업</t>
        </is>
      </c>
      <c r="E25" s="14" t="inlineStr">
        <is>
          <t>—</t>
        </is>
      </c>
      <c r="F25" s="30" t="inlineStr">
        <is>
          <t>8조원</t>
        </is>
      </c>
      <c r="G25" s="32" t="inlineStr">
        <is>
          <t>다년 실측</t>
        </is>
      </c>
      <c r="H25" s="32" t="inlineStr">
        <is>
          <t>5해</t>
        </is>
      </c>
      <c r="I25" s="31" t="n">
        <v>0.7853</v>
      </c>
      <c r="J25" s="31" t="n">
        <v>0.7114</v>
      </c>
      <c r="K25" s="33" t="n">
        <v>-0.5760999999999999</v>
      </c>
      <c r="L25" s="30" t="inlineStr">
        <is>
          <t>—</t>
        </is>
      </c>
      <c r="M25" s="34" t="inlineStr">
        <is>
          <t>5해 연78.5% · 변동성 71.1% (위험대비 1.06) · 최대낙폭 -58% · 가장 나쁜 창 연43.0%</t>
        </is>
      </c>
      <c r="N25" s="35">
        <f>IF($A25="Y",$B25&amp;"|"&amp;COUNTIFS($A$7:$A25,"Y",$B$7:$B25,$B25),"")</f>
        <v/>
      </c>
    </row>
    <row r="26">
      <c r="A26" s="13" t="inlineStr">
        <is>
          <t>N</t>
        </is>
      </c>
      <c r="B26" s="36" t="inlineStr">
        <is>
          <t>국내주식</t>
        </is>
      </c>
      <c r="C26" s="36" t="inlineStr">
        <is>
          <t>두산</t>
        </is>
      </c>
      <c r="D26" s="36" t="inlineStr">
        <is>
          <t>지주</t>
        </is>
      </c>
      <c r="E26" s="36" t="inlineStr">
        <is>
          <t>—</t>
        </is>
      </c>
      <c r="F26" s="37" t="inlineStr">
        <is>
          <t>25조원</t>
        </is>
      </c>
      <c r="G26" s="38" t="inlineStr">
        <is>
          <t>다년 실측</t>
        </is>
      </c>
      <c r="H26" s="38" t="inlineStr">
        <is>
          <t>5해</t>
        </is>
      </c>
      <c r="I26" s="39" t="n">
        <v>0.6823</v>
      </c>
      <c r="J26" s="39" t="n">
        <v>0.6933</v>
      </c>
      <c r="K26" s="40" t="n">
        <v>-0.5915</v>
      </c>
      <c r="L26" s="37" t="inlineStr">
        <is>
          <t>—</t>
        </is>
      </c>
      <c r="M26" s="41" t="inlineStr">
        <is>
          <t>5해 연68.2% · 변동성 69.3% (위험대비 0.94) · 최대낙폭 -59% · 가장 나쁜 창 연68.2%</t>
        </is>
      </c>
      <c r="N26" s="35">
        <f>IF($A26="Y",$B26&amp;"|"&amp;COUNTIFS($A$7:$A26,"Y",$B$7:$B26,$B26),"")</f>
        <v/>
      </c>
    </row>
    <row r="27">
      <c r="A27" s="13" t="inlineStr">
        <is>
          <t>N</t>
        </is>
      </c>
      <c r="B27" s="14" t="inlineStr">
        <is>
          <t>국내주식</t>
        </is>
      </c>
      <c r="C27" s="14" t="inlineStr">
        <is>
          <t>KT</t>
        </is>
      </c>
      <c r="D27" s="14" t="inlineStr">
        <is>
          <t>통신</t>
        </is>
      </c>
      <c r="E27" s="14" t="inlineStr">
        <is>
          <t>—</t>
        </is>
      </c>
      <c r="F27" s="30" t="inlineStr">
        <is>
          <t>13조원</t>
        </is>
      </c>
      <c r="G27" s="32" t="inlineStr">
        <is>
          <t>다년 실측</t>
        </is>
      </c>
      <c r="H27" s="32" t="inlineStr">
        <is>
          <t>5해</t>
        </is>
      </c>
      <c r="I27" s="31" t="n">
        <v>0.0934</v>
      </c>
      <c r="J27" s="31" t="n">
        <v>0.2543</v>
      </c>
      <c r="K27" s="33" t="n">
        <v>-0.2593</v>
      </c>
      <c r="L27" s="30" t="inlineStr">
        <is>
          <t>—</t>
        </is>
      </c>
      <c r="M27" s="34" t="inlineStr">
        <is>
          <t>5해 연9.3% · 변동성 25.4% (위험대비 0.26) · 최대낙폭 -26% · 가장 나쁜 창 연-0.5%</t>
        </is>
      </c>
      <c r="N27" s="35">
        <f>IF($A27="Y",$B27&amp;"|"&amp;COUNTIFS($A$7:$A27,"Y",$B$7:$B27,$B27),"")</f>
        <v/>
      </c>
    </row>
    <row r="28">
      <c r="A28" s="13" t="inlineStr">
        <is>
          <t>N</t>
        </is>
      </c>
      <c r="B28" s="36" t="inlineStr">
        <is>
          <t>국내주식</t>
        </is>
      </c>
      <c r="C28" s="36" t="inlineStr">
        <is>
          <t>현대글로비스</t>
        </is>
      </c>
      <c r="D28" s="36" t="inlineStr">
        <is>
          <t>인프라</t>
        </is>
      </c>
      <c r="E28" s="36" t="inlineStr">
        <is>
          <t>—</t>
        </is>
      </c>
      <c r="F28" s="37" t="inlineStr">
        <is>
          <t>15조원</t>
        </is>
      </c>
      <c r="G28" s="38" t="inlineStr">
        <is>
          <t>다년 실측</t>
        </is>
      </c>
      <c r="H28" s="38" t="inlineStr">
        <is>
          <t>5해</t>
        </is>
      </c>
      <c r="I28" s="39" t="n">
        <v>0.1419</v>
      </c>
      <c r="J28" s="39" t="n">
        <v>0.3862</v>
      </c>
      <c r="K28" s="40" t="n">
        <v>-0.379</v>
      </c>
      <c r="L28" s="37" t="inlineStr">
        <is>
          <t>—</t>
        </is>
      </c>
      <c r="M28" s="41" t="inlineStr">
        <is>
          <t>5해 연14.2% · 변동성 38.6% (위험대비 0.29) · 최대낙폭 -38% · 가장 나쁜 창 연9.4%</t>
        </is>
      </c>
      <c r="N28" s="35">
        <f>IF($A28="Y",$B28&amp;"|"&amp;COUNTIFS($A$7:$A28,"Y",$B$7:$B28,$B28),"")</f>
        <v/>
      </c>
    </row>
    <row r="29">
      <c r="A29" s="13" t="inlineStr">
        <is>
          <t>N</t>
        </is>
      </c>
      <c r="B29" s="14" t="inlineStr">
        <is>
          <t>국내주식</t>
        </is>
      </c>
      <c r="C29" s="14" t="inlineStr">
        <is>
          <t>주성엔지니어링</t>
        </is>
      </c>
      <c r="D29" s="14" t="inlineStr">
        <is>
          <t>반도체</t>
        </is>
      </c>
      <c r="E29" s="14" t="inlineStr">
        <is>
          <t>—</t>
        </is>
      </c>
      <c r="F29" s="30" t="inlineStr">
        <is>
          <t>9조원</t>
        </is>
      </c>
      <c r="G29" s="32" t="inlineStr">
        <is>
          <t>다년 실측</t>
        </is>
      </c>
      <c r="H29" s="32" t="inlineStr">
        <is>
          <t>5해</t>
        </is>
      </c>
      <c r="I29" s="31" t="n">
        <v>0.6667000000000001</v>
      </c>
      <c r="J29" s="31" t="n">
        <v>0.7006</v>
      </c>
      <c r="K29" s="33" t="n">
        <v>-0.6221</v>
      </c>
      <c r="L29" s="30" t="inlineStr">
        <is>
          <t>—</t>
        </is>
      </c>
      <c r="M29" s="34" t="inlineStr">
        <is>
          <t>5해 연66.7% · 변동성 70.1% (위험대비 0.91) · 최대낙폭 -62% · 가장 나쁜 창 연66.7%</t>
        </is>
      </c>
      <c r="N29" s="35">
        <f>IF($A29="Y",$B29&amp;"|"&amp;COUNTIFS($A$7:$A29,"Y",$B$7:$B29,$B29),"")</f>
        <v/>
      </c>
    </row>
    <row r="30">
      <c r="A30" s="13" t="inlineStr">
        <is>
          <t>N</t>
        </is>
      </c>
      <c r="B30" s="36" t="inlineStr">
        <is>
          <t>국내주식</t>
        </is>
      </c>
      <c r="C30" s="36" t="inlineStr">
        <is>
          <t>이수페타시스</t>
        </is>
      </c>
      <c r="D30" s="36" t="inlineStr">
        <is>
          <t>전기전자</t>
        </is>
      </c>
      <c r="E30" s="36" t="inlineStr">
        <is>
          <t>—</t>
        </is>
      </c>
      <c r="F30" s="37" t="inlineStr">
        <is>
          <t>8조원</t>
        </is>
      </c>
      <c r="G30" s="38" t="inlineStr">
        <is>
          <t>다년 실측</t>
        </is>
      </c>
      <c r="H30" s="38" t="inlineStr">
        <is>
          <t>5해</t>
        </is>
      </c>
      <c r="I30" s="39" t="n">
        <v>0.9577</v>
      </c>
      <c r="J30" s="39" t="n">
        <v>0.7687999999999999</v>
      </c>
      <c r="K30" s="40" t="n">
        <v>-0.6405</v>
      </c>
      <c r="L30" s="37" t="inlineStr">
        <is>
          <t>—</t>
        </is>
      </c>
      <c r="M30" s="41" t="inlineStr">
        <is>
          <t>5해 연95.8% · 변동성 76.9% (위험대비 1.21) · 최대낙폭 -64% · 가장 나쁜 창 연47.9%</t>
        </is>
      </c>
      <c r="N30" s="35">
        <f>IF($A30="Y",$B30&amp;"|"&amp;COUNTIFS($A$7:$A30,"Y",$B$7:$B30,$B30),"")</f>
        <v/>
      </c>
    </row>
    <row r="31">
      <c r="A31" s="13" t="inlineStr">
        <is>
          <t>N</t>
        </is>
      </c>
      <c r="B31" s="14" t="inlineStr">
        <is>
          <t>국내주식</t>
        </is>
      </c>
      <c r="C31" s="14" t="inlineStr">
        <is>
          <t>메리츠금융지주</t>
        </is>
      </c>
      <c r="D31" s="14" t="inlineStr">
        <is>
          <t>금융</t>
        </is>
      </c>
      <c r="E31" s="14" t="inlineStr">
        <is>
          <t>—</t>
        </is>
      </c>
      <c r="F31" s="30" t="inlineStr">
        <is>
          <t>20조원</t>
        </is>
      </c>
      <c r="G31" s="32" t="inlineStr">
        <is>
          <t>다년 실측</t>
        </is>
      </c>
      <c r="H31" s="32" t="inlineStr">
        <is>
          <t>5해</t>
        </is>
      </c>
      <c r="I31" s="31" t="n">
        <v>0.4095</v>
      </c>
      <c r="J31" s="31" t="n">
        <v>0.414</v>
      </c>
      <c r="K31" s="33" t="n">
        <v>-0.6265999999999999</v>
      </c>
      <c r="L31" s="30" t="inlineStr">
        <is>
          <t>—</t>
        </is>
      </c>
      <c r="M31" s="34" t="inlineStr">
        <is>
          <t>5해 연41.0% · 변동성 41.4% (위험대비 0.92) · 최대낙폭 -63% · 가장 나쁜 창 연2.8%</t>
        </is>
      </c>
      <c r="N31" s="35">
        <f>IF($A31="Y",$B31&amp;"|"&amp;COUNTIFS($A$7:$A31,"Y",$B$7:$B31,$B31),"")</f>
        <v/>
      </c>
    </row>
    <row r="32">
      <c r="A32" s="13" t="inlineStr">
        <is>
          <t>Y</t>
        </is>
      </c>
      <c r="B32" s="36" t="inlineStr">
        <is>
          <t>해외주식</t>
        </is>
      </c>
      <c r="C32" s="36" t="inlineStr">
        <is>
          <t>애브비</t>
        </is>
      </c>
      <c r="D32" s="36" t="inlineStr">
        <is>
          <t>헬스케어</t>
        </is>
      </c>
      <c r="E32" s="36" t="inlineStr">
        <is>
          <t>—</t>
        </is>
      </c>
      <c r="F32" s="37" t="inlineStr">
        <is>
          <t>629조원</t>
        </is>
      </c>
      <c r="G32" s="38" t="inlineStr">
        <is>
          <t>다년 실측</t>
        </is>
      </c>
      <c r="H32" s="38" t="inlineStr">
        <is>
          <t>5해</t>
        </is>
      </c>
      <c r="I32" s="39" t="n">
        <v>0.2862</v>
      </c>
      <c r="J32" s="39" t="n">
        <v>0.2527</v>
      </c>
      <c r="K32" s="40" t="n">
        <v>-0.2288</v>
      </c>
      <c r="L32" s="37" t="inlineStr">
        <is>
          <t>—</t>
        </is>
      </c>
      <c r="M32" s="41" t="inlineStr">
        <is>
          <t>5해 연28.6% · 변동성 25.3% (위험대비 1.02) · 최대낙폭 -23% · 가장 나쁜 창 연24.1%</t>
        </is>
      </c>
      <c r="N32" s="35">
        <f>IF($A32="Y",$B32&amp;"|"&amp;COUNTIFS($A$7:$A32,"Y",$B$7:$B32,$B32),"")</f>
        <v/>
      </c>
    </row>
    <row r="33">
      <c r="A33" s="13" t="inlineStr">
        <is>
          <t>Y</t>
        </is>
      </c>
      <c r="B33" s="14" t="inlineStr">
        <is>
          <t>해외주식</t>
        </is>
      </c>
      <c r="C33" s="14" t="inlineStr">
        <is>
          <t>코카콜라</t>
        </is>
      </c>
      <c r="D33" s="14" t="inlineStr">
        <is>
          <t>필수소비재</t>
        </is>
      </c>
      <c r="E33" s="14" t="inlineStr">
        <is>
          <t>—</t>
        </is>
      </c>
      <c r="F33" s="30" t="inlineStr">
        <is>
          <t>504조원</t>
        </is>
      </c>
      <c r="G33" s="32" t="inlineStr">
        <is>
          <t>다년 실측</t>
        </is>
      </c>
      <c r="H33" s="32" t="inlineStr">
        <is>
          <t>5해</t>
        </is>
      </c>
      <c r="I33" s="31" t="n">
        <v>0.1704</v>
      </c>
      <c r="J33" s="31" t="n">
        <v>0.1891</v>
      </c>
      <c r="K33" s="33" t="n">
        <v>-0.1672</v>
      </c>
      <c r="L33" s="30" t="inlineStr">
        <is>
          <t>—</t>
        </is>
      </c>
      <c r="M33" s="34" t="inlineStr">
        <is>
          <t>5해 연17.0% · 변동성 18.9% (위험대비 0.75) · 최대낙폭 -17% · 가장 나쁜 창 연17.0%</t>
        </is>
      </c>
      <c r="N33" s="35">
        <f>IF($A33="Y",$B33&amp;"|"&amp;COUNTIFS($A$7:$A33,"Y",$B$7:$B33,$B33),"")</f>
        <v/>
      </c>
    </row>
    <row r="34">
      <c r="A34" s="13" t="inlineStr">
        <is>
          <t>Y</t>
        </is>
      </c>
      <c r="B34" s="36" t="inlineStr">
        <is>
          <t>해외주식</t>
        </is>
      </c>
      <c r="C34" s="36" t="inlineStr">
        <is>
          <t>길리어드</t>
        </is>
      </c>
      <c r="D34" s="36" t="inlineStr">
        <is>
          <t>헬스케어</t>
        </is>
      </c>
      <c r="E34" s="36" t="inlineStr">
        <is>
          <t>—</t>
        </is>
      </c>
      <c r="F34" s="37" t="inlineStr">
        <is>
          <t>251조원</t>
        </is>
      </c>
      <c r="G34" s="38" t="inlineStr">
        <is>
          <t>다년 실측</t>
        </is>
      </c>
      <c r="H34" s="38" t="inlineStr">
        <is>
          <t>5해</t>
        </is>
      </c>
      <c r="I34" s="39" t="n">
        <v>0.2477</v>
      </c>
      <c r="J34" s="39" t="n">
        <v>0.263</v>
      </c>
      <c r="K34" s="40" t="n">
        <v>-0.2465</v>
      </c>
      <c r="L34" s="37" t="inlineStr">
        <is>
          <t>—</t>
        </is>
      </c>
      <c r="M34" s="41" t="inlineStr">
        <is>
          <t>5해 연24.8% · 변동성 26.3% (위험대비 0.83) · 최대낙폭 -25% · 가장 나쁜 창 연24.8%</t>
        </is>
      </c>
      <c r="N34" s="35">
        <f>IF($A34="Y",$B34&amp;"|"&amp;COUNTIFS($A$7:$A34,"Y",$B$7:$B34,$B34),"")</f>
        <v/>
      </c>
    </row>
    <row r="35">
      <c r="A35" s="13" t="inlineStr">
        <is>
          <t>Y</t>
        </is>
      </c>
      <c r="B35" s="14" t="inlineStr">
        <is>
          <t>해외주식</t>
        </is>
      </c>
      <c r="C35" s="14" t="inlineStr">
        <is>
          <t>필립모리스</t>
        </is>
      </c>
      <c r="D35" s="14" t="inlineStr">
        <is>
          <t>필수소비재</t>
        </is>
      </c>
      <c r="E35" s="14" t="inlineStr">
        <is>
          <t>—</t>
        </is>
      </c>
      <c r="F35" s="30" t="inlineStr">
        <is>
          <t>404조원</t>
        </is>
      </c>
      <c r="G35" s="32" t="inlineStr">
        <is>
          <t>다년 실측</t>
        </is>
      </c>
      <c r="H35" s="32" t="inlineStr">
        <is>
          <t>5해</t>
        </is>
      </c>
      <c r="I35" s="31" t="n">
        <v>0.2222</v>
      </c>
      <c r="J35" s="31" t="n">
        <v>0.2438</v>
      </c>
      <c r="K35" s="33" t="n">
        <v>-0.184</v>
      </c>
      <c r="L35" s="30" t="inlineStr">
        <is>
          <t>—</t>
        </is>
      </c>
      <c r="M35" s="34" t="inlineStr">
        <is>
          <t>5해 연22.2% · 변동성 24.4% (위험대비 0.80) · 최대낙폭 -18% · 가장 나쁜 창 연18.3%</t>
        </is>
      </c>
      <c r="N35" s="35">
        <f>IF($A35="Y",$B35&amp;"|"&amp;COUNTIFS($A$7:$A35,"Y",$B$7:$B35,$B35),"")</f>
        <v/>
      </c>
    </row>
    <row r="36">
      <c r="A36" s="13" t="inlineStr">
        <is>
          <t>Y</t>
        </is>
      </c>
      <c r="B36" s="36" t="inlineStr">
        <is>
          <t>해외주식</t>
        </is>
      </c>
      <c r="C36" s="36" t="inlineStr">
        <is>
          <t>엑슨모빌</t>
        </is>
      </c>
      <c r="D36" s="36" t="inlineStr">
        <is>
          <t>에너지</t>
        </is>
      </c>
      <c r="E36" s="36" t="inlineStr">
        <is>
          <t>—</t>
        </is>
      </c>
      <c r="F36" s="37" t="inlineStr">
        <is>
          <t>910조원</t>
        </is>
      </c>
      <c r="G36" s="38" t="inlineStr">
        <is>
          <t>다년 실측</t>
        </is>
      </c>
      <c r="H36" s="38" t="inlineStr">
        <is>
          <t>5해</t>
        </is>
      </c>
      <c r="I36" s="39" t="n">
        <v>0.3352000000000001</v>
      </c>
      <c r="J36" s="39" t="n">
        <v>0.2815</v>
      </c>
      <c r="K36" s="40" t="n">
        <v>-0.2045</v>
      </c>
      <c r="L36" s="37" t="inlineStr">
        <is>
          <t>—</t>
        </is>
      </c>
      <c r="M36" s="41" t="inlineStr">
        <is>
          <t>5해 연33.5% · 변동성 28.1% (위험대비 1.09) · 최대낙폭 -20% · 가장 나쁜 창 연17.1%</t>
        </is>
      </c>
      <c r="N36" s="35">
        <f>IF($A36="Y",$B36&amp;"|"&amp;COUNTIFS($A$7:$A36,"Y",$B$7:$B36,$B36),"")</f>
        <v/>
      </c>
    </row>
    <row r="37">
      <c r="A37" s="13" t="inlineStr">
        <is>
          <t>N</t>
        </is>
      </c>
      <c r="B37" s="14" t="inlineStr">
        <is>
          <t>해외주식</t>
        </is>
      </c>
      <c r="C37" s="14" t="inlineStr">
        <is>
          <t>처브</t>
        </is>
      </c>
      <c r="D37" s="14" t="inlineStr">
        <is>
          <t>금융</t>
        </is>
      </c>
      <c r="E37" s="14" t="inlineStr">
        <is>
          <t>—</t>
        </is>
      </c>
      <c r="F37" s="30" t="inlineStr">
        <is>
          <t>171조원</t>
        </is>
      </c>
      <c r="G37" s="32" t="inlineStr">
        <is>
          <t>다년 실측</t>
        </is>
      </c>
      <c r="H37" s="32" t="inlineStr">
        <is>
          <t>5해</t>
        </is>
      </c>
      <c r="I37" s="31" t="n">
        <v>0.1934</v>
      </c>
      <c r="J37" s="31" t="n">
        <v>0.2271</v>
      </c>
      <c r="K37" s="33" t="n">
        <v>-0.2158</v>
      </c>
      <c r="L37" s="30" t="inlineStr">
        <is>
          <t>—</t>
        </is>
      </c>
      <c r="M37" s="34" t="inlineStr">
        <is>
          <t>5해 연19.3% · 변동성 22.7% (위험대비 0.73) · 최대낙폭 -22% · 가장 나쁜 창 연19.3%</t>
        </is>
      </c>
      <c r="N37" s="35">
        <f>IF($A37="Y",$B37&amp;"|"&amp;COUNTIFS($A$7:$A37,"Y",$B$7:$B37,$B37),"")</f>
        <v/>
      </c>
    </row>
    <row r="38">
      <c r="A38" s="13" t="inlineStr">
        <is>
          <t>N</t>
        </is>
      </c>
      <c r="B38" s="36" t="inlineStr">
        <is>
          <t>해외주식</t>
        </is>
      </c>
      <c r="C38" s="36" t="inlineStr">
        <is>
          <t>존슨앤드존슨</t>
        </is>
      </c>
      <c r="D38" s="36" t="inlineStr">
        <is>
          <t>헬스케어</t>
        </is>
      </c>
      <c r="E38" s="36" t="inlineStr">
        <is>
          <t>—</t>
        </is>
      </c>
      <c r="F38" s="37" t="inlineStr">
        <is>
          <t>868조원</t>
        </is>
      </c>
      <c r="G38" s="38" t="inlineStr">
        <is>
          <t>다년 실측</t>
        </is>
      </c>
      <c r="H38" s="38" t="inlineStr">
        <is>
          <t>5해</t>
        </is>
      </c>
      <c r="I38" s="39" t="n">
        <v>0.1715</v>
      </c>
      <c r="J38" s="39" t="n">
        <v>0.2006</v>
      </c>
      <c r="K38" s="40" t="n">
        <v>-0.2108</v>
      </c>
      <c r="L38" s="37" t="inlineStr">
        <is>
          <t>—</t>
        </is>
      </c>
      <c r="M38" s="41" t="inlineStr">
        <is>
          <t>5해 연17.1% · 변동성 20.1% (위험대비 0.71) · 최대낙폭 -21% · 가장 나쁜 창 연17.1%</t>
        </is>
      </c>
      <c r="N38" s="35">
        <f>IF($A38="Y",$B38&amp;"|"&amp;COUNTIFS($A$7:$A38,"Y",$B$7:$B38,$B38),"")</f>
        <v/>
      </c>
    </row>
    <row r="39">
      <c r="A39" s="13" t="inlineStr">
        <is>
          <t>N</t>
        </is>
      </c>
      <c r="B39" s="14" t="inlineStr">
        <is>
          <t>해외주식</t>
        </is>
      </c>
      <c r="C39" s="14" t="inlineStr">
        <is>
          <t>RTX</t>
        </is>
      </c>
      <c r="D39" s="14" t="inlineStr">
        <is>
          <t>산업재</t>
        </is>
      </c>
      <c r="E39" s="14" t="inlineStr">
        <is>
          <t>—</t>
        </is>
      </c>
      <c r="F39" s="30" t="inlineStr">
        <is>
          <t>340조원</t>
        </is>
      </c>
      <c r="G39" s="32" t="inlineStr">
        <is>
          <t>다년 실측</t>
        </is>
      </c>
      <c r="H39" s="32" t="inlineStr">
        <is>
          <t>5해</t>
        </is>
      </c>
      <c r="I39" s="31" t="n">
        <v>0.2526</v>
      </c>
      <c r="J39" s="31" t="n">
        <v>0.2634</v>
      </c>
      <c r="K39" s="33" t="n">
        <v>-0.317</v>
      </c>
      <c r="L39" s="30" t="inlineStr">
        <is>
          <t>—</t>
        </is>
      </c>
      <c r="M39" s="34" t="inlineStr">
        <is>
          <t>5해 연25.3% · 변동성 26.3% (위험대비 0.85) · 최대낙폭 -32% · 가장 나쁜 창 연25.2%</t>
        </is>
      </c>
      <c r="N39" s="35">
        <f>IF($A39="Y",$B39&amp;"|"&amp;COUNTIFS($A$7:$A39,"Y",$B$7:$B39,$B39),"")</f>
        <v/>
      </c>
    </row>
    <row r="40">
      <c r="A40" s="13" t="inlineStr">
        <is>
          <t>N</t>
        </is>
      </c>
      <c r="B40" s="36" t="inlineStr">
        <is>
          <t>해외주식</t>
        </is>
      </c>
      <c r="C40" s="36" t="inlineStr">
        <is>
          <t>JP모간체이스</t>
        </is>
      </c>
      <c r="D40" s="36" t="inlineStr">
        <is>
          <t>금융</t>
        </is>
      </c>
      <c r="E40" s="36" t="inlineStr">
        <is>
          <t>—</t>
        </is>
      </c>
      <c r="F40" s="37" t="inlineStr">
        <is>
          <t>1,196조원</t>
        </is>
      </c>
      <c r="G40" s="38" t="inlineStr">
        <is>
          <t>다년 실측</t>
        </is>
      </c>
      <c r="H40" s="38" t="inlineStr">
        <is>
          <t>5해</t>
        </is>
      </c>
      <c r="I40" s="39" t="n">
        <v>0.2444</v>
      </c>
      <c r="J40" s="39" t="n">
        <v>0.254</v>
      </c>
      <c r="K40" s="40" t="n">
        <v>-0.2822</v>
      </c>
      <c r="L40" s="37" t="inlineStr">
        <is>
          <t>—</t>
        </is>
      </c>
      <c r="M40" s="41" t="inlineStr">
        <is>
          <t>5해 연24.4% · 변동성 25.4% (위험대비 0.85) · 최대낙폭 -28% · 가장 나쁜 창 연15.1%</t>
        </is>
      </c>
      <c r="N40" s="35">
        <f>IF($A40="Y",$B40&amp;"|"&amp;COUNTIFS($A$7:$A40,"Y",$B$7:$B40,$B40),"")</f>
        <v/>
      </c>
    </row>
    <row r="41">
      <c r="A41" s="13" t="inlineStr">
        <is>
          <t>N</t>
        </is>
      </c>
      <c r="B41" s="14" t="inlineStr">
        <is>
          <t>해외주식</t>
        </is>
      </c>
      <c r="C41" s="14" t="inlineStr">
        <is>
          <t>셰브론</t>
        </is>
      </c>
      <c r="D41" s="14" t="inlineStr">
        <is>
          <t>에너지</t>
        </is>
      </c>
      <c r="E41" s="14" t="inlineStr">
        <is>
          <t>—</t>
        </is>
      </c>
      <c r="F41" s="30" t="inlineStr">
        <is>
          <t>545조원</t>
        </is>
      </c>
      <c r="G41" s="32" t="inlineStr">
        <is>
          <t>다년 실측</t>
        </is>
      </c>
      <c r="H41" s="32" t="inlineStr">
        <is>
          <t>5해</t>
        </is>
      </c>
      <c r="I41" s="31" t="n">
        <v>0.2585</v>
      </c>
      <c r="J41" s="31" t="n">
        <v>0.2673</v>
      </c>
      <c r="K41" s="33" t="n">
        <v>-0.2604</v>
      </c>
      <c r="L41" s="30" t="inlineStr">
        <is>
          <t>—</t>
        </is>
      </c>
      <c r="M41" s="34" t="inlineStr">
        <is>
          <t>5해 연25.9% · 변동성 26.7% (위험대비 0.86) · 최대낙폭 -26% · 가장 나쁜 창 연14.2%</t>
        </is>
      </c>
      <c r="N41" s="35">
        <f>IF($A41="Y",$B41&amp;"|"&amp;COUNTIFS($A$7:$A41,"Y",$B$7:$B41,$B41),"")</f>
        <v/>
      </c>
    </row>
    <row r="42">
      <c r="A42" s="13" t="inlineStr">
        <is>
          <t>N</t>
        </is>
      </c>
      <c r="B42" s="36" t="inlineStr">
        <is>
          <t>해외주식</t>
        </is>
      </c>
      <c r="C42" s="36" t="inlineStr">
        <is>
          <t>알트리아</t>
        </is>
      </c>
      <c r="D42" s="36" t="inlineStr">
        <is>
          <t>필수소비재</t>
        </is>
      </c>
      <c r="E42" s="36" t="inlineStr">
        <is>
          <t>—</t>
        </is>
      </c>
      <c r="F42" s="37" t="inlineStr">
        <is>
          <t>153조원</t>
        </is>
      </c>
      <c r="G42" s="38" t="inlineStr">
        <is>
          <t>다년 실측</t>
        </is>
      </c>
      <c r="H42" s="38" t="inlineStr">
        <is>
          <t>5해</t>
        </is>
      </c>
      <c r="I42" s="39" t="n">
        <v>0.195</v>
      </c>
      <c r="J42" s="39" t="n">
        <v>0.2341</v>
      </c>
      <c r="K42" s="40" t="n">
        <v>-0.2366</v>
      </c>
      <c r="L42" s="37" t="inlineStr">
        <is>
          <t>—</t>
        </is>
      </c>
      <c r="M42" s="41" t="inlineStr">
        <is>
          <t>5해 연19.5% · 변동성 23.4% (위험대비 0.71) · 최대낙폭 -24% · 가장 나쁜 창 연14.1%</t>
        </is>
      </c>
      <c r="N42" s="35">
        <f>IF($A42="Y",$B42&amp;"|"&amp;COUNTIFS($A$7:$A42,"Y",$B$7:$B42,$B42),"")</f>
        <v/>
      </c>
    </row>
    <row r="43">
      <c r="A43" s="13" t="inlineStr">
        <is>
          <t>N</t>
        </is>
      </c>
      <c r="B43" s="14" t="inlineStr">
        <is>
          <t>해외주식</t>
        </is>
      </c>
      <c r="C43" s="14" t="inlineStr">
        <is>
          <t>버크셔 해서웨이 B</t>
        </is>
      </c>
      <c r="D43" s="14" t="inlineStr">
        <is>
          <t>금융</t>
        </is>
      </c>
      <c r="E43" s="14" t="inlineStr">
        <is>
          <t>—</t>
        </is>
      </c>
      <c r="F43" s="30" t="inlineStr">
        <is>
          <t>1,450조원</t>
        </is>
      </c>
      <c r="G43" s="32" t="inlineStr">
        <is>
          <t>다년 실측</t>
        </is>
      </c>
      <c r="H43" s="32" t="inlineStr">
        <is>
          <t>5해</t>
        </is>
      </c>
      <c r="I43" s="31" t="n">
        <v>0.1686</v>
      </c>
      <c r="J43" s="31" t="n">
        <v>0.1924</v>
      </c>
      <c r="K43" s="33" t="n">
        <v>-0.2123</v>
      </c>
      <c r="L43" s="30" t="inlineStr">
        <is>
          <t>—</t>
        </is>
      </c>
      <c r="M43" s="34" t="inlineStr">
        <is>
          <t>5해 연16.9% · 변동성 19.2% (위험대비 0.73) · 최대낙폭 -21% · 가장 나쁜 창 연4.2%</t>
        </is>
      </c>
      <c r="N43" s="35">
        <f>IF($A43="Y",$B43&amp;"|"&amp;COUNTIFS($A$7:$A43,"Y",$B$7:$B43,$B43),"")</f>
        <v/>
      </c>
    </row>
    <row r="44">
      <c r="A44" s="13" t="inlineStr">
        <is>
          <t>N</t>
        </is>
      </c>
      <c r="B44" s="36" t="inlineStr">
        <is>
          <t>해외주식</t>
        </is>
      </c>
      <c r="C44" s="36" t="inlineStr">
        <is>
          <t>골드만삭스</t>
        </is>
      </c>
      <c r="D44" s="36" t="inlineStr">
        <is>
          <t>금융</t>
        </is>
      </c>
      <c r="E44" s="36" t="inlineStr">
        <is>
          <t>—</t>
        </is>
      </c>
      <c r="F44" s="37" t="inlineStr">
        <is>
          <t>357조원</t>
        </is>
      </c>
      <c r="G44" s="38" t="inlineStr">
        <is>
          <t>다년 실측</t>
        </is>
      </c>
      <c r="H44" s="38" t="inlineStr">
        <is>
          <t>5해</t>
        </is>
      </c>
      <c r="I44" s="39" t="n">
        <v>0.2557</v>
      </c>
      <c r="J44" s="39" t="n">
        <v>0.2923</v>
      </c>
      <c r="K44" s="40" t="n">
        <v>-0.2931</v>
      </c>
      <c r="L44" s="37" t="inlineStr">
        <is>
          <t>—</t>
        </is>
      </c>
      <c r="M44" s="41" t="inlineStr">
        <is>
          <t>5해 연25.6% · 변동성 29.2% (위험대비 0.78) · 최대낙폭 -29% · 가장 나쁜 창 연21.7%</t>
        </is>
      </c>
      <c r="N44" s="35">
        <f>IF($A44="Y",$B44&amp;"|"&amp;COUNTIFS($A$7:$A44,"Y",$B$7:$B44,$B44),"")</f>
        <v/>
      </c>
    </row>
    <row r="45">
      <c r="A45" s="13" t="inlineStr">
        <is>
          <t>N</t>
        </is>
      </c>
      <c r="B45" s="14" t="inlineStr">
        <is>
          <t>해외주식</t>
        </is>
      </c>
      <c r="C45" s="14" t="inlineStr">
        <is>
          <t>암젠</t>
        </is>
      </c>
      <c r="D45" s="14" t="inlineStr">
        <is>
          <t>헬스케어</t>
        </is>
      </c>
      <c r="E45" s="14" t="inlineStr">
        <is>
          <t>—</t>
        </is>
      </c>
      <c r="F45" s="30" t="inlineStr">
        <is>
          <t>310조원</t>
        </is>
      </c>
      <c r="G45" s="32" t="inlineStr">
        <is>
          <t>다년 실측</t>
        </is>
      </c>
      <c r="H45" s="32" t="inlineStr">
        <is>
          <t>5해</t>
        </is>
      </c>
      <c r="I45" s="31" t="n">
        <v>0.2011</v>
      </c>
      <c r="J45" s="31" t="n">
        <v>0.2618</v>
      </c>
      <c r="K45" s="33" t="n">
        <v>-0.2882</v>
      </c>
      <c r="L45" s="30" t="inlineStr">
        <is>
          <t>—</t>
        </is>
      </c>
      <c r="M45" s="34" t="inlineStr">
        <is>
          <t>5해 연20.1% · 변동성 26.2% (위험대비 0.66) · 최대낙폭 -29% · 가장 나쁜 창 연19.6%</t>
        </is>
      </c>
      <c r="N45" s="35">
        <f>IF($A45="Y",$B45&amp;"|"&amp;COUNTIFS($A$7:$A45,"Y",$B$7:$B45,$B45),"")</f>
        <v/>
      </c>
    </row>
    <row r="46">
      <c r="A46" s="13" t="inlineStr">
        <is>
          <t>N</t>
        </is>
      </c>
      <c r="B46" s="36" t="inlineStr">
        <is>
          <t>해외주식</t>
        </is>
      </c>
      <c r="C46" s="36" t="inlineStr">
        <is>
          <t>캐터필러</t>
        </is>
      </c>
      <c r="D46" s="36" t="inlineStr">
        <is>
          <t>산업재</t>
        </is>
      </c>
      <c r="E46" s="36" t="inlineStr">
        <is>
          <t>—</t>
        </is>
      </c>
      <c r="F46" s="37" t="inlineStr">
        <is>
          <t>507조원</t>
        </is>
      </c>
      <c r="G46" s="38" t="inlineStr">
        <is>
          <t>다년 실측</t>
        </is>
      </c>
      <c r="H46" s="38" t="inlineStr">
        <is>
          <t>5해</t>
        </is>
      </c>
      <c r="I46" s="39" t="n">
        <v>0.3844</v>
      </c>
      <c r="J46" s="39" t="n">
        <v>0.3214</v>
      </c>
      <c r="K46" s="40" t="n">
        <v>-0.3597</v>
      </c>
      <c r="L46" s="37" t="inlineStr">
        <is>
          <t>—</t>
        </is>
      </c>
      <c r="M46" s="41" t="inlineStr">
        <is>
          <t>5해 연38.4% · 변동성 32.1% (위험대비 1.11) · 최대낙폭 -36% · 가장 나쁜 창 연38.4%</t>
        </is>
      </c>
      <c r="N46" s="35">
        <f>IF($A46="Y",$B46&amp;"|"&amp;COUNTIFS($A$7:$A46,"Y",$B$7:$B46,$B46),"")</f>
        <v/>
      </c>
    </row>
    <row r="47">
      <c r="A47" s="13" t="inlineStr">
        <is>
          <t>N</t>
        </is>
      </c>
      <c r="B47" s="14" t="inlineStr">
        <is>
          <t>해외주식</t>
        </is>
      </c>
      <c r="C47" s="14" t="inlineStr">
        <is>
          <t>일라이 릴리</t>
        </is>
      </c>
      <c r="D47" s="14" t="inlineStr">
        <is>
          <t>헬스케어</t>
        </is>
      </c>
      <c r="E47" s="14" t="inlineStr">
        <is>
          <t>—</t>
        </is>
      </c>
      <c r="F47" s="30" t="inlineStr">
        <is>
          <t>1,403조원</t>
        </is>
      </c>
      <c r="G47" s="32" t="inlineStr">
        <is>
          <t>다년 실측</t>
        </is>
      </c>
      <c r="H47" s="32" t="inlineStr">
        <is>
          <t>5해</t>
        </is>
      </c>
      <c r="I47" s="31" t="n">
        <v>0.4287</v>
      </c>
      <c r="J47" s="31" t="n">
        <v>0.3434</v>
      </c>
      <c r="K47" s="33" t="n">
        <v>-0.357</v>
      </c>
      <c r="L47" s="30" t="inlineStr">
        <is>
          <t>—</t>
        </is>
      </c>
      <c r="M47" s="34" t="inlineStr">
        <is>
          <t>5해 연42.9% · 변동성 34.3% (위험대비 1.17) · 최대낙폭 -36% · 가장 나쁜 창 연26.9%</t>
        </is>
      </c>
      <c r="N47" s="35">
        <f>IF($A47="Y",$B47&amp;"|"&amp;COUNTIFS($A$7:$A47,"Y",$B$7:$B47,$B47),"")</f>
        <v/>
      </c>
    </row>
    <row r="48">
      <c r="A48" s="13" t="inlineStr">
        <is>
          <t>N</t>
        </is>
      </c>
      <c r="B48" s="36" t="inlineStr">
        <is>
          <t>해외주식</t>
        </is>
      </c>
      <c r="C48" s="36" t="inlineStr">
        <is>
          <t>월마트</t>
        </is>
      </c>
      <c r="D48" s="36" t="inlineStr">
        <is>
          <t>필수소비재</t>
        </is>
      </c>
      <c r="E48" s="36" t="inlineStr">
        <is>
          <t>—</t>
        </is>
      </c>
      <c r="F48" s="37" t="inlineStr">
        <is>
          <t>1,121조원</t>
        </is>
      </c>
      <c r="G48" s="38" t="inlineStr">
        <is>
          <t>다년 실측</t>
        </is>
      </c>
      <c r="H48" s="38" t="inlineStr">
        <is>
          <t>5해</t>
        </is>
      </c>
      <c r="I48" s="39" t="n">
        <v>0.2255</v>
      </c>
      <c r="J48" s="39" t="n">
        <v>0.245</v>
      </c>
      <c r="K48" s="40" t="n">
        <v>-0.2999</v>
      </c>
      <c r="L48" s="37" t="inlineStr">
        <is>
          <t>—</t>
        </is>
      </c>
      <c r="M48" s="41" t="inlineStr">
        <is>
          <t>5해 연22.6% · 변동성 24.5% (위험대비 0.81) · 최대낙폭 -30% · 가장 나쁜 창 연3.7%</t>
        </is>
      </c>
      <c r="N48" s="35">
        <f>IF($A48="Y",$B48&amp;"|"&amp;COUNTIFS($A$7:$A48,"Y",$B$7:$B48,$B48),"")</f>
        <v/>
      </c>
    </row>
    <row r="49">
      <c r="A49" s="13" t="inlineStr">
        <is>
          <t>N</t>
        </is>
      </c>
      <c r="B49" s="14" t="inlineStr">
        <is>
          <t>해외주식</t>
        </is>
      </c>
      <c r="C49" s="14" t="inlineStr">
        <is>
          <t>시스코</t>
        </is>
      </c>
      <c r="D49" s="14" t="inlineStr">
        <is>
          <t>IT</t>
        </is>
      </c>
      <c r="E49" s="14" t="inlineStr">
        <is>
          <t>—</t>
        </is>
      </c>
      <c r="F49" s="30" t="inlineStr">
        <is>
          <t>577조원</t>
        </is>
      </c>
      <c r="G49" s="32" t="inlineStr">
        <is>
          <t>다년 실측</t>
        </is>
      </c>
      <c r="H49" s="32" t="inlineStr">
        <is>
          <t>5해</t>
        </is>
      </c>
      <c r="I49" s="31" t="n">
        <v>0.2087</v>
      </c>
      <c r="J49" s="31" t="n">
        <v>0.2738</v>
      </c>
      <c r="K49" s="33" t="n">
        <v>-0.2894</v>
      </c>
      <c r="L49" s="30" t="inlineStr">
        <is>
          <t>—</t>
        </is>
      </c>
      <c r="M49" s="34" t="inlineStr">
        <is>
          <t>5해 연20.9% · 변동성 27.4% (위험대비 0.66) · 최대낙폭 -29% · 가장 나쁜 창 연20.9%</t>
        </is>
      </c>
      <c r="N49" s="35">
        <f>IF($A49="Y",$B49&amp;"|"&amp;COUNTIFS($A$7:$A49,"Y",$B$7:$B49,$B49),"")</f>
        <v/>
      </c>
    </row>
    <row r="50">
      <c r="A50" s="13" t="inlineStr">
        <is>
          <t>N</t>
        </is>
      </c>
      <c r="B50" s="36" t="inlineStr">
        <is>
          <t>해외주식</t>
        </is>
      </c>
      <c r="C50" s="36" t="inlineStr">
        <is>
          <t>비자</t>
        </is>
      </c>
      <c r="D50" s="36" t="inlineStr">
        <is>
          <t>금융</t>
        </is>
      </c>
      <c r="E50" s="36" t="inlineStr">
        <is>
          <t>—</t>
        </is>
      </c>
      <c r="F50" s="37" t="inlineStr">
        <is>
          <t>917조원</t>
        </is>
      </c>
      <c r="G50" s="38" t="inlineStr">
        <is>
          <t>다년 실측</t>
        </is>
      </c>
      <c r="H50" s="38" t="inlineStr">
        <is>
          <t>5해</t>
        </is>
      </c>
      <c r="I50" s="39" t="n">
        <v>0.1509</v>
      </c>
      <c r="J50" s="39" t="n">
        <v>0.2408</v>
      </c>
      <c r="K50" s="40" t="n">
        <v>-0.1856</v>
      </c>
      <c r="L50" s="37" t="inlineStr">
        <is>
          <t>—</t>
        </is>
      </c>
      <c r="M50" s="41" t="inlineStr">
        <is>
          <t>5해 연15.1% · 변동성 24.1% (위험대비 0.51) · 최대낙폭 -19% · 가장 나쁜 창 연8.0%</t>
        </is>
      </c>
      <c r="N50" s="35">
        <f>IF($A50="Y",$B50&amp;"|"&amp;COUNTIFS($A$7:$A50,"Y",$B$7:$B50,$B50),"")</f>
        <v/>
      </c>
    </row>
    <row r="51">
      <c r="A51" s="13" t="inlineStr">
        <is>
          <t>N</t>
        </is>
      </c>
      <c r="B51" s="14" t="inlineStr">
        <is>
          <t>해외주식</t>
        </is>
      </c>
      <c r="C51" s="14" t="inlineStr">
        <is>
          <t>모간스탠리</t>
        </is>
      </c>
      <c r="D51" s="14" t="inlineStr">
        <is>
          <t>금융</t>
        </is>
      </c>
      <c r="E51" s="14" t="inlineStr">
        <is>
          <t>—</t>
        </is>
      </c>
      <c r="F51" s="30" t="inlineStr">
        <is>
          <t>402조원</t>
        </is>
      </c>
      <c r="G51" s="32" t="inlineStr">
        <is>
          <t>다년 실측</t>
        </is>
      </c>
      <c r="H51" s="32" t="inlineStr">
        <is>
          <t>5해</t>
        </is>
      </c>
      <c r="I51" s="31" t="n">
        <v>0.2214</v>
      </c>
      <c r="J51" s="31" t="n">
        <v>0.2919</v>
      </c>
      <c r="K51" s="33" t="n">
        <v>-0.2937</v>
      </c>
      <c r="L51" s="30" t="inlineStr">
        <is>
          <t>—</t>
        </is>
      </c>
      <c r="M51" s="34" t="inlineStr">
        <is>
          <t>5해 연22.1% · 변동성 29.2% (위험대비 0.66) · 최대낙폭 -29% · 가장 나쁜 창 연22.1%</t>
        </is>
      </c>
      <c r="N51" s="35">
        <f>IF($A51="Y",$B51&amp;"|"&amp;COUNTIFS($A$7:$A51,"Y",$B$7:$B51,$B51),"")</f>
        <v/>
      </c>
    </row>
    <row r="52">
      <c r="A52" s="13" t="inlineStr">
        <is>
          <t>N</t>
        </is>
      </c>
      <c r="B52" s="36" t="inlineStr">
        <is>
          <t>해외주식</t>
        </is>
      </c>
      <c r="C52" s="36" t="inlineStr">
        <is>
          <t>팔로알토네트웍스</t>
        </is>
      </c>
      <c r="D52" s="36" t="inlineStr">
        <is>
          <t>IT</t>
        </is>
      </c>
      <c r="E52" s="36" t="inlineStr">
        <is>
          <t>—</t>
        </is>
      </c>
      <c r="F52" s="37" t="inlineStr">
        <is>
          <t>442조원</t>
        </is>
      </c>
      <c r="G52" s="38" t="inlineStr">
        <is>
          <t>다년 실측</t>
        </is>
      </c>
      <c r="H52" s="38" t="inlineStr">
        <is>
          <t>3해</t>
        </is>
      </c>
      <c r="I52" s="39" t="n">
        <v>0.453</v>
      </c>
      <c r="J52" s="39" t="n">
        <v>0.4484</v>
      </c>
      <c r="K52" s="40" t="n">
        <v>-0.3606</v>
      </c>
      <c r="L52" s="37" t="inlineStr">
        <is>
          <t>—</t>
        </is>
      </c>
      <c r="M52" s="41" t="inlineStr">
        <is>
          <t>3해 연45.3% · 변동성 44.8% (위험대비 0.95) · 최대낙폭 -36% · 가장 나쁜 창 연45.3%</t>
        </is>
      </c>
      <c r="N52" s="35">
        <f>IF($A52="Y",$B52&amp;"|"&amp;COUNTIFS($A$7:$A52,"Y",$B$7:$B52,$B52),"")</f>
        <v/>
      </c>
    </row>
    <row r="53">
      <c r="A53" s="13" t="inlineStr">
        <is>
          <t>N</t>
        </is>
      </c>
      <c r="B53" s="14" t="inlineStr">
        <is>
          <t>해외주식</t>
        </is>
      </c>
      <c r="C53" s="14" t="inlineStr">
        <is>
          <t>애플</t>
        </is>
      </c>
      <c r="D53" s="14" t="inlineStr">
        <is>
          <t>IT</t>
        </is>
      </c>
      <c r="E53" s="14" t="inlineStr">
        <is>
          <t>—</t>
        </is>
      </c>
      <c r="F53" s="30" t="inlineStr">
        <is>
          <t>6,610조원</t>
        </is>
      </c>
      <c r="G53" s="32" t="inlineStr">
        <is>
          <t>다년 실측</t>
        </is>
      </c>
      <c r="H53" s="32" t="inlineStr">
        <is>
          <t>5해</t>
        </is>
      </c>
      <c r="I53" s="31" t="n">
        <v>0.2236</v>
      </c>
      <c r="J53" s="31" t="n">
        <v>0.291</v>
      </c>
      <c r="K53" s="33" t="n">
        <v>-0.3245</v>
      </c>
      <c r="L53" s="30" t="inlineStr">
        <is>
          <t>—</t>
        </is>
      </c>
      <c r="M53" s="34" t="inlineStr">
        <is>
          <t>5해 연22.4% · 변동성 29.1% (위험대비 0.67) · 최대낙폭 -32% · 가장 나쁜 창 연22.4%</t>
        </is>
      </c>
      <c r="N53" s="35">
        <f>IF($A53="Y",$B53&amp;"|"&amp;COUNTIFS($A$7:$A53,"Y",$B$7:$B53,$B53),"")</f>
        <v/>
      </c>
    </row>
    <row r="54">
      <c r="A54" s="13" t="inlineStr">
        <is>
          <t>N</t>
        </is>
      </c>
      <c r="B54" s="36" t="inlineStr">
        <is>
          <t>해외주식</t>
        </is>
      </c>
      <c r="C54" s="36" t="inlineStr">
        <is>
          <t>버텍스</t>
        </is>
      </c>
      <c r="D54" s="36" t="inlineStr">
        <is>
          <t>헬스케어</t>
        </is>
      </c>
      <c r="E54" s="36" t="inlineStr">
        <is>
          <t>—</t>
        </is>
      </c>
      <c r="F54" s="37" t="inlineStr">
        <is>
          <t>180조원</t>
        </is>
      </c>
      <c r="G54" s="38" t="inlineStr">
        <is>
          <t>다년 실측</t>
        </is>
      </c>
      <c r="H54" s="38" t="inlineStr">
        <is>
          <t>5해</t>
        </is>
      </c>
      <c r="I54" s="39" t="n">
        <v>0.2614</v>
      </c>
      <c r="J54" s="39" t="n">
        <v>0.3027</v>
      </c>
      <c r="K54" s="40" t="n">
        <v>-0.3211</v>
      </c>
      <c r="L54" s="37" t="inlineStr">
        <is>
          <t>—</t>
        </is>
      </c>
      <c r="M54" s="41" t="inlineStr">
        <is>
          <t>5해 연26.1% · 변동성 30.3% (위험대비 0.77) · 최대낙폭 -32% · 가장 나쁜 창 연15.2%</t>
        </is>
      </c>
      <c r="N54" s="35">
        <f>IF($A54="Y",$B54&amp;"|"&amp;COUNTIFS($A$7:$A54,"Y",$B$7:$B54,$B54),"")</f>
        <v/>
      </c>
    </row>
    <row r="55">
      <c r="A55" s="13" t="inlineStr">
        <is>
          <t>N</t>
        </is>
      </c>
      <c r="B55" s="14" t="inlineStr">
        <is>
          <t>해외주식</t>
        </is>
      </c>
      <c r="C55" s="14" t="inlineStr">
        <is>
          <t>유니온퍼시픽</t>
        </is>
      </c>
      <c r="D55" s="14" t="inlineStr">
        <is>
          <t>산업재</t>
        </is>
      </c>
      <c r="E55" s="14" t="inlineStr">
        <is>
          <t>—</t>
        </is>
      </c>
      <c r="F55" s="30" t="inlineStr">
        <is>
          <t>220조원</t>
        </is>
      </c>
      <c r="G55" s="32" t="inlineStr">
        <is>
          <t>다년 실측</t>
        </is>
      </c>
      <c r="H55" s="32" t="inlineStr">
        <is>
          <t>5해</t>
        </is>
      </c>
      <c r="I55" s="31" t="n">
        <v>0.1232</v>
      </c>
      <c r="J55" s="31" t="n">
        <v>0.2429</v>
      </c>
      <c r="K55" s="33" t="n">
        <v>-0.2736</v>
      </c>
      <c r="L55" s="30" t="inlineStr">
        <is>
          <t>—</t>
        </is>
      </c>
      <c r="M55" s="34" t="inlineStr">
        <is>
          <t>5해 연12.3% · 변동성 24.3% (위험대비 0.39) · 최대낙폭 -27% · 가장 나쁜 창 연12.3%</t>
        </is>
      </c>
      <c r="N55" s="35">
        <f>IF($A55="Y",$B55&amp;"|"&amp;COUNTIFS($A$7:$A55,"Y",$B$7:$B55,$B55),"")</f>
        <v/>
      </c>
    </row>
    <row r="56">
      <c r="A56" s="13" t="inlineStr">
        <is>
          <t>N</t>
        </is>
      </c>
      <c r="B56" s="36" t="inlineStr">
        <is>
          <t>해외주식</t>
        </is>
      </c>
      <c r="C56" s="36" t="inlineStr">
        <is>
          <t>GE에어로스페이스</t>
        </is>
      </c>
      <c r="D56" s="36" t="inlineStr">
        <is>
          <t>산업재</t>
        </is>
      </c>
      <c r="E56" s="36" t="inlineStr">
        <is>
          <t>—</t>
        </is>
      </c>
      <c r="F56" s="37" t="inlineStr">
        <is>
          <t>441조원</t>
        </is>
      </c>
      <c r="G56" s="38" t="inlineStr">
        <is>
          <t>다년 실측</t>
        </is>
      </c>
      <c r="H56" s="38" t="inlineStr">
        <is>
          <t>5해</t>
        </is>
      </c>
      <c r="I56" s="39" t="n">
        <v>0.4306</v>
      </c>
      <c r="J56" s="39" t="n">
        <v>0.3175</v>
      </c>
      <c r="K56" s="40" t="n">
        <v>-0.383</v>
      </c>
      <c r="L56" s="37" t="inlineStr">
        <is>
          <t>—</t>
        </is>
      </c>
      <c r="M56" s="41" t="inlineStr">
        <is>
          <t>5해 연43.1% · 변동성 31.8% (위험대비 1.27) · 최대낙폭 -38% · 가장 나쁜 창 연9.8%</t>
        </is>
      </c>
      <c r="N56" s="35">
        <f>IF($A56="Y",$B56&amp;"|"&amp;COUNTIFS($A$7:$A56,"Y",$B$7:$B56,$B56),"")</f>
        <v/>
      </c>
    </row>
    <row r="57">
      <c r="A57" s="13" t="inlineStr">
        <is>
          <t>Y</t>
        </is>
      </c>
      <c r="B57" s="14" t="inlineStr">
        <is>
          <t>국내ETF</t>
        </is>
      </c>
      <c r="C57" s="14" t="inlineStr">
        <is>
          <t>PLUS 고배당주</t>
        </is>
      </c>
      <c r="D57" s="14" t="inlineStr">
        <is>
          <t>일반</t>
        </is>
      </c>
      <c r="E57" s="14" t="inlineStr">
        <is>
          <t>한화자산운용</t>
        </is>
      </c>
      <c r="F57" s="30" t="inlineStr">
        <is>
          <t>2조원</t>
        </is>
      </c>
      <c r="G57" s="32" t="inlineStr">
        <is>
          <t>다년 실측</t>
        </is>
      </c>
      <c r="H57" s="32" t="inlineStr">
        <is>
          <t>5해</t>
        </is>
      </c>
      <c r="I57" s="31" t="n">
        <v>0.2077</v>
      </c>
      <c r="J57" s="31" t="n">
        <v>0.2007</v>
      </c>
      <c r="K57" s="33" t="n">
        <v>-0.2069</v>
      </c>
      <c r="L57" s="42" t="n">
        <v>0.0023</v>
      </c>
      <c r="M57" s="34" t="inlineStr">
        <is>
          <t>5해 연20.8% · 변동성 20.1% (위험대비 0.89) · 최대낙폭 -21% · 보수 0.23% · 가장 나쁜 창 연20.8%</t>
        </is>
      </c>
      <c r="N57" s="35">
        <f>IF($A57="Y",$B57&amp;"|"&amp;COUNTIFS($A$7:$A57,"Y",$B$7:$B57,$B57),"")</f>
        <v/>
      </c>
    </row>
    <row r="58">
      <c r="A58" s="13" t="inlineStr">
        <is>
          <t>Y</t>
        </is>
      </c>
      <c r="B58" s="36" t="inlineStr">
        <is>
          <t>국내ETF</t>
        </is>
      </c>
      <c r="C58" s="36" t="inlineStr">
        <is>
          <t>KODEX 단기변동금리부채권액티브</t>
        </is>
      </c>
      <c r="D58" s="36" t="inlineStr">
        <is>
          <t>일반</t>
        </is>
      </c>
      <c r="E58" s="36" t="inlineStr">
        <is>
          <t>삼성자산운용(ETF)</t>
        </is>
      </c>
      <c r="F58" s="37" t="inlineStr">
        <is>
          <t>2,797억원</t>
        </is>
      </c>
      <c r="G58" s="38" t="inlineStr">
        <is>
          <t>다년 실측</t>
        </is>
      </c>
      <c r="H58" s="38" t="inlineStr">
        <is>
          <t>5해</t>
        </is>
      </c>
      <c r="I58" s="39" t="n">
        <v>0.0276</v>
      </c>
      <c r="J58" s="39" t="n">
        <v>0.0029</v>
      </c>
      <c r="K58" s="40" t="n">
        <v>-0.0022</v>
      </c>
      <c r="L58" s="43" t="n">
        <v>0.0015</v>
      </c>
      <c r="M58" s="41" t="inlineStr">
        <is>
          <t>5해 연2.8% · 변동성 0.3% (위험대비 -0.17) · 최대낙폭 -0% · 보수 0.15% · 가장 나쁜 창 연2.5%</t>
        </is>
      </c>
      <c r="N58" s="35">
        <f>IF($A58="Y",$B58&amp;"|"&amp;COUNTIFS($A$7:$A58,"Y",$B$7:$B58,$B58),"")</f>
        <v/>
      </c>
    </row>
    <row r="59">
      <c r="A59" s="13" t="inlineStr">
        <is>
          <t>Y</t>
        </is>
      </c>
      <c r="B59" s="14" t="inlineStr">
        <is>
          <t>국내ETF</t>
        </is>
      </c>
      <c r="C59" s="14" t="inlineStr">
        <is>
          <t>TIGER 우량회사채액티브</t>
        </is>
      </c>
      <c r="D59" s="14" t="inlineStr">
        <is>
          <t>일반</t>
        </is>
      </c>
      <c r="E59" s="14" t="inlineStr">
        <is>
          <t>미래에셋자산운용</t>
        </is>
      </c>
      <c r="F59" s="30" t="inlineStr">
        <is>
          <t>4,999억원</t>
        </is>
      </c>
      <c r="G59" s="32" t="inlineStr">
        <is>
          <t>다년 실측</t>
        </is>
      </c>
      <c r="H59" s="32" t="inlineStr">
        <is>
          <t>3해</t>
        </is>
      </c>
      <c r="I59" s="31" t="n">
        <v>0.0382</v>
      </c>
      <c r="J59" s="31" t="n">
        <v>0.0245</v>
      </c>
      <c r="K59" s="33" t="n">
        <v>-0.0272</v>
      </c>
      <c r="L59" s="42" t="n">
        <v>0.001</v>
      </c>
      <c r="M59" s="34" t="inlineStr">
        <is>
          <t>3해 연3.8% · 변동성 2.5% (위험대비 0.41) · 최대낙폭 -3% · 보수 0.10% · 가장 나쁜 창 연-1.3%</t>
        </is>
      </c>
      <c r="N59" s="35">
        <f>IF($A59="Y",$B59&amp;"|"&amp;COUNTIFS($A$7:$A59,"Y",$B$7:$B59,$B59),"")</f>
        <v/>
      </c>
    </row>
    <row r="60">
      <c r="A60" s="13" t="inlineStr">
        <is>
          <t>N</t>
        </is>
      </c>
      <c r="B60" s="36" t="inlineStr">
        <is>
          <t>국내ETF</t>
        </is>
      </c>
      <c r="C60" s="36" t="inlineStr">
        <is>
          <t>RISE 중기우량회사채</t>
        </is>
      </c>
      <c r="D60" s="36" t="inlineStr">
        <is>
          <t>일반</t>
        </is>
      </c>
      <c r="E60" s="36" t="inlineStr">
        <is>
          <t>KB자산운용</t>
        </is>
      </c>
      <c r="F60" s="37" t="inlineStr">
        <is>
          <t>2,987억원</t>
        </is>
      </c>
      <c r="G60" s="38" t="inlineStr">
        <is>
          <t>다년 실측</t>
        </is>
      </c>
      <c r="H60" s="38" t="inlineStr">
        <is>
          <t>5해</t>
        </is>
      </c>
      <c r="I60" s="39" t="n">
        <v>0.02</v>
      </c>
      <c r="J60" s="39" t="n">
        <v>0.017</v>
      </c>
      <c r="K60" s="40" t="n">
        <v>-0.0555</v>
      </c>
      <c r="L60" s="43" t="n">
        <v>0.0007000000000000001</v>
      </c>
      <c r="M60" s="41" t="inlineStr">
        <is>
          <t>5해 연2.0% · 변동성 1.7% (위험대비 -0.48) · 최대낙폭 -6% · 보수 0.07% · 가장 나쁜 창 연-0.8%</t>
        </is>
      </c>
      <c r="N60" s="35">
        <f>IF($A60="Y",$B60&amp;"|"&amp;COUNTIFS($A$7:$A60,"Y",$B$7:$B60,$B60),"")</f>
        <v/>
      </c>
    </row>
    <row r="61">
      <c r="A61" s="13" t="inlineStr">
        <is>
          <t>Y</t>
        </is>
      </c>
      <c r="B61" s="14" t="inlineStr">
        <is>
          <t>국내ETF</t>
        </is>
      </c>
      <c r="C61" s="14" t="inlineStr">
        <is>
          <t>ACE KRX금현물</t>
        </is>
      </c>
      <c r="D61" s="14" t="inlineStr">
        <is>
          <t>일반</t>
        </is>
      </c>
      <c r="E61" s="14" t="inlineStr">
        <is>
          <t>한국투자신탁운용</t>
        </is>
      </c>
      <c r="F61" s="30" t="inlineStr">
        <is>
          <t>4조원</t>
        </is>
      </c>
      <c r="G61" s="32" t="inlineStr">
        <is>
          <t>다년 실측</t>
        </is>
      </c>
      <c r="H61" s="32" t="inlineStr">
        <is>
          <t>3해</t>
        </is>
      </c>
      <c r="I61" s="31" t="n">
        <v>0.3125</v>
      </c>
      <c r="J61" s="31" t="n">
        <v>0.2508</v>
      </c>
      <c r="K61" s="33" t="n">
        <v>-0.3209</v>
      </c>
      <c r="L61" s="42" t="n">
        <v>0.0019</v>
      </c>
      <c r="M61" s="34" t="inlineStr">
        <is>
          <t>3해 연31.2% · 변동성 25.1% (위험대비 1.13) · 최대낙폭 -32% · 보수 0.19% · 가장 나쁜 창 연20.8%</t>
        </is>
      </c>
      <c r="N61" s="35">
        <f>IF($A61="Y",$B61&amp;"|"&amp;COUNTIFS($A$7:$A61,"Y",$B$7:$B61,$B61),"")</f>
        <v/>
      </c>
    </row>
    <row r="62">
      <c r="A62" s="13" t="inlineStr">
        <is>
          <t>Y</t>
        </is>
      </c>
      <c r="B62" s="36" t="inlineStr">
        <is>
          <t>국내ETF</t>
        </is>
      </c>
      <c r="C62" s="36" t="inlineStr">
        <is>
          <t>KODEX 은행</t>
        </is>
      </c>
      <c r="D62" s="36" t="inlineStr">
        <is>
          <t>일반</t>
        </is>
      </c>
      <c r="E62" s="36" t="inlineStr">
        <is>
          <t>삼성자산운용(ETF)</t>
        </is>
      </c>
      <c r="F62" s="37" t="inlineStr">
        <is>
          <t>2,941억원</t>
        </is>
      </c>
      <c r="G62" s="38" t="inlineStr">
        <is>
          <t>다년 실측</t>
        </is>
      </c>
      <c r="H62" s="38" t="inlineStr">
        <is>
          <t>5해</t>
        </is>
      </c>
      <c r="I62" s="39" t="n">
        <v>0.23</v>
      </c>
      <c r="J62" s="39" t="n">
        <v>0.2703</v>
      </c>
      <c r="K62" s="40" t="n">
        <v>-0.3205</v>
      </c>
      <c r="L62" s="43" t="n">
        <v>0.003</v>
      </c>
      <c r="M62" s="41" t="inlineStr">
        <is>
          <t>5해 연23.0% · 변동성 27.0% (위험대비 0.75) · 최대낙폭 -32% · 보수 0.30% · 가장 나쁜 창 연23.0%</t>
        </is>
      </c>
      <c r="N62" s="35">
        <f>IF($A62="Y",$B62&amp;"|"&amp;COUNTIFS($A$7:$A62,"Y",$B$7:$B62,$B62),"")</f>
        <v/>
      </c>
    </row>
    <row r="63">
      <c r="A63" s="13" t="inlineStr">
        <is>
          <t>N</t>
        </is>
      </c>
      <c r="B63" s="14" t="inlineStr">
        <is>
          <t>국내ETF</t>
        </is>
      </c>
      <c r="C63" s="14" t="inlineStr">
        <is>
          <t>SOL 종합채권(AA-이상)액티브</t>
        </is>
      </c>
      <c r="D63" s="14" t="inlineStr">
        <is>
          <t>일반</t>
        </is>
      </c>
      <c r="E63" s="14" t="inlineStr">
        <is>
          <t>신한자산운용</t>
        </is>
      </c>
      <c r="F63" s="30" t="inlineStr">
        <is>
          <t>1조원</t>
        </is>
      </c>
      <c r="G63" s="32" t="inlineStr">
        <is>
          <t>다년 실측</t>
        </is>
      </c>
      <c r="H63" s="32" t="inlineStr">
        <is>
          <t>3해</t>
        </is>
      </c>
      <c r="I63" s="31" t="n">
        <v>0.0213</v>
      </c>
      <c r="J63" s="31" t="n">
        <v>0.04849999999999999</v>
      </c>
      <c r="K63" s="33" t="n">
        <v>-0.075</v>
      </c>
      <c r="L63" s="42" t="n">
        <v>0.0004</v>
      </c>
      <c r="M63" s="34" t="inlineStr">
        <is>
          <t>3해 연2.1% · 변동성 4.8% (위험대비 -0.14) · 최대낙폭 -8% · 보수 0.04% · 가장 나쁜 창 연-6.0%</t>
        </is>
      </c>
      <c r="N63" s="35">
        <f>IF($A63="Y",$B63&amp;"|"&amp;COUNTIFS($A$7:$A63,"Y",$B$7:$B63,$B63),"")</f>
        <v/>
      </c>
    </row>
    <row r="64">
      <c r="A64" s="13" t="inlineStr">
        <is>
          <t>N</t>
        </is>
      </c>
      <c r="B64" s="36" t="inlineStr">
        <is>
          <t>국내ETF</t>
        </is>
      </c>
      <c r="C64" s="36" t="inlineStr">
        <is>
          <t>TIGER 종합채권(AA-이상)액티브</t>
        </is>
      </c>
      <c r="D64" s="36" t="inlineStr">
        <is>
          <t>일반</t>
        </is>
      </c>
      <c r="E64" s="36" t="inlineStr">
        <is>
          <t>미래에셋자산운용</t>
        </is>
      </c>
      <c r="F64" s="37" t="inlineStr">
        <is>
          <t>1조원</t>
        </is>
      </c>
      <c r="G64" s="38" t="inlineStr">
        <is>
          <t>다년 실측</t>
        </is>
      </c>
      <c r="H64" s="38" t="inlineStr">
        <is>
          <t>3해</t>
        </is>
      </c>
      <c r="I64" s="39" t="n">
        <v>0.0211</v>
      </c>
      <c r="J64" s="39" t="n">
        <v>0.0371</v>
      </c>
      <c r="K64" s="40" t="n">
        <v>-0.0762</v>
      </c>
      <c r="L64" s="43" t="n">
        <v>0.0003</v>
      </c>
      <c r="M64" s="41" t="inlineStr">
        <is>
          <t>3해 연2.1% · 변동성 3.7% (위험대비 -0.19) · 최대낙폭 -8% · 보수 0.03% · 가장 나쁜 창 연-6.1%</t>
        </is>
      </c>
      <c r="N64" s="35">
        <f>IF($A64="Y",$B64&amp;"|"&amp;COUNTIFS($A$7:$A64,"Y",$B$7:$B64,$B64),"")</f>
        <v/>
      </c>
    </row>
    <row r="65">
      <c r="A65" s="13" t="inlineStr">
        <is>
          <t>N</t>
        </is>
      </c>
      <c r="B65" s="14" t="inlineStr">
        <is>
          <t>국내ETF</t>
        </is>
      </c>
      <c r="C65" s="14" t="inlineStr">
        <is>
          <t>RISE 삼성그룹Top3채권혼합</t>
        </is>
      </c>
      <c r="D65" s="14" t="inlineStr">
        <is>
          <t>일반</t>
        </is>
      </c>
      <c r="E65" s="14" t="inlineStr">
        <is>
          <t>KB자산운용</t>
        </is>
      </c>
      <c r="F65" s="30" t="inlineStr">
        <is>
          <t>3,260억원</t>
        </is>
      </c>
      <c r="G65" s="32" t="inlineStr">
        <is>
          <t>다년 실측</t>
        </is>
      </c>
      <c r="H65" s="32" t="inlineStr">
        <is>
          <t>3해</t>
        </is>
      </c>
      <c r="I65" s="31" t="n">
        <v>0.14</v>
      </c>
      <c r="J65" s="31" t="n">
        <v>0.1362</v>
      </c>
      <c r="K65" s="33" t="n">
        <v>-0.1117</v>
      </c>
      <c r="L65" s="42" t="n">
        <v>0.002</v>
      </c>
      <c r="M65" s="34" t="inlineStr">
        <is>
          <t>3해 연14.0% · 변동성 13.6% (위험대비 0.82) · 최대낙폭 -11% · 보수 0.20% · 가장 나쁜 창 연14.0%</t>
        </is>
      </c>
      <c r="N65" s="35">
        <f>IF($A65="Y",$B65&amp;"|"&amp;COUNTIFS($A$7:$A65,"Y",$B$7:$B65,$B65),"")</f>
        <v/>
      </c>
    </row>
    <row r="66">
      <c r="A66" s="13" t="inlineStr">
        <is>
          <t>N</t>
        </is>
      </c>
      <c r="B66" s="36" t="inlineStr">
        <is>
          <t>국내ETF</t>
        </is>
      </c>
      <c r="C66" s="36" t="inlineStr">
        <is>
          <t>PLUS 고배당주채권혼합</t>
        </is>
      </c>
      <c r="D66" s="36" t="inlineStr">
        <is>
          <t>일반</t>
        </is>
      </c>
      <c r="E66" s="36" t="inlineStr">
        <is>
          <t>한화자산운용</t>
        </is>
      </c>
      <c r="F66" s="37" t="inlineStr">
        <is>
          <t>5,956억원</t>
        </is>
      </c>
      <c r="G66" s="38" t="inlineStr">
        <is>
          <t>다년 실측</t>
        </is>
      </c>
      <c r="H66" s="38" t="inlineStr">
        <is>
          <t>5해</t>
        </is>
      </c>
      <c r="I66" s="39" t="n">
        <v>0.094</v>
      </c>
      <c r="J66" s="39" t="n">
        <v>0.0934</v>
      </c>
      <c r="K66" s="40" t="n">
        <v>-0.1106</v>
      </c>
      <c r="L66" s="43" t="n">
        <v>0.002</v>
      </c>
      <c r="M66" s="41" t="inlineStr">
        <is>
          <t>5해 연9.4% · 변동성 9.3% (위험대비 0.71) · 최대낙폭 -11% · 보수 0.20% · 가장 나쁜 창 연9.4%</t>
        </is>
      </c>
      <c r="N66" s="35">
        <f>IF($A66="Y",$B66&amp;"|"&amp;COUNTIFS($A$7:$A66,"Y",$B$7:$B66,$B66),"")</f>
        <v/>
      </c>
    </row>
    <row r="67">
      <c r="A67" s="13" t="inlineStr">
        <is>
          <t>N</t>
        </is>
      </c>
      <c r="B67" s="14" t="inlineStr">
        <is>
          <t>국내ETF</t>
        </is>
      </c>
      <c r="C67" s="14" t="inlineStr">
        <is>
          <t>ACE 종합채권(AA-이상)액티브</t>
        </is>
      </c>
      <c r="D67" s="14" t="inlineStr">
        <is>
          <t>일반</t>
        </is>
      </c>
      <c r="E67" s="14" t="inlineStr">
        <is>
          <t>한국투신운용(ETF)</t>
        </is>
      </c>
      <c r="F67" s="30" t="inlineStr">
        <is>
          <t>1조원</t>
        </is>
      </c>
      <c r="G67" s="32" t="inlineStr">
        <is>
          <t>다년 실측</t>
        </is>
      </c>
      <c r="H67" s="32" t="inlineStr">
        <is>
          <t>5해</t>
        </is>
      </c>
      <c r="I67" s="31" t="n">
        <v>0.0059</v>
      </c>
      <c r="J67" s="31" t="n">
        <v>0.0423</v>
      </c>
      <c r="K67" s="33" t="n">
        <v>-0.114</v>
      </c>
      <c r="L67" s="42" t="n">
        <v>0.0002</v>
      </c>
      <c r="M67" s="34" t="inlineStr">
        <is>
          <t>5해 연0.6% · 변동성 4.2% (위험대비 -0.52) · 최대낙폭 -11% · 보수 0.02% · 가장 나쁜 창 연-5.9%</t>
        </is>
      </c>
      <c r="N67" s="35">
        <f>IF($A67="Y",$B67&amp;"|"&amp;COUNTIFS($A$7:$A67,"Y",$B$7:$B67,$B67),"")</f>
        <v/>
      </c>
    </row>
    <row r="68">
      <c r="A68" s="13" t="inlineStr">
        <is>
          <t>N</t>
        </is>
      </c>
      <c r="B68" s="36" t="inlineStr">
        <is>
          <t>국내ETF</t>
        </is>
      </c>
      <c r="C68" s="36" t="inlineStr">
        <is>
          <t>ACE 국고채10년</t>
        </is>
      </c>
      <c r="D68" s="36" t="inlineStr">
        <is>
          <t>일반</t>
        </is>
      </c>
      <c r="E68" s="36" t="inlineStr">
        <is>
          <t>한국투신운용(ETF)</t>
        </is>
      </c>
      <c r="F68" s="37" t="inlineStr">
        <is>
          <t>5,152억원</t>
        </is>
      </c>
      <c r="G68" s="38" t="inlineStr">
        <is>
          <t>다년 실측</t>
        </is>
      </c>
      <c r="H68" s="38" t="inlineStr">
        <is>
          <t>5해</t>
        </is>
      </c>
      <c r="I68" s="39" t="n">
        <v>-0.0101</v>
      </c>
      <c r="J68" s="39" t="n">
        <v>0.0683</v>
      </c>
      <c r="K68" s="40" t="n">
        <v>-0.1778</v>
      </c>
      <c r="L68" s="43" t="n">
        <v>0.0002</v>
      </c>
      <c r="M68" s="41" t="inlineStr">
        <is>
          <t>5해 연-1.0% · 변동성 6.8% (위험대비 -0.56) · 최대낙폭 -18% · 보수 0.02% · 가장 나쁜 창 연-7.8%</t>
        </is>
      </c>
      <c r="N68" s="35">
        <f>IF($A68="Y",$B68&amp;"|"&amp;COUNTIFS($A$7:$A68,"Y",$B$7:$B68,$B68),"")</f>
        <v/>
      </c>
    </row>
    <row r="69">
      <c r="A69" s="13" t="inlineStr">
        <is>
          <t>N</t>
        </is>
      </c>
      <c r="B69" s="14" t="inlineStr">
        <is>
          <t>국내ETF</t>
        </is>
      </c>
      <c r="C69" s="14" t="inlineStr">
        <is>
          <t>KIWOOM 국고채10년</t>
        </is>
      </c>
      <c r="D69" s="14" t="inlineStr">
        <is>
          <t>일반</t>
        </is>
      </c>
      <c r="E69" s="14" t="inlineStr">
        <is>
          <t>키움투자자산운용</t>
        </is>
      </c>
      <c r="F69" s="30" t="inlineStr">
        <is>
          <t>4,141억원</t>
        </is>
      </c>
      <c r="G69" s="32" t="inlineStr">
        <is>
          <t>다년 실측</t>
        </is>
      </c>
      <c r="H69" s="32" t="inlineStr">
        <is>
          <t>5해</t>
        </is>
      </c>
      <c r="I69" s="31" t="n">
        <v>-0.0107</v>
      </c>
      <c r="J69" s="31" t="n">
        <v>0.06809999999999999</v>
      </c>
      <c r="K69" s="33" t="n">
        <v>-0.1803</v>
      </c>
      <c r="L69" s="42" t="n">
        <v>0.0005</v>
      </c>
      <c r="M69" s="34" t="inlineStr">
        <is>
          <t>5해 연-1.1% · 변동성 6.8% (위험대비 -0.57) · 최대낙폭 -18% · 보수 0.05% · 가장 나쁜 창 연-7.9%</t>
        </is>
      </c>
      <c r="N69" s="35">
        <f>IF($A69="Y",$B69&amp;"|"&amp;COUNTIFS($A$7:$A69,"Y",$B$7:$B69,$B69),"")</f>
        <v/>
      </c>
    </row>
    <row r="70">
      <c r="A70" s="13" t="inlineStr">
        <is>
          <t>N</t>
        </is>
      </c>
      <c r="B70" s="36" t="inlineStr">
        <is>
          <t>국내ETF</t>
        </is>
      </c>
      <c r="C70" s="36" t="inlineStr">
        <is>
          <t>SOL 국제금</t>
        </is>
      </c>
      <c r="D70" s="36" t="inlineStr">
        <is>
          <t>일반</t>
        </is>
      </c>
      <c r="E70" s="36" t="inlineStr">
        <is>
          <t>신한자산운용</t>
        </is>
      </c>
      <c r="F70" s="37" t="inlineStr">
        <is>
          <t>922억원</t>
        </is>
      </c>
      <c r="G70" s="38" t="inlineStr">
        <is>
          <t>미측정</t>
        </is>
      </c>
      <c r="H70" s="38" t="inlineStr">
        <is>
          <t>—</t>
        </is>
      </c>
      <c r="I70" s="37" t="inlineStr">
        <is>
          <t>—</t>
        </is>
      </c>
      <c r="J70" s="37" t="inlineStr">
        <is>
          <t>—</t>
        </is>
      </c>
      <c r="K70" s="37" t="inlineStr">
        <is>
          <t>—</t>
        </is>
      </c>
      <c r="L70" s="43" t="n">
        <v>0.0005</v>
      </c>
      <c r="M70" s="41" t="inlineStr">
        <is>
          <t>보수 0.05% · 시세가 없어 변동성·낙폭을 못 쟀습니다</t>
        </is>
      </c>
      <c r="N70" s="35">
        <f>IF($A70="Y",$B70&amp;"|"&amp;COUNTIFS($A$7:$A70,"Y",$B$7:$B70,$B70),"")</f>
        <v/>
      </c>
    </row>
    <row r="71">
      <c r="A71" s="13" t="inlineStr">
        <is>
          <t>N</t>
        </is>
      </c>
      <c r="B71" s="14" t="inlineStr">
        <is>
          <t>국내ETF</t>
        </is>
      </c>
      <c r="C71" s="14" t="inlineStr">
        <is>
          <t>SOL 200 Top10</t>
        </is>
      </c>
      <c r="D71" s="14" t="inlineStr">
        <is>
          <t>대형주TOP10</t>
        </is>
      </c>
      <c r="E71" s="14" t="inlineStr">
        <is>
          <t>—</t>
        </is>
      </c>
      <c r="F71" s="30" t="inlineStr">
        <is>
          <t>—</t>
        </is>
      </c>
      <c r="G71" s="32" t="inlineStr">
        <is>
          <t>다년 실측</t>
        </is>
      </c>
      <c r="H71" s="32" t="inlineStr">
        <is>
          <t>3해</t>
        </is>
      </c>
      <c r="I71" s="31" t="n">
        <v>0.2455</v>
      </c>
      <c r="J71" s="31" t="n">
        <v>0.3238</v>
      </c>
      <c r="K71" s="33" t="n">
        <v>-0.3451</v>
      </c>
      <c r="L71" s="30" t="inlineStr">
        <is>
          <t>—</t>
        </is>
      </c>
      <c r="M71" s="34" t="inlineStr">
        <is>
          <t>3해 연24.6% · 변동성 32.4% (위험대비 0.67) · 최대낙폭 -35% · 가장 나쁜 창 연24.6%</t>
        </is>
      </c>
      <c r="N71" s="35">
        <f>IF($A71="Y",$B71&amp;"|"&amp;COUNTIFS($A$7:$A71,"Y",$B$7:$B71,$B71),"")</f>
        <v/>
      </c>
    </row>
    <row r="72">
      <c r="A72" s="13" t="inlineStr">
        <is>
          <t>N</t>
        </is>
      </c>
      <c r="B72" s="36" t="inlineStr">
        <is>
          <t>국내ETF</t>
        </is>
      </c>
      <c r="C72" s="36" t="inlineStr">
        <is>
          <t>KIWOOM 단기자금</t>
        </is>
      </c>
      <c r="D72" s="36" t="inlineStr">
        <is>
          <t>일반</t>
        </is>
      </c>
      <c r="E72" s="36" t="inlineStr">
        <is>
          <t>키움투자자산운용</t>
        </is>
      </c>
      <c r="F72" s="37" t="inlineStr">
        <is>
          <t>681억원</t>
        </is>
      </c>
      <c r="G72" s="38" t="inlineStr">
        <is>
          <t>다년 실측</t>
        </is>
      </c>
      <c r="H72" s="38" t="inlineStr">
        <is>
          <t>5해</t>
        </is>
      </c>
      <c r="I72" s="39" t="n">
        <v>0.027</v>
      </c>
      <c r="J72" s="39" t="n">
        <v>0.005600000000000001</v>
      </c>
      <c r="K72" s="40" t="n">
        <v>-0.0077</v>
      </c>
      <c r="L72" s="43" t="n">
        <v>0.0005</v>
      </c>
      <c r="M72" s="41" t="inlineStr">
        <is>
          <t>5해 연2.7% · 변동성 0.6% (위험대비 -0.20) · 최대낙폭 -1% · 보수 0.05% · 가장 나쁜 창 연2.4%</t>
        </is>
      </c>
      <c r="N72" s="35">
        <f>IF($A72="Y",$B72&amp;"|"&amp;COUNTIFS($A$7:$A72,"Y",$B$7:$B72,$B72),"")</f>
        <v/>
      </c>
    </row>
    <row r="73">
      <c r="A73" s="13" t="inlineStr">
        <is>
          <t>N</t>
        </is>
      </c>
      <c r="B73" s="14" t="inlineStr">
        <is>
          <t>국내ETF</t>
        </is>
      </c>
      <c r="C73" s="14" t="inlineStr">
        <is>
          <t>TIGER 반도체TOP10</t>
        </is>
      </c>
      <c r="D73" s="14" t="inlineStr">
        <is>
          <t>반도체/IT</t>
        </is>
      </c>
      <c r="E73" s="14" t="inlineStr">
        <is>
          <t>—</t>
        </is>
      </c>
      <c r="F73" s="30" t="inlineStr">
        <is>
          <t>—</t>
        </is>
      </c>
      <c r="G73" s="32" t="inlineStr">
        <is>
          <t>다년 실측</t>
        </is>
      </c>
      <c r="H73" s="32" t="inlineStr">
        <is>
          <t>3해</t>
        </is>
      </c>
      <c r="I73" s="31" t="n">
        <v>0.5674</v>
      </c>
      <c r="J73" s="31" t="n">
        <v>0.5171</v>
      </c>
      <c r="K73" s="33" t="n">
        <v>-0.5251</v>
      </c>
      <c r="L73" s="30" t="inlineStr">
        <is>
          <t>—</t>
        </is>
      </c>
      <c r="M73" s="34" t="inlineStr">
        <is>
          <t>3해 연56.7% · 변동성 51.7% (위험대비 1.04) · 최대낙폭 -53% · 가장 나쁜 창 연56.7%</t>
        </is>
      </c>
      <c r="N73" s="35">
        <f>IF($A73="Y",$B73&amp;"|"&amp;COUNTIFS($A$7:$A73,"Y",$B$7:$B73,$B73),"")</f>
        <v/>
      </c>
    </row>
    <row r="74">
      <c r="A74" s="13" t="inlineStr">
        <is>
          <t>N</t>
        </is>
      </c>
      <c r="B74" s="36" t="inlineStr">
        <is>
          <t>국내ETF</t>
        </is>
      </c>
      <c r="C74" s="36" t="inlineStr">
        <is>
          <t>TIGER 코리아TOP10</t>
        </is>
      </c>
      <c r="D74" s="36" t="inlineStr">
        <is>
          <t>대형주TOP10</t>
        </is>
      </c>
      <c r="E74" s="36" t="inlineStr">
        <is>
          <t>—</t>
        </is>
      </c>
      <c r="F74" s="37" t="inlineStr">
        <is>
          <t>—</t>
        </is>
      </c>
      <c r="G74" s="38" t="inlineStr">
        <is>
          <t>다년 실측</t>
        </is>
      </c>
      <c r="H74" s="38" t="inlineStr">
        <is>
          <t>5해</t>
        </is>
      </c>
      <c r="I74" s="39" t="n">
        <v>0.2219</v>
      </c>
      <c r="J74" s="39" t="n">
        <v>0.3274</v>
      </c>
      <c r="K74" s="40" t="n">
        <v>-0.4009</v>
      </c>
      <c r="L74" s="37" t="inlineStr">
        <is>
          <t>—</t>
        </is>
      </c>
      <c r="M74" s="41" t="inlineStr">
        <is>
          <t>5해 연22.2% · 변동성 32.7% (위험대비 0.59) · 최대낙폭 -40% · 가장 나쁜 창 연22.2%</t>
        </is>
      </c>
      <c r="N74" s="35">
        <f>IF($A74="Y",$B74&amp;"|"&amp;COUNTIFS($A$7:$A74,"Y",$B$7:$B74,$B74),"")</f>
        <v/>
      </c>
    </row>
    <row r="75">
      <c r="A75" s="13" t="inlineStr">
        <is>
          <t>N</t>
        </is>
      </c>
      <c r="B75" s="14" t="inlineStr">
        <is>
          <t>국내ETF</t>
        </is>
      </c>
      <c r="C75" s="14" t="inlineStr">
        <is>
          <t>ACE 코스피</t>
        </is>
      </c>
      <c r="D75" s="14" t="inlineStr">
        <is>
          <t>KOSPI</t>
        </is>
      </c>
      <c r="E75" s="14" t="inlineStr">
        <is>
          <t>—</t>
        </is>
      </c>
      <c r="F75" s="30" t="inlineStr">
        <is>
          <t>—</t>
        </is>
      </c>
      <c r="G75" s="32" t="inlineStr">
        <is>
          <t>다년 실측</t>
        </is>
      </c>
      <c r="H75" s="32" t="inlineStr">
        <is>
          <t>5해</t>
        </is>
      </c>
      <c r="I75" s="31" t="n">
        <v>0.1846</v>
      </c>
      <c r="J75" s="31" t="n">
        <v>0.2839</v>
      </c>
      <c r="K75" s="33" t="n">
        <v>-0.3849</v>
      </c>
      <c r="L75" s="30" t="inlineStr">
        <is>
          <t>—</t>
        </is>
      </c>
      <c r="M75" s="34" t="inlineStr">
        <is>
          <t>5해 연18.5% · 변동성 28.4% (위험대비 0.55) · 최대낙폭 -38% · 가장 나쁜 창 연18.5%</t>
        </is>
      </c>
      <c r="N75" s="35">
        <f>IF($A75="Y",$B75&amp;"|"&amp;COUNTIFS($A$7:$A75,"Y",$B$7:$B75,$B75),"")</f>
        <v/>
      </c>
    </row>
    <row r="76">
      <c r="A76" s="13" t="inlineStr">
        <is>
          <t>N</t>
        </is>
      </c>
      <c r="B76" s="36" t="inlineStr">
        <is>
          <t>국내ETF</t>
        </is>
      </c>
      <c r="C76" s="36" t="inlineStr">
        <is>
          <t>TIGER K방산&amp;우주</t>
        </is>
      </c>
      <c r="D76" s="36" t="inlineStr">
        <is>
          <t>K-우주방산</t>
        </is>
      </c>
      <c r="E76" s="36" t="inlineStr">
        <is>
          <t>—</t>
        </is>
      </c>
      <c r="F76" s="37" t="inlineStr">
        <is>
          <t>—</t>
        </is>
      </c>
      <c r="G76" s="38" t="inlineStr">
        <is>
          <t>다년 실측</t>
        </is>
      </c>
      <c r="H76" s="38" t="inlineStr">
        <is>
          <t>3해</t>
        </is>
      </c>
      <c r="I76" s="39" t="n">
        <v>0.4601</v>
      </c>
      <c r="J76" s="39" t="n">
        <v>0.4922</v>
      </c>
      <c r="K76" s="40" t="n">
        <v>-0.4614</v>
      </c>
      <c r="L76" s="37" t="inlineStr">
        <is>
          <t>—</t>
        </is>
      </c>
      <c r="M76" s="41" t="inlineStr">
        <is>
          <t>3해 연46.0% · 변동성 49.2% (위험대비 0.88) · 최대낙폭 -46% · 가장 나쁜 창 연17.8%</t>
        </is>
      </c>
      <c r="N76" s="35">
        <f>IF($A76="Y",$B76&amp;"|"&amp;COUNTIFS($A$7:$A76,"Y",$B$7:$B76,$B76),"")</f>
        <v/>
      </c>
    </row>
    <row r="77">
      <c r="A77" s="13" t="inlineStr">
        <is>
          <t>N</t>
        </is>
      </c>
      <c r="B77" s="14" t="inlineStr">
        <is>
          <t>국내ETF</t>
        </is>
      </c>
      <c r="C77" s="14" t="inlineStr">
        <is>
          <t>TIGER 중장기국채</t>
        </is>
      </c>
      <c r="D77" s="14" t="inlineStr">
        <is>
          <t>채권형</t>
        </is>
      </c>
      <c r="E77" s="14" t="inlineStr">
        <is>
          <t>—</t>
        </is>
      </c>
      <c r="F77" s="30" t="inlineStr">
        <is>
          <t>—</t>
        </is>
      </c>
      <c r="G77" s="32" t="inlineStr">
        <is>
          <t>다년 실측</t>
        </is>
      </c>
      <c r="H77" s="32" t="inlineStr">
        <is>
          <t>5해</t>
        </is>
      </c>
      <c r="I77" s="31" t="n">
        <v>0.0007000000000000001</v>
      </c>
      <c r="J77" s="31" t="n">
        <v>0.0451</v>
      </c>
      <c r="K77" s="33" t="n">
        <v>-0.1197</v>
      </c>
      <c r="L77" s="30" t="inlineStr">
        <is>
          <t>—</t>
        </is>
      </c>
      <c r="M77" s="34" t="inlineStr">
        <is>
          <t>5해 연0.1% · 변동성 4.5% (위험대비 -0.61) · 최대낙폭 -12% · 가장 나쁜 창 연-4.5%</t>
        </is>
      </c>
      <c r="N77" s="35">
        <f>IF($A77="Y",$B77&amp;"|"&amp;COUNTIFS($A$7:$A77,"Y",$B$7:$B77,$B77),"")</f>
        <v/>
      </c>
    </row>
    <row r="78">
      <c r="A78" s="13" t="inlineStr">
        <is>
          <t>N</t>
        </is>
      </c>
      <c r="B78" s="36" t="inlineStr">
        <is>
          <t>국내ETF</t>
        </is>
      </c>
      <c r="C78" s="36" t="inlineStr">
        <is>
          <t>TIGER 코스닥150</t>
        </is>
      </c>
      <c r="D78" s="36" t="inlineStr">
        <is>
          <t>KOSDAQ</t>
        </is>
      </c>
      <c r="E78" s="36" t="inlineStr">
        <is>
          <t>—</t>
        </is>
      </c>
      <c r="F78" s="37" t="inlineStr">
        <is>
          <t>—</t>
        </is>
      </c>
      <c r="G78" s="38" t="inlineStr">
        <is>
          <t>다년 실측</t>
        </is>
      </c>
      <c r="H78" s="38" t="inlineStr">
        <is>
          <t>5해</t>
        </is>
      </c>
      <c r="I78" s="39" t="n">
        <v>-0.0109</v>
      </c>
      <c r="J78" s="39" t="n">
        <v>0.3528</v>
      </c>
      <c r="K78" s="40" t="n">
        <v>-0.4959</v>
      </c>
      <c r="L78" s="37" t="inlineStr">
        <is>
          <t>—</t>
        </is>
      </c>
      <c r="M78" s="41" t="inlineStr">
        <is>
          <t>5해 연-1.1% · 변동성 35.3% (위험대비 -0.11) · 최대낙폭 -50% · 가장 나쁜 창 연-2.1%</t>
        </is>
      </c>
      <c r="N78" s="35">
        <f>IF($A78="Y",$B78&amp;"|"&amp;COUNTIFS($A$7:$A78,"Y",$B$7:$B78,$B78),"")</f>
        <v/>
      </c>
    </row>
    <row r="79">
      <c r="A79" s="13" t="inlineStr">
        <is>
          <t>N</t>
        </is>
      </c>
      <c r="B79" s="14" t="inlineStr">
        <is>
          <t>국내ETF</t>
        </is>
      </c>
      <c r="C79" s="14" t="inlineStr">
        <is>
          <t>TIGER 배당커버드콜액티브</t>
        </is>
      </c>
      <c r="D79" s="14" t="inlineStr">
        <is>
          <t>배당/커버드콜</t>
        </is>
      </c>
      <c r="E79" s="14" t="inlineStr">
        <is>
          <t>—</t>
        </is>
      </c>
      <c r="F79" s="30" t="inlineStr">
        <is>
          <t>—</t>
        </is>
      </c>
      <c r="G79" s="32" t="inlineStr">
        <is>
          <t>1해 실측</t>
        </is>
      </c>
      <c r="H79" s="32" t="inlineStr">
        <is>
          <t>1해</t>
        </is>
      </c>
      <c r="I79" s="31" t="n">
        <v>1.2274</v>
      </c>
      <c r="J79" s="31" t="n">
        <v>0.5555</v>
      </c>
      <c r="K79" s="33" t="n">
        <v>-0.4064</v>
      </c>
      <c r="L79" s="30" t="inlineStr">
        <is>
          <t>—</t>
        </is>
      </c>
      <c r="M79" s="34" t="inlineStr">
        <is>
          <t>1해 연122.7% · 변동성 55.5% (위험대비 2.16) · 최대낙폭 -41%</t>
        </is>
      </c>
      <c r="N79" s="35">
        <f>IF($A79="Y",$B79&amp;"|"&amp;COUNTIFS($A$7:$A79,"Y",$B$7:$B79,$B79),"")</f>
        <v/>
      </c>
    </row>
    <row r="80">
      <c r="A80" s="13" t="inlineStr">
        <is>
          <t>N</t>
        </is>
      </c>
      <c r="B80" s="36" t="inlineStr">
        <is>
          <t>국내ETF</t>
        </is>
      </c>
      <c r="C80" s="36" t="inlineStr">
        <is>
          <t>TIGER 코리아테크액티브</t>
        </is>
      </c>
      <c r="D80" s="36" t="inlineStr">
        <is>
          <t>반도체/IT</t>
        </is>
      </c>
      <c r="E80" s="36" t="inlineStr">
        <is>
          <t>—</t>
        </is>
      </c>
      <c r="F80" s="37" t="inlineStr">
        <is>
          <t>—</t>
        </is>
      </c>
      <c r="G80" s="38" t="inlineStr">
        <is>
          <t>1해 실측</t>
        </is>
      </c>
      <c r="H80" s="38" t="inlineStr">
        <is>
          <t>1해</t>
        </is>
      </c>
      <c r="I80" s="39" t="n">
        <v>2.1087</v>
      </c>
      <c r="J80" s="39" t="n">
        <v>0.6484000000000001</v>
      </c>
      <c r="K80" s="40" t="n">
        <v>-0.4977</v>
      </c>
      <c r="L80" s="37" t="inlineStr">
        <is>
          <t>—</t>
        </is>
      </c>
      <c r="M80" s="41" t="inlineStr">
        <is>
          <t>1해 연210.9% · 변동성 64.8% (위험대비 3.21) · 최대낙폭 -50%</t>
        </is>
      </c>
      <c r="N80" s="35">
        <f>IF($A80="Y",$B80&amp;"|"&amp;COUNTIFS($A$7:$A80,"Y",$B$7:$B80,$B80),"")</f>
        <v/>
      </c>
    </row>
    <row r="81">
      <c r="A81" s="13" t="inlineStr">
        <is>
          <t>N</t>
        </is>
      </c>
      <c r="B81" s="14" t="inlineStr">
        <is>
          <t>국내ETF</t>
        </is>
      </c>
      <c r="C81" s="14" t="inlineStr">
        <is>
          <t>TIGER 글로벌AI전력인프라액티브</t>
        </is>
      </c>
      <c r="D81" s="14" t="inlineStr">
        <is>
          <t>원자력&amp;전력인프라</t>
        </is>
      </c>
      <c r="E81" s="14" t="inlineStr">
        <is>
          <t>—</t>
        </is>
      </c>
      <c r="F81" s="30" t="inlineStr">
        <is>
          <t>—</t>
        </is>
      </c>
      <c r="G81" s="32" t="inlineStr">
        <is>
          <t>1해 실측</t>
        </is>
      </c>
      <c r="H81" s="32" t="inlineStr">
        <is>
          <t>1해</t>
        </is>
      </c>
      <c r="I81" s="31" t="n">
        <v>0.4944</v>
      </c>
      <c r="J81" s="31" t="n">
        <v>0.4883</v>
      </c>
      <c r="K81" s="33" t="n">
        <v>-0.3893</v>
      </c>
      <c r="L81" s="30" t="inlineStr">
        <is>
          <t>—</t>
        </is>
      </c>
      <c r="M81" s="34" t="inlineStr">
        <is>
          <t>1해 연49.4% · 변동성 48.8% (위험대비 0.95) · 최대낙폭 -39%</t>
        </is>
      </c>
      <c r="N81" s="35">
        <f>IF($A81="Y",$B81&amp;"|"&amp;COUNTIFS($A$7:$A81,"Y",$B$7:$B81,$B81),"")</f>
        <v/>
      </c>
    </row>
    <row r="82">
      <c r="A82" s="13" t="inlineStr">
        <is>
          <t>Y</t>
        </is>
      </c>
      <c r="B82" s="36" t="inlineStr">
        <is>
          <t>해외ETF</t>
        </is>
      </c>
      <c r="C82" s="36" t="inlineStr">
        <is>
          <t>RISE 글로벌자산배분액티브</t>
        </is>
      </c>
      <c r="D82" s="36" t="inlineStr">
        <is>
          <t>일반</t>
        </is>
      </c>
      <c r="E82" s="36" t="inlineStr">
        <is>
          <t>KB자산운용</t>
        </is>
      </c>
      <c r="F82" s="37" t="inlineStr">
        <is>
          <t>2,812억원</t>
        </is>
      </c>
      <c r="G82" s="38" t="inlineStr">
        <is>
          <t>다년 실측</t>
        </is>
      </c>
      <c r="H82" s="38" t="inlineStr">
        <is>
          <t>3해</t>
        </is>
      </c>
      <c r="I82" s="39" t="n">
        <v>0.1274</v>
      </c>
      <c r="J82" s="39" t="n">
        <v>0.073</v>
      </c>
      <c r="K82" s="40" t="n">
        <v>-0.0805</v>
      </c>
      <c r="L82" s="43" t="n">
        <v>0.0001</v>
      </c>
      <c r="M82" s="41" t="inlineStr">
        <is>
          <t>3해 연12.7% · 변동성 7.3% (위험대비 1.36) · 최대낙폭 -8% · 보수 0.01% · 가장 나쁜 창 연6.8%</t>
        </is>
      </c>
      <c r="N82" s="35">
        <f>IF($A82="Y",$B82&amp;"|"&amp;COUNTIFS($A$7:$A82,"Y",$B$7:$B82,$B82),"")</f>
        <v/>
      </c>
    </row>
    <row r="83">
      <c r="A83" s="13" t="inlineStr">
        <is>
          <t>Y</t>
        </is>
      </c>
      <c r="B83" s="14" t="inlineStr">
        <is>
          <t>해외ETF</t>
        </is>
      </c>
      <c r="C83" s="14" t="inlineStr">
        <is>
          <t>ACE 미국배당다우존스</t>
        </is>
      </c>
      <c r="D83" s="14" t="inlineStr">
        <is>
          <t>일반</t>
        </is>
      </c>
      <c r="E83" s="14" t="inlineStr">
        <is>
          <t>한국투신운용(ETF)</t>
        </is>
      </c>
      <c r="F83" s="30" t="inlineStr">
        <is>
          <t>9,703억원</t>
        </is>
      </c>
      <c r="G83" s="32" t="inlineStr">
        <is>
          <t>다년 실측</t>
        </is>
      </c>
      <c r="H83" s="32" t="inlineStr">
        <is>
          <t>3해</t>
        </is>
      </c>
      <c r="I83" s="31" t="n">
        <v>0.1576</v>
      </c>
      <c r="J83" s="31" t="n">
        <v>0.1409</v>
      </c>
      <c r="K83" s="33" t="n">
        <v>-0.1321</v>
      </c>
      <c r="L83" s="42" t="n">
        <v>0.0001</v>
      </c>
      <c r="M83" s="34" t="inlineStr">
        <is>
          <t>3해 연15.8% · 변동성 14.1% (위험대비 0.92) · 최대낙폭 -13% · 보수 0.01% · 가장 나쁜 창 연15.8%</t>
        </is>
      </c>
      <c r="N83" s="35">
        <f>IF($A83="Y",$B83&amp;"|"&amp;COUNTIFS($A$7:$A83,"Y",$B$7:$B83,$B83),"")</f>
        <v/>
      </c>
    </row>
    <row r="84">
      <c r="A84" s="13" t="inlineStr">
        <is>
          <t>Y</t>
        </is>
      </c>
      <c r="B84" s="36" t="inlineStr">
        <is>
          <t>해외ETF</t>
        </is>
      </c>
      <c r="C84" s="36" t="inlineStr">
        <is>
          <t>ACE 미국나스닥100미국채혼합50액티브</t>
        </is>
      </c>
      <c r="D84" s="36" t="inlineStr">
        <is>
          <t>일반</t>
        </is>
      </c>
      <c r="E84" s="36" t="inlineStr">
        <is>
          <t>한국투자신탁운용</t>
        </is>
      </c>
      <c r="F84" s="37" t="inlineStr">
        <is>
          <t>9,455억원</t>
        </is>
      </c>
      <c r="G84" s="38" t="inlineStr">
        <is>
          <t>다년 실측</t>
        </is>
      </c>
      <c r="H84" s="38" t="inlineStr">
        <is>
          <t>3해</t>
        </is>
      </c>
      <c r="I84" s="39" t="n">
        <v>0.1323</v>
      </c>
      <c r="J84" s="39" t="n">
        <v>0.09820000000000001</v>
      </c>
      <c r="K84" s="40" t="n">
        <v>-0.1486</v>
      </c>
      <c r="L84" s="43" t="n">
        <v>0.0015</v>
      </c>
      <c r="M84" s="41" t="inlineStr">
        <is>
          <t>3해 연13.2% · 변동성 9.8% (위험대비 1.06) · 최대낙폭 -15% · 보수 0.15% · 가장 나쁜 창 연11.6%</t>
        </is>
      </c>
      <c r="N84" s="35">
        <f>IF($A84="Y",$B84&amp;"|"&amp;COUNTIFS($A$7:$A84,"Y",$B$7:$B84,$B84),"")</f>
        <v/>
      </c>
    </row>
    <row r="85">
      <c r="A85" s="13" t="inlineStr">
        <is>
          <t>N</t>
        </is>
      </c>
      <c r="B85" s="14" t="inlineStr">
        <is>
          <t>해외ETF</t>
        </is>
      </c>
      <c r="C85" s="14" t="inlineStr">
        <is>
          <t>SOL 미국S&amp;P500</t>
        </is>
      </c>
      <c r="D85" s="14" t="inlineStr">
        <is>
          <t>일반</t>
        </is>
      </c>
      <c r="E85" s="14" t="inlineStr">
        <is>
          <t>신한자산운용</t>
        </is>
      </c>
      <c r="F85" s="30" t="inlineStr">
        <is>
          <t>2,987억원</t>
        </is>
      </c>
      <c r="G85" s="32" t="inlineStr">
        <is>
          <t>다년 실측</t>
        </is>
      </c>
      <c r="H85" s="32" t="inlineStr">
        <is>
          <t>3해</t>
        </is>
      </c>
      <c r="I85" s="31" t="n">
        <v>0.2146</v>
      </c>
      <c r="J85" s="31" t="n">
        <v>0.1556</v>
      </c>
      <c r="K85" s="33" t="n">
        <v>-0.1924</v>
      </c>
      <c r="L85" s="42" t="n">
        <v>4.7e-05</v>
      </c>
      <c r="M85" s="34" t="inlineStr">
        <is>
          <t>3해 연21.5% · 변동성 15.6% (위험대비 1.20) · 최대낙폭 -19% · 보수 0.00% · 가장 나쁜 창 연16.8%</t>
        </is>
      </c>
      <c r="N85" s="35">
        <f>IF($A85="Y",$B85&amp;"|"&amp;COUNTIFS($A$7:$A85,"Y",$B$7:$B85,$B85),"")</f>
        <v/>
      </c>
    </row>
    <row r="86">
      <c r="A86" s="13" t="inlineStr">
        <is>
          <t>Y</t>
        </is>
      </c>
      <c r="B86" s="36" t="inlineStr">
        <is>
          <t>해외ETF</t>
        </is>
      </c>
      <c r="C86" s="36" t="inlineStr">
        <is>
          <t>SOL 미국TOP5채권혼합50</t>
        </is>
      </c>
      <c r="D86" s="36" t="inlineStr">
        <is>
          <t>일반</t>
        </is>
      </c>
      <c r="E86" s="36" t="inlineStr">
        <is>
          <t>신한자산운용</t>
        </is>
      </c>
      <c r="F86" s="37" t="inlineStr">
        <is>
          <t>1,248억원</t>
        </is>
      </c>
      <c r="G86" s="38" t="inlineStr">
        <is>
          <t>다년 실측</t>
        </is>
      </c>
      <c r="H86" s="38" t="inlineStr">
        <is>
          <t>3해</t>
        </is>
      </c>
      <c r="I86" s="39" t="n">
        <v>0.1197</v>
      </c>
      <c r="J86" s="39" t="n">
        <v>0.098</v>
      </c>
      <c r="K86" s="40" t="n">
        <v>-0.113</v>
      </c>
      <c r="L86" s="43" t="n">
        <v>0.0025</v>
      </c>
      <c r="M86" s="41" t="inlineStr">
        <is>
          <t>3해 연12.0% · 변동성 9.8% (위험대비 0.93) · 최대낙폭 -11% · 보수 0.25% · 가장 나쁜 창 연11.9%</t>
        </is>
      </c>
      <c r="N86" s="35">
        <f>IF($A86="Y",$B86&amp;"|"&amp;COUNTIFS($A$7:$A86,"Y",$B$7:$B86,$B86),"")</f>
        <v/>
      </c>
    </row>
    <row r="87">
      <c r="A87" s="13" t="inlineStr">
        <is>
          <t>N</t>
        </is>
      </c>
      <c r="B87" s="14" t="inlineStr">
        <is>
          <t>해외ETF</t>
        </is>
      </c>
      <c r="C87" s="14" t="inlineStr">
        <is>
          <t>ACE 엔비디아채권혼합</t>
        </is>
      </c>
      <c r="D87" s="14" t="inlineStr">
        <is>
          <t>일반</t>
        </is>
      </c>
      <c r="E87" s="14" t="inlineStr">
        <is>
          <t>한국투신운용(ETF)</t>
        </is>
      </c>
      <c r="F87" s="30" t="inlineStr">
        <is>
          <t>2,464억원</t>
        </is>
      </c>
      <c r="G87" s="32" t="inlineStr">
        <is>
          <t>다년 실측</t>
        </is>
      </c>
      <c r="H87" s="32" t="inlineStr">
        <is>
          <t>3해</t>
        </is>
      </c>
      <c r="I87" s="31" t="n">
        <v>0.222</v>
      </c>
      <c r="J87" s="31" t="n">
        <v>0.1681</v>
      </c>
      <c r="K87" s="33" t="n">
        <v>-0.139</v>
      </c>
      <c r="L87" s="42" t="n">
        <v>0.0007000000000000001</v>
      </c>
      <c r="M87" s="34" t="inlineStr">
        <is>
          <t>3해 연22.2% · 변동성 16.8% (위험대비 1.15) · 최대낙폭 -14% · 보수 0.07% · 가장 나쁜 창 연9.9%</t>
        </is>
      </c>
      <c r="N87" s="35">
        <f>IF($A87="Y",$B87&amp;"|"&amp;COUNTIFS($A$7:$A87,"Y",$B$7:$B87,$B87),"")</f>
        <v/>
      </c>
    </row>
    <row r="88">
      <c r="A88" s="13" t="inlineStr">
        <is>
          <t>N</t>
        </is>
      </c>
      <c r="B88" s="36" t="inlineStr">
        <is>
          <t>해외ETF</t>
        </is>
      </c>
      <c r="C88" s="36" t="inlineStr">
        <is>
          <t>KODEX 미국배당커버드콜액티브</t>
        </is>
      </c>
      <c r="D88" s="36" t="inlineStr">
        <is>
          <t>커버드콜</t>
        </is>
      </c>
      <c r="E88" s="36" t="inlineStr">
        <is>
          <t>삼성자산운용(ETF)</t>
        </is>
      </c>
      <c r="F88" s="37" t="inlineStr">
        <is>
          <t>2조원</t>
        </is>
      </c>
      <c r="G88" s="38" t="inlineStr">
        <is>
          <t>다년 실측</t>
        </is>
      </c>
      <c r="H88" s="38" t="inlineStr">
        <is>
          <t>3해</t>
        </is>
      </c>
      <c r="I88" s="39" t="n">
        <v>0.1642</v>
      </c>
      <c r="J88" s="39" t="n">
        <v>0.1268</v>
      </c>
      <c r="K88" s="40" t="n">
        <v>-0.137</v>
      </c>
      <c r="L88" s="43" t="n">
        <v>0.0019</v>
      </c>
      <c r="M88" s="41" t="inlineStr">
        <is>
          <t>3해 연16.4% · 변동성 12.7% (위험대비 1.07) · 최대낙폭 -14% · 보수 0.19% · 가장 나쁜 창 연14.1%</t>
        </is>
      </c>
      <c r="N88" s="35">
        <f>IF($A88="Y",$B88&amp;"|"&amp;COUNTIFS($A$7:$A88,"Y",$B$7:$B88,$B88),"")</f>
        <v/>
      </c>
    </row>
    <row r="89">
      <c r="A89" s="13" t="inlineStr">
        <is>
          <t>N</t>
        </is>
      </c>
      <c r="B89" s="14" t="inlineStr">
        <is>
          <t>해외ETF</t>
        </is>
      </c>
      <c r="C89" s="14" t="inlineStr">
        <is>
          <t>KODEX 미국종합채권ESG액티브(H)</t>
        </is>
      </c>
      <c r="D89" s="14" t="inlineStr">
        <is>
          <t>일반</t>
        </is>
      </c>
      <c r="E89" s="14" t="inlineStr">
        <is>
          <t>삼성자산운용(ETF)</t>
        </is>
      </c>
      <c r="F89" s="30" t="inlineStr">
        <is>
          <t>2,227억원</t>
        </is>
      </c>
      <c r="G89" s="32" t="inlineStr">
        <is>
          <t>다년 실측</t>
        </is>
      </c>
      <c r="H89" s="32" t="inlineStr">
        <is>
          <t>3해</t>
        </is>
      </c>
      <c r="I89" s="31" t="n">
        <v>0.0224</v>
      </c>
      <c r="J89" s="31" t="n">
        <v>0.0516</v>
      </c>
      <c r="K89" s="33" t="n">
        <v>-0.0464</v>
      </c>
      <c r="L89" s="42" t="n">
        <v>0.0018</v>
      </c>
      <c r="M89" s="34" t="inlineStr">
        <is>
          <t>3해 연2.2% · 변동성 5.2% (위험대비 -0.11) · 최대낙폭 -5% · 보수 0.18% · 가장 나쁜 창 연-1.4%</t>
        </is>
      </c>
      <c r="N89" s="35">
        <f>IF($A89="Y",$B89&amp;"|"&amp;COUNTIFS($A$7:$A89,"Y",$B$7:$B89,$B89),"")</f>
        <v/>
      </c>
    </row>
    <row r="90">
      <c r="A90" s="13" t="inlineStr">
        <is>
          <t>N</t>
        </is>
      </c>
      <c r="B90" s="36" t="inlineStr">
        <is>
          <t>해외ETF</t>
        </is>
      </c>
      <c r="C90" s="36" t="inlineStr">
        <is>
          <t>TIGER 일본니케이225</t>
        </is>
      </c>
      <c r="D90" s="36" t="inlineStr">
        <is>
          <t>일반</t>
        </is>
      </c>
      <c r="E90" s="36" t="inlineStr">
        <is>
          <t>미래에셋자산운용</t>
        </is>
      </c>
      <c r="F90" s="37" t="inlineStr">
        <is>
          <t>3,967억원</t>
        </is>
      </c>
      <c r="G90" s="38" t="inlineStr">
        <is>
          <t>다년 실측</t>
        </is>
      </c>
      <c r="H90" s="38" t="inlineStr">
        <is>
          <t>5해</t>
        </is>
      </c>
      <c r="I90" s="39" t="n">
        <v>0.1541</v>
      </c>
      <c r="J90" s="39" t="n">
        <v>0.2107</v>
      </c>
      <c r="K90" s="40" t="n">
        <v>-0.2394</v>
      </c>
      <c r="L90" s="43" t="n">
        <v>0.0035</v>
      </c>
      <c r="M90" s="41" t="inlineStr">
        <is>
          <t>5해 연15.4% · 변동성 21.1% (위험대비 0.60) · 최대낙폭 -24% · 보수 0.35% · 가장 나쁜 창 연15.4%</t>
        </is>
      </c>
      <c r="N90" s="35">
        <f>IF($A90="Y",$B90&amp;"|"&amp;COUNTIFS($A$7:$A90,"Y",$B$7:$B90,$B90),"")</f>
        <v/>
      </c>
    </row>
    <row r="91">
      <c r="A91" s="13" t="inlineStr">
        <is>
          <t>N</t>
        </is>
      </c>
      <c r="B91" s="14" t="inlineStr">
        <is>
          <t>해외ETF</t>
        </is>
      </c>
      <c r="C91" s="14" t="inlineStr">
        <is>
          <t>TIGER 테슬라채권혼합Fn</t>
        </is>
      </c>
      <c r="D91" s="14" t="inlineStr">
        <is>
          <t>일반</t>
        </is>
      </c>
      <c r="E91" s="14" t="inlineStr">
        <is>
          <t>미래에셋자산운용</t>
        </is>
      </c>
      <c r="F91" s="30" t="inlineStr">
        <is>
          <t>4,393억원</t>
        </is>
      </c>
      <c r="G91" s="32" t="inlineStr">
        <is>
          <t>다년 실측</t>
        </is>
      </c>
      <c r="H91" s="32" t="inlineStr">
        <is>
          <t>3해</t>
        </is>
      </c>
      <c r="I91" s="31" t="n">
        <v>0.0867</v>
      </c>
      <c r="J91" s="31" t="n">
        <v>0.2019</v>
      </c>
      <c r="K91" s="33" t="n">
        <v>-0.2107</v>
      </c>
      <c r="L91" s="42" t="n">
        <v>0.0025</v>
      </c>
      <c r="M91" s="34" t="inlineStr">
        <is>
          <t>3해 연8.7% · 변동성 20.2% (위험대비 0.29) · 최대낙폭 -21% · 보수 0.25% · 가장 나쁜 창 연1.2%</t>
        </is>
      </c>
      <c r="N91" s="35">
        <f>IF($A91="Y",$B91&amp;"|"&amp;COUNTIFS($A$7:$A91,"Y",$B$7:$B91,$B91),"")</f>
        <v/>
      </c>
    </row>
    <row r="92">
      <c r="A92" s="13" t="inlineStr">
        <is>
          <t>N</t>
        </is>
      </c>
      <c r="B92" s="36" t="inlineStr">
        <is>
          <t>해외ETF</t>
        </is>
      </c>
      <c r="C92" s="36" t="inlineStr">
        <is>
          <t>ACE 미국30년국채액티브(H)</t>
        </is>
      </c>
      <c r="D92" s="36" t="inlineStr">
        <is>
          <t>일반</t>
        </is>
      </c>
      <c r="E92" s="36" t="inlineStr">
        <is>
          <t>한국투자신탁운용</t>
        </is>
      </c>
      <c r="F92" s="37" t="inlineStr">
        <is>
          <t>1조원</t>
        </is>
      </c>
      <c r="G92" s="38" t="inlineStr">
        <is>
          <t>다년 실측</t>
        </is>
      </c>
      <c r="H92" s="38" t="inlineStr">
        <is>
          <t>3해</t>
        </is>
      </c>
      <c r="I92" s="39" t="n">
        <v>-0.0398</v>
      </c>
      <c r="J92" s="39" t="n">
        <v>0.137</v>
      </c>
      <c r="K92" s="40" t="n">
        <v>-0.1731</v>
      </c>
      <c r="L92" s="43" t="n">
        <v>0.0005</v>
      </c>
      <c r="M92" s="41" t="inlineStr">
        <is>
          <t>3해 연-4.0% · 변동성 13.7% (위험대비 -0.50) · 최대낙폭 -17% · 보수 0.05% · 가장 나쁜 창 연-4.0%</t>
        </is>
      </c>
      <c r="N92" s="35">
        <f>IF($A92="Y",$B92&amp;"|"&amp;COUNTIFS($A$7:$A92,"Y",$B$7:$B92,$B92),"")</f>
        <v/>
      </c>
    </row>
    <row r="93">
      <c r="A93" s="13" t="inlineStr">
        <is>
          <t>N</t>
        </is>
      </c>
      <c r="B93" s="14" t="inlineStr">
        <is>
          <t>해외ETF</t>
        </is>
      </c>
      <c r="C93" s="14" t="inlineStr">
        <is>
          <t>RISE 미국테크100데일리고정커버드콜</t>
        </is>
      </c>
      <c r="D93" s="14" t="inlineStr">
        <is>
          <t>커버드콜</t>
        </is>
      </c>
      <c r="E93" s="14" t="inlineStr">
        <is>
          <t>KB자산운용</t>
        </is>
      </c>
      <c r="F93" s="30" t="inlineStr">
        <is>
          <t>5,772억원</t>
        </is>
      </c>
      <c r="G93" s="32" t="inlineStr">
        <is>
          <t>1해 실측</t>
        </is>
      </c>
      <c r="H93" s="32" t="inlineStr">
        <is>
          <t>1해</t>
        </is>
      </c>
      <c r="I93" s="31" t="n">
        <v>0.2319</v>
      </c>
      <c r="J93" s="31" t="n">
        <v>0.1842</v>
      </c>
      <c r="K93" s="33" t="n">
        <v>-0.1436</v>
      </c>
      <c r="L93" s="42" t="n">
        <v>0.0025</v>
      </c>
      <c r="M93" s="34" t="inlineStr">
        <is>
          <t>1해 연23.2% · 변동성 18.4% (위험대비 1.11) · 최대낙폭 -14% · 보수 0.25%</t>
        </is>
      </c>
      <c r="N93" s="35">
        <f>IF($A93="Y",$B93&amp;"|"&amp;COUNTIFS($A$7:$A93,"Y",$B$7:$B93,$B93),"")</f>
        <v/>
      </c>
    </row>
    <row r="94">
      <c r="A94" s="13" t="inlineStr">
        <is>
          <t>N</t>
        </is>
      </c>
      <c r="B94" s="36" t="inlineStr">
        <is>
          <t>해외ETF</t>
        </is>
      </c>
      <c r="C94" s="36" t="inlineStr">
        <is>
          <t>TIME 글로벌우주테크&amp;방산액티브</t>
        </is>
      </c>
      <c r="D94" s="36" t="inlineStr">
        <is>
          <t>일반</t>
        </is>
      </c>
      <c r="E94" s="36" t="inlineStr">
        <is>
          <t>타임폴리오자산운용</t>
        </is>
      </c>
      <c r="F94" s="37" t="inlineStr">
        <is>
          <t>2,248억원</t>
        </is>
      </c>
      <c r="G94" s="38" t="inlineStr">
        <is>
          <t>1해 실측</t>
        </is>
      </c>
      <c r="H94" s="38" t="inlineStr">
        <is>
          <t>1해</t>
        </is>
      </c>
      <c r="I94" s="39" t="n">
        <v>0.0286</v>
      </c>
      <c r="J94" s="39" t="n">
        <v>0.2643</v>
      </c>
      <c r="K94" s="40" t="n">
        <v>-0.2932</v>
      </c>
      <c r="L94" s="43" t="n">
        <v>0.008</v>
      </c>
      <c r="M94" s="41" t="inlineStr">
        <is>
          <t>1해 연2.9% · 변동성 26.4% (위험대비 0.00) · 최대낙폭 -29% · 보수 0.80%</t>
        </is>
      </c>
      <c r="N94" s="35">
        <f>IF($A94="Y",$B94&amp;"|"&amp;COUNTIFS($A$7:$A94,"Y",$B$7:$B94,$B94),"")</f>
        <v/>
      </c>
    </row>
    <row r="95">
      <c r="A95" s="13" t="inlineStr">
        <is>
          <t>Y</t>
        </is>
      </c>
      <c r="B95" s="14" t="inlineStr">
        <is>
          <t>해외ETF</t>
        </is>
      </c>
      <c r="C95" s="14" t="inlineStr">
        <is>
          <t>SPDR 금</t>
        </is>
      </c>
      <c r="D95" s="14" t="inlineStr">
        <is>
          <t>대체</t>
        </is>
      </c>
      <c r="E95" s="14" t="inlineStr">
        <is>
          <t>—</t>
        </is>
      </c>
      <c r="F95" s="30" t="inlineStr">
        <is>
          <t>—</t>
        </is>
      </c>
      <c r="G95" s="32" t="inlineStr">
        <is>
          <t>다년 실측</t>
        </is>
      </c>
      <c r="H95" s="32" t="inlineStr">
        <is>
          <t>5해</t>
        </is>
      </c>
      <c r="I95" s="31" t="n">
        <v>0.2325</v>
      </c>
      <c r="J95" s="31" t="n">
        <v>0.2006</v>
      </c>
      <c r="K95" s="33" t="n">
        <v>-0.2618</v>
      </c>
      <c r="L95" s="30" t="inlineStr">
        <is>
          <t>—</t>
        </is>
      </c>
      <c r="M95" s="34" t="inlineStr">
        <is>
          <t>5해 연23.2% · 변동성 20.1% (위험대비 1.02) · 최대낙폭 -26% · 가장 나쁜 창 연19.8%</t>
        </is>
      </c>
      <c r="N95" s="35">
        <f>IF($A95="Y",$B95&amp;"|"&amp;COUNTIFS($A$7:$A95,"Y",$B$7:$B95,$B95),"")</f>
        <v/>
      </c>
    </row>
    <row r="96">
      <c r="A96" s="13" t="inlineStr">
        <is>
          <t>N</t>
        </is>
      </c>
      <c r="B96" s="36" t="inlineStr">
        <is>
          <t>해외ETF</t>
        </is>
      </c>
      <c r="C96" s="36" t="inlineStr">
        <is>
          <t>Invesco 원자재</t>
        </is>
      </c>
      <c r="D96" s="36" t="inlineStr">
        <is>
          <t>대체</t>
        </is>
      </c>
      <c r="E96" s="36" t="inlineStr">
        <is>
          <t>—</t>
        </is>
      </c>
      <c r="F96" s="37" t="inlineStr">
        <is>
          <t>—</t>
        </is>
      </c>
      <c r="G96" s="38" t="inlineStr">
        <is>
          <t>다년 실측</t>
        </is>
      </c>
      <c r="H96" s="38" t="inlineStr">
        <is>
          <t>5해</t>
        </is>
      </c>
      <c r="I96" s="39" t="n">
        <v>0.1838</v>
      </c>
      <c r="J96" s="39" t="n">
        <v>0.2098</v>
      </c>
      <c r="K96" s="40" t="n">
        <v>-0.25</v>
      </c>
      <c r="L96" s="37" t="inlineStr">
        <is>
          <t>—</t>
        </is>
      </c>
      <c r="M96" s="41" t="inlineStr">
        <is>
          <t>5해 연18.4% · 변동성 21.0% (위험대비 0.74) · 최대낙폭 -25% · 가장 나쁜 창 연15.7%</t>
        </is>
      </c>
      <c r="N96" s="35">
        <f>IF($A96="Y",$B96&amp;"|"&amp;COUNTIFS($A$7:$A96,"Y",$B$7:$B96,$B96),"")</f>
        <v/>
      </c>
    </row>
    <row r="97">
      <c r="A97" s="13" t="inlineStr">
        <is>
          <t>N</t>
        </is>
      </c>
      <c r="B97" s="14" t="inlineStr">
        <is>
          <t>해외ETF</t>
        </is>
      </c>
      <c r="C97" s="14" t="inlineStr">
        <is>
          <t>iShares 미국채 1-3년</t>
        </is>
      </c>
      <c r="D97" s="14" t="inlineStr">
        <is>
          <t>채권</t>
        </is>
      </c>
      <c r="E97" s="14" t="inlineStr">
        <is>
          <t>—</t>
        </is>
      </c>
      <c r="F97" s="30" t="inlineStr">
        <is>
          <t>—</t>
        </is>
      </c>
      <c r="G97" s="32" t="inlineStr">
        <is>
          <t>다년 실측</t>
        </is>
      </c>
      <c r="H97" s="32" t="inlineStr">
        <is>
          <t>5해</t>
        </is>
      </c>
      <c r="I97" s="31" t="n">
        <v>0.05309999999999999</v>
      </c>
      <c r="J97" s="31" t="n">
        <v>0.0968</v>
      </c>
      <c r="K97" s="33" t="n">
        <v>-0.1396</v>
      </c>
      <c r="L97" s="30" t="inlineStr">
        <is>
          <t>—</t>
        </is>
      </c>
      <c r="M97" s="34" t="inlineStr">
        <is>
          <t>5해 연5.3% · 변동성 9.7% (위험대비 0.26) · 최대낙폭 -14% · 가장 나쁜 창 연2.2%</t>
        </is>
      </c>
      <c r="N97" s="35">
        <f>IF($A97="Y",$B97&amp;"|"&amp;COUNTIFS($A$7:$A97,"Y",$B$7:$B97,$B97),"")</f>
        <v/>
      </c>
    </row>
    <row r="98">
      <c r="A98" s="13" t="inlineStr">
        <is>
          <t>N</t>
        </is>
      </c>
      <c r="B98" s="36" t="inlineStr">
        <is>
          <t>해외ETF</t>
        </is>
      </c>
      <c r="C98" s="36" t="inlineStr">
        <is>
          <t>iShares 하이일드 회사채</t>
        </is>
      </c>
      <c r="D98" s="36" t="inlineStr">
        <is>
          <t>채권</t>
        </is>
      </c>
      <c r="E98" s="36" t="inlineStr">
        <is>
          <t>—</t>
        </is>
      </c>
      <c r="F98" s="37" t="inlineStr">
        <is>
          <t>—</t>
        </is>
      </c>
      <c r="G98" s="38" t="inlineStr">
        <is>
          <t>다년 실측</t>
        </is>
      </c>
      <c r="H98" s="38" t="inlineStr">
        <is>
          <t>5해</t>
        </is>
      </c>
      <c r="I98" s="39" t="n">
        <v>0.0709</v>
      </c>
      <c r="J98" s="39" t="n">
        <v>0.1136</v>
      </c>
      <c r="K98" s="40" t="n">
        <v>-0.1402</v>
      </c>
      <c r="L98" s="37" t="inlineStr">
        <is>
          <t>—</t>
        </is>
      </c>
      <c r="M98" s="41" t="inlineStr">
        <is>
          <t>5해 연7.1% · 변동성 11.4% (위험대비 0.38) · 최대낙폭 -14% · 가장 나쁜 창 연3.5%</t>
        </is>
      </c>
      <c r="N98" s="35">
        <f>IF($A98="Y",$B98&amp;"|"&amp;COUNTIFS($A$7:$A98,"Y",$B$7:$B98,$B98),"")</f>
        <v/>
      </c>
    </row>
    <row r="99">
      <c r="A99" s="13" t="inlineStr">
        <is>
          <t>N</t>
        </is>
      </c>
      <c r="B99" s="14" t="inlineStr">
        <is>
          <t>해외ETF</t>
        </is>
      </c>
      <c r="C99" s="14" t="inlineStr">
        <is>
          <t>TIGER 미국투자등급회사채액티브(H)</t>
        </is>
      </c>
      <c r="D99" s="14" t="inlineStr">
        <is>
          <t>채권형</t>
        </is>
      </c>
      <c r="E99" s="14" t="inlineStr">
        <is>
          <t>—</t>
        </is>
      </c>
      <c r="F99" s="30" t="inlineStr">
        <is>
          <t>—</t>
        </is>
      </c>
      <c r="G99" s="32" t="inlineStr">
        <is>
          <t>다년 실측</t>
        </is>
      </c>
      <c r="H99" s="32" t="inlineStr">
        <is>
          <t>3해</t>
        </is>
      </c>
      <c r="I99" s="31" t="n">
        <v>0.0194</v>
      </c>
      <c r="J99" s="31" t="n">
        <v>0.07690000000000001</v>
      </c>
      <c r="K99" s="33" t="n">
        <v>-0.0713</v>
      </c>
      <c r="L99" s="30" t="inlineStr">
        <is>
          <t>—</t>
        </is>
      </c>
      <c r="M99" s="34" t="inlineStr">
        <is>
          <t>3해 연1.9% · 변동성 7.7% (위험대비 -0.11) · 최대낙폭 -7% · 가장 나쁜 창 연-2.0%</t>
        </is>
      </c>
      <c r="N99" s="35">
        <f>IF($A99="Y",$B99&amp;"|"&amp;COUNTIFS($A$7:$A99,"Y",$B$7:$B99,$B99),"")</f>
        <v/>
      </c>
    </row>
    <row r="100">
      <c r="A100" s="13" t="inlineStr">
        <is>
          <t>N</t>
        </is>
      </c>
      <c r="B100" s="36" t="inlineStr">
        <is>
          <t>해외ETF</t>
        </is>
      </c>
      <c r="C100" s="36" t="inlineStr">
        <is>
          <t>Vanguard 배당성장</t>
        </is>
      </c>
      <c r="D100" s="36" t="inlineStr">
        <is>
          <t>주식</t>
        </is>
      </c>
      <c r="E100" s="36" t="inlineStr">
        <is>
          <t>—</t>
        </is>
      </c>
      <c r="F100" s="37" t="inlineStr">
        <is>
          <t>—</t>
        </is>
      </c>
      <c r="G100" s="38" t="inlineStr">
        <is>
          <t>다년 실측</t>
        </is>
      </c>
      <c r="H100" s="38" t="inlineStr">
        <is>
          <t>5해</t>
        </is>
      </c>
      <c r="I100" s="39" t="n">
        <v>0.1402</v>
      </c>
      <c r="J100" s="39" t="n">
        <v>0.1641</v>
      </c>
      <c r="K100" s="40" t="n">
        <v>-0.1365</v>
      </c>
      <c r="L100" s="37" t="inlineStr">
        <is>
          <t>—</t>
        </is>
      </c>
      <c r="M100" s="41" t="inlineStr">
        <is>
          <t>5해 연14.0% · 변동성 16.4% (위험대비 0.68) · 최대낙폭 -14% · 가장 나쁜 창 연12.4%</t>
        </is>
      </c>
      <c r="N100" s="35">
        <f>IF($A100="Y",$B100&amp;"|"&amp;COUNTIFS($A$7:$A100,"Y",$B$7:$B100,$B100),"")</f>
        <v/>
      </c>
    </row>
    <row r="101">
      <c r="A101" s="13" t="inlineStr">
        <is>
          <t>N</t>
        </is>
      </c>
      <c r="B101" s="14" t="inlineStr">
        <is>
          <t>해외ETF</t>
        </is>
      </c>
      <c r="C101" s="14" t="inlineStr">
        <is>
          <t>Schwab 미국 배당주</t>
        </is>
      </c>
      <c r="D101" s="14" t="inlineStr">
        <is>
          <t>주식</t>
        </is>
      </c>
      <c r="E101" s="14" t="inlineStr">
        <is>
          <t>—</t>
        </is>
      </c>
      <c r="F101" s="30" t="inlineStr">
        <is>
          <t>—</t>
        </is>
      </c>
      <c r="G101" s="32" t="inlineStr">
        <is>
          <t>다년 실측</t>
        </is>
      </c>
      <c r="H101" s="32" t="inlineStr">
        <is>
          <t>5해</t>
        </is>
      </c>
      <c r="I101" s="31" t="n">
        <v>0.1353</v>
      </c>
      <c r="J101" s="31" t="n">
        <v>0.1663</v>
      </c>
      <c r="K101" s="33" t="n">
        <v>-0.1455</v>
      </c>
      <c r="L101" s="30" t="inlineStr">
        <is>
          <t>—</t>
        </is>
      </c>
      <c r="M101" s="34" t="inlineStr">
        <is>
          <t>5해 연13.5% · 변동성 16.6% (위험대비 0.64) · 최대낙폭 -15% · 가장 나쁜 창 연13.5%</t>
        </is>
      </c>
      <c r="N101" s="35">
        <f>IF($A101="Y",$B101&amp;"|"&amp;COUNTIFS($A$7:$A101,"Y",$B$7:$B101,$B101),"")</f>
        <v/>
      </c>
    </row>
    <row r="102">
      <c r="A102" s="13" t="inlineStr">
        <is>
          <t>N</t>
        </is>
      </c>
      <c r="B102" s="36" t="inlineStr">
        <is>
          <t>해외ETF</t>
        </is>
      </c>
      <c r="C102" s="36" t="inlineStr">
        <is>
          <t>Vanguard 미국 전체시장</t>
        </is>
      </c>
      <c r="D102" s="36" t="inlineStr">
        <is>
          <t>주식</t>
        </is>
      </c>
      <c r="E102" s="36" t="inlineStr">
        <is>
          <t>—</t>
        </is>
      </c>
      <c r="F102" s="37" t="inlineStr">
        <is>
          <t>—</t>
        </is>
      </c>
      <c r="G102" s="38" t="inlineStr">
        <is>
          <t>다년 실측</t>
        </is>
      </c>
      <c r="H102" s="38" t="inlineStr">
        <is>
          <t>5해</t>
        </is>
      </c>
      <c r="I102" s="39" t="n">
        <v>0.1574</v>
      </c>
      <c r="J102" s="39" t="n">
        <v>0.1895</v>
      </c>
      <c r="K102" s="40" t="n">
        <v>-0.1826</v>
      </c>
      <c r="L102" s="37" t="inlineStr">
        <is>
          <t>—</t>
        </is>
      </c>
      <c r="M102" s="41" t="inlineStr">
        <is>
          <t>5해 연15.7% · 변동성 18.9% (위험대비 0.68) · 최대낙폭 -18% · 가장 나쁜 창 연15.7%</t>
        </is>
      </c>
      <c r="N102" s="35">
        <f>IF($A102="Y",$B102&amp;"|"&amp;COUNTIFS($A$7:$A102,"Y",$B$7:$B102,$B102),"")</f>
        <v/>
      </c>
    </row>
    <row r="103">
      <c r="A103" s="13" t="inlineStr">
        <is>
          <t>N</t>
        </is>
      </c>
      <c r="B103" s="14" t="inlineStr">
        <is>
          <t>해외ETF</t>
        </is>
      </c>
      <c r="C103" s="14" t="inlineStr">
        <is>
          <t>Vanguard 선진국(미국 제외)</t>
        </is>
      </c>
      <c r="D103" s="14" t="inlineStr">
        <is>
          <t>주식</t>
        </is>
      </c>
      <c r="E103" s="14" t="inlineStr">
        <is>
          <t>—</t>
        </is>
      </c>
      <c r="F103" s="30" t="inlineStr">
        <is>
          <t>—</t>
        </is>
      </c>
      <c r="G103" s="32" t="inlineStr">
        <is>
          <t>다년 실측</t>
        </is>
      </c>
      <c r="H103" s="32" t="inlineStr">
        <is>
          <t>5해</t>
        </is>
      </c>
      <c r="I103" s="31" t="n">
        <v>0.1349</v>
      </c>
      <c r="J103" s="31" t="n">
        <v>0.1707</v>
      </c>
      <c r="K103" s="33" t="n">
        <v>-0.1538</v>
      </c>
      <c r="L103" s="30" t="inlineStr">
        <is>
          <t>—</t>
        </is>
      </c>
      <c r="M103" s="34" t="inlineStr">
        <is>
          <t>5해 연13.5% · 변동성 17.1% (위험대비 0.63) · 최대낙폭 -15% · 가장 나쁜 창 연13.5%</t>
        </is>
      </c>
      <c r="N103" s="35">
        <f>IF($A103="Y",$B103&amp;"|"&amp;COUNTIFS($A$7:$A103,"Y",$B$7:$B103,$B103),"")</f>
        <v/>
      </c>
    </row>
    <row r="104">
      <c r="A104" s="13" t="inlineStr">
        <is>
          <t>N</t>
        </is>
      </c>
      <c r="B104" s="36" t="inlineStr">
        <is>
          <t>해외ETF</t>
        </is>
      </c>
      <c r="C104" s="36" t="inlineStr">
        <is>
          <t>iShares 미국 종합채권</t>
        </is>
      </c>
      <c r="D104" s="36" t="inlineStr">
        <is>
          <t>채권</t>
        </is>
      </c>
      <c r="E104" s="36" t="inlineStr">
        <is>
          <t>—</t>
        </is>
      </c>
      <c r="F104" s="37" t="inlineStr">
        <is>
          <t>—</t>
        </is>
      </c>
      <c r="G104" s="38" t="inlineStr">
        <is>
          <t>다년 실측</t>
        </is>
      </c>
      <c r="H104" s="38" t="inlineStr">
        <is>
          <t>5해</t>
        </is>
      </c>
      <c r="I104" s="39" t="n">
        <v>0.0301</v>
      </c>
      <c r="J104" s="39" t="n">
        <v>0.1102</v>
      </c>
      <c r="K104" s="40" t="n">
        <v>-0.1544</v>
      </c>
      <c r="L104" s="37" t="inlineStr">
        <is>
          <t>—</t>
        </is>
      </c>
      <c r="M104" s="41" t="inlineStr">
        <is>
          <t>5해 연3.0% · 변동성 11.0% (위험대비 0.02) · 최대낙폭 -15% · 가장 나쁜 창 연-0.0%</t>
        </is>
      </c>
      <c r="N104" s="35">
        <f>IF($A104="Y",$B104&amp;"|"&amp;COUNTIFS($A$7:$A104,"Y",$B$7:$B104,$B104),"")</f>
        <v/>
      </c>
    </row>
    <row r="105">
      <c r="A105" s="13" t="inlineStr">
        <is>
          <t>N</t>
        </is>
      </c>
      <c r="B105" s="14" t="inlineStr">
        <is>
          <t>해외ETF</t>
        </is>
      </c>
      <c r="C105" s="14" t="inlineStr">
        <is>
          <t>TIGER 미국필라델피아반도체나스닥</t>
        </is>
      </c>
      <c r="D105" s="14" t="inlineStr">
        <is>
          <t>반도체&amp;A.I.</t>
        </is>
      </c>
      <c r="E105" s="14" t="inlineStr">
        <is>
          <t>—</t>
        </is>
      </c>
      <c r="F105" s="30" t="inlineStr">
        <is>
          <t>—</t>
        </is>
      </c>
      <c r="G105" s="32" t="inlineStr">
        <is>
          <t>다년 실측</t>
        </is>
      </c>
      <c r="H105" s="32" t="inlineStr">
        <is>
          <t>5해</t>
        </is>
      </c>
      <c r="I105" s="31" t="n">
        <v>0.329</v>
      </c>
      <c r="J105" s="31" t="n">
        <v>0.3539</v>
      </c>
      <c r="K105" s="33" t="n">
        <v>-0.3968</v>
      </c>
      <c r="L105" s="30" t="inlineStr">
        <is>
          <t>—</t>
        </is>
      </c>
      <c r="M105" s="34" t="inlineStr">
        <is>
          <t>5해 연32.9% · 변동성 35.4% (위험대비 0.85) · 최대낙폭 -40% · 가장 나쁜 창 연32.9%</t>
        </is>
      </c>
      <c r="N105" s="35">
        <f>IF($A105="Y",$B105&amp;"|"&amp;COUNTIFS($A$7:$A105,"Y",$B$7:$B105,$B105),"")</f>
        <v/>
      </c>
    </row>
    <row r="106">
      <c r="A106" s="13" t="inlineStr">
        <is>
          <t>N</t>
        </is>
      </c>
      <c r="B106" s="36" t="inlineStr">
        <is>
          <t>해외ETF</t>
        </is>
      </c>
      <c r="C106" s="36" t="inlineStr">
        <is>
          <t>Vanguard 신흥국</t>
        </is>
      </c>
      <c r="D106" s="36" t="inlineStr">
        <is>
          <t>주식</t>
        </is>
      </c>
      <c r="E106" s="36" t="inlineStr">
        <is>
          <t>—</t>
        </is>
      </c>
      <c r="F106" s="37" t="inlineStr">
        <is>
          <t>—</t>
        </is>
      </c>
      <c r="G106" s="38" t="inlineStr">
        <is>
          <t>다년 실측</t>
        </is>
      </c>
      <c r="H106" s="38" t="inlineStr">
        <is>
          <t>5해</t>
        </is>
      </c>
      <c r="I106" s="39" t="n">
        <v>0.09710000000000001</v>
      </c>
      <c r="J106" s="39" t="n">
        <v>0.1743</v>
      </c>
      <c r="K106" s="40" t="n">
        <v>-0.1624</v>
      </c>
      <c r="L106" s="37" t="inlineStr">
        <is>
          <t>—</t>
        </is>
      </c>
      <c r="M106" s="41" t="inlineStr">
        <is>
          <t>5해 연9.7% · 변동성 17.4% (위험대비 0.40) · 최대낙폭 -16% · 가장 나쁜 창 연9.7%</t>
        </is>
      </c>
      <c r="N106" s="35">
        <f>IF($A106="Y",$B106&amp;"|"&amp;COUNTIFS($A$7:$A106,"Y",$B$7:$B106,$B106),"")</f>
        <v/>
      </c>
    </row>
    <row r="107">
      <c r="A107" s="13" t="inlineStr">
        <is>
          <t>Y</t>
        </is>
      </c>
      <c r="B107" s="14" t="inlineStr">
        <is>
          <t>국내펀드</t>
        </is>
      </c>
      <c r="C107" s="14" t="inlineStr">
        <is>
          <t>현대인베스트먼트단기증권자투자신탁 1(채권)</t>
        </is>
      </c>
      <c r="D107" s="14" t="inlineStr">
        <is>
          <t>국내채권형</t>
        </is>
      </c>
      <c r="E107" s="14" t="inlineStr">
        <is>
          <t>현대인베스트먼트자산운용</t>
        </is>
      </c>
      <c r="F107" s="30" t="inlineStr">
        <is>
          <t>913억원</t>
        </is>
      </c>
      <c r="G107" s="32" t="inlineStr">
        <is>
          <t>다년 실측</t>
        </is>
      </c>
      <c r="H107" s="32" t="inlineStr">
        <is>
          <t>3해</t>
        </is>
      </c>
      <c r="I107" s="31" t="n">
        <v>0.032</v>
      </c>
      <c r="J107" s="31" t="n">
        <v>0.0042</v>
      </c>
      <c r="K107" s="33" t="n">
        <v>0</v>
      </c>
      <c r="L107" s="30" t="inlineStr">
        <is>
          <t>0.10~0.30%</t>
        </is>
      </c>
      <c r="M107" s="34" t="inlineStr">
        <is>
          <t>3해 연3.2% · 변동성 0.4% (위험대비 0.93) (달 간격) · 최대낙폭 0% · 보수 0.10% · 가장 나쁜 창 연2.4%</t>
        </is>
      </c>
      <c r="N107" s="35">
        <f>IF($A107="Y",$B107&amp;"|"&amp;COUNTIFS($A$7:$A107,"Y",$B$7:$B107,$B107),"")</f>
        <v/>
      </c>
    </row>
    <row r="108">
      <c r="A108" s="13" t="inlineStr">
        <is>
          <t>Y</t>
        </is>
      </c>
      <c r="B108" s="36" t="inlineStr">
        <is>
          <t>국내펀드</t>
        </is>
      </c>
      <c r="C108" s="36" t="inlineStr">
        <is>
          <t>KB스타단기플러스증권투자신탁(채권)(운용)</t>
        </is>
      </c>
      <c r="D108" s="36" t="inlineStr">
        <is>
          <t>국내채권형</t>
        </is>
      </c>
      <c r="E108" s="36" t="inlineStr">
        <is>
          <t>케이비자산운용</t>
        </is>
      </c>
      <c r="F108" s="37" t="inlineStr">
        <is>
          <t>1,362억원</t>
        </is>
      </c>
      <c r="G108" s="38" t="inlineStr">
        <is>
          <t>다년 실측</t>
        </is>
      </c>
      <c r="H108" s="38" t="inlineStr">
        <is>
          <t>3해</t>
        </is>
      </c>
      <c r="I108" s="39" t="n">
        <v>0.0256</v>
      </c>
      <c r="J108" s="39" t="n">
        <v>0.0223</v>
      </c>
      <c r="K108" s="40" t="n">
        <v>-0.0305</v>
      </c>
      <c r="L108" s="37" t="inlineStr">
        <is>
          <t>0.05~0.06%</t>
        </is>
      </c>
      <c r="M108" s="41" t="inlineStr">
        <is>
          <t>3해 연2.6% · 변동성 2.2% (위험대비 -0.11) (달 간격) · 최대낙폭 -3% · 보수 0.05% · 가장 나쁜 창 연1.7%</t>
        </is>
      </c>
      <c r="N108" s="35">
        <f>IF($A108="Y",$B108&amp;"|"&amp;COUNTIFS($A$7:$A108,"Y",$B$7:$B108,$B108),"")</f>
        <v/>
      </c>
    </row>
    <row r="109">
      <c r="A109" s="13" t="inlineStr">
        <is>
          <t>N</t>
        </is>
      </c>
      <c r="B109" s="14" t="inlineStr">
        <is>
          <t>국내펀드</t>
        </is>
      </c>
      <c r="C109" s="14" t="inlineStr">
        <is>
          <t>우리단기플러스증권투자신탁(채권)[운용]</t>
        </is>
      </c>
      <c r="D109" s="14" t="inlineStr">
        <is>
          <t>국내채권형</t>
        </is>
      </c>
      <c r="E109" s="14" t="inlineStr">
        <is>
          <t>우리자산운용</t>
        </is>
      </c>
      <c r="F109" s="30" t="inlineStr">
        <is>
          <t>3,686억원</t>
        </is>
      </c>
      <c r="G109" s="32" t="inlineStr">
        <is>
          <t>다년 실측</t>
        </is>
      </c>
      <c r="H109" s="32" t="inlineStr">
        <is>
          <t>3해</t>
        </is>
      </c>
      <c r="I109" s="31" t="n">
        <v>0.0273</v>
      </c>
      <c r="J109" s="31" t="n">
        <v>0.0246</v>
      </c>
      <c r="K109" s="33" t="n">
        <v>-0.0341</v>
      </c>
      <c r="L109" s="42" t="n">
        <v>0.0005</v>
      </c>
      <c r="M109" s="34" t="inlineStr">
        <is>
          <t>3해 연2.7% · 변동성 2.5% (위험대비 -0.03) (달 간격) · 최대낙폭 -3% · 보수 0.05% · 가장 나쁜 창 연1.9%</t>
        </is>
      </c>
      <c r="N109" s="35">
        <f>IF($A109="Y",$B109&amp;"|"&amp;COUNTIFS($A$7:$A109,"Y",$B$7:$B109,$B109),"")</f>
        <v/>
      </c>
    </row>
    <row r="110">
      <c r="A110" s="13" t="inlineStr">
        <is>
          <t>Y</t>
        </is>
      </c>
      <c r="B110" s="36" t="inlineStr">
        <is>
          <t>국내펀드</t>
        </is>
      </c>
      <c r="C110" s="36" t="inlineStr">
        <is>
          <t>마이다스거북이90증권자투자신탁 1(주식)(운용)</t>
        </is>
      </c>
      <c r="D110" s="36" t="inlineStr">
        <is>
          <t>국내대체</t>
        </is>
      </c>
      <c r="E110" s="36" t="inlineStr">
        <is>
          <t>마이다스에셋자산운용</t>
        </is>
      </c>
      <c r="F110" s="37" t="inlineStr">
        <is>
          <t>1,977억원</t>
        </is>
      </c>
      <c r="G110" s="38" t="inlineStr">
        <is>
          <t>다년 실측</t>
        </is>
      </c>
      <c r="H110" s="38" t="inlineStr">
        <is>
          <t>3해</t>
        </is>
      </c>
      <c r="I110" s="39" t="n">
        <v>0.1644</v>
      </c>
      <c r="J110" s="39" t="n">
        <v>0.0808</v>
      </c>
      <c r="K110" s="40" t="n">
        <v>-0.0366</v>
      </c>
      <c r="L110" s="37" t="inlineStr">
        <is>
          <t>0.59~2.09%</t>
        </is>
      </c>
      <c r="M110" s="41" t="inlineStr">
        <is>
          <t>3해 연16.4% · 변동성 8.1% (위험대비 1.69) (달 간격) · 최대낙폭 -4% · 보수 0.59% · 가장 나쁜 창 연16.4%</t>
        </is>
      </c>
      <c r="N110" s="35">
        <f>IF($A110="Y",$B110&amp;"|"&amp;COUNTIFS($A$7:$A110,"Y",$B$7:$B110,$B110),"")</f>
        <v/>
      </c>
    </row>
    <row r="111">
      <c r="A111" s="13" t="inlineStr">
        <is>
          <t>N</t>
        </is>
      </c>
      <c r="B111" s="14" t="inlineStr">
        <is>
          <t>국내펀드</t>
        </is>
      </c>
      <c r="C111" s="14" t="inlineStr">
        <is>
          <t>코레이트더블루B증권투자신탁[채권]운용</t>
        </is>
      </c>
      <c r="D111" s="14" t="inlineStr">
        <is>
          <t>국내채권형</t>
        </is>
      </c>
      <c r="E111" s="14" t="inlineStr">
        <is>
          <t>코레이트자산운용</t>
        </is>
      </c>
      <c r="F111" s="30" t="inlineStr">
        <is>
          <t>168억원</t>
        </is>
      </c>
      <c r="G111" s="32" t="inlineStr">
        <is>
          <t>다년 실측</t>
        </is>
      </c>
      <c r="H111" s="32" t="inlineStr">
        <is>
          <t>3해</t>
        </is>
      </c>
      <c r="I111" s="31" t="n">
        <v>0.0435</v>
      </c>
      <c r="J111" s="31" t="n">
        <v>0.0046</v>
      </c>
      <c r="K111" s="33" t="n">
        <v>0</v>
      </c>
      <c r="L111" s="42" t="n">
        <v>0.0013</v>
      </c>
      <c r="M111" s="34" t="inlineStr">
        <is>
          <t>3해 연4.3% · 변동성 0.5% (위험대비 3.35) (달 간격) · 최대낙폭 0% · 보수 0.13% · 가장 나쁜 창 연3.5%</t>
        </is>
      </c>
      <c r="N111" s="35">
        <f>IF($A111="Y",$B111&amp;"|"&amp;COUNTIFS($A$7:$A111,"Y",$B$7:$B111,$B111),"")</f>
        <v/>
      </c>
    </row>
    <row r="112">
      <c r="A112" s="13" t="inlineStr">
        <is>
          <t>Y</t>
        </is>
      </c>
      <c r="B112" s="36" t="inlineStr">
        <is>
          <t>국내펀드</t>
        </is>
      </c>
      <c r="C112" s="36" t="inlineStr">
        <is>
          <t>이지스코어리테일부동산투자신탁 126</t>
        </is>
      </c>
      <c r="D112" s="36" t="inlineStr">
        <is>
          <t>국내대체</t>
        </is>
      </c>
      <c r="E112" s="36" t="inlineStr">
        <is>
          <t>이지스자산운용</t>
        </is>
      </c>
      <c r="F112" s="37" t="inlineStr">
        <is>
          <t>606억원</t>
        </is>
      </c>
      <c r="G112" s="38" t="inlineStr">
        <is>
          <t>다년 실측</t>
        </is>
      </c>
      <c r="H112" s="38" t="inlineStr">
        <is>
          <t>3해</t>
        </is>
      </c>
      <c r="I112" s="39" t="n">
        <v>0.0469</v>
      </c>
      <c r="J112" s="37" t="inlineStr">
        <is>
          <t>—</t>
        </is>
      </c>
      <c r="K112" s="37" t="inlineStr">
        <is>
          <t>—</t>
        </is>
      </c>
      <c r="L112" s="37" t="inlineStr">
        <is>
          <t>0.00~0.00%</t>
        </is>
      </c>
      <c r="M112" s="41" t="inlineStr">
        <is>
          <t>3해 연4.7% (감정평가 기준가 — 시세가 아니라 위험을 못 쟀습니다) · 보수 0.00% · 가장 나쁜 창 연4.7%</t>
        </is>
      </c>
      <c r="N112" s="35">
        <f>IF($A112="Y",$B112&amp;"|"&amp;COUNTIFS($A$7:$A112,"Y",$B$7:$B112,$B112),"")</f>
        <v/>
      </c>
    </row>
    <row r="113">
      <c r="A113" s="13" t="inlineStr">
        <is>
          <t>N</t>
        </is>
      </c>
      <c r="B113" s="14" t="inlineStr">
        <is>
          <t>국내펀드</t>
        </is>
      </c>
      <c r="C113" s="14" t="inlineStr">
        <is>
          <t>DB정통크레딧증권자투자신탁[채권]운용</t>
        </is>
      </c>
      <c r="D113" s="14" t="inlineStr">
        <is>
          <t>국내채권형</t>
        </is>
      </c>
      <c r="E113" s="14" t="inlineStr">
        <is>
          <t>디비자산운용</t>
        </is>
      </c>
      <c r="F113" s="30" t="inlineStr">
        <is>
          <t>596억원</t>
        </is>
      </c>
      <c r="G113" s="32" t="inlineStr">
        <is>
          <t>다년 실측</t>
        </is>
      </c>
      <c r="H113" s="32" t="inlineStr">
        <is>
          <t>3해</t>
        </is>
      </c>
      <c r="I113" s="31" t="n">
        <v>0.0348</v>
      </c>
      <c r="J113" s="31" t="n">
        <v>0.0152</v>
      </c>
      <c r="K113" s="33" t="n">
        <v>-0.017</v>
      </c>
      <c r="L113" s="30" t="inlineStr">
        <is>
          <t>0.14~0.37%</t>
        </is>
      </c>
      <c r="M113" s="34" t="inlineStr">
        <is>
          <t>3해 연3.5% · 변동성 1.5% (위험대비 0.44) (달 간격) · 최대낙폭 -2% · 보수 0.14% · 가장 나쁜 창 연0.1%</t>
        </is>
      </c>
      <c r="N113" s="35">
        <f>IF($A113="Y",$B113&amp;"|"&amp;COUNTIFS($A$7:$A113,"Y",$B$7:$B113,$B113),"")</f>
        <v/>
      </c>
    </row>
    <row r="114">
      <c r="A114" s="13" t="inlineStr">
        <is>
          <t>N</t>
        </is>
      </c>
      <c r="B114" s="36" t="inlineStr">
        <is>
          <t>국내펀드</t>
        </is>
      </c>
      <c r="C114" s="36" t="inlineStr">
        <is>
          <t>한화단기플러스증권투자신탁(채권)[운용]</t>
        </is>
      </c>
      <c r="D114" s="36" t="inlineStr">
        <is>
          <t>국내채권형</t>
        </is>
      </c>
      <c r="E114" s="36" t="inlineStr">
        <is>
          <t>한화자산운용</t>
        </is>
      </c>
      <c r="F114" s="37" t="inlineStr">
        <is>
          <t>4,611억원</t>
        </is>
      </c>
      <c r="G114" s="38" t="inlineStr">
        <is>
          <t>다년 실측</t>
        </is>
      </c>
      <c r="H114" s="38" t="inlineStr">
        <is>
          <t>3해</t>
        </is>
      </c>
      <c r="I114" s="39" t="n">
        <v>0.0127</v>
      </c>
      <c r="J114" s="39" t="n">
        <v>0.035</v>
      </c>
      <c r="K114" s="40" t="n">
        <v>-0.0385</v>
      </c>
      <c r="L114" s="43" t="n">
        <v>0.0005</v>
      </c>
      <c r="M114" s="41" t="inlineStr">
        <is>
          <t>3해 연1.3% · 변동성 3.5% (위험대비 -0.44) (달 간격) · 최대낙폭 -4% · 보수 0.05% · 가장 나쁜 창 연1.3%</t>
        </is>
      </c>
      <c r="N114" s="35">
        <f>IF($A114="Y",$B114&amp;"|"&amp;COUNTIFS($A$7:$A114,"Y",$B$7:$B114,$B114),"")</f>
        <v/>
      </c>
    </row>
    <row r="115">
      <c r="A115" s="13" t="inlineStr">
        <is>
          <t>N</t>
        </is>
      </c>
      <c r="B115" s="14" t="inlineStr">
        <is>
          <t>국내펀드</t>
        </is>
      </c>
      <c r="C115" s="14" t="inlineStr">
        <is>
          <t>칸서스내일드림튼튼단기채증권투자신탁 1(채권)</t>
        </is>
      </c>
      <c r="D115" s="14" t="inlineStr">
        <is>
          <t>국내채권형</t>
        </is>
      </c>
      <c r="E115" s="14" t="inlineStr">
        <is>
          <t>칸서스자산운용</t>
        </is>
      </c>
      <c r="F115" s="30" t="inlineStr">
        <is>
          <t>284억원</t>
        </is>
      </c>
      <c r="G115" s="32" t="inlineStr">
        <is>
          <t>다년 실측</t>
        </is>
      </c>
      <c r="H115" s="32" t="inlineStr">
        <is>
          <t>3해</t>
        </is>
      </c>
      <c r="I115" s="31" t="n">
        <v>0.0214</v>
      </c>
      <c r="J115" s="31" t="n">
        <v>0.0245</v>
      </c>
      <c r="K115" s="33" t="n">
        <v>-0.0381</v>
      </c>
      <c r="L115" s="30" t="inlineStr">
        <is>
          <t>0.14~0.36%</t>
        </is>
      </c>
      <c r="M115" s="34" t="inlineStr">
        <is>
          <t>3해 연2.1% · 변동성 2.5% (위험대비 -0.27) (달 간격) · 최대낙폭 -4% · 보수 0.14% · 가장 나쁜 창 연2.1%</t>
        </is>
      </c>
      <c r="N115" s="35">
        <f>IF($A115="Y",$B115&amp;"|"&amp;COUNTIFS($A$7:$A115,"Y",$B$7:$B115,$B115),"")</f>
        <v/>
      </c>
    </row>
    <row r="116">
      <c r="A116" s="13" t="inlineStr">
        <is>
          <t>N</t>
        </is>
      </c>
      <c r="B116" s="36" t="inlineStr">
        <is>
          <t>국내펀드</t>
        </is>
      </c>
      <c r="C116" s="36" t="inlineStr">
        <is>
          <t>삼성ESG밸류채권증권투자신탁 1[채권]</t>
        </is>
      </c>
      <c r="D116" s="36" t="inlineStr">
        <is>
          <t>국내채권형</t>
        </is>
      </c>
      <c r="E116" s="36" t="inlineStr">
        <is>
          <t>삼성자산운용</t>
        </is>
      </c>
      <c r="F116" s="37" t="inlineStr">
        <is>
          <t>3,379억원</t>
        </is>
      </c>
      <c r="G116" s="38" t="inlineStr">
        <is>
          <t>다년 실측</t>
        </is>
      </c>
      <c r="H116" s="38" t="inlineStr">
        <is>
          <t>3해</t>
        </is>
      </c>
      <c r="I116" s="39" t="n">
        <v>0.0204</v>
      </c>
      <c r="J116" s="39" t="n">
        <v>0.0328</v>
      </c>
      <c r="K116" s="40" t="n">
        <v>-0.04650000000000001</v>
      </c>
      <c r="L116" s="37" t="inlineStr">
        <is>
          <t>0.08~0.38%</t>
        </is>
      </c>
      <c r="M116" s="41" t="inlineStr">
        <is>
          <t>3해 연2.0% · 변동성 3.3% (위험대비 -0.23) (달 간격) · 최대낙폭 -5% · 보수 0.08% · 가장 나쁜 창 연0.6%</t>
        </is>
      </c>
      <c r="N116" s="35">
        <f>IF($A116="Y",$B116&amp;"|"&amp;COUNTIFS($A$7:$A116,"Y",$B$7:$B116,$B116),"")</f>
        <v/>
      </c>
    </row>
    <row r="117">
      <c r="A117" s="13" t="inlineStr">
        <is>
          <t>Y</t>
        </is>
      </c>
      <c r="B117" s="14" t="inlineStr">
        <is>
          <t>국내펀드</t>
        </is>
      </c>
      <c r="C117" s="14" t="inlineStr">
        <is>
          <t>우리반도체BIG2플러스증권투자신탁(채권혼합)</t>
        </is>
      </c>
      <c r="D117" s="14" t="inlineStr">
        <is>
          <t>국내혼합형</t>
        </is>
      </c>
      <c r="E117" s="14" t="inlineStr">
        <is>
          <t>우리자산운용</t>
        </is>
      </c>
      <c r="F117" s="30" t="inlineStr">
        <is>
          <t>4,145억원</t>
        </is>
      </c>
      <c r="G117" s="32" t="inlineStr">
        <is>
          <t>다년 실측</t>
        </is>
      </c>
      <c r="H117" s="32" t="inlineStr">
        <is>
          <t>3해</t>
        </is>
      </c>
      <c r="I117" s="31" t="n">
        <v>0.2141</v>
      </c>
      <c r="J117" s="31" t="n">
        <v>0.1545</v>
      </c>
      <c r="K117" s="33" t="n">
        <v>-0.09300000000000001</v>
      </c>
      <c r="L117" s="30" t="inlineStr">
        <is>
          <t>0.34~0.89%</t>
        </is>
      </c>
      <c r="M117" s="34" t="inlineStr">
        <is>
          <t>3해 연21.4% · 변동성 15.4% (위험대비 1.20) (달 간격) · 최대낙폭 -9% · 보수 0.34% · 가장 나쁜 창 연21.4%</t>
        </is>
      </c>
      <c r="N117" s="35">
        <f>IF($A117="Y",$B117&amp;"|"&amp;COUNTIFS($A$7:$A117,"Y",$B$7:$B117,$B117),"")</f>
        <v/>
      </c>
    </row>
    <row r="118">
      <c r="A118" s="13" t="inlineStr">
        <is>
          <t>N</t>
        </is>
      </c>
      <c r="B118" s="36" t="inlineStr">
        <is>
          <t>국내펀드</t>
        </is>
      </c>
      <c r="C118" s="36" t="inlineStr">
        <is>
          <t>마이다스K200인덱스알파증권자투자신탁(주식-파생형)(운용)</t>
        </is>
      </c>
      <c r="D118" s="36" t="inlineStr">
        <is>
          <t>국내주식형</t>
        </is>
      </c>
      <c r="E118" s="36" t="inlineStr">
        <is>
          <t>마이다스에셋자산운용</t>
        </is>
      </c>
      <c r="F118" s="37" t="inlineStr">
        <is>
          <t>494억원</t>
        </is>
      </c>
      <c r="G118" s="38" t="inlineStr">
        <is>
          <t>다년 실측</t>
        </is>
      </c>
      <c r="H118" s="38" t="inlineStr">
        <is>
          <t>3해</t>
        </is>
      </c>
      <c r="I118" s="39" t="n">
        <v>0.509</v>
      </c>
      <c r="J118" s="39" t="n">
        <v>0.3986</v>
      </c>
      <c r="K118" s="40" t="n">
        <v>-0.2336</v>
      </c>
      <c r="L118" s="37" t="inlineStr">
        <is>
          <t>0.06~0.15%</t>
        </is>
      </c>
      <c r="M118" s="41" t="inlineStr">
        <is>
          <t>3해 연50.9% · 변동성 39.9% (위험대비 1.21) (달 간격) · 최대낙폭 -23% · 보수 0.06% · 가장 나쁜 창 연50.9%</t>
        </is>
      </c>
      <c r="N118" s="35">
        <f>IF($A118="Y",$B118&amp;"|"&amp;COUNTIFS($A$7:$A118,"Y",$B$7:$B118,$B118),"")</f>
        <v/>
      </c>
    </row>
    <row r="119">
      <c r="A119" s="13" t="inlineStr">
        <is>
          <t>N</t>
        </is>
      </c>
      <c r="B119" s="14" t="inlineStr">
        <is>
          <t>국내펀드</t>
        </is>
      </c>
      <c r="C119" s="14" t="inlineStr">
        <is>
          <t>KB스타ESG우량중단기채증권자투자신탁(채권)(운용)</t>
        </is>
      </c>
      <c r="D119" s="14" t="inlineStr">
        <is>
          <t>국내채권형</t>
        </is>
      </c>
      <c r="E119" s="14" t="inlineStr">
        <is>
          <t>케이비자산운용</t>
        </is>
      </c>
      <c r="F119" s="30" t="inlineStr">
        <is>
          <t>596억원</t>
        </is>
      </c>
      <c r="G119" s="32" t="inlineStr">
        <is>
          <t>다년 실측</t>
        </is>
      </c>
      <c r="H119" s="32" t="inlineStr">
        <is>
          <t>3해</t>
        </is>
      </c>
      <c r="I119" s="31" t="n">
        <v>0.0172</v>
      </c>
      <c r="J119" s="31" t="n">
        <v>0.0262</v>
      </c>
      <c r="K119" s="33" t="n">
        <v>-0.04019999999999999</v>
      </c>
      <c r="L119" s="30" t="inlineStr">
        <is>
          <t>0.10~0.29%</t>
        </is>
      </c>
      <c r="M119" s="34" t="inlineStr">
        <is>
          <t>3해 연1.7% · 변동성 2.6% (위험대비 -0.42) (달 간격) · 최대낙폭 -4% · 보수 0.10% · 가장 나쁜 창 연-0.3%</t>
        </is>
      </c>
      <c r="N119" s="35">
        <f>IF($A119="Y",$B119&amp;"|"&amp;COUNTIFS($A$7:$A119,"Y",$B$7:$B119,$B119),"")</f>
        <v/>
      </c>
    </row>
    <row r="120">
      <c r="A120" s="13" t="inlineStr">
        <is>
          <t>N</t>
        </is>
      </c>
      <c r="B120" s="36" t="inlineStr">
        <is>
          <t>국내펀드</t>
        </is>
      </c>
      <c r="C120" s="36" t="inlineStr">
        <is>
          <t>미래에셋스마트롱숏30증권자투자신탁 1(채권혼합)</t>
        </is>
      </c>
      <c r="D120" s="36" t="inlineStr">
        <is>
          <t>국내대체</t>
        </is>
      </c>
      <c r="E120" s="36" t="inlineStr">
        <is>
          <t>미래에셋자산운용</t>
        </is>
      </c>
      <c r="F120" s="37" t="inlineStr">
        <is>
          <t>147억원</t>
        </is>
      </c>
      <c r="G120" s="38" t="inlineStr">
        <is>
          <t>다년 실측</t>
        </is>
      </c>
      <c r="H120" s="38" t="inlineStr">
        <is>
          <t>3해</t>
        </is>
      </c>
      <c r="I120" s="39" t="n">
        <v>0.04190000000000001</v>
      </c>
      <c r="J120" s="39" t="n">
        <v>0.07820000000000001</v>
      </c>
      <c r="K120" s="40" t="n">
        <v>-0.061</v>
      </c>
      <c r="L120" s="37" t="inlineStr">
        <is>
          <t>0.50~1.10%</t>
        </is>
      </c>
      <c r="M120" s="41" t="inlineStr">
        <is>
          <t>3해 연4.2% · 변동성 7.8% (위험대비 0.18) (달 간격) · 최대낙폭 -6% · 보수 0.50% · 가장 나쁜 창 연4.2%</t>
        </is>
      </c>
      <c r="N120" s="35">
        <f>IF($A120="Y",$B120&amp;"|"&amp;COUNTIFS($A$7:$A120,"Y",$B$7:$B120,$B120),"")</f>
        <v/>
      </c>
    </row>
    <row r="121">
      <c r="A121" s="13" t="inlineStr">
        <is>
          <t>N</t>
        </is>
      </c>
      <c r="B121" s="14" t="inlineStr">
        <is>
          <t>국내펀드</t>
        </is>
      </c>
      <c r="C121" s="14" t="inlineStr">
        <is>
          <t>이지스리테일부동산투자신탁299</t>
        </is>
      </c>
      <c r="D121" s="14" t="inlineStr">
        <is>
          <t>국내대체</t>
        </is>
      </c>
      <c r="E121" s="14" t="inlineStr">
        <is>
          <t>이지스자산운용</t>
        </is>
      </c>
      <c r="F121" s="30" t="inlineStr">
        <is>
          <t>211억원</t>
        </is>
      </c>
      <c r="G121" s="32" t="inlineStr">
        <is>
          <t>다년 실측</t>
        </is>
      </c>
      <c r="H121" s="32" t="inlineStr">
        <is>
          <t>3해</t>
        </is>
      </c>
      <c r="I121" s="31" t="n">
        <v>0.0398</v>
      </c>
      <c r="J121" s="30" t="inlineStr">
        <is>
          <t>—</t>
        </is>
      </c>
      <c r="K121" s="30" t="inlineStr">
        <is>
          <t>—</t>
        </is>
      </c>
      <c r="L121" s="42" t="n">
        <v>0.0006400000000000001</v>
      </c>
      <c r="M121" s="34" t="inlineStr">
        <is>
          <t>3해 연4.0% (감정평가 기준가 — 시세가 아니라 위험을 못 쟀습니다) · 보수 0.06% · 가장 나쁜 창 연4.0%</t>
        </is>
      </c>
      <c r="N121" s="35">
        <f>IF($A121="Y",$B121&amp;"|"&amp;COUNTIFS($A$7:$A121,"Y",$B$7:$B121,$B121),"")</f>
        <v/>
      </c>
    </row>
    <row r="122">
      <c r="A122" s="13" t="inlineStr">
        <is>
          <t>N</t>
        </is>
      </c>
      <c r="B122" s="36" t="inlineStr">
        <is>
          <t>국내펀드</t>
        </is>
      </c>
      <c r="C122" s="36" t="inlineStr">
        <is>
          <t>신한퇴직연금커버드콜인덱스증권자투자신탁[주식혼합-파생형] (종류)</t>
        </is>
      </c>
      <c r="D122" s="36" t="inlineStr">
        <is>
          <t>국내혼합형</t>
        </is>
      </c>
      <c r="E122" s="36" t="inlineStr">
        <is>
          <t>신한자산운용</t>
        </is>
      </c>
      <c r="F122" s="37" t="inlineStr">
        <is>
          <t>161억원</t>
        </is>
      </c>
      <c r="G122" s="38" t="inlineStr">
        <is>
          <t>다년 실측</t>
        </is>
      </c>
      <c r="H122" s="38" t="inlineStr">
        <is>
          <t>3해</t>
        </is>
      </c>
      <c r="I122" s="39" t="n">
        <v>0.1302</v>
      </c>
      <c r="J122" s="39" t="n">
        <v>0.0872</v>
      </c>
      <c r="K122" s="40" t="n">
        <v>-0.055</v>
      </c>
      <c r="L122" s="37" t="inlineStr">
        <is>
          <t>0.56~0.79%</t>
        </is>
      </c>
      <c r="M122" s="41" t="inlineStr">
        <is>
          <t>3해 연13.0% · 변동성 8.7% (위험대비 1.17) (달 간격) · 최대낙폭 -6% · 보수 0.56% · 가장 나쁜 창 연13.0%</t>
        </is>
      </c>
      <c r="N122" s="35">
        <f>IF($A122="Y",$B122&amp;"|"&amp;COUNTIFS($A$7:$A122,"Y",$B$7:$B122,$B122),"")</f>
        <v/>
      </c>
    </row>
    <row r="123">
      <c r="A123" s="13" t="inlineStr">
        <is>
          <t>N</t>
        </is>
      </c>
      <c r="B123" s="14" t="inlineStr">
        <is>
          <t>국내펀드</t>
        </is>
      </c>
      <c r="C123" s="14" t="inlineStr">
        <is>
          <t>신영밸류고배당증권자투자신탁(주식)운용</t>
        </is>
      </c>
      <c r="D123" s="14" t="inlineStr">
        <is>
          <t>국내주식형</t>
        </is>
      </c>
      <c r="E123" s="14" t="inlineStr">
        <is>
          <t>신영자산운용</t>
        </is>
      </c>
      <c r="F123" s="30" t="inlineStr">
        <is>
          <t>8,311억원</t>
        </is>
      </c>
      <c r="G123" s="32" t="inlineStr">
        <is>
          <t>다년 실측</t>
        </is>
      </c>
      <c r="H123" s="32" t="inlineStr">
        <is>
          <t>3해</t>
        </is>
      </c>
      <c r="I123" s="31" t="n">
        <v>0.3287</v>
      </c>
      <c r="J123" s="31" t="n">
        <v>0.2543</v>
      </c>
      <c r="K123" s="33" t="n">
        <v>-0.1498</v>
      </c>
      <c r="L123" s="30" t="inlineStr">
        <is>
          <t>0.45~1.35%</t>
        </is>
      </c>
      <c r="M123" s="34" t="inlineStr">
        <is>
          <t>3해 연32.9% · 변동성 25.4% (위험대비 1.18) (달 간격) · 최대낙폭 -15% · 보수 0.45% · 가장 나쁜 창 연32.9%</t>
        </is>
      </c>
      <c r="N123" s="35">
        <f>IF($A123="Y",$B123&amp;"|"&amp;COUNTIFS($A$7:$A123,"Y",$B$7:$B123,$B123),"")</f>
        <v/>
      </c>
    </row>
    <row r="124">
      <c r="A124" s="13" t="inlineStr">
        <is>
          <t>N</t>
        </is>
      </c>
      <c r="B124" s="36" t="inlineStr">
        <is>
          <t>국내펀드</t>
        </is>
      </c>
      <c r="C124" s="36" t="inlineStr">
        <is>
          <t>신한커버드콜인덱스증권자투자신탁[주식혼합-파생형]</t>
        </is>
      </c>
      <c r="D124" s="36" t="inlineStr">
        <is>
          <t>국내혼합형</t>
        </is>
      </c>
      <c r="E124" s="36" t="inlineStr">
        <is>
          <t>신한자산운용</t>
        </is>
      </c>
      <c r="F124" s="37" t="inlineStr">
        <is>
          <t>161억원</t>
        </is>
      </c>
      <c r="G124" s="38" t="inlineStr">
        <is>
          <t>다년 실측</t>
        </is>
      </c>
      <c r="H124" s="38" t="inlineStr">
        <is>
          <t>3해</t>
        </is>
      </c>
      <c r="I124" s="39" t="n">
        <v>0.223</v>
      </c>
      <c r="J124" s="39" t="n">
        <v>0.1433</v>
      </c>
      <c r="K124" s="40" t="n">
        <v>-0.1049</v>
      </c>
      <c r="L124" s="37" t="inlineStr">
        <is>
          <t>0.54~1.34%</t>
        </is>
      </c>
      <c r="M124" s="41" t="inlineStr">
        <is>
          <t>3해 연22.3% · 변동성 14.3% (위험대비 1.36) (달 간격) · 최대낙폭 -10% · 보수 0.54% · 가장 나쁜 창 연22.3%</t>
        </is>
      </c>
      <c r="N124" s="35">
        <f>IF($A124="Y",$B124&amp;"|"&amp;COUNTIFS($A$7:$A124,"Y",$B$7:$B124,$B124),"")</f>
        <v/>
      </c>
    </row>
    <row r="125">
      <c r="A125" s="13" t="inlineStr">
        <is>
          <t>N</t>
        </is>
      </c>
      <c r="B125" s="14" t="inlineStr">
        <is>
          <t>국내펀드</t>
        </is>
      </c>
      <c r="C125" s="14" t="inlineStr">
        <is>
          <t>대신KOSPI200인덱스증권자투자신탁[주식](운용)</t>
        </is>
      </c>
      <c r="D125" s="14" t="inlineStr">
        <is>
          <t>국내주식형</t>
        </is>
      </c>
      <c r="E125" s="14" t="inlineStr">
        <is>
          <t>대신자산운용</t>
        </is>
      </c>
      <c r="F125" s="30" t="inlineStr">
        <is>
          <t>582억원</t>
        </is>
      </c>
      <c r="G125" s="32" t="inlineStr">
        <is>
          <t>다년 실측</t>
        </is>
      </c>
      <c r="H125" s="32" t="inlineStr">
        <is>
          <t>3해</t>
        </is>
      </c>
      <c r="I125" s="31" t="n">
        <v>0.4877</v>
      </c>
      <c r="J125" s="31" t="n">
        <v>0.4041</v>
      </c>
      <c r="K125" s="33" t="n">
        <v>-0.237</v>
      </c>
      <c r="L125" s="30" t="inlineStr">
        <is>
          <t>0.20~0.80%</t>
        </is>
      </c>
      <c r="M125" s="34" t="inlineStr">
        <is>
          <t>3해 연48.8% · 변동성 40.4% (위험대비 1.14) (달 간격) · 최대낙폭 -24% · 보수 0.20% · 가장 나쁜 창 연48.8%</t>
        </is>
      </c>
      <c r="N125" s="35">
        <f>IF($A125="Y",$B125&amp;"|"&amp;COUNTIFS($A$7:$A125,"Y",$B$7:$B125,$B125),"")</f>
        <v/>
      </c>
    </row>
    <row r="126">
      <c r="A126" s="13" t="inlineStr">
        <is>
          <t>N</t>
        </is>
      </c>
      <c r="B126" s="36" t="inlineStr">
        <is>
          <t>국내펀드</t>
        </is>
      </c>
      <c r="C126" s="36" t="inlineStr">
        <is>
          <t>한국투자퇴직연금증권자투자신탁 1(채권)</t>
        </is>
      </c>
      <c r="D126" s="36" t="inlineStr">
        <is>
          <t>국내채권형</t>
        </is>
      </c>
      <c r="E126" s="36" t="inlineStr">
        <is>
          <t>한국투자신탁운용</t>
        </is>
      </c>
      <c r="F126" s="37" t="inlineStr">
        <is>
          <t>221억원</t>
        </is>
      </c>
      <c r="G126" s="38" t="inlineStr">
        <is>
          <t>다년 실측</t>
        </is>
      </c>
      <c r="H126" s="38" t="inlineStr">
        <is>
          <t>3해</t>
        </is>
      </c>
      <c r="I126" s="39" t="n">
        <v>0.0273</v>
      </c>
      <c r="J126" s="39" t="n">
        <v>0.0214</v>
      </c>
      <c r="K126" s="40" t="n">
        <v>-0.0292</v>
      </c>
      <c r="L126" s="37" t="inlineStr">
        <is>
          <t>0.14~0.54%</t>
        </is>
      </c>
      <c r="M126" s="41" t="inlineStr">
        <is>
          <t>3해 연2.7% · 변동성 2.1% (위험대비 -0.04) (달 간격) · 최대낙폭 -3% · 보수 0.14% · 가장 나쁜 창 연-1.7%</t>
        </is>
      </c>
      <c r="N126" s="35">
        <f>IF($A126="Y",$B126&amp;"|"&amp;COUNTIFS($A$7:$A126,"Y",$B$7:$B126,$B126),"")</f>
        <v/>
      </c>
    </row>
    <row r="127">
      <c r="A127" s="13" t="inlineStr">
        <is>
          <t>N</t>
        </is>
      </c>
      <c r="B127" s="14" t="inlineStr">
        <is>
          <t>국내펀드</t>
        </is>
      </c>
      <c r="C127" s="14" t="inlineStr">
        <is>
          <t>BNKK200인덱스증권투자신탁(주식-파생형)</t>
        </is>
      </c>
      <c r="D127" s="14" t="inlineStr">
        <is>
          <t>국내주식형</t>
        </is>
      </c>
      <c r="E127" s="14" t="inlineStr">
        <is>
          <t>비엔케이자산운용</t>
        </is>
      </c>
      <c r="F127" s="30" t="inlineStr">
        <is>
          <t>516억원</t>
        </is>
      </c>
      <c r="G127" s="32" t="inlineStr">
        <is>
          <t>다년 실측</t>
        </is>
      </c>
      <c r="H127" s="32" t="inlineStr">
        <is>
          <t>3해</t>
        </is>
      </c>
      <c r="I127" s="31" t="n">
        <v>0.4905</v>
      </c>
      <c r="J127" s="31" t="n">
        <v>0.408</v>
      </c>
      <c r="K127" s="33" t="n">
        <v>-0.2376</v>
      </c>
      <c r="L127" s="30" t="inlineStr">
        <is>
          <t>0.17~0.95%</t>
        </is>
      </c>
      <c r="M127" s="34" t="inlineStr">
        <is>
          <t>3해 연49.0% · 변동성 40.8% (위험대비 1.13) (달 간격) · 최대낙폭 -24% · 보수 0.17% · 가장 나쁜 창 연49.0%</t>
        </is>
      </c>
      <c r="N127" s="35">
        <f>IF($A127="Y",$B127&amp;"|"&amp;COUNTIFS($A$7:$A127,"Y",$B$7:$B127,$B127),"")</f>
        <v/>
      </c>
    </row>
    <row r="128">
      <c r="A128" s="13" t="inlineStr">
        <is>
          <t>N</t>
        </is>
      </c>
      <c r="B128" s="36" t="inlineStr">
        <is>
          <t>국내펀드</t>
        </is>
      </c>
      <c r="C128" s="36" t="inlineStr">
        <is>
          <t>미래에셋퇴직플랜KRX100인덱스증권자투자신탁 1(주식혼합)</t>
        </is>
      </c>
      <c r="D128" s="36" t="inlineStr">
        <is>
          <t>국내혼합형</t>
        </is>
      </c>
      <c r="E128" s="36" t="inlineStr">
        <is>
          <t>미래에셋자산운용</t>
        </is>
      </c>
      <c r="F128" s="37" t="inlineStr">
        <is>
          <t>185억원</t>
        </is>
      </c>
      <c r="G128" s="38" t="inlineStr">
        <is>
          <t>다년 실측</t>
        </is>
      </c>
      <c r="H128" s="38" t="inlineStr">
        <is>
          <t>3해</t>
        </is>
      </c>
      <c r="I128" s="39" t="n">
        <v>0.2895</v>
      </c>
      <c r="J128" s="39" t="n">
        <v>0.2318</v>
      </c>
      <c r="K128" s="40" t="n">
        <v>-0.1349</v>
      </c>
      <c r="L128" s="37" t="inlineStr">
        <is>
          <t>0.44~0.65%</t>
        </is>
      </c>
      <c r="M128" s="41" t="inlineStr">
        <is>
          <t>3해 연28.9% · 변동성 23.2% (위험대비 1.13) (달 간격) · 최대낙폭 -13% · 보수 0.44% · 가장 나쁜 창 연28.9%</t>
        </is>
      </c>
      <c r="N128" s="35">
        <f>IF($A128="Y",$B128&amp;"|"&amp;COUNTIFS($A$7:$A128,"Y",$B$7:$B128,$B128),"")</f>
        <v/>
      </c>
    </row>
    <row r="129">
      <c r="A129" s="13" t="inlineStr">
        <is>
          <t>N</t>
        </is>
      </c>
      <c r="B129" s="14" t="inlineStr">
        <is>
          <t>국내펀드</t>
        </is>
      </c>
      <c r="C129" s="14" t="inlineStr">
        <is>
          <t>신영마라톤지주회사증권자투자신탁(주식)운용</t>
        </is>
      </c>
      <c r="D129" s="14" t="inlineStr">
        <is>
          <t>국내주식형</t>
        </is>
      </c>
      <c r="E129" s="14" t="inlineStr">
        <is>
          <t>신영자산운용</t>
        </is>
      </c>
      <c r="F129" s="30" t="inlineStr">
        <is>
          <t>316억원</t>
        </is>
      </c>
      <c r="G129" s="32" t="inlineStr">
        <is>
          <t>다년 실측</t>
        </is>
      </c>
      <c r="H129" s="32" t="inlineStr">
        <is>
          <t>3해</t>
        </is>
      </c>
      <c r="I129" s="31" t="n">
        <v>0.4483</v>
      </c>
      <c r="J129" s="31" t="n">
        <v>0.3544</v>
      </c>
      <c r="K129" s="33" t="n">
        <v>-0.2314</v>
      </c>
      <c r="L129" s="30" t="inlineStr">
        <is>
          <t>0.52~1.49%</t>
        </is>
      </c>
      <c r="M129" s="34" t="inlineStr">
        <is>
          <t>3해 연44.8% · 변동성 35.4% (위험대비 1.19) (달 간격) · 최대낙폭 -23% · 보수 0.52% · 가장 나쁜 창 연44.8%</t>
        </is>
      </c>
      <c r="N129" s="35">
        <f>IF($A129="Y",$B129&amp;"|"&amp;COUNTIFS($A$7:$A129,"Y",$B$7:$B129,$B129),"")</f>
        <v/>
      </c>
    </row>
    <row r="130">
      <c r="A130" s="13" t="inlineStr">
        <is>
          <t>N</t>
        </is>
      </c>
      <c r="B130" s="36" t="inlineStr">
        <is>
          <t>국내펀드</t>
        </is>
      </c>
      <c r="C130" s="36" t="inlineStr">
        <is>
          <t>키움코리아인덱스증권자투자신탁 1[주식]</t>
        </is>
      </c>
      <c r="D130" s="36" t="inlineStr">
        <is>
          <t>국내주식형</t>
        </is>
      </c>
      <c r="E130" s="36" t="inlineStr">
        <is>
          <t>키움투자자산운용</t>
        </is>
      </c>
      <c r="F130" s="37" t="inlineStr">
        <is>
          <t>131억원</t>
        </is>
      </c>
      <c r="G130" s="38" t="inlineStr">
        <is>
          <t>다년 실측</t>
        </is>
      </c>
      <c r="H130" s="38" t="inlineStr">
        <is>
          <t>3해</t>
        </is>
      </c>
      <c r="I130" s="39" t="n">
        <v>0.4842</v>
      </c>
      <c r="J130" s="39" t="n">
        <v>0.4086</v>
      </c>
      <c r="K130" s="40" t="n">
        <v>-0.2355</v>
      </c>
      <c r="L130" s="37" t="inlineStr">
        <is>
          <t>0.21~1.22%</t>
        </is>
      </c>
      <c r="M130" s="41" t="inlineStr">
        <is>
          <t>3해 연48.4% · 변동성 40.9% (위험대비 1.12) (달 간격) · 최대낙폭 -24% · 보수 0.21% · 가장 나쁜 창 연48.4%</t>
        </is>
      </c>
      <c r="N130" s="35">
        <f>IF($A130="Y",$B130&amp;"|"&amp;COUNTIFS($A$7:$A130,"Y",$B$7:$B130,$B130),"")</f>
        <v/>
      </c>
    </row>
    <row r="131">
      <c r="A131" s="13" t="inlineStr">
        <is>
          <t>N</t>
        </is>
      </c>
      <c r="B131" s="14" t="inlineStr">
        <is>
          <t>국내펀드</t>
        </is>
      </c>
      <c r="C131" s="14" t="inlineStr">
        <is>
          <t>교보악사파워인덱스증권자투자신탁 2(주식)(운용)</t>
        </is>
      </c>
      <c r="D131" s="14" t="inlineStr">
        <is>
          <t>국내주식형</t>
        </is>
      </c>
      <c r="E131" s="14" t="inlineStr">
        <is>
          <t>교보악사자산운용</t>
        </is>
      </c>
      <c r="F131" s="30" t="inlineStr">
        <is>
          <t>191억원</t>
        </is>
      </c>
      <c r="G131" s="32" t="inlineStr">
        <is>
          <t>다년 실측</t>
        </is>
      </c>
      <c r="H131" s="32" t="inlineStr">
        <is>
          <t>3해</t>
        </is>
      </c>
      <c r="I131" s="31" t="n">
        <v>0.4859000000000001</v>
      </c>
      <c r="J131" s="31" t="n">
        <v>0.4063000000000001</v>
      </c>
      <c r="K131" s="33" t="n">
        <v>-0.2397</v>
      </c>
      <c r="L131" s="30" t="inlineStr">
        <is>
          <t>0.28~1.17%</t>
        </is>
      </c>
      <c r="M131" s="34" t="inlineStr">
        <is>
          <t>3해 연48.6% · 변동성 40.6% (위험대비 1.13) (달 간격) · 최대낙폭 -24% · 보수 0.28% · 가장 나쁜 창 연48.6%</t>
        </is>
      </c>
      <c r="N131" s="35">
        <f>IF($A131="Y",$B131&amp;"|"&amp;COUNTIFS($A$7:$A131,"Y",$B$7:$B131,$B131),"")</f>
        <v/>
      </c>
    </row>
    <row r="132">
      <c r="A132" s="13" t="inlineStr">
        <is>
          <t>Y</t>
        </is>
      </c>
      <c r="B132" s="36" t="inlineStr">
        <is>
          <t>해외펀드</t>
        </is>
      </c>
      <c r="C132" s="36" t="inlineStr">
        <is>
          <t>삼성누버거버먼이머징단기채권증권자투자신탁H[채권-재간접형]</t>
        </is>
      </c>
      <c r="D132" s="36" t="inlineStr">
        <is>
          <t>해외채권형</t>
        </is>
      </c>
      <c r="E132" s="36" t="inlineStr">
        <is>
          <t>삼성자산운용</t>
        </is>
      </c>
      <c r="F132" s="37" t="inlineStr">
        <is>
          <t>234억원</t>
        </is>
      </c>
      <c r="G132" s="38" t="inlineStr">
        <is>
          <t>다년 실측</t>
        </is>
      </c>
      <c r="H132" s="38" t="inlineStr">
        <is>
          <t>3해</t>
        </is>
      </c>
      <c r="I132" s="39" t="n">
        <v>0.0607</v>
      </c>
      <c r="J132" s="39" t="n">
        <v>0.0228</v>
      </c>
      <c r="K132" s="40" t="n">
        <v>-0.0179</v>
      </c>
      <c r="L132" s="37" t="inlineStr">
        <is>
          <t>0.23~1.13%</t>
        </is>
      </c>
      <c r="M132" s="41" t="inlineStr">
        <is>
          <t>3해 연6.1% · 변동성 2.3% (위험대비 1.43) (달 간격) · 최대낙폭 -2% · 보수 0.23% · 가장 나쁜 창 연3.7%</t>
        </is>
      </c>
      <c r="N132" s="35">
        <f>IF($A132="Y",$B132&amp;"|"&amp;COUNTIFS($A$7:$A132,"Y",$B$7:$B132,$B132),"")</f>
        <v/>
      </c>
    </row>
    <row r="133">
      <c r="A133" s="13" t="inlineStr">
        <is>
          <t>Y</t>
        </is>
      </c>
      <c r="B133" s="14" t="inlineStr">
        <is>
          <t>해외펀드</t>
        </is>
      </c>
      <c r="C133" s="14" t="inlineStr">
        <is>
          <t>미래에셋MSCIAC월드인덱스증권자투자신탁(주식)(UH)</t>
        </is>
      </c>
      <c r="D133" s="14" t="inlineStr">
        <is>
          <t>해외주식형</t>
        </is>
      </c>
      <c r="E133" s="14" t="inlineStr">
        <is>
          <t>미래에셋자산운용</t>
        </is>
      </c>
      <c r="F133" s="30" t="inlineStr">
        <is>
          <t>132억원</t>
        </is>
      </c>
      <c r="G133" s="32" t="inlineStr">
        <is>
          <t>다년 실측</t>
        </is>
      </c>
      <c r="H133" s="32" t="inlineStr">
        <is>
          <t>3해</t>
        </is>
      </c>
      <c r="I133" s="31" t="n">
        <v>0.2023</v>
      </c>
      <c r="J133" s="31" t="n">
        <v>0.1124</v>
      </c>
      <c r="K133" s="33" t="n">
        <v>-0.08460000000000001</v>
      </c>
      <c r="L133" s="30" t="inlineStr">
        <is>
          <t>0.27~0.97%</t>
        </is>
      </c>
      <c r="M133" s="34" t="inlineStr">
        <is>
          <t>3해 연20.2% · 변동성 11.2% (위험대비 1.55) (달 간격) · 최대낙폭 -8% · 보수 0.27% · 가장 나쁜 창 연19.1%</t>
        </is>
      </c>
      <c r="N133" s="35">
        <f>IF($A133="Y",$B133&amp;"|"&amp;COUNTIFS($A$7:$A133,"Y",$B$7:$B133,$B133),"")</f>
        <v/>
      </c>
    </row>
    <row r="134">
      <c r="A134" s="13" t="inlineStr">
        <is>
          <t>Y</t>
        </is>
      </c>
      <c r="B134" s="36" t="inlineStr">
        <is>
          <t>해외펀드</t>
        </is>
      </c>
      <c r="C134" s="36" t="inlineStr">
        <is>
          <t>피델리티재팬증권자투자신탁(주식-재간접형)</t>
        </is>
      </c>
      <c r="D134" s="36" t="inlineStr">
        <is>
          <t>해외주식형</t>
        </is>
      </c>
      <c r="E134" s="36" t="inlineStr">
        <is>
          <t>피델리티자산운용</t>
        </is>
      </c>
      <c r="F134" s="37" t="inlineStr">
        <is>
          <t>156억원</t>
        </is>
      </c>
      <c r="G134" s="38" t="inlineStr">
        <is>
          <t>다년 실측</t>
        </is>
      </c>
      <c r="H134" s="38" t="inlineStr">
        <is>
          <t>3해</t>
        </is>
      </c>
      <c r="I134" s="39" t="n">
        <v>0.2701</v>
      </c>
      <c r="J134" s="39" t="n">
        <v>0.1494</v>
      </c>
      <c r="K134" s="40" t="n">
        <v>-0.0944</v>
      </c>
      <c r="L134" s="37" t="inlineStr">
        <is>
          <t>0.16~1.66%</t>
        </is>
      </c>
      <c r="M134" s="41" t="inlineStr">
        <is>
          <t>3해 연27.0% · 변동성 14.9% (위험대비 1.62) (달 간격) · 최대낙폭 -9% · 보수 0.16% · 가장 나쁜 창 연27.0%</t>
        </is>
      </c>
      <c r="N134" s="35">
        <f>IF($A134="Y",$B134&amp;"|"&amp;COUNTIFS($A$7:$A134,"Y",$B$7:$B134,$B134),"")</f>
        <v/>
      </c>
    </row>
    <row r="135">
      <c r="A135" s="13" t="inlineStr">
        <is>
          <t>N</t>
        </is>
      </c>
      <c r="B135" s="14" t="inlineStr">
        <is>
          <t>해외펀드</t>
        </is>
      </c>
      <c r="C135" s="14" t="inlineStr">
        <is>
          <t>피델리티글로벌배당인컴증권자투자신탁(주식-재간접형)</t>
        </is>
      </c>
      <c r="D135" s="14" t="inlineStr">
        <is>
          <t>해외주식형</t>
        </is>
      </c>
      <c r="E135" s="14" t="inlineStr">
        <is>
          <t>피델리티자산운용</t>
        </is>
      </c>
      <c r="F135" s="30" t="inlineStr">
        <is>
          <t>5,707억원</t>
        </is>
      </c>
      <c r="G135" s="32" t="inlineStr">
        <is>
          <t>다년 실측</t>
        </is>
      </c>
      <c r="H135" s="32" t="inlineStr">
        <is>
          <t>3해</t>
        </is>
      </c>
      <c r="I135" s="31" t="n">
        <v>0.1371</v>
      </c>
      <c r="J135" s="31" t="n">
        <v>0.08130000000000001</v>
      </c>
      <c r="K135" s="33" t="n">
        <v>-0.0654</v>
      </c>
      <c r="L135" s="30" t="inlineStr">
        <is>
          <t>0.16~1.36%</t>
        </is>
      </c>
      <c r="M135" s="34" t="inlineStr">
        <is>
          <t>3해 연13.7% · 변동성 8.1% (위험대비 1.34) (달 간격) · 최대낙폭 -7% · 보수 0.16% · 가장 나쁜 창 연13.2%</t>
        </is>
      </c>
      <c r="N135" s="35">
        <f>IF($A135="Y",$B135&amp;"|"&amp;COUNTIFS($A$7:$A135,"Y",$B$7:$B135,$B135),"")</f>
        <v/>
      </c>
    </row>
    <row r="136">
      <c r="A136" s="13" t="inlineStr">
        <is>
          <t>N</t>
        </is>
      </c>
      <c r="B136" s="36" t="inlineStr">
        <is>
          <t>해외펀드</t>
        </is>
      </c>
      <c r="C136" s="36" t="inlineStr">
        <is>
          <t>KB연금미국S&amp;P500인덱스증권자투자신탁(주식-파생형)(H)(운용)</t>
        </is>
      </c>
      <c r="D136" s="36" t="inlineStr">
        <is>
          <t>해외주식형</t>
        </is>
      </c>
      <c r="E136" s="36" t="inlineStr">
        <is>
          <t>케이비자산운용</t>
        </is>
      </c>
      <c r="F136" s="37" t="inlineStr">
        <is>
          <t>1,628억원</t>
        </is>
      </c>
      <c r="G136" s="38" t="inlineStr">
        <is>
          <t>다년 실측</t>
        </is>
      </c>
      <c r="H136" s="38" t="inlineStr">
        <is>
          <t>3해</t>
        </is>
      </c>
      <c r="I136" s="39" t="n">
        <v>0.2086</v>
      </c>
      <c r="J136" s="39" t="n">
        <v>0.1193</v>
      </c>
      <c r="K136" s="40" t="n">
        <v>-0.08380000000000001</v>
      </c>
      <c r="L136" s="37" t="inlineStr">
        <is>
          <t>0.67~1.23%</t>
        </is>
      </c>
      <c r="M136" s="41" t="inlineStr">
        <is>
          <t>3해 연20.9% · 변동성 11.9% (위험대비 1.51) (달 간격) · 최대낙폭 -8% · 보수 0.67% · 가장 나쁜 창 연20.9%</t>
        </is>
      </c>
      <c r="N136" s="35">
        <f>IF($A136="Y",$B136&amp;"|"&amp;COUNTIFS($A$7:$A136,"Y",$B$7:$B136,$B136),"")</f>
        <v/>
      </c>
    </row>
    <row r="137">
      <c r="A137" s="13" t="inlineStr">
        <is>
          <t>N</t>
        </is>
      </c>
      <c r="B137" s="14" t="inlineStr">
        <is>
          <t>해외펀드</t>
        </is>
      </c>
      <c r="C137" s="14" t="inlineStr">
        <is>
          <t>신한누버거버먼미국가치주증권투자신탁(H)[주식-재간접형](종류)</t>
        </is>
      </c>
      <c r="D137" s="14" t="inlineStr">
        <is>
          <t>해외주식형</t>
        </is>
      </c>
      <c r="E137" s="14" t="inlineStr">
        <is>
          <t>신한자산운용</t>
        </is>
      </c>
      <c r="F137" s="30" t="inlineStr">
        <is>
          <t>647억원</t>
        </is>
      </c>
      <c r="G137" s="32" t="inlineStr">
        <is>
          <t>다년 실측</t>
        </is>
      </c>
      <c r="H137" s="32" t="inlineStr">
        <is>
          <t>3해</t>
        </is>
      </c>
      <c r="I137" s="31" t="n">
        <v>0.1478</v>
      </c>
      <c r="J137" s="31" t="n">
        <v>0.1007</v>
      </c>
      <c r="K137" s="33" t="n">
        <v>-0.0694</v>
      </c>
      <c r="L137" s="30" t="inlineStr">
        <is>
          <t>0.35~1.35%</t>
        </is>
      </c>
      <c r="M137" s="34" t="inlineStr">
        <is>
          <t>3해 연14.8% · 변동성 10.1% (위험대비 1.19) (달 간격) · 최대낙폭 -7% · 보수 0.35% · 가장 나쁜 창 연14.8%</t>
        </is>
      </c>
      <c r="N137" s="35">
        <f>IF($A137="Y",$B137&amp;"|"&amp;COUNTIFS($A$7:$A137,"Y",$B$7:$B137,$B137),"")</f>
        <v/>
      </c>
    </row>
    <row r="138">
      <c r="A138" s="13" t="inlineStr">
        <is>
          <t>N</t>
        </is>
      </c>
      <c r="B138" s="36" t="inlineStr">
        <is>
          <t>해외펀드</t>
        </is>
      </c>
      <c r="C138" s="36" t="inlineStr">
        <is>
          <t>AB셀렉트미국증권투자신탁(주식-재간접형)</t>
        </is>
      </c>
      <c r="D138" s="36" t="inlineStr">
        <is>
          <t>해외주식형</t>
        </is>
      </c>
      <c r="E138" s="36" t="inlineStr">
        <is>
          <t>얼라이언스번스틴자산운용</t>
        </is>
      </c>
      <c r="F138" s="37" t="inlineStr">
        <is>
          <t>304억원</t>
        </is>
      </c>
      <c r="G138" s="38" t="inlineStr">
        <is>
          <t>다년 실측</t>
        </is>
      </c>
      <c r="H138" s="38" t="inlineStr">
        <is>
          <t>3해</t>
        </is>
      </c>
      <c r="I138" s="39" t="n">
        <v>0.1761</v>
      </c>
      <c r="J138" s="39" t="n">
        <v>0.1169</v>
      </c>
      <c r="K138" s="40" t="n">
        <v>-0.07870000000000001</v>
      </c>
      <c r="L138" s="37" t="inlineStr">
        <is>
          <t>0.27~1.56%</t>
        </is>
      </c>
      <c r="M138" s="41" t="inlineStr">
        <is>
          <t>3해 연17.6% · 변동성 11.7% (위험대비 1.27) (달 간격) · 최대낙폭 -8% · 보수 0.27% · 가장 나쁜 창 연14.5%</t>
        </is>
      </c>
      <c r="N138" s="35">
        <f>IF($A138="Y",$B138&amp;"|"&amp;COUNTIFS($A$7:$A138,"Y",$B$7:$B138,$B138),"")</f>
        <v/>
      </c>
    </row>
    <row r="139">
      <c r="A139" s="13" t="inlineStr">
        <is>
          <t>N</t>
        </is>
      </c>
      <c r="B139" s="14" t="inlineStr">
        <is>
          <t>해외펀드</t>
        </is>
      </c>
      <c r="C139" s="14" t="inlineStr">
        <is>
          <t>NH-AmundiSignatureOCIO성장형증권자투자신탁(UH)[혼합-재간접형]</t>
        </is>
      </c>
      <c r="D139" s="14" t="inlineStr">
        <is>
          <t>해외혼합형</t>
        </is>
      </c>
      <c r="E139" s="14" t="inlineStr">
        <is>
          <t>엔에이치아문디자산운용</t>
        </is>
      </c>
      <c r="F139" s="30" t="inlineStr">
        <is>
          <t>160억원</t>
        </is>
      </c>
      <c r="G139" s="32" t="inlineStr">
        <is>
          <t>다년 실측</t>
        </is>
      </c>
      <c r="H139" s="32" t="inlineStr">
        <is>
          <t>3해</t>
        </is>
      </c>
      <c r="I139" s="31" t="n">
        <v>0.1817</v>
      </c>
      <c r="J139" s="31" t="n">
        <v>0.09859999999999999</v>
      </c>
      <c r="K139" s="33" t="n">
        <v>-0.0814</v>
      </c>
      <c r="L139" s="30" t="inlineStr">
        <is>
          <t>0.79~1.39%</t>
        </is>
      </c>
      <c r="M139" s="34" t="inlineStr">
        <is>
          <t>3해 연18.2% · 변동성 9.9% (위험대비 1.56) (달 간격) · 최대낙폭 -8% · 보수 0.79% · 가장 나쁜 창 연16.7%</t>
        </is>
      </c>
      <c r="N139" s="35">
        <f>IF($A139="Y",$B139&amp;"|"&amp;COUNTIFS($A$7:$A139,"Y",$B$7:$B139,$B139),"")</f>
        <v/>
      </c>
    </row>
    <row r="140">
      <c r="A140" s="13" t="inlineStr">
        <is>
          <t>Y</t>
        </is>
      </c>
      <c r="B140" s="36" t="inlineStr">
        <is>
          <t>해외펀드</t>
        </is>
      </c>
      <c r="C140" s="36" t="inlineStr">
        <is>
          <t>AB글로벌고수익증권투자신탁(채권-재간접형)</t>
        </is>
      </c>
      <c r="D140" s="36" t="inlineStr">
        <is>
          <t>해외채권형</t>
        </is>
      </c>
      <c r="E140" s="36" t="inlineStr">
        <is>
          <t>얼라이언스번스틴자산운용</t>
        </is>
      </c>
      <c r="F140" s="37" t="inlineStr">
        <is>
          <t>1,614억원</t>
        </is>
      </c>
      <c r="G140" s="38" t="inlineStr">
        <is>
          <t>다년 실측</t>
        </is>
      </c>
      <c r="H140" s="38" t="inlineStr">
        <is>
          <t>3해</t>
        </is>
      </c>
      <c r="I140" s="39" t="n">
        <v>0.0614</v>
      </c>
      <c r="J140" s="39" t="n">
        <v>0.04389999999999999</v>
      </c>
      <c r="K140" s="40" t="n">
        <v>-0.026</v>
      </c>
      <c r="L140" s="37" t="inlineStr">
        <is>
          <t>0.17~1.17%</t>
        </is>
      </c>
      <c r="M140" s="41" t="inlineStr">
        <is>
          <t>3해 연6.1% · 변동성 4.4% (위험대비 0.76) (달 간격) · 최대낙폭 -3% · 보수 0.17% · 가장 나쁜 창 연2.9%</t>
        </is>
      </c>
      <c r="N140" s="35">
        <f>IF($A140="Y",$B140&amp;"|"&amp;COUNTIFS($A$7:$A140,"Y",$B$7:$B140,$B140),"")</f>
        <v/>
      </c>
    </row>
    <row r="141">
      <c r="A141" s="13" t="inlineStr">
        <is>
          <t>N</t>
        </is>
      </c>
      <c r="B141" s="14" t="inlineStr">
        <is>
          <t>해외펀드</t>
        </is>
      </c>
      <c r="C141" s="14" t="inlineStr">
        <is>
          <t>미래에셋미국배당커버드콜액티브증권자투자신탁(주식)(H)</t>
        </is>
      </c>
      <c r="D141" s="14" t="inlineStr">
        <is>
          <t>해외주식형</t>
        </is>
      </c>
      <c r="E141" s="14" t="inlineStr">
        <is>
          <t>미래에셋자산운용</t>
        </is>
      </c>
      <c r="F141" s="30" t="inlineStr">
        <is>
          <t>277억원</t>
        </is>
      </c>
      <c r="G141" s="32" t="inlineStr">
        <is>
          <t>다년 실측</t>
        </is>
      </c>
      <c r="H141" s="32" t="inlineStr">
        <is>
          <t>3해</t>
        </is>
      </c>
      <c r="I141" s="31" t="n">
        <v>0.165</v>
      </c>
      <c r="J141" s="31" t="n">
        <v>0.1046</v>
      </c>
      <c r="K141" s="33" t="n">
        <v>-0.0725</v>
      </c>
      <c r="L141" s="30" t="inlineStr">
        <is>
          <t>0.66~1.86%</t>
        </is>
      </c>
      <c r="M141" s="34" t="inlineStr">
        <is>
          <t>3해 연16.5% · 변동성 10.5% (위험대비 1.31) (달 간격) · 최대낙폭 -7% · 보수 0.66% · 가장 나쁜 창 연16.1%</t>
        </is>
      </c>
      <c r="N141" s="35">
        <f>IF($A141="Y",$B141&amp;"|"&amp;COUNTIFS($A$7:$A141,"Y",$B$7:$B141,$B141),"")</f>
        <v/>
      </c>
    </row>
    <row r="142">
      <c r="A142" s="13" t="inlineStr">
        <is>
          <t>N</t>
        </is>
      </c>
      <c r="B142" s="36" t="inlineStr">
        <is>
          <t>해외펀드</t>
        </is>
      </c>
      <c r="C142" s="36" t="inlineStr">
        <is>
          <t>신한동유럽플러스증권자투자신탁(H)[주식](종류)</t>
        </is>
      </c>
      <c r="D142" s="36" t="inlineStr">
        <is>
          <t>해외주식형</t>
        </is>
      </c>
      <c r="E142" s="36" t="inlineStr">
        <is>
          <t>신한자산운용</t>
        </is>
      </c>
      <c r="F142" s="37" t="inlineStr">
        <is>
          <t>138억원</t>
        </is>
      </c>
      <c r="G142" s="38" t="inlineStr">
        <is>
          <t>다년 실측</t>
        </is>
      </c>
      <c r="H142" s="38" t="inlineStr">
        <is>
          <t>3해</t>
        </is>
      </c>
      <c r="I142" s="39" t="n">
        <v>0.2581</v>
      </c>
      <c r="J142" s="39" t="n">
        <v>0.1049</v>
      </c>
      <c r="K142" s="40" t="n">
        <v>-0.0503</v>
      </c>
      <c r="L142" s="37" t="inlineStr">
        <is>
          <t>1.11~1.86%</t>
        </is>
      </c>
      <c r="M142" s="41" t="inlineStr">
        <is>
          <t>3해 연25.8% · 변동성 10.5% (위험대비 2.19) (달 간격) · 최대낙폭 -5% · 보수 1.11% · 가장 나쁜 창 연23.3%</t>
        </is>
      </c>
      <c r="N142" s="35">
        <f>IF($A142="Y",$B142&amp;"|"&amp;COUNTIFS($A$7:$A142,"Y",$B$7:$B142,$B142),"")</f>
        <v/>
      </c>
    </row>
    <row r="143">
      <c r="A143" s="13" t="inlineStr">
        <is>
          <t>N</t>
        </is>
      </c>
      <c r="B143" s="14" t="inlineStr">
        <is>
          <t>해외펀드</t>
        </is>
      </c>
      <c r="C143" s="14" t="inlineStr">
        <is>
          <t>키움슈로더글로벌타겟리턴증권투자신탁(주식혼합-재간접형)</t>
        </is>
      </c>
      <c r="D143" s="14" t="inlineStr">
        <is>
          <t>해외혼합형</t>
        </is>
      </c>
      <c r="E143" s="14" t="inlineStr">
        <is>
          <t>키움투자자산운용</t>
        </is>
      </c>
      <c r="F143" s="30" t="inlineStr">
        <is>
          <t>125억원</t>
        </is>
      </c>
      <c r="G143" s="32" t="inlineStr">
        <is>
          <t>다년 실측</t>
        </is>
      </c>
      <c r="H143" s="32" t="inlineStr">
        <is>
          <t>3해</t>
        </is>
      </c>
      <c r="I143" s="31" t="n">
        <v>0.1092</v>
      </c>
      <c r="J143" s="31" t="n">
        <v>0.0526</v>
      </c>
      <c r="K143" s="33" t="n">
        <v>-0.0353</v>
      </c>
      <c r="L143" s="30" t="inlineStr">
        <is>
          <t>0.76~1.66%</t>
        </is>
      </c>
      <c r="M143" s="34" t="inlineStr">
        <is>
          <t>3해 연10.9% · 변동성 5.3% (위험대비 1.54) (달 간격) · 최대낙폭 -4% · 보수 0.76% · 가장 나쁜 창 연10.9%</t>
        </is>
      </c>
      <c r="N143" s="35">
        <f>IF($A143="Y",$B143&amp;"|"&amp;COUNTIFS($A$7:$A143,"Y",$B$7:$B143,$B143),"")</f>
        <v/>
      </c>
    </row>
    <row r="144">
      <c r="A144" s="13" t="inlineStr">
        <is>
          <t>N</t>
        </is>
      </c>
      <c r="B144" s="36" t="inlineStr">
        <is>
          <t>해외펀드</t>
        </is>
      </c>
      <c r="C144" s="36" t="inlineStr">
        <is>
          <t>삼성누버거버먼이머징국공채플러스증권자투자신탁H[채권-재간접형]</t>
        </is>
      </c>
      <c r="D144" s="36" t="inlineStr">
        <is>
          <t>해외채권형</t>
        </is>
      </c>
      <c r="E144" s="36" t="inlineStr">
        <is>
          <t>삼성자산운용</t>
        </is>
      </c>
      <c r="F144" s="37" t="inlineStr">
        <is>
          <t>506억원</t>
        </is>
      </c>
      <c r="G144" s="38" t="inlineStr">
        <is>
          <t>다년 실측</t>
        </is>
      </c>
      <c r="H144" s="38" t="inlineStr">
        <is>
          <t>3해</t>
        </is>
      </c>
      <c r="I144" s="39" t="n">
        <v>0.1075</v>
      </c>
      <c r="J144" s="39" t="n">
        <v>0.0621</v>
      </c>
      <c r="K144" s="40" t="n">
        <v>-0.0391</v>
      </c>
      <c r="L144" s="37" t="inlineStr">
        <is>
          <t>0.23~1.13%</t>
        </is>
      </c>
      <c r="M144" s="41" t="inlineStr">
        <is>
          <t>3해 연10.8% · 변동성 6.2% (위험대비 1.28) (달 간격) · 최대낙폭 -4% · 보수 0.23% · 가장 나쁜 창 연8.1%</t>
        </is>
      </c>
      <c r="N144" s="35">
        <f>IF($A144="Y",$B144&amp;"|"&amp;COUNTIFS($A$7:$A144,"Y",$B$7:$B144,$B144),"")</f>
        <v/>
      </c>
    </row>
    <row r="145">
      <c r="A145" s="13" t="inlineStr">
        <is>
          <t>N</t>
        </is>
      </c>
      <c r="B145" s="14" t="inlineStr">
        <is>
          <t>해외펀드</t>
        </is>
      </c>
      <c r="C145" s="14" t="inlineStr">
        <is>
          <t>베어링월지급글로벌하이일드증권자투자신탁[H](채권-재간접형)</t>
        </is>
      </c>
      <c r="D145" s="14" t="inlineStr">
        <is>
          <t>해외채권형</t>
        </is>
      </c>
      <c r="E145" s="14" t="inlineStr">
        <is>
          <t>베어링자산운용</t>
        </is>
      </c>
      <c r="F145" s="30" t="inlineStr">
        <is>
          <t>491억원</t>
        </is>
      </c>
      <c r="G145" s="32" t="inlineStr">
        <is>
          <t>다년 실측</t>
        </is>
      </c>
      <c r="H145" s="32" t="inlineStr">
        <is>
          <t>3해</t>
        </is>
      </c>
      <c r="I145" s="31" t="n">
        <v>0.06480000000000001</v>
      </c>
      <c r="J145" s="31" t="n">
        <v>0.0339</v>
      </c>
      <c r="K145" s="33" t="n">
        <v>-0.0218</v>
      </c>
      <c r="L145" s="30" t="inlineStr">
        <is>
          <t>0.49~1.19%</t>
        </is>
      </c>
      <c r="M145" s="34" t="inlineStr">
        <is>
          <t>3해 연6.5% · 변동성 3.4% (위험대비 1.08) (달 간격) · 최대낙폭 -2% · 보수 0.49% · 가장 나쁜 창 연3.7%</t>
        </is>
      </c>
      <c r="N145" s="35">
        <f>IF($A145="Y",$B145&amp;"|"&amp;COUNTIFS($A$7:$A145,"Y",$B$7:$B145,$B145),"")</f>
        <v/>
      </c>
    </row>
    <row r="146">
      <c r="A146" s="13" t="inlineStr">
        <is>
          <t>N</t>
        </is>
      </c>
      <c r="B146" s="36" t="inlineStr">
        <is>
          <t>해외펀드</t>
        </is>
      </c>
      <c r="C146" s="36" t="inlineStr">
        <is>
          <t>NH-AmundiSignatureOCIO성장형증권자투자신탁(H)[혼합-재간접형]</t>
        </is>
      </c>
      <c r="D146" s="36" t="inlineStr">
        <is>
          <t>해외혼합형</t>
        </is>
      </c>
      <c r="E146" s="36" t="inlineStr">
        <is>
          <t>엔에이치아문디자산운용</t>
        </is>
      </c>
      <c r="F146" s="37" t="inlineStr">
        <is>
          <t>359억원</t>
        </is>
      </c>
      <c r="G146" s="38" t="inlineStr">
        <is>
          <t>다년 실측</t>
        </is>
      </c>
      <c r="H146" s="38" t="inlineStr">
        <is>
          <t>3해</t>
        </is>
      </c>
      <c r="I146" s="39" t="n">
        <v>0.1396</v>
      </c>
      <c r="J146" s="39" t="n">
        <v>0.0975</v>
      </c>
      <c r="K146" s="40" t="n">
        <v>-0.07240000000000001</v>
      </c>
      <c r="L146" s="37" t="inlineStr">
        <is>
          <t>0.79~1.39%</t>
        </is>
      </c>
      <c r="M146" s="41" t="inlineStr">
        <is>
          <t>3해 연14.0% · 변동성 9.8% (위험대비 1.14) (달 간격) · 최대낙폭 -7% · 보수 0.79% · 가장 나쁜 창 연14.0%</t>
        </is>
      </c>
      <c r="N146" s="35">
        <f>IF($A146="Y",$B146&amp;"|"&amp;COUNTIFS($A$7:$A146,"Y",$B$7:$B146,$B146),"")</f>
        <v/>
      </c>
    </row>
    <row r="147">
      <c r="A147" s="13" t="inlineStr">
        <is>
          <t>N</t>
        </is>
      </c>
      <c r="B147" s="14" t="inlineStr">
        <is>
          <t>해외펀드</t>
        </is>
      </c>
      <c r="C147" s="14" t="inlineStr">
        <is>
          <t>한화천연자원증권자투자신탁(주식)</t>
        </is>
      </c>
      <c r="D147" s="14" t="inlineStr">
        <is>
          <t>해외주식형</t>
        </is>
      </c>
      <c r="E147" s="14" t="inlineStr">
        <is>
          <t>한화자산운용</t>
        </is>
      </c>
      <c r="F147" s="30" t="inlineStr">
        <is>
          <t>1,116억원</t>
        </is>
      </c>
      <c r="G147" s="32" t="inlineStr">
        <is>
          <t>다년 실측</t>
        </is>
      </c>
      <c r="H147" s="32" t="inlineStr">
        <is>
          <t>3해</t>
        </is>
      </c>
      <c r="I147" s="31" t="n">
        <v>0.2396</v>
      </c>
      <c r="J147" s="31" t="n">
        <v>0.1608</v>
      </c>
      <c r="K147" s="33" t="n">
        <v>-0.08460000000000001</v>
      </c>
      <c r="L147" s="30" t="inlineStr">
        <is>
          <t>0.94~2.44%</t>
        </is>
      </c>
      <c r="M147" s="34" t="inlineStr">
        <is>
          <t>3해 연24.0% · 변동성 16.1% (위험대비 1.32) (달 간격) · 최대낙폭 -8% · 보수 0.94% · 가장 나쁜 창 연24.0%</t>
        </is>
      </c>
      <c r="N147" s="35">
        <f>IF($A147="Y",$B147&amp;"|"&amp;COUNTIFS($A$7:$A147,"Y",$B$7:$B147,$B147),"")</f>
        <v/>
      </c>
    </row>
    <row r="148">
      <c r="A148" s="13" t="inlineStr">
        <is>
          <t>N</t>
        </is>
      </c>
      <c r="B148" s="36" t="inlineStr">
        <is>
          <t>해외펀드</t>
        </is>
      </c>
      <c r="C148" s="36" t="inlineStr">
        <is>
          <t>우리PIMCO분산투자증권자투자신탁[채권_재간접형](H)운용</t>
        </is>
      </c>
      <c r="D148" s="36" t="inlineStr">
        <is>
          <t>해외채권형</t>
        </is>
      </c>
      <c r="E148" s="36" t="inlineStr">
        <is>
          <t>우리자산운용</t>
        </is>
      </c>
      <c r="F148" s="37" t="inlineStr">
        <is>
          <t>288억원</t>
        </is>
      </c>
      <c r="G148" s="38" t="inlineStr">
        <is>
          <t>다년 실측</t>
        </is>
      </c>
      <c r="H148" s="38" t="inlineStr">
        <is>
          <t>3해</t>
        </is>
      </c>
      <c r="I148" s="39" t="n">
        <v>0.0582</v>
      </c>
      <c r="J148" s="39" t="n">
        <v>0.0443</v>
      </c>
      <c r="K148" s="40" t="n">
        <v>-0.0282</v>
      </c>
      <c r="L148" s="37" t="inlineStr">
        <is>
          <t>0.29~1.29%</t>
        </is>
      </c>
      <c r="M148" s="41" t="inlineStr">
        <is>
          <t>3해 연5.8% · 변동성 4.4% (위험대비 0.68) (달 간격) · 최대낙폭 -3% · 보수 0.29% · 가장 나쁜 창 연3.1%</t>
        </is>
      </c>
      <c r="N148" s="35">
        <f>IF($A148="Y",$B148&amp;"|"&amp;COUNTIFS($A$7:$A148,"Y",$B$7:$B148,$B148),"")</f>
        <v/>
      </c>
    </row>
    <row r="149">
      <c r="A149" s="13" t="inlineStr">
        <is>
          <t>N</t>
        </is>
      </c>
      <c r="B149" s="14" t="inlineStr">
        <is>
          <t>해외펀드</t>
        </is>
      </c>
      <c r="C149" s="14" t="inlineStr">
        <is>
          <t>한국투자TIF알아서평생소득증권자투자신탁(채권-재간접형)</t>
        </is>
      </c>
      <c r="D149" s="14" t="inlineStr">
        <is>
          <t>해외채권형</t>
        </is>
      </c>
      <c r="E149" s="14" t="inlineStr">
        <is>
          <t>한국투자신탁운용</t>
        </is>
      </c>
      <c r="F149" s="30" t="inlineStr">
        <is>
          <t>125억원</t>
        </is>
      </c>
      <c r="G149" s="32" t="inlineStr">
        <is>
          <t>다년 실측</t>
        </is>
      </c>
      <c r="H149" s="32" t="inlineStr">
        <is>
          <t>3해</t>
        </is>
      </c>
      <c r="I149" s="31" t="n">
        <v>0.0428</v>
      </c>
      <c r="J149" s="31" t="n">
        <v>0.0363</v>
      </c>
      <c r="K149" s="33" t="n">
        <v>-0.025</v>
      </c>
      <c r="L149" s="30" t="inlineStr">
        <is>
          <t>0.35~0.82%</t>
        </is>
      </c>
      <c r="M149" s="34" t="inlineStr">
        <is>
          <t>3해 연4.3% · 변동성 3.6% (위험대비 0.40) (달 간격) · 최대낙폭 -2% · 보수 0.35% · 가장 나쁜 창 연1.3%</t>
        </is>
      </c>
      <c r="N149" s="35">
        <f>IF($A149="Y",$B149&amp;"|"&amp;COUNTIFS($A$7:$A149,"Y",$B$7:$B149,$B149),"")</f>
        <v/>
      </c>
    </row>
    <row r="150">
      <c r="A150" s="13" t="inlineStr">
        <is>
          <t>N</t>
        </is>
      </c>
      <c r="B150" s="36" t="inlineStr">
        <is>
          <t>해외펀드</t>
        </is>
      </c>
      <c r="C150" s="36" t="inlineStr">
        <is>
          <t>한국투자웰링턴글로벌퀄리티증권자투자신탁H(주식)</t>
        </is>
      </c>
      <c r="D150" s="36" t="inlineStr">
        <is>
          <t>해외주식형</t>
        </is>
      </c>
      <c r="E150" s="36" t="inlineStr">
        <is>
          <t>한국투자신탁운용</t>
        </is>
      </c>
      <c r="F150" s="37" t="inlineStr">
        <is>
          <t>904억원</t>
        </is>
      </c>
      <c r="G150" s="38" t="inlineStr">
        <is>
          <t>다년 실측</t>
        </is>
      </c>
      <c r="H150" s="38" t="inlineStr">
        <is>
          <t>3해</t>
        </is>
      </c>
      <c r="I150" s="39" t="n">
        <v>0.1715</v>
      </c>
      <c r="J150" s="39" t="n">
        <v>0.1123</v>
      </c>
      <c r="K150" s="40" t="n">
        <v>-0.0862</v>
      </c>
      <c r="L150" s="37" t="inlineStr">
        <is>
          <t>0.97~2.17%</t>
        </is>
      </c>
      <c r="M150" s="41" t="inlineStr">
        <is>
          <t>3해 연17.1% · 변동성 11.2% (위험대비 1.28) (달 간격) · 최대낙폭 -9% · 보수 0.97% · 가장 나쁜 창 연12.4%</t>
        </is>
      </c>
      <c r="N150" s="35">
        <f>IF($A150="Y",$B150&amp;"|"&amp;COUNTIFS($A$7:$A150,"Y",$B$7:$B150,$B150),"")</f>
        <v/>
      </c>
    </row>
    <row r="151">
      <c r="A151" s="13" t="inlineStr">
        <is>
          <t>N</t>
        </is>
      </c>
      <c r="B151" s="14" t="inlineStr">
        <is>
          <t>해외펀드</t>
        </is>
      </c>
      <c r="C151" s="14" t="inlineStr">
        <is>
          <t>브이아이아시아넥스트인프라증권자투자신탁 1[주식]</t>
        </is>
      </c>
      <c r="D151" s="14" t="inlineStr">
        <is>
          <t>해외주식형</t>
        </is>
      </c>
      <c r="E151" s="14" t="inlineStr">
        <is>
          <t>브이아이자산운용</t>
        </is>
      </c>
      <c r="F151" s="30" t="inlineStr">
        <is>
          <t>127억원</t>
        </is>
      </c>
      <c r="G151" s="32" t="inlineStr">
        <is>
          <t>다년 실측</t>
        </is>
      </c>
      <c r="H151" s="32" t="inlineStr">
        <is>
          <t>3해</t>
        </is>
      </c>
      <c r="I151" s="31" t="n">
        <v>0.1846</v>
      </c>
      <c r="J151" s="31" t="n">
        <v>0.1316</v>
      </c>
      <c r="K151" s="33" t="n">
        <v>-0.0721</v>
      </c>
      <c r="L151" s="30" t="inlineStr">
        <is>
          <t>1.33~2.08%</t>
        </is>
      </c>
      <c r="M151" s="34" t="inlineStr">
        <is>
          <t>3해 연18.5% · 변동성 13.2% (위험대비 1.19) (달 간격) · 최대낙폭 -7% · 보수 1.33% · 가장 나쁜 창 연18.5%</t>
        </is>
      </c>
      <c r="N151" s="35">
        <f>IF($A151="Y",$B151&amp;"|"&amp;COUNTIFS($A$7:$A151,"Y",$B$7:$B151,$B151),"")</f>
        <v/>
      </c>
    </row>
    <row r="152">
      <c r="A152" s="13" t="inlineStr">
        <is>
          <t>N</t>
        </is>
      </c>
      <c r="B152" s="36" t="inlineStr">
        <is>
          <t>해외펀드</t>
        </is>
      </c>
      <c r="C152" s="36" t="inlineStr">
        <is>
          <t>키움슈로더유로증권자투자신탁(주식-재간접형)</t>
        </is>
      </c>
      <c r="D152" s="36" t="inlineStr">
        <is>
          <t>해외주식형</t>
        </is>
      </c>
      <c r="E152" s="36" t="inlineStr">
        <is>
          <t>키움투자자산운용</t>
        </is>
      </c>
      <c r="F152" s="37" t="inlineStr">
        <is>
          <t>214억원</t>
        </is>
      </c>
      <c r="G152" s="38" t="inlineStr">
        <is>
          <t>다년 실측</t>
        </is>
      </c>
      <c r="H152" s="38" t="inlineStr">
        <is>
          <t>3해</t>
        </is>
      </c>
      <c r="I152" s="39" t="n">
        <v>0.1602</v>
      </c>
      <c r="J152" s="39" t="n">
        <v>0.1201</v>
      </c>
      <c r="K152" s="40" t="n">
        <v>-0.0978</v>
      </c>
      <c r="L152" s="37" t="inlineStr">
        <is>
          <t>0.91~2.41%</t>
        </is>
      </c>
      <c r="M152" s="41" t="inlineStr">
        <is>
          <t>3해 연16.0% · 변동성 12.0% (위험대비 1.10) (달 간격) · 최대낙폭 -10% · 보수 0.91% · 가장 나쁜 창 연15.1%</t>
        </is>
      </c>
      <c r="N152" s="35">
        <f>IF($A152="Y",$B152&amp;"|"&amp;COUNTIFS($A$7:$A152,"Y",$B$7:$B152,$B152),"")</f>
        <v/>
      </c>
    </row>
    <row r="153">
      <c r="A153" s="13" t="inlineStr">
        <is>
          <t>N</t>
        </is>
      </c>
      <c r="B153" s="14" t="inlineStr">
        <is>
          <t>해외펀드</t>
        </is>
      </c>
      <c r="C153" s="14" t="inlineStr">
        <is>
          <t>하나PIMCO글로벌인컴혼합자산자투자신탁(H)[재간접형]</t>
        </is>
      </c>
      <c r="D153" s="14" t="inlineStr">
        <is>
          <t>해외채권형</t>
        </is>
      </c>
      <c r="E153" s="14" t="inlineStr">
        <is>
          <t>하나자산운용</t>
        </is>
      </c>
      <c r="F153" s="30" t="inlineStr">
        <is>
          <t>696억원</t>
        </is>
      </c>
      <c r="G153" s="32" t="inlineStr">
        <is>
          <t>다년 실측</t>
        </is>
      </c>
      <c r="H153" s="32" t="inlineStr">
        <is>
          <t>3해</t>
        </is>
      </c>
      <c r="I153" s="31" t="n">
        <v>0.0506</v>
      </c>
      <c r="J153" s="31" t="n">
        <v>0.04190000000000001</v>
      </c>
      <c r="K153" s="33" t="n">
        <v>-0.0271</v>
      </c>
      <c r="L153" s="30" t="inlineStr">
        <is>
          <t>0.36~1.16%</t>
        </is>
      </c>
      <c r="M153" s="34" t="inlineStr">
        <is>
          <t>3해 연5.1% · 변동성 4.2% (위험대비 0.54) (달 간격) · 최대낙폭 -3% · 보수 0.36% · 가장 나쁜 창 연2.6%</t>
        </is>
      </c>
      <c r="N153" s="35">
        <f>IF($A153="Y",$B153&amp;"|"&amp;COUNTIFS($A$7:$A153,"Y",$B$7:$B153,$B153),"")</f>
        <v/>
      </c>
    </row>
    <row r="154">
      <c r="A154" s="13" t="inlineStr">
        <is>
          <t>N</t>
        </is>
      </c>
      <c r="B154" s="36" t="inlineStr">
        <is>
          <t>해외펀드</t>
        </is>
      </c>
      <c r="C154" s="36" t="inlineStr">
        <is>
          <t>우리프랭클린미국바이오헬스케어증권자투자신탁(주식-재간접형)</t>
        </is>
      </c>
      <c r="D154" s="36" t="inlineStr">
        <is>
          <t>해외주식형</t>
        </is>
      </c>
      <c r="E154" s="36" t="inlineStr">
        <is>
          <t>우리자산운용</t>
        </is>
      </c>
      <c r="F154" s="37" t="inlineStr">
        <is>
          <t>225억원</t>
        </is>
      </c>
      <c r="G154" s="38" t="inlineStr">
        <is>
          <t>다년 실측</t>
        </is>
      </c>
      <c r="H154" s="38" t="inlineStr">
        <is>
          <t>3해</t>
        </is>
      </c>
      <c r="I154" s="39" t="n">
        <v>0.2481</v>
      </c>
      <c r="J154" s="39" t="n">
        <v>0.1977</v>
      </c>
      <c r="K154" s="40" t="n">
        <v>-0.1625</v>
      </c>
      <c r="L154" s="37" t="inlineStr">
        <is>
          <t>0.14~1.14%</t>
        </is>
      </c>
      <c r="M154" s="41" t="inlineStr">
        <is>
          <t>3해 연24.8% · 변동성 19.8% (위험대비 1.11) (달 간격) · 최대낙폭 -16% · 보수 0.14% · 가장 나쁜 창 연24.8%</t>
        </is>
      </c>
      <c r="N154" s="35">
        <f>IF($A154="Y",$B154&amp;"|"&amp;COUNTIFS($A$7:$A154,"Y",$B$7:$B154,$B154),"")</f>
        <v/>
      </c>
    </row>
    <row r="155">
      <c r="A155" s="13" t="inlineStr">
        <is>
          <t>Y</t>
        </is>
      </c>
      <c r="B155" s="14" t="inlineStr">
        <is>
          <t>해외펀드</t>
        </is>
      </c>
      <c r="C155" s="14" t="inlineStr">
        <is>
          <t>KB글로벌코어리츠부동산자투자신탁(재간접형)(H)(운용)</t>
        </is>
      </c>
      <c r="D155" s="14" t="inlineStr">
        <is>
          <t>해외대체</t>
        </is>
      </c>
      <c r="E155" s="14" t="inlineStr">
        <is>
          <t>케이비자산운용</t>
        </is>
      </c>
      <c r="F155" s="30" t="inlineStr">
        <is>
          <t>216억원</t>
        </is>
      </c>
      <c r="G155" s="32" t="inlineStr">
        <is>
          <t>다년 실측</t>
        </is>
      </c>
      <c r="H155" s="32" t="inlineStr">
        <is>
          <t>3해</t>
        </is>
      </c>
      <c r="I155" s="31" t="n">
        <v>0.0573</v>
      </c>
      <c r="J155" s="31" t="n">
        <v>0.1328</v>
      </c>
      <c r="K155" s="33" t="n">
        <v>-0.09609999999999999</v>
      </c>
      <c r="L155" s="30" t="inlineStr">
        <is>
          <t>0.57~1.43%</t>
        </is>
      </c>
      <c r="M155" s="34" t="inlineStr">
        <is>
          <t>3해 연5.7% · 변동성 13.3% (위험대비 0.22) (달 간격) · 최대낙폭 -10% · 보수 0.57% · 가장 나쁜 창 연5.7%</t>
        </is>
      </c>
      <c r="N155" s="35">
        <f>IF($A155="Y",$B155&amp;"|"&amp;COUNTIFS($A$7:$A155,"Y",$B$7:$B155,$B155),"")</f>
        <v/>
      </c>
    </row>
    <row r="156">
      <c r="A156" s="13" t="inlineStr">
        <is>
          <t>N</t>
        </is>
      </c>
      <c r="B156" s="36" t="inlineStr">
        <is>
          <t>해외펀드</t>
        </is>
      </c>
      <c r="C156" s="36" t="inlineStr">
        <is>
          <t>iM에셋글로벌자산배분증권투자신탁(주식혼합-재간접형)(H)</t>
        </is>
      </c>
      <c r="D156" s="36" t="inlineStr">
        <is>
          <t>해외혼합형</t>
        </is>
      </c>
      <c r="E156" s="36" t="inlineStr">
        <is>
          <t>아이엠에셋자산운용</t>
        </is>
      </c>
      <c r="F156" s="37" t="inlineStr">
        <is>
          <t>178억원</t>
        </is>
      </c>
      <c r="G156" s="38" t="inlineStr">
        <is>
          <t>다년 실측</t>
        </is>
      </c>
      <c r="H156" s="38" t="inlineStr">
        <is>
          <t>3해</t>
        </is>
      </c>
      <c r="I156" s="39" t="n">
        <v>0.1046</v>
      </c>
      <c r="J156" s="39" t="n">
        <v>0.09660000000000001</v>
      </c>
      <c r="K156" s="40" t="n">
        <v>-0.0765</v>
      </c>
      <c r="L156" s="37" t="inlineStr">
        <is>
          <t>0.80~2.07%</t>
        </is>
      </c>
      <c r="M156" s="41" t="inlineStr">
        <is>
          <t>3해 연10.5% · 변동성 9.7% (위험대비 0.79) (달 간격) · 최대낙폭 -8% · 보수 0.80% · 가장 나쁜 창 연10.5%</t>
        </is>
      </c>
      <c r="N156" s="35">
        <f>IF($A156="Y",$B156&amp;"|"&amp;COUNTIFS($A$7:$A156,"Y",$B$7:$B156,$B156),"")</f>
        <v/>
      </c>
    </row>
  </sheetData>
  <autoFilter ref="A6:M156"/>
  <mergeCells count="1">
    <mergeCell ref="A4:M4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  <col width="12" customWidth="1" min="4" max="4"/>
    <col width="80" customWidth="1" min="5" max="5"/>
  </cols>
  <sheetData>
    <row r="1" ht="4" customHeight="1">
      <c r="A1" s="3" t="n"/>
      <c r="B1" s="3" t="n"/>
      <c r="C1" s="3" t="n"/>
      <c r="D1" s="3" t="n"/>
      <c r="E1" s="3" t="n"/>
    </row>
    <row r="2" ht="26" customHeight="1">
      <c r="A2" s="4" t="inlineStr">
        <is>
          <t>3</t>
        </is>
      </c>
      <c r="B2" s="5" t="inlineStr">
        <is>
          <t>자료 출처와 기준일</t>
        </is>
      </c>
    </row>
    <row r="3" ht="6" customHeight="1"/>
    <row r="4">
      <c r="A4" s="12" t="inlineStr">
        <is>
          <t>자산군</t>
        </is>
      </c>
      <c r="B4" s="12" t="inlineStr">
        <is>
          <t>원천</t>
        </is>
      </c>
      <c r="C4" s="12" t="inlineStr">
        <is>
          <t>종목</t>
        </is>
      </c>
      <c r="D4" s="12" t="inlineStr">
        <is>
          <t>기준일</t>
        </is>
      </c>
      <c r="E4" s="12" t="inlineStr">
        <is>
          <t>비고</t>
        </is>
      </c>
    </row>
    <row r="5" ht="42" customHeight="1">
      <c r="A5" s="14" t="inlineStr">
        <is>
          <t>펀드</t>
        </is>
      </c>
      <c r="B5" s="44" t="inlineStr">
        <is>
          <t>네이버 Npay 증권 + 금융투자협회 전자공시(투자지역)</t>
        </is>
      </c>
      <c r="C5" s="30" t="n">
        <v>1054</v>
      </c>
      <c r="D5" s="14" t="inlineStr">
        <is>
          <t>2026-09-21</t>
        </is>
      </c>
      <c r="E5" s="44" t="inlineStr">
        <is>
          <t>보수는 클래스마다 달라 하나로 줄이지 않고 범위(feeMin~feeMax)로 싣습니다. 기간수익률은 **누적**입니다(ETF 는 연율이라 뜻이 다릅니다). 변동성·최대낙폭은 달 간격 기준가 계열에서 셈하고, 계열이 없으면 원천의 52 주 표준편차를 씁니다.</t>
        </is>
      </c>
    </row>
    <row r="6" ht="42" customHeight="1">
      <c r="A6" s="14" t="inlineStr">
        <is>
          <t>국내주식</t>
        </is>
      </c>
      <c r="B6" s="44" t="inlineStr">
        <is>
          <t>한국투자증권 오픈API (모의투자) — 100 종 (나머지 0 종은 야후 파이낸스)</t>
        </is>
      </c>
      <c r="C6" s="30" t="n">
        <v>100</v>
      </c>
      <c r="D6" s="14" t="inlineStr">
        <is>
          <t>2026-09-18</t>
        </is>
      </c>
      <c r="E6" s="44" t="inlineStr">
        <is>
          <t>야후·네이버를 증권사 값으로 심판한 결과(data/prices_kis/verdict.txt) 야후가 갈리는 봉의 89.1%에서 틀렸으므로, 국내주식은 증권사 일봉으로 갈아 끼웠습니다. 시가총액도 같은 종가로 고쳐 셈했습니다.</t>
        </is>
      </c>
    </row>
    <row r="7" ht="42" customHeight="1">
      <c r="A7" s="14" t="inlineStr">
        <is>
          <t>해외주식</t>
        </is>
      </c>
      <c r="B7" s="44" t="inlineStr">
        <is>
          <t>야후 파이낸스 일봉 (자료 가지 us100-data)</t>
        </is>
      </c>
      <c r="C7" s="30" t="n">
        <v>100</v>
      </c>
      <c r="D7" s="14" t="inlineStr">
        <is>
          <t>2026-09-29</t>
        </is>
      </c>
      <c r="E7" s="44" t="inlineStr"/>
    </row>
    <row r="8" ht="42" customHeight="1">
      <c r="A8" s="14" t="inlineStr">
        <is>
          <t>국내ETF</t>
        </is>
      </c>
      <c r="B8" s="44" t="inlineStr">
        <is>
          <t>네이버 금융 일봉 + 야후 차트 일봉(close, 배당 미보정) + ETFCHECK (https://www.etfcheck.co.kr)</t>
        </is>
      </c>
      <c r="C8" s="30" t="n">
        <v>247</v>
      </c>
      <c r="D8" s="14" t="inlineStr">
        <is>
          <t>2026-09-29</t>
        </is>
      </c>
      <c r="E8" s="44" t="inlineStr"/>
    </row>
    <row r="9" ht="42" customHeight="1">
      <c r="A9" s="14" t="inlineStr">
        <is>
          <t>해외ETF</t>
        </is>
      </c>
      <c r="B9" s="44" t="inlineStr">
        <is>
          <t>한국투자증권 오픈API (모의투자, HHDFS76240000, 수정주가)</t>
        </is>
      </c>
      <c r="C9" s="30" t="n">
        <v>19</v>
      </c>
      <c r="D9" s="14" t="inlineStr">
        <is>
          <t>2026-09-20</t>
        </is>
      </c>
      <c r="E9" s="44" t="inlineStr"/>
    </row>
    <row r="12">
      <c r="A12" s="45" t="inlineStr">
        <is>
          <t>이 자료가 지키는 규칙</t>
        </is>
      </c>
    </row>
    <row r="13" ht="46" customHeight="1">
      <c r="A13" s="6" t="inlineStr">
        <is>
          <t>수익률계열</t>
        </is>
      </c>
      <c r="B13" s="46" t="inlineStr">
        <is>
          <t>주식·ETF 는 일봉에서 직접 셈합니다(최근 252 거래일). 펀드는 원천이 주는 1 년 수익률을 씁니다 — 두 계열은 기준일이 다를 수 있으므로 상품마다 asOf 를 답니다.</t>
        </is>
      </c>
    </row>
    <row r="14" ht="46" customHeight="1">
      <c r="A14" s="6" t="inlineStr">
        <is>
          <t>변동성</t>
        </is>
      </c>
      <c r="B14" s="46" t="inlineStr">
        <is>
          <t>일봉이 있는 상품만 연변동성(일간 로그수익률 표준편차 × √252)을 셈합니다. 펀드는 달 간격 기준가로 셈하고, 계열이 원천의 위험등급을 씁니다.</t>
        </is>
      </c>
    </row>
    <row r="15" ht="46" customHeight="1">
      <c r="A15" s="6" t="inlineStr">
        <is>
          <t>펀드보수</t>
        </is>
      </c>
      <c r="B15" s="46" t="inlineStr">
        <is>
          <t>클래스마다 달라 하나로 줄이지 않고 범위로 싣습니다.</t>
        </is>
      </c>
    </row>
    <row r="16" ht="46" customHeight="1">
      <c r="A16" s="6" t="inlineStr">
        <is>
          <t>해외펀드</t>
        </is>
      </c>
      <c r="B16" s="46" t="inlineStr">
        <is>
          <t>해외에 설정된 뮤추얼펀드가 아니라 해외에 투자하는, 국내 설정 공모펀드입니다.</t>
        </is>
      </c>
    </row>
    <row r="17" ht="46" customHeight="1">
      <c r="A17" s="6" t="inlineStr">
        <is>
          <t>최소설정액</t>
        </is>
      </c>
      <c r="B17" s="46" t="inlineStr">
        <is>
          <t>10000000000</t>
        </is>
      </c>
    </row>
  </sheetData>
  <mergeCells count="5">
    <mergeCell ref="B17:E17"/>
    <mergeCell ref="B13:E13"/>
    <mergeCell ref="B16:E16"/>
    <mergeCell ref="B15:E15"/>
    <mergeCell ref="B14:E14"/>
  </mergeCell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62" customWidth="1" min="5" max="5"/>
  </cols>
  <sheetData>
    <row r="1" ht="4" customHeight="1">
      <c r="A1" s="3" t="n"/>
      <c r="B1" s="3" t="n"/>
      <c r="C1" s="3" t="n"/>
      <c r="D1" s="3" t="n"/>
      <c r="E1" s="3" t="n"/>
    </row>
    <row r="2" ht="26" customHeight="1">
      <c r="A2" s="4" t="inlineStr">
        <is>
          <t>1</t>
        </is>
      </c>
      <c r="B2" s="5" t="inlineStr">
        <is>
          <t>자산군별 기대수익률 — 두 방식</t>
        </is>
      </c>
    </row>
    <row r="3" ht="6" customHeight="1"/>
    <row r="4" ht="30" customHeight="1">
      <c r="A4" s="29" t="inlineStr">
        <is>
          <t>기대수익률은 재는 것이 아니라 가정하는 것입니다. 서로 다른 두 길로 세워 보고 어긋나는 곳을 함께 적습니다.</t>
        </is>
      </c>
    </row>
    <row r="6">
      <c r="A6" s="12" t="inlineStr">
        <is>
          <t>자산군</t>
        </is>
      </c>
      <c r="B6" s="12" t="inlineStr">
        <is>
          <t>① 빌딩블록</t>
        </is>
      </c>
      <c r="C6" s="12" t="inlineStr">
        <is>
          <t>② 장기실적(8년)</t>
        </is>
      </c>
      <c r="D6" s="12" t="inlineStr">
        <is>
          <t>차이</t>
        </is>
      </c>
      <c r="E6" s="12" t="inlineStr">
        <is>
          <t>비고</t>
        </is>
      </c>
    </row>
    <row r="7" ht="28" customHeight="1">
      <c r="A7" s="14" t="inlineStr">
        <is>
          <t>국내주식</t>
        </is>
      </c>
      <c r="B7" s="42" t="n">
        <v>0.0781</v>
      </c>
      <c r="C7" s="42" t="n">
        <v>0.1488</v>
      </c>
      <c r="D7" s="47" t="n">
        <v>0.0707</v>
      </c>
      <c r="E7" s="44" t="inlineStr"/>
    </row>
    <row r="8" ht="28" customHeight="1">
      <c r="A8" s="14" t="inlineStr">
        <is>
          <t>해외주식</t>
        </is>
      </c>
      <c r="B8" s="42" t="n">
        <v>0.0781</v>
      </c>
      <c r="C8" s="42" t="n">
        <v>0.1849</v>
      </c>
      <c r="D8" s="47" t="n">
        <v>0.1068</v>
      </c>
      <c r="E8" s="44" t="inlineStr"/>
    </row>
    <row r="9" ht="28" customHeight="1">
      <c r="A9" s="14" t="inlineStr">
        <is>
          <t>국내채권</t>
        </is>
      </c>
      <c r="B9" s="42" t="n">
        <v>0.0361</v>
      </c>
      <c r="C9" s="42" t="n">
        <v>0.0105</v>
      </c>
      <c r="D9" s="47" t="n">
        <v>-0.0256</v>
      </c>
      <c r="E9" s="44" t="inlineStr"/>
    </row>
    <row r="10" ht="28" customHeight="1">
      <c r="A10" s="14" t="inlineStr">
        <is>
          <t>해외채권</t>
        </is>
      </c>
      <c r="B10" s="42" t="n">
        <v>0.0381</v>
      </c>
      <c r="C10" s="42" t="n">
        <v>-0.0601</v>
      </c>
      <c r="D10" s="47" t="n">
        <v>-0.09820000000000001</v>
      </c>
      <c r="E10" s="44" t="inlineStr"/>
    </row>
    <row r="11" ht="28" customHeight="1">
      <c r="A11" s="14" t="inlineStr">
        <is>
          <t>대체</t>
        </is>
      </c>
      <c r="B11" s="42" t="n">
        <v>0.0481</v>
      </c>
      <c r="C11" s="42" t="n">
        <v>0.09390000000000001</v>
      </c>
      <c r="D11" s="47" t="n">
        <v>0.0458</v>
      </c>
      <c r="E11" s="44" t="inlineStr"/>
    </row>
    <row r="12" ht="28" customHeight="1">
      <c r="A12" s="14" t="inlineStr">
        <is>
          <t>현금성</t>
        </is>
      </c>
      <c r="B12" s="42" t="n">
        <v>0.0281</v>
      </c>
      <c r="C12" s="42" t="n">
        <v>0.0281</v>
      </c>
      <c r="D12" s="47" t="n">
        <v>0</v>
      </c>
      <c r="E12" s="44" t="inlineStr"/>
    </row>
    <row r="14" ht="30" customHeight="1">
      <c r="A14" s="29" t="inlineStr">
        <is>
          <t>· ① 무위험수익률 2.81% 는 짐작이 아니라 MMF 80종의 1년 수익률 중앙값(실측)입니다.</t>
        </is>
      </c>
    </row>
    <row r="15" ht="30" customHeight="1">
      <c r="A15" s="29" t="inlineStr">
        <is>
          <t>· ① 의 리스크프리미엄은 가정입니다. 회사 자산배분본부의 장기 기대수익률(CMA)이 있으면 scripts/proposal_cma.py 의 PREMIUM 을 그 값으로 바꾸십시오 — 화면과 엑셀이 함께 따라옵니다.</t>
        </is>
      </c>
    </row>
    <row r="16" ht="30" customHeight="1">
      <c r="A16" s="29" t="inlineStr">
        <is>
          <t>· ② 를 기준선으로 쓰지 않는 까닭: 창(2018~2026)이 강세장 한 국면에 갇혀 있어 주식이 18%대로 나오고, 같은 국내주식인데 프록시에 따라 TIGER 200 19.8% · 코스닥150 1.8% 로 20%p 가 갈립니다. 해외채권·대체는 5해를 채우는 원화 프록시가 없어 아예 덮지 못합니다.</t>
        </is>
      </c>
    </row>
    <row r="17" ht="30" customHeight="1">
      <c r="A17" s="29" t="inlineStr">
        <is>
          <t>· ② 는 분배금이 빠진 가격 수익률이라 실제보다 낮게 나옵니다. 국내채권이 1.05%로 나오는 것이 그 편향입니다.</t>
        </is>
      </c>
    </row>
    <row r="18" ht="30" customHeight="1">
      <c r="A18" s="29" t="inlineStr">
        <is>
          <t>· 달러 표시 ETF 로 장기 실적을 재지 않았습니다. 그 값은 환율이 빠진 달러 투자자의 수익률이지 한국 고객의 수익률이 아닙니다.</t>
        </is>
      </c>
    </row>
    <row r="20" ht="4" customHeight="1">
      <c r="A20" s="3" t="n"/>
      <c r="B20" s="3" t="n"/>
      <c r="C20" s="3" t="n"/>
      <c r="D20" s="3" t="n"/>
      <c r="E20" s="3" t="n"/>
    </row>
    <row r="21" ht="26" customHeight="1">
      <c r="A21" s="4" t="inlineStr">
        <is>
          <t>2</t>
        </is>
      </c>
      <c r="B21" s="5" t="inlineStr">
        <is>
          <t>제안 자산군에 적용한 값</t>
        </is>
      </c>
    </row>
    <row r="22" ht="6" customHeight="1"/>
    <row r="23" ht="30" customHeight="1">
      <c r="A23" s="29" t="inlineStr">
        <is>
          <t>자산군(국내ETF·해외펀드…)은 포장지라 그 자체로 기대수익률이 없습니다. 그 칸에 담긴 상품의 실제 노출로 위 ① 값을 섞어 낸 것입니다.</t>
        </is>
      </c>
    </row>
    <row r="25">
      <c r="A25" s="12" t="inlineStr">
        <is>
          <t>자산군</t>
        </is>
      </c>
      <c r="B25" s="12" t="inlineStr">
        <is>
          <t>기대수익률(가정)</t>
        </is>
      </c>
      <c r="C25" s="12" t="inlineStr">
        <is>
          <t>섞은 노출</t>
        </is>
      </c>
      <c r="D25" s="12" t="inlineStr"/>
      <c r="E25" s="12" t="inlineStr"/>
    </row>
    <row r="26">
      <c r="A26" s="14" t="inlineStr">
        <is>
          <t>국내주식</t>
        </is>
      </c>
      <c r="B26" s="42" t="n">
        <v>0.0781</v>
      </c>
      <c r="C26" s="48" t="inlineStr">
        <is>
          <t>국내주식 100%</t>
        </is>
      </c>
      <c r="D26" s="49" t="n"/>
      <c r="E26" s="50" t="n"/>
    </row>
    <row r="27">
      <c r="A27" s="14" t="inlineStr">
        <is>
          <t>해외주식</t>
        </is>
      </c>
      <c r="B27" s="42" t="n">
        <v>0.0781</v>
      </c>
      <c r="C27" s="48" t="inlineStr">
        <is>
          <t>해외주식 100%</t>
        </is>
      </c>
      <c r="D27" s="49" t="n"/>
      <c r="E27" s="50" t="n"/>
    </row>
    <row r="28">
      <c r="A28" s="14" t="inlineStr">
        <is>
          <t>국내ETF</t>
        </is>
      </c>
      <c r="B28" s="42" t="n">
        <v>0.0553</v>
      </c>
      <c r="C28" s="48" t="inlineStr">
        <is>
          <t>국내주식 40% · 국내채권 40% · 대체 20%</t>
        </is>
      </c>
      <c r="D28" s="49" t="n"/>
      <c r="E28" s="50" t="n"/>
    </row>
    <row r="29">
      <c r="A29" s="14" t="inlineStr">
        <is>
          <t>해외ETF</t>
        </is>
      </c>
      <c r="B29" s="42" t="n">
        <v>0.0561</v>
      </c>
      <c r="C29" s="48" t="inlineStr">
        <is>
          <t>해외주식 40% · 해외채권 40% · 대체 20%</t>
        </is>
      </c>
      <c r="D29" s="49" t="n"/>
      <c r="E29" s="50" t="n"/>
    </row>
    <row r="30">
      <c r="A30" s="14" t="inlineStr">
        <is>
          <t>국내펀드</t>
        </is>
      </c>
      <c r="B30" s="42" t="n">
        <v>0.0451</v>
      </c>
      <c r="C30" s="48" t="inlineStr">
        <is>
          <t>국내채권 50% · 대체 40% · 국내주식 10%</t>
        </is>
      </c>
      <c r="D30" s="49" t="n"/>
      <c r="E30" s="50" t="n"/>
    </row>
    <row r="31">
      <c r="A31" s="14" t="inlineStr">
        <is>
          <t>해외펀드</t>
        </is>
      </c>
      <c r="B31" s="42" t="n">
        <v>0.0561</v>
      </c>
      <c r="C31" s="48" t="inlineStr">
        <is>
          <t>해외채권 40% · 해외주식 40% · 대체 20%</t>
        </is>
      </c>
      <c r="D31" s="49" t="n"/>
      <c r="E31" s="50" t="n"/>
    </row>
    <row r="32">
      <c r="A32" s="14" t="inlineStr">
        <is>
          <t>현금</t>
        </is>
      </c>
      <c r="B32" s="42" t="n">
        <v>0.0281</v>
      </c>
      <c r="C32" s="48" t="inlineStr">
        <is>
          <t>현금성 100%</t>
        </is>
      </c>
      <c r="D32" s="49" t="n"/>
      <c r="E32" s="50" t="n"/>
    </row>
  </sheetData>
  <mergeCells count="14">
    <mergeCell ref="C29:E29"/>
    <mergeCell ref="A4:E4"/>
    <mergeCell ref="C28:E28"/>
    <mergeCell ref="C27:E27"/>
    <mergeCell ref="A16:E16"/>
    <mergeCell ref="A15:E15"/>
    <mergeCell ref="C31:E31"/>
    <mergeCell ref="C26:E26"/>
    <mergeCell ref="A23:E23"/>
    <mergeCell ref="A14:E14"/>
    <mergeCell ref="C30:E30"/>
    <mergeCell ref="A17:E17"/>
    <mergeCell ref="A18:E18"/>
    <mergeCell ref="C32:E32"/>
  </mergeCells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4" customHeight="1">
      <c r="A1" s="3" t="n"/>
      <c r="B1" s="3" t="n"/>
    </row>
    <row r="2" ht="26" customHeight="1">
      <c r="A2" s="4" t="inlineStr"/>
      <c r="B2" s="5" t="inlineStr">
        <is>
          <t>쓰는 법</t>
        </is>
      </c>
    </row>
    <row r="3" ht="6" customHeight="1"/>
    <row r="4" ht="18" customHeight="1">
      <c r="B4" s="51" t="inlineStr">
        <is>
          <t>1. 「제안서」 시트에서 파란 글씨 칸만 고칩니다 — 고객명·투자금액·투자기간·위험성향·목표 연수익률. 투자기간과 위험성향은 드롭다운입니다.</t>
        </is>
      </c>
    </row>
    <row r="5" ht="18" customHeight="1">
      <c r="B5" s="51" t="inlineStr">
        <is>
          <t>1-1. 조건을 다 넣으셨으면 「조회」 칸에서 ▶ 조회 실행 을 고릅니다. … 조건 입력 중 로 두면 표가 비워져 조건만 차분히 채울 수 있습니다. 매크로 없는 .xlsx 에는 누르는 단추를 넣을 수 없어 드롭다운으로 만들었습니다 — .xlsm 으로 만들면 회사 PC 에서 매크로가 막혀 열자마자 「사용 안 함」이 뜹니다.</t>
        </is>
      </c>
    </row>
    <row r="6" ht="18" customHeight="1">
      <c r="B6" s="51" t="inlineStr">
        <is>
          <t>1-2. 「목표 연수익률」은 고객이 바라는 수익률이고, 배분표의 「기대수익률 (가정)」은 그것을 어떻게 벌 작정인지에 대한 자산군별 가정입니다. 둘은 다른 것이며, 3 번 섹션이 둘을 견주어 줍니다.</t>
        </is>
      </c>
    </row>
    <row r="7" ht="18" customHeight="1">
      <c r="B7" s="51" t="inlineStr">
        <is>
          <t>2. 나머지 칸은 수식입니다. 손으로 덮어쓰면 다음에 값이 안 따라옵니다.</t>
        </is>
      </c>
    </row>
    <row r="8" ht="18" customHeight="1">
      <c r="B8" s="51" t="inlineStr">
        <is>
          <t>3. 「배분규칙」 시트는 proposal_lib.py 가 셈한 것입니다. 고치지 마십시오 — 고치면 화면(proposal.html)과 어긋납니다.</t>
        </is>
      </c>
    </row>
    <row r="9" ht="18" customHeight="1">
      <c r="B9" s="51" t="inlineStr">
        <is>
          <t>4. 「기대수익률 (가정)」 칸은 비워 두었습니다. 사람이 넣는 가정이며 기본값을 두지 않았습니다 — 넣으실 때 근거를 함께 적어 두십시오.</t>
        </is>
      </c>
    </row>
    <row r="10" ht="18" customHeight="1">
      <c r="B10" s="51" t="inlineStr">
        <is>
          <t>5. 자료를 새로 받으면 python3 scripts/build_proposal_universe.py 를 돌린 뒤 이 파일을 다시 만듭니다.</t>
        </is>
      </c>
    </row>
    <row r="11" ht="8" customHeight="1">
      <c r="B11" s="51" t="inlineStr"/>
    </row>
    <row r="12" ht="18" customHeight="1">
      <c r="B12" s="51" t="inlineStr">
        <is>
          <t>셀 색 규칙 (기존 고객제안서와 같습니다)</t>
        </is>
      </c>
    </row>
    <row r="13" ht="18" customHeight="1">
      <c r="B13" s="52" t="inlineStr">
        <is>
          <t xml:space="preserve">      파란 글씨 + 옅은 칠 = 사람이 넣는 칸</t>
        </is>
      </c>
    </row>
    <row r="14" ht="18" customHeight="1">
      <c r="B14" s="52" t="inlineStr">
        <is>
          <t xml:space="preserve">      검은 글씨            = 수식</t>
        </is>
      </c>
    </row>
    <row r="15" ht="18" customHeight="1">
      <c r="B15" s="52" t="inlineStr">
        <is>
          <t xml:space="preserve">      회색 글씨            = 원천에서 받아 적은 값</t>
        </is>
      </c>
    </row>
    <row r="16" ht="8" customHeight="1">
      <c r="B16" s="51" t="inlineStr"/>
    </row>
    <row r="17" ht="18" customHeight="1">
      <c r="B17" s="51" t="inlineStr">
        <is>
          <t>숨은 H·I 열은 셈에 쓰는 도우미 칸입니다 — 합계용 숫자(표시 칸에 「—」라는 글자가 들어가면 합계가 깨집니다), 성향 번호, 조회 키, 목표 역산. 지우지 마십시오.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2026-10-01T04:53:14Z</dcterms:created>
  <dcterms:modified xmlns:dcterms="http://purl.org/dc/terms/" xmlns:xsi="http://www.w3.org/2001/XMLSchema-instance" xsi:type="dcterms:W3CDTF">2026-10-01T04:53:14Z</dcterms:modified>
</cp:coreProperties>
</file>