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종목조회" sheetId="2" state="visible" r:id="rId2"/>
    <sheet name="ETF데이터" sheetId="3" state="visible" r:id="rId3"/>
    <sheet name="사용법" sheetId="4" state="visible" r:id="rId4"/>
  </sheets>
  <definedNames>
    <definedName name="선택가능종목">'ETF데이터'!$A$4:$A$253</definedName>
    <definedName name="검색어">'제안서'!$E$17</definedName>
    <definedName name="검색결과">OFFSET('ETF데이터'!$Y$4,0,0,MAX(1,COUNTIF('ETF데이터'!$W$4:$W$253,1)),1)</definedName>
    <definedName name="담긴목록">'종목조회'!$N$20:$N$79</definedName>
    <definedName name="담긴수">'종목조회'!$M$79</definedName>
    <definedName name="조회_주기">'종목조회'!$C$10</definedName>
    <definedName name="조회_최소">'종목조회'!$C$11</definedName>
    <definedName name="조회_최대">'종목조회'!$C$12</definedName>
    <definedName name="_xlnm.Print_Titles" localSheetId="0">'제안서'!$1:$5</definedName>
    <definedName name="_xlnm.Print_Area" localSheetId="0">'제안서'!$A$1:$H$100</definedName>
    <definedName name="_xlnm._FilterDatabase" localSheetId="2" hidden="1">'ETF데이터'!$A$3:$T$336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000-00-00"/>
    <numFmt numFmtId="165" formatCode="#,##0&quot;원&quot;"/>
    <numFmt numFmtId="166" formatCode="#,##0.##"/>
    <numFmt numFmtId="167" formatCode="#,##0&quot;원&quot;;-#,##0&quot;원&quot;;&quot;&quot;"/>
    <numFmt numFmtId="168" formatCode="#,##0&quot;주&quot;;-#,##0&quot;주&quot;;&quot;&quot;"/>
    <numFmt numFmtId="169" formatCode="#,##0&quot;종목&quot;"/>
    <numFmt numFmtId="170" formatCode="0.000%"/>
    <numFmt numFmtId="171" formatCode="#,##0&quot;억원&quot;"/>
  </numFmts>
  <fonts count="22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color rgb="00FFFFFF"/>
      <sz val="9"/>
    </font>
    <font>
      <name val="Spoqa Han Sans Neo"/>
      <b val="1"/>
      <color rgb="00FFFFFF"/>
      <sz val="22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C62828"/>
      <sz val="10"/>
    </font>
    <font>
      <name val="Spoqa Han Sans Neo"/>
      <b val="1"/>
      <color rgb="00D4A017"/>
      <sz val="10"/>
    </font>
    <font>
      <name val="Spoqa Han Sans Neo"/>
      <b val="1"/>
      <color rgb="001A1A1A"/>
      <sz val="18"/>
    </font>
    <font>
      <name val="Spoqa Han Sans Neo"/>
      <b val="1"/>
      <color rgb="00F58220"/>
      <sz val="18"/>
    </font>
    <font>
      <name val="Spoqa Han Sans Neo"/>
      <b val="1"/>
      <color rgb="00043B72"/>
      <sz val="11"/>
    </font>
    <font>
      <name val="Spoqa Han Sans Neo"/>
      <color rgb="001A1A1A"/>
      <sz val="9"/>
    </font>
    <font>
      <name val="Spoqa Han Sans Neo"/>
      <color rgb="006C6C6C"/>
      <sz val="8.5"/>
    </font>
    <font>
      <name val="Spoqa Han Sans Neo"/>
      <b val="1"/>
      <color rgb="00F58220"/>
      <sz val="14"/>
    </font>
    <font>
      <name val="Spoqa Han Sans Neo"/>
      <color rgb="00D4A017"/>
      <sz val="9"/>
    </font>
    <font>
      <name val="Spoqa Han Sans Neo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043B72"/>
      </patternFill>
    </fill>
    <fill>
      <patternFill patternType="solid">
        <fgColor rgb="00FFF7E6"/>
      </patternFill>
    </fill>
    <fill>
      <patternFill patternType="solid">
        <fgColor rgb="00D7D7D7"/>
      </patternFill>
    </fill>
    <fill>
      <patternFill patternType="solid">
        <fgColor rgb="00ECEFF4"/>
      </patternFill>
    </fill>
  </fills>
  <borders count="30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CDCECB"/>
      </bottom>
    </border>
    <border>
      <left/>
      <right/>
      <top style="thin">
        <color rgb="0049535B"/>
      </top>
      <bottom/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E5E4E1"/>
      </bottom>
    </border>
    <border>
      <left/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49535B"/>
      </top>
      <bottom style="thin">
        <color rgb="00CDCECB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  <border>
      <left/>
      <right/>
      <top style="thin">
        <color rgb="00CDCECB"/>
      </top>
      <bottom/>
    </border>
    <border>
      <left/>
      <right/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CDCECB"/>
      </bottom>
    </border>
    <border>
      <left/>
      <right style="thin">
        <color rgb="00E5E4E1"/>
      </right>
      <top style="thin">
        <color rgb="00CDCECB"/>
      </top>
      <bottom style="thin">
        <color rgb="00E5E4E1"/>
      </bottom>
    </border>
    <border>
      <left/>
      <right style="thin">
        <color rgb="00E5E4E1"/>
      </right>
      <top style="thin">
        <color rgb="00CDCECB"/>
      </top>
      <bottom style="thin">
        <color rgb="00CDCECB"/>
      </bottom>
    </border>
    <border>
      <left style="thin">
        <color rgb="00CDCECB"/>
      </left>
      <right/>
      <top style="thin">
        <color rgb="00CDCECB"/>
      </top>
      <bottom style="thin">
        <color rgb="00CDCECB"/>
      </bottom>
    </border>
    <border>
      <left/>
      <right style="thin">
        <color rgb="00CDCECB"/>
      </right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CDCECB"/>
      </bottom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8" fillId="0" borderId="0" pivotButton="0" quotePrefix="0" xfId="0"/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0" fillId="5" borderId="0" pivotButton="0" quotePrefix="0" xfId="0"/>
    <xf numFmtId="0" fontId="8" fillId="0" borderId="0" applyAlignment="1" pivotButton="0" quotePrefix="0" xfId="0">
      <alignment vertical="center"/>
    </xf>
    <xf numFmtId="0" fontId="0" fillId="0" borderId="2" pivotButton="0" quotePrefix="0" xfId="0"/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1" fillId="6" borderId="6" applyAlignment="1" pivotButton="0" quotePrefix="0" xfId="0">
      <alignment horizontal="left" vertical="center"/>
    </xf>
    <xf numFmtId="165" fontId="11" fillId="6" borderId="8" applyAlignment="1" pivotButton="0" quotePrefix="0" xfId="0">
      <alignment horizontal="right" vertical="center"/>
    </xf>
    <xf numFmtId="0" fontId="11" fillId="6" borderId="8" applyAlignment="1" pivotButton="0" quotePrefix="0" xfId="0">
      <alignment horizontal="left" vertical="center"/>
    </xf>
    <xf numFmtId="10" fontId="11" fillId="6" borderId="8" applyAlignment="1" pivotButton="0" quotePrefix="0" xfId="0">
      <alignment horizontal="right" vertical="center"/>
    </xf>
    <xf numFmtId="0" fontId="11" fillId="6" borderId="10" applyAlignment="1" pivotButton="0" quotePrefix="0" xfId="0">
      <alignment horizontal="left" vertical="center"/>
    </xf>
    <xf numFmtId="0" fontId="11" fillId="6" borderId="1" applyAlignment="1" pivotButton="0" quotePrefix="0" xfId="0">
      <alignment horizontal="left" vertical="center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15" applyAlignment="1" pivotButton="0" quotePrefix="0" xfId="0">
      <alignment horizontal="center" vertical="center" wrapText="1"/>
    </xf>
    <xf numFmtId="0" fontId="11" fillId="6" borderId="7" applyAlignment="1" pivotButton="0" quotePrefix="0" xfId="0">
      <alignment horizontal="left" vertical="center"/>
    </xf>
    <xf numFmtId="166" fontId="11" fillId="6" borderId="1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168" fontId="3" fillId="0" borderId="1" applyAlignment="1" pivotButton="0" quotePrefix="0" xfId="0">
      <alignment horizontal="right" vertical="center"/>
    </xf>
    <xf numFmtId="167" fontId="3" fillId="0" borderId="16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168" fontId="3" fillId="3" borderId="1" applyAlignment="1" pivotButton="0" quotePrefix="0" xfId="0">
      <alignment horizontal="right" vertical="center"/>
    </xf>
    <xf numFmtId="167" fontId="3" fillId="3" borderId="16" applyAlignment="1" pivotButton="0" quotePrefix="0" xfId="0">
      <alignment horizontal="right" vertical="center"/>
    </xf>
    <xf numFmtId="0" fontId="2" fillId="7" borderId="17" applyAlignment="1" pivotButton="0" quotePrefix="0" xfId="0">
      <alignment vertical="center"/>
    </xf>
    <xf numFmtId="166" fontId="2" fillId="7" borderId="14" applyAlignment="1" pivotButton="0" quotePrefix="0" xfId="0">
      <alignment horizontal="right" vertical="center"/>
    </xf>
    <xf numFmtId="165" fontId="2" fillId="7" borderId="14" applyAlignment="1" pivotButton="0" quotePrefix="0" xfId="0">
      <alignment horizontal="right" vertical="center"/>
    </xf>
    <xf numFmtId="0" fontId="0" fillId="7" borderId="13" pivotButton="0" quotePrefix="0" xfId="0"/>
    <xf numFmtId="165" fontId="2" fillId="7" borderId="18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165" fontId="3" fillId="0" borderId="6" applyAlignment="1" pivotButton="0" quotePrefix="0" xfId="0">
      <alignment horizontal="right" vertical="center"/>
    </xf>
    <xf numFmtId="0" fontId="2" fillId="8" borderId="27" applyAlignment="1" pivotButton="0" quotePrefix="0" xfId="0">
      <alignment vertical="center"/>
    </xf>
    <xf numFmtId="165" fontId="15" fillId="8" borderId="24" applyAlignment="1" pivotButton="0" quotePrefix="0" xfId="0">
      <alignment horizontal="right" vertical="center"/>
    </xf>
    <xf numFmtId="0" fontId="0" fillId="0" borderId="28" pivotButton="0" quotePrefix="0" xfId="0"/>
    <xf numFmtId="165" fontId="3" fillId="0" borderId="8" applyAlignment="1" pivotButton="0" quotePrefix="0" xfId="0">
      <alignment horizontal="right" vertical="center"/>
    </xf>
    <xf numFmtId="169" fontId="3" fillId="0" borderId="10" applyAlignment="1" pivotButton="0" quotePrefix="0" xfId="0">
      <alignment horizontal="right" vertical="center"/>
    </xf>
    <xf numFmtId="165" fontId="3" fillId="0" borderId="10" applyAlignment="1" pivotButton="0" quotePrefix="0" xfId="0">
      <alignment horizontal="right" vertical="center"/>
    </xf>
    <xf numFmtId="10" fontId="16" fillId="0" borderId="6" applyAlignment="1" pivotButton="0" quotePrefix="0" xfId="0">
      <alignment horizontal="right" vertical="center"/>
    </xf>
    <xf numFmtId="170" fontId="3" fillId="0" borderId="6" applyAlignment="1" pivotButton="0" quotePrefix="0" xfId="0">
      <alignment horizontal="right" vertical="center"/>
    </xf>
    <xf numFmtId="10" fontId="3" fillId="0" borderId="10" applyAlignment="1" pivotButton="0" quotePrefix="0" xfId="0">
      <alignment horizontal="right" vertical="center"/>
    </xf>
    <xf numFmtId="170" fontId="3" fillId="0" borderId="10" applyAlignment="1" pivotButton="0" quotePrefix="0" xfId="0">
      <alignment horizontal="right" vertical="center"/>
    </xf>
    <xf numFmtId="165" fontId="2" fillId="0" borderId="7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5" fontId="3" fillId="0" borderId="16" applyAlignment="1" pivotButton="0" quotePrefix="0" xfId="0">
      <alignment horizontal="right" vertical="center"/>
    </xf>
    <xf numFmtId="165" fontId="2" fillId="3" borderId="7" applyAlignment="1" pivotButton="0" quotePrefix="0" xfId="0">
      <alignment horizontal="right" vertical="center"/>
    </xf>
    <xf numFmtId="165" fontId="3" fillId="3" borderId="1" applyAlignment="1" pivotButton="0" quotePrefix="0" xfId="0">
      <alignment horizontal="right" vertical="center"/>
    </xf>
    <xf numFmtId="165" fontId="3" fillId="3" borderId="16" applyAlignment="1" pivotButton="0" quotePrefix="0" xfId="0">
      <alignment horizontal="right" vertical="center"/>
    </xf>
    <xf numFmtId="165" fontId="2" fillId="3" borderId="9" applyAlignment="1" pivotButton="0" quotePrefix="0" xfId="0">
      <alignment horizontal="right" vertical="center"/>
    </xf>
    <xf numFmtId="165" fontId="3" fillId="3" borderId="4" applyAlignment="1" pivotButton="0" quotePrefix="0" xfId="0">
      <alignment horizontal="right" vertical="center"/>
    </xf>
    <xf numFmtId="165" fontId="3" fillId="3" borderId="29" applyAlignment="1" pivotButton="0" quotePrefix="0" xfId="0">
      <alignment horizontal="right" vertical="center"/>
    </xf>
    <xf numFmtId="0" fontId="3" fillId="0" borderId="7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 vertical="center"/>
    </xf>
    <xf numFmtId="10" fontId="3" fillId="0" borderId="16" applyAlignment="1" pivotButton="0" quotePrefix="0" xfId="0">
      <alignment horizontal="right" vertical="center"/>
    </xf>
    <xf numFmtId="0" fontId="3" fillId="3" borderId="7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 vertical="center"/>
    </xf>
    <xf numFmtId="10" fontId="3" fillId="3" borderId="16" applyAlignment="1" pivotButton="0" quotePrefix="0" xfId="0">
      <alignment horizontal="right" vertical="center"/>
    </xf>
    <xf numFmtId="0" fontId="3" fillId="3" borderId="9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 vertical="center"/>
    </xf>
    <xf numFmtId="10" fontId="3" fillId="3" borderId="29" applyAlignment="1" pivotButton="0" quotePrefix="0" xfId="0">
      <alignment horizontal="right"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3" fillId="0" borderId="0" applyAlignment="1" pivotButton="0" quotePrefix="0" xfId="0">
      <alignment vertical="center"/>
    </xf>
    <xf numFmtId="10" fontId="11" fillId="6" borderId="1" applyAlignment="1" pivotButton="0" quotePrefix="0" xfId="0">
      <alignment horizontal="right" vertical="center"/>
    </xf>
    <xf numFmtId="169" fontId="19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/>
    </xf>
    <xf numFmtId="170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0" fontId="11" fillId="6" borderId="16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/>
    </xf>
    <xf numFmtId="170" fontId="3" fillId="3" borderId="1" applyAlignment="1" pivotButton="0" quotePrefix="0" xfId="0">
      <alignment horizontal="right"/>
    </xf>
    <xf numFmtId="165" fontId="3" fillId="3" borderId="1" applyAlignment="1" pivotButton="0" quotePrefix="0" xfId="0">
      <alignment horizontal="right"/>
    </xf>
    <xf numFmtId="171" fontId="3" fillId="3" borderId="1" applyAlignment="1" pivotButton="0" quotePrefix="0" xfId="0">
      <alignment horizontal="right"/>
    </xf>
    <xf numFmtId="0" fontId="3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/>
    </xf>
    <xf numFmtId="170" fontId="3" fillId="3" borderId="4" applyAlignment="1" pivotButton="0" quotePrefix="0" xfId="0">
      <alignment horizontal="right"/>
    </xf>
    <xf numFmtId="165" fontId="3" fillId="3" borderId="4" applyAlignment="1" pivotButton="0" quotePrefix="0" xfId="0">
      <alignment horizontal="right"/>
    </xf>
    <xf numFmtId="171" fontId="3" fillId="3" borderId="4" applyAlignment="1" pivotButton="0" quotePrefix="0" xfId="0">
      <alignment horizontal="right"/>
    </xf>
    <xf numFmtId="0" fontId="11" fillId="6" borderId="29" applyAlignment="1" pivotButton="0" quotePrefix="0" xfId="0">
      <alignment horizontal="center" vertical="center"/>
    </xf>
    <xf numFmtId="0" fontId="20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0" fontId="21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1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32" customWidth="1" min="2" max="2"/>
    <col width="16" customWidth="1" min="3" max="3"/>
    <col width="15" customWidth="1" min="4" max="4"/>
    <col width="13" customWidth="1" min="5" max="5"/>
    <col width="16" customWidth="1" min="6" max="6"/>
    <col width="17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40" customHeight="1">
      <c r="A2" s="4" t="inlineStr">
        <is>
          <t xml:space="preserve">   월배당 ETF 투자 제안서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Monthly Distribution ETF Portfolio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2026-09-18 · 매월 1일 자동 갱신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고객 정보 및 투자 조건</t>
        </is>
      </c>
    </row>
    <row r="9" ht="6" customHeight="1"/>
    <row r="10" ht="21" customHeight="1">
      <c r="B10" s="11" t="inlineStr">
        <is>
          <t>고객명</t>
        </is>
      </c>
      <c r="C10" s="12" t="inlineStr">
        <is>
          <t>홍길동</t>
        </is>
      </c>
    </row>
    <row r="11" ht="21" customHeight="1">
      <c r="B11" s="11" t="inlineStr">
        <is>
          <t>총 투자금액 (원)</t>
        </is>
      </c>
      <c r="C11" s="13" t="n">
        <v>100000000</v>
      </c>
    </row>
    <row r="12" ht="21" customHeight="1">
      <c r="B12" s="11" t="inlineStr">
        <is>
          <t>배분 방식</t>
        </is>
      </c>
      <c r="C12" s="14" t="inlineStr">
        <is>
          <t>비율</t>
        </is>
      </c>
      <c r="E12" s="7" t="inlineStr">
        <is>
          <t>비율 = 총액을 %로 나눔 · 금액 = 종목별 금액 직접 입력</t>
        </is>
      </c>
    </row>
    <row r="13" ht="21" customHeight="1">
      <c r="B13" s="11" t="inlineStr">
        <is>
          <t>배당소득세율</t>
        </is>
      </c>
      <c r="C13" s="15" t="n">
        <v>0.154</v>
      </c>
      <c r="E13" s="7" t="inlineStr">
        <is>
          <t>국내 상장 ETF 분배금 기준 15.4% (지방소득세 포함)</t>
        </is>
      </c>
    </row>
    <row r="14" ht="21" customHeight="1">
      <c r="B14" s="11" t="inlineStr">
        <is>
          <t>제안일</t>
        </is>
      </c>
      <c r="C14" s="16" t="inlineStr">
        <is>
          <t>2026-09-18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투자 포트폴리오  (최대 10종목)</t>
        </is>
      </c>
      <c r="D17" s="11" t="inlineStr">
        <is>
          <t>종목 검색</t>
        </is>
      </c>
      <c r="E17" s="17" t="n"/>
      <c r="F17" s="7" t="inlineStr">
        <is>
          <t>← 글자 일부를 넣으면 아래 ▼ 목록이 그만큼만 남습니다 (예: 커버드콜). 비우면 전체.</t>
        </is>
      </c>
    </row>
    <row r="18" ht="6" customHeight="1"/>
    <row r="19" ht="30" customHeight="1">
      <c r="B19" s="18" t="inlineStr">
        <is>
          <t>투자 ETF</t>
        </is>
      </c>
      <c r="C19" s="19">
        <f>IF($C$12="비율","배분 비율 (%)","배분 금액 (원)")</f>
        <v/>
      </c>
      <c r="D19" s="19" t="inlineStr">
        <is>
          <t>배정 금액</t>
        </is>
      </c>
      <c r="E19" s="19" t="inlineStr">
        <is>
          <t>매수 수량</t>
        </is>
      </c>
      <c r="F19" s="19" t="inlineStr">
        <is>
          <t>실투자금액</t>
        </is>
      </c>
      <c r="G19" s="19" t="inlineStr">
        <is>
          <t>월 분배금(세전)</t>
        </is>
      </c>
      <c r="H19" s="20" t="inlineStr">
        <is>
          <t>월 분배금(세후)</t>
        </is>
      </c>
    </row>
    <row r="20" ht="19" customHeight="1">
      <c r="B20" s="21">
        <f>IF(담긴수=0,"TIGER 미국배당다우존스",IFERROR(INDEX(담긴목록,1),""))</f>
        <v/>
      </c>
      <c r="C20" s="22">
        <f>IF($B20="","",IF($C$12="비율",IF(1&lt;MAX(담긴수,1),ROUND(100/MAX(담긴수,1),2),100-ROUND(100/MAX(담긴수,1),2)*(MAX(담긴수,1)-1)),IF(1&lt;MAX(담긴수,1),ROUNDDOWN($C$11/MAX(담긴수,1),0),$C$11-ROUNDDOWN($C$11/MAX(담긴수,1),0)*(MAX(담긴수,1)-1))))</f>
        <v/>
      </c>
      <c r="D20" s="23">
        <f>IF($K20=0,0,IF($C$12="비율",ROUND($C$11*$C20/100,0),$C20))</f>
        <v/>
      </c>
      <c r="E20" s="24">
        <f>IF($K20=0,0,ROUNDDOWN($D20/INDEX('ETF데이터'!$D$4:$D$253,$K20),0))</f>
        <v/>
      </c>
      <c r="F20" s="23">
        <f>IF($K20=0,0,$E20*INDEX('ETF데이터'!$D$4:$D$253,$K20))</f>
        <v/>
      </c>
      <c r="G20" s="23">
        <f>IF($K20=0,0,$F20*INDEX('ETF데이터'!$J$4:$J$253,$K20)/12)</f>
        <v/>
      </c>
      <c r="H20" s="25">
        <f>$G20*(1-$C$13*$O20)</f>
        <v/>
      </c>
      <c r="K20" s="3">
        <f>IF($B20="",0,IFERROR(MATCH($B20,선택가능종목,0),0))</f>
        <v/>
      </c>
      <c r="L20" s="3">
        <f>IF($K20=0,"",INDEX('ETF데이터'!$M$4:$M$253,$K20))</f>
        <v/>
      </c>
      <c r="M20" s="3">
        <f>IF($K20=0,"",INDEX('ETF데이터'!$R$4:$R$253,$K20))</f>
        <v/>
      </c>
      <c r="N20" s="3">
        <f>IF(OR($M20="",$M20="월배당"),0,1)</f>
        <v/>
      </c>
      <c r="O20" s="3">
        <f>IF($K20=0,1,IF(INDEX('ETF데이터'!$T$4:$T$253,$K20)="",1,INDEX('ETF데이터'!$T$4:$T$253,$K20)))</f>
        <v/>
      </c>
      <c r="P20" s="3">
        <f>IF($K20=0,0,IF(INDEX('ETF데이터'!$T$4:$T$253,$K20)="",1,0))</f>
        <v/>
      </c>
    </row>
    <row r="21" ht="19" customHeight="1">
      <c r="B21" s="21">
        <f>IF(담긴수=0,"",IFERROR(INDEX(담긴목록,2),""))</f>
        <v/>
      </c>
      <c r="C21" s="22">
        <f>IF($B21="","",IF($C$12="비율",IF(2&lt;MAX(담긴수,1),ROUND(100/MAX(담긴수,1),2),100-ROUND(100/MAX(담긴수,1),2)*(MAX(담긴수,1)-1)),IF(2&lt;MAX(담긴수,1),ROUNDDOWN($C$11/MAX(담긴수,1),0),$C$11-ROUNDDOWN($C$11/MAX(담긴수,1),0)*(MAX(담긴수,1)-1))))</f>
        <v/>
      </c>
      <c r="D21" s="26">
        <f>IF($K21=0,0,IF($C$12="비율",ROUND($C$11*$C21/100,0),$C21))</f>
        <v/>
      </c>
      <c r="E21" s="27">
        <f>IF($K21=0,0,ROUNDDOWN($D21/INDEX('ETF데이터'!$D$4:$D$253,$K21),0))</f>
        <v/>
      </c>
      <c r="F21" s="26">
        <f>IF($K21=0,0,$E21*INDEX('ETF데이터'!$D$4:$D$253,$K21))</f>
        <v/>
      </c>
      <c r="G21" s="26">
        <f>IF($K21=0,0,$F21*INDEX('ETF데이터'!$J$4:$J$253,$K21)/12)</f>
        <v/>
      </c>
      <c r="H21" s="28">
        <f>$G21*(1-$C$13*$O21)</f>
        <v/>
      </c>
      <c r="K21" s="3">
        <f>IF($B21="",0,IFERROR(MATCH($B21,선택가능종목,0),0))</f>
        <v/>
      </c>
      <c r="L21" s="3">
        <f>IF($K21=0,"",INDEX('ETF데이터'!$M$4:$M$253,$K21))</f>
        <v/>
      </c>
      <c r="M21" s="3">
        <f>IF($K21=0,"",INDEX('ETF데이터'!$R$4:$R$253,$K21))</f>
        <v/>
      </c>
      <c r="N21" s="3">
        <f>IF(OR($M21="",$M21="월배당"),0,1)</f>
        <v/>
      </c>
      <c r="O21" s="3">
        <f>IF($K21=0,1,IF(INDEX('ETF데이터'!$T$4:$T$253,$K21)="",1,INDEX('ETF데이터'!$T$4:$T$253,$K21)))</f>
        <v/>
      </c>
      <c r="P21" s="3">
        <f>IF($K21=0,0,IF(INDEX('ETF데이터'!$T$4:$T$253,$K21)="",1,0))</f>
        <v/>
      </c>
    </row>
    <row r="22" ht="19" customHeight="1">
      <c r="B22" s="21">
        <f>IF(담긴수=0,"",IFERROR(INDEX(담긴목록,3),""))</f>
        <v/>
      </c>
      <c r="C22" s="22">
        <f>IF($B22="","",IF($C$12="비율",IF(3&lt;MAX(담긴수,1),ROUND(100/MAX(담긴수,1),2),100-ROUND(100/MAX(담긴수,1),2)*(MAX(담긴수,1)-1)),IF(3&lt;MAX(담긴수,1),ROUNDDOWN($C$11/MAX(담긴수,1),0),$C$11-ROUNDDOWN($C$11/MAX(담긴수,1),0)*(MAX(담긴수,1)-1))))</f>
        <v/>
      </c>
      <c r="D22" s="23">
        <f>IF($K22=0,0,IF($C$12="비율",ROUND($C$11*$C22/100,0),$C22))</f>
        <v/>
      </c>
      <c r="E22" s="24">
        <f>IF($K22=0,0,ROUNDDOWN($D22/INDEX('ETF데이터'!$D$4:$D$253,$K22),0))</f>
        <v/>
      </c>
      <c r="F22" s="23">
        <f>IF($K22=0,0,$E22*INDEX('ETF데이터'!$D$4:$D$253,$K22))</f>
        <v/>
      </c>
      <c r="G22" s="23">
        <f>IF($K22=0,0,$F22*INDEX('ETF데이터'!$J$4:$J$253,$K22)/12)</f>
        <v/>
      </c>
      <c r="H22" s="25">
        <f>$G22*(1-$C$13*$O22)</f>
        <v/>
      </c>
      <c r="K22" s="3">
        <f>IF($B22="",0,IFERROR(MATCH($B22,선택가능종목,0),0))</f>
        <v/>
      </c>
      <c r="L22" s="3">
        <f>IF($K22=0,"",INDEX('ETF데이터'!$M$4:$M$253,$K22))</f>
        <v/>
      </c>
      <c r="M22" s="3">
        <f>IF($K22=0,"",INDEX('ETF데이터'!$R$4:$R$253,$K22))</f>
        <v/>
      </c>
      <c r="N22" s="3">
        <f>IF(OR($M22="",$M22="월배당"),0,1)</f>
        <v/>
      </c>
      <c r="O22" s="3">
        <f>IF($K22=0,1,IF(INDEX('ETF데이터'!$T$4:$T$253,$K22)="",1,INDEX('ETF데이터'!$T$4:$T$253,$K22)))</f>
        <v/>
      </c>
      <c r="P22" s="3">
        <f>IF($K22=0,0,IF(INDEX('ETF데이터'!$T$4:$T$253,$K22)="",1,0))</f>
        <v/>
      </c>
    </row>
    <row r="23" ht="19" customHeight="1">
      <c r="B23" s="21">
        <f>IF(담긴수=0,"",IFERROR(INDEX(담긴목록,4),""))</f>
        <v/>
      </c>
      <c r="C23" s="22">
        <f>IF($B23="","",IF($C$12="비율",IF(4&lt;MAX(담긴수,1),ROUND(100/MAX(담긴수,1),2),100-ROUND(100/MAX(담긴수,1),2)*(MAX(담긴수,1)-1)),IF(4&lt;MAX(담긴수,1),ROUNDDOWN($C$11/MAX(담긴수,1),0),$C$11-ROUNDDOWN($C$11/MAX(담긴수,1),0)*(MAX(담긴수,1)-1))))</f>
        <v/>
      </c>
      <c r="D23" s="26">
        <f>IF($K23=0,0,IF($C$12="비율",ROUND($C$11*$C23/100,0),$C23))</f>
        <v/>
      </c>
      <c r="E23" s="27">
        <f>IF($K23=0,0,ROUNDDOWN($D23/INDEX('ETF데이터'!$D$4:$D$253,$K23),0))</f>
        <v/>
      </c>
      <c r="F23" s="26">
        <f>IF($K23=0,0,$E23*INDEX('ETF데이터'!$D$4:$D$253,$K23))</f>
        <v/>
      </c>
      <c r="G23" s="26">
        <f>IF($K23=0,0,$F23*INDEX('ETF데이터'!$J$4:$J$253,$K23)/12)</f>
        <v/>
      </c>
      <c r="H23" s="28">
        <f>$G23*(1-$C$13*$O23)</f>
        <v/>
      </c>
      <c r="K23" s="3">
        <f>IF($B23="",0,IFERROR(MATCH($B23,선택가능종목,0),0))</f>
        <v/>
      </c>
      <c r="L23" s="3">
        <f>IF($K23=0,"",INDEX('ETF데이터'!$M$4:$M$253,$K23))</f>
        <v/>
      </c>
      <c r="M23" s="3">
        <f>IF($K23=0,"",INDEX('ETF데이터'!$R$4:$R$253,$K23))</f>
        <v/>
      </c>
      <c r="N23" s="3">
        <f>IF(OR($M23="",$M23="월배당"),0,1)</f>
        <v/>
      </c>
      <c r="O23" s="3">
        <f>IF($K23=0,1,IF(INDEX('ETF데이터'!$T$4:$T$253,$K23)="",1,INDEX('ETF데이터'!$T$4:$T$253,$K23)))</f>
        <v/>
      </c>
      <c r="P23" s="3">
        <f>IF($K23=0,0,IF(INDEX('ETF데이터'!$T$4:$T$253,$K23)="",1,0))</f>
        <v/>
      </c>
    </row>
    <row r="24" ht="19" customHeight="1">
      <c r="B24" s="21">
        <f>IF(담긴수=0,"",IFERROR(INDEX(담긴목록,5),""))</f>
        <v/>
      </c>
      <c r="C24" s="22">
        <f>IF($B24="","",IF($C$12="비율",IF(5&lt;MAX(담긴수,1),ROUND(100/MAX(담긴수,1),2),100-ROUND(100/MAX(담긴수,1),2)*(MAX(담긴수,1)-1)),IF(5&lt;MAX(담긴수,1),ROUNDDOWN($C$11/MAX(담긴수,1),0),$C$11-ROUNDDOWN($C$11/MAX(담긴수,1),0)*(MAX(담긴수,1)-1))))</f>
        <v/>
      </c>
      <c r="D24" s="23">
        <f>IF($K24=0,0,IF($C$12="비율",ROUND($C$11*$C24/100,0),$C24))</f>
        <v/>
      </c>
      <c r="E24" s="24">
        <f>IF($K24=0,0,ROUNDDOWN($D24/INDEX('ETF데이터'!$D$4:$D$253,$K24),0))</f>
        <v/>
      </c>
      <c r="F24" s="23">
        <f>IF($K24=0,0,$E24*INDEX('ETF데이터'!$D$4:$D$253,$K24))</f>
        <v/>
      </c>
      <c r="G24" s="23">
        <f>IF($K24=0,0,$F24*INDEX('ETF데이터'!$J$4:$J$253,$K24)/12)</f>
        <v/>
      </c>
      <c r="H24" s="25">
        <f>$G24*(1-$C$13*$O24)</f>
        <v/>
      </c>
      <c r="K24" s="3">
        <f>IF($B24="",0,IFERROR(MATCH($B24,선택가능종목,0),0))</f>
        <v/>
      </c>
      <c r="L24" s="3">
        <f>IF($K24=0,"",INDEX('ETF데이터'!$M$4:$M$253,$K24))</f>
        <v/>
      </c>
      <c r="M24" s="3">
        <f>IF($K24=0,"",INDEX('ETF데이터'!$R$4:$R$253,$K24))</f>
        <v/>
      </c>
      <c r="N24" s="3">
        <f>IF(OR($M24="",$M24="월배당"),0,1)</f>
        <v/>
      </c>
      <c r="O24" s="3">
        <f>IF($K24=0,1,IF(INDEX('ETF데이터'!$T$4:$T$253,$K24)="",1,INDEX('ETF데이터'!$T$4:$T$253,$K24)))</f>
        <v/>
      </c>
      <c r="P24" s="3">
        <f>IF($K24=0,0,IF(INDEX('ETF데이터'!$T$4:$T$253,$K24)="",1,0))</f>
        <v/>
      </c>
    </row>
    <row r="25" ht="19" customHeight="1">
      <c r="B25" s="21">
        <f>IF(담긴수=0,"",IFERROR(INDEX(담긴목록,6),""))</f>
        <v/>
      </c>
      <c r="C25" s="22">
        <f>IF($B25="","",IF($C$12="비율",IF(6&lt;MAX(담긴수,1),ROUND(100/MAX(담긴수,1),2),100-ROUND(100/MAX(담긴수,1),2)*(MAX(담긴수,1)-1)),IF(6&lt;MAX(담긴수,1),ROUNDDOWN($C$11/MAX(담긴수,1),0),$C$11-ROUNDDOWN($C$11/MAX(담긴수,1),0)*(MAX(담긴수,1)-1))))</f>
        <v/>
      </c>
      <c r="D25" s="26">
        <f>IF($K25=0,0,IF($C$12="비율",ROUND($C$11*$C25/100,0),$C25))</f>
        <v/>
      </c>
      <c r="E25" s="27">
        <f>IF($K25=0,0,ROUNDDOWN($D25/INDEX('ETF데이터'!$D$4:$D$253,$K25),0))</f>
        <v/>
      </c>
      <c r="F25" s="26">
        <f>IF($K25=0,0,$E25*INDEX('ETF데이터'!$D$4:$D$253,$K25))</f>
        <v/>
      </c>
      <c r="G25" s="26">
        <f>IF($K25=0,0,$F25*INDEX('ETF데이터'!$J$4:$J$253,$K25)/12)</f>
        <v/>
      </c>
      <c r="H25" s="28">
        <f>$G25*(1-$C$13*$O25)</f>
        <v/>
      </c>
      <c r="K25" s="3">
        <f>IF($B25="",0,IFERROR(MATCH($B25,선택가능종목,0),0))</f>
        <v/>
      </c>
      <c r="L25" s="3">
        <f>IF($K25=0,"",INDEX('ETF데이터'!$M$4:$M$253,$K25))</f>
        <v/>
      </c>
      <c r="M25" s="3">
        <f>IF($K25=0,"",INDEX('ETF데이터'!$R$4:$R$253,$K25))</f>
        <v/>
      </c>
      <c r="N25" s="3">
        <f>IF(OR($M25="",$M25="월배당"),0,1)</f>
        <v/>
      </c>
      <c r="O25" s="3">
        <f>IF($K25=0,1,IF(INDEX('ETF데이터'!$T$4:$T$253,$K25)="",1,INDEX('ETF데이터'!$T$4:$T$253,$K25)))</f>
        <v/>
      </c>
      <c r="P25" s="3">
        <f>IF($K25=0,0,IF(INDEX('ETF데이터'!$T$4:$T$253,$K25)="",1,0))</f>
        <v/>
      </c>
    </row>
    <row r="26" ht="19" customHeight="1">
      <c r="B26" s="21">
        <f>IF(담긴수=0,"",IFERROR(INDEX(담긴목록,7),""))</f>
        <v/>
      </c>
      <c r="C26" s="22">
        <f>IF($B26="","",IF($C$12="비율",IF(7&lt;MAX(담긴수,1),ROUND(100/MAX(담긴수,1),2),100-ROUND(100/MAX(담긴수,1),2)*(MAX(담긴수,1)-1)),IF(7&lt;MAX(담긴수,1),ROUNDDOWN($C$11/MAX(담긴수,1),0),$C$11-ROUNDDOWN($C$11/MAX(담긴수,1),0)*(MAX(담긴수,1)-1))))</f>
        <v/>
      </c>
      <c r="D26" s="23">
        <f>IF($K26=0,0,IF($C$12="비율",ROUND($C$11*$C26/100,0),$C26))</f>
        <v/>
      </c>
      <c r="E26" s="24">
        <f>IF($K26=0,0,ROUNDDOWN($D26/INDEX('ETF데이터'!$D$4:$D$253,$K26),0))</f>
        <v/>
      </c>
      <c r="F26" s="23">
        <f>IF($K26=0,0,$E26*INDEX('ETF데이터'!$D$4:$D$253,$K26))</f>
        <v/>
      </c>
      <c r="G26" s="23">
        <f>IF($K26=0,0,$F26*INDEX('ETF데이터'!$J$4:$J$253,$K26)/12)</f>
        <v/>
      </c>
      <c r="H26" s="25">
        <f>$G26*(1-$C$13*$O26)</f>
        <v/>
      </c>
      <c r="K26" s="3">
        <f>IF($B26="",0,IFERROR(MATCH($B26,선택가능종목,0),0))</f>
        <v/>
      </c>
      <c r="L26" s="3">
        <f>IF($K26=0,"",INDEX('ETF데이터'!$M$4:$M$253,$K26))</f>
        <v/>
      </c>
      <c r="M26" s="3">
        <f>IF($K26=0,"",INDEX('ETF데이터'!$R$4:$R$253,$K26))</f>
        <v/>
      </c>
      <c r="N26" s="3">
        <f>IF(OR($M26="",$M26="월배당"),0,1)</f>
        <v/>
      </c>
      <c r="O26" s="3">
        <f>IF($K26=0,1,IF(INDEX('ETF데이터'!$T$4:$T$253,$K26)="",1,INDEX('ETF데이터'!$T$4:$T$253,$K26)))</f>
        <v/>
      </c>
      <c r="P26" s="3">
        <f>IF($K26=0,0,IF(INDEX('ETF데이터'!$T$4:$T$253,$K26)="",1,0))</f>
        <v/>
      </c>
    </row>
    <row r="27" ht="19" customHeight="1">
      <c r="B27" s="21">
        <f>IF(담긴수=0,"",IFERROR(INDEX(담긴목록,8),""))</f>
        <v/>
      </c>
      <c r="C27" s="22">
        <f>IF($B27="","",IF($C$12="비율",IF(8&lt;MAX(담긴수,1),ROUND(100/MAX(담긴수,1),2),100-ROUND(100/MAX(담긴수,1),2)*(MAX(담긴수,1)-1)),IF(8&lt;MAX(담긴수,1),ROUNDDOWN($C$11/MAX(담긴수,1),0),$C$11-ROUNDDOWN($C$11/MAX(담긴수,1),0)*(MAX(담긴수,1)-1))))</f>
        <v/>
      </c>
      <c r="D27" s="26">
        <f>IF($K27=0,0,IF($C$12="비율",ROUND($C$11*$C27/100,0),$C27))</f>
        <v/>
      </c>
      <c r="E27" s="27">
        <f>IF($K27=0,0,ROUNDDOWN($D27/INDEX('ETF데이터'!$D$4:$D$253,$K27),0))</f>
        <v/>
      </c>
      <c r="F27" s="26">
        <f>IF($K27=0,0,$E27*INDEX('ETF데이터'!$D$4:$D$253,$K27))</f>
        <v/>
      </c>
      <c r="G27" s="26">
        <f>IF($K27=0,0,$F27*INDEX('ETF데이터'!$J$4:$J$253,$K27)/12)</f>
        <v/>
      </c>
      <c r="H27" s="28">
        <f>$G27*(1-$C$13*$O27)</f>
        <v/>
      </c>
      <c r="K27" s="3">
        <f>IF($B27="",0,IFERROR(MATCH($B27,선택가능종목,0),0))</f>
        <v/>
      </c>
      <c r="L27" s="3">
        <f>IF($K27=0,"",INDEX('ETF데이터'!$M$4:$M$253,$K27))</f>
        <v/>
      </c>
      <c r="M27" s="3">
        <f>IF($K27=0,"",INDEX('ETF데이터'!$R$4:$R$253,$K27))</f>
        <v/>
      </c>
      <c r="N27" s="3">
        <f>IF(OR($M27="",$M27="월배당"),0,1)</f>
        <v/>
      </c>
      <c r="O27" s="3">
        <f>IF($K27=0,1,IF(INDEX('ETF데이터'!$T$4:$T$253,$K27)="",1,INDEX('ETF데이터'!$T$4:$T$253,$K27)))</f>
        <v/>
      </c>
      <c r="P27" s="3">
        <f>IF($K27=0,0,IF(INDEX('ETF데이터'!$T$4:$T$253,$K27)="",1,0))</f>
        <v/>
      </c>
    </row>
    <row r="28" ht="19" customHeight="1">
      <c r="B28" s="21">
        <f>IF(담긴수=0,"",IFERROR(INDEX(담긴목록,9),""))</f>
        <v/>
      </c>
      <c r="C28" s="22">
        <f>IF($B28="","",IF($C$12="비율",IF(9&lt;MAX(담긴수,1),ROUND(100/MAX(담긴수,1),2),100-ROUND(100/MAX(담긴수,1),2)*(MAX(담긴수,1)-1)),IF(9&lt;MAX(담긴수,1),ROUNDDOWN($C$11/MAX(담긴수,1),0),$C$11-ROUNDDOWN($C$11/MAX(담긴수,1),0)*(MAX(담긴수,1)-1))))</f>
        <v/>
      </c>
      <c r="D28" s="23">
        <f>IF($K28=0,0,IF($C$12="비율",ROUND($C$11*$C28/100,0),$C28))</f>
        <v/>
      </c>
      <c r="E28" s="24">
        <f>IF($K28=0,0,ROUNDDOWN($D28/INDEX('ETF데이터'!$D$4:$D$253,$K28),0))</f>
        <v/>
      </c>
      <c r="F28" s="23">
        <f>IF($K28=0,0,$E28*INDEX('ETF데이터'!$D$4:$D$253,$K28))</f>
        <v/>
      </c>
      <c r="G28" s="23">
        <f>IF($K28=0,0,$F28*INDEX('ETF데이터'!$J$4:$J$253,$K28)/12)</f>
        <v/>
      </c>
      <c r="H28" s="25">
        <f>$G28*(1-$C$13*$O28)</f>
        <v/>
      </c>
      <c r="K28" s="3">
        <f>IF($B28="",0,IFERROR(MATCH($B28,선택가능종목,0),0))</f>
        <v/>
      </c>
      <c r="L28" s="3">
        <f>IF($K28=0,"",INDEX('ETF데이터'!$M$4:$M$253,$K28))</f>
        <v/>
      </c>
      <c r="M28" s="3">
        <f>IF($K28=0,"",INDEX('ETF데이터'!$R$4:$R$253,$K28))</f>
        <v/>
      </c>
      <c r="N28" s="3">
        <f>IF(OR($M28="",$M28="월배당"),0,1)</f>
        <v/>
      </c>
      <c r="O28" s="3">
        <f>IF($K28=0,1,IF(INDEX('ETF데이터'!$T$4:$T$253,$K28)="",1,INDEX('ETF데이터'!$T$4:$T$253,$K28)))</f>
        <v/>
      </c>
      <c r="P28" s="3">
        <f>IF($K28=0,0,IF(INDEX('ETF데이터'!$T$4:$T$253,$K28)="",1,0))</f>
        <v/>
      </c>
    </row>
    <row r="29" ht="19" customHeight="1">
      <c r="B29" s="21">
        <f>IF(담긴수=0,"",IFERROR(INDEX(담긴목록,10),""))</f>
        <v/>
      </c>
      <c r="C29" s="22">
        <f>IF($B29="","",IF($C$12="비율",IF(10&lt;MAX(담긴수,1),ROUND(100/MAX(담긴수,1),2),100-ROUND(100/MAX(담긴수,1),2)*(MAX(담긴수,1)-1)),IF(10&lt;MAX(담긴수,1),ROUNDDOWN($C$11/MAX(담긴수,1),0),$C$11-ROUNDDOWN($C$11/MAX(담긴수,1),0)*(MAX(담긴수,1)-1))))</f>
        <v/>
      </c>
      <c r="D29" s="26">
        <f>IF($K29=0,0,IF($C$12="비율",ROUND($C$11*$C29/100,0),$C29))</f>
        <v/>
      </c>
      <c r="E29" s="27">
        <f>IF($K29=0,0,ROUNDDOWN($D29/INDEX('ETF데이터'!$D$4:$D$253,$K29),0))</f>
        <v/>
      </c>
      <c r="F29" s="26">
        <f>IF($K29=0,0,$E29*INDEX('ETF데이터'!$D$4:$D$253,$K29))</f>
        <v/>
      </c>
      <c r="G29" s="26">
        <f>IF($K29=0,0,$F29*INDEX('ETF데이터'!$J$4:$J$253,$K29)/12)</f>
        <v/>
      </c>
      <c r="H29" s="28">
        <f>$G29*(1-$C$13*$O29)</f>
        <v/>
      </c>
      <c r="K29" s="3">
        <f>IF($B29="",0,IFERROR(MATCH($B29,선택가능종목,0),0))</f>
        <v/>
      </c>
      <c r="L29" s="3">
        <f>IF($K29=0,"",INDEX('ETF데이터'!$M$4:$M$253,$K29))</f>
        <v/>
      </c>
      <c r="M29" s="3">
        <f>IF($K29=0,"",INDEX('ETF데이터'!$R$4:$R$253,$K29))</f>
        <v/>
      </c>
      <c r="N29" s="3">
        <f>IF(OR($M29="",$M29="월배당"),0,1)</f>
        <v/>
      </c>
      <c r="O29" s="3">
        <f>IF($K29=0,1,IF(INDEX('ETF데이터'!$T$4:$T$253,$K29)="",1,INDEX('ETF데이터'!$T$4:$T$253,$K29)))</f>
        <v/>
      </c>
      <c r="P29" s="3">
        <f>IF($K29=0,0,IF(INDEX('ETF데이터'!$T$4:$T$253,$K29)="",1,0))</f>
        <v/>
      </c>
    </row>
    <row r="30" ht="21" customHeight="1">
      <c r="B30" s="29" t="inlineStr">
        <is>
          <t>합계</t>
        </is>
      </c>
      <c r="C30" s="30">
        <f>SUM(C20:C29)</f>
        <v/>
      </c>
      <c r="D30" s="31">
        <f>SUM(D20:D29)</f>
        <v/>
      </c>
      <c r="E30" s="32" t="n"/>
      <c r="F30" s="31">
        <f>SUM(F20:F29)</f>
        <v/>
      </c>
      <c r="G30" s="31">
        <f>SUM(G20:G29)</f>
        <v/>
      </c>
      <c r="H30" s="33">
        <f>SUM(H20:H29)</f>
        <v/>
      </c>
    </row>
    <row r="31" ht="17" customHeight="1">
      <c r="B31" s="34">
        <f>IF($C$12="비율",IF(ABS($C30-100)&gt;0.01,"※ 배분 비율 합계가 100%가 아닙니다. 배분 칸을 확인하십시오.",""),IF($D30&gt;$C$11,"※ 배분 금액 합계가 총 투자금액을 넘습니다.",""))</f>
        <v/>
      </c>
    </row>
    <row r="32" ht="17" customHeight="1">
      <c r="B32" s="35">
        <f>IF(COUNTIF($L$20:$L$29,"제외")&gt;0,"※ 유동성·변동성 기준에 미달한 종목이 담겨 있습니다. [ETF데이터] 장의 제외 사유를 확인하십시오.","")</f>
        <v/>
      </c>
    </row>
    <row r="33" ht="17" customHeight="1">
      <c r="B33" s="35">
        <f>IF(SUM($N$20:$N$29)&gt;0,"※ 월배당이 아닌 종목이 담겨 있습니다. 위의 '월 예상 분배금' 은 연 분배금을 12로 나눈 월 환산액이며, 실제 지급은 그 종목의 주기(분기·연 등)를 따릅니다.","")</f>
        <v/>
      </c>
    </row>
    <row r="34" ht="17" customHeight="1">
      <c r="B34" s="35">
        <f>IF(SUM($P$20:$P$29)&gt;0,"※ 과세표준을 확인하지 못한 종목이 담겨 있습니다. 그 종목은 분배금 전액에 세율을 적용해 계산했으므로, 실제 세후 수령액은 표시된 금액보다 많을 수 있습니다.","")</f>
        <v/>
      </c>
    </row>
    <row r="35">
      <c r="B35" s="3" t="inlineStr">
        <is>
          <t>빈 줄은 계산에서 빠집니다. 한 종목만 담으려면 첫 줄에만 넣고 배분을 100 으로 두십시오.</t>
        </is>
      </c>
    </row>
    <row r="37" ht="4" customHeight="1">
      <c r="A37" s="8" t="n"/>
      <c r="B37" s="8" t="n"/>
      <c r="C37" s="8" t="n"/>
      <c r="D37" s="8" t="n"/>
      <c r="E37" s="8" t="n"/>
      <c r="F37" s="8" t="n"/>
      <c r="G37" s="8" t="n"/>
      <c r="H37" s="8" t="n"/>
    </row>
    <row r="38" ht="26" customHeight="1">
      <c r="A38" s="9" t="inlineStr">
        <is>
          <t>3</t>
        </is>
      </c>
      <c r="B38" s="10" t="inlineStr">
        <is>
          <t>예상 분배금 요약</t>
        </is>
      </c>
    </row>
    <row r="39" ht="6" customHeight="1"/>
    <row r="40" ht="34" customHeight="1">
      <c r="B40" s="11" t="inlineStr">
        <is>
          <t>총 투자금액</t>
        </is>
      </c>
      <c r="C40" s="36">
        <f>$C$11</f>
        <v/>
      </c>
      <c r="F40" s="37" t="inlineStr">
        <is>
          <t>월 예상 분배금 (세전)</t>
        </is>
      </c>
      <c r="G40" s="38">
        <f>$G$30</f>
        <v/>
      </c>
      <c r="H40" s="39" t="n"/>
    </row>
    <row r="41" ht="20" customHeight="1">
      <c r="B41" s="11" t="inlineStr">
        <is>
          <t>실제 투자금액</t>
        </is>
      </c>
      <c r="C41" s="40">
        <f>$F$30</f>
        <v/>
      </c>
      <c r="F41" s="11" t="inlineStr">
        <is>
          <t>월 예상 분배금 (세후)</t>
        </is>
      </c>
      <c r="G41" s="36">
        <f>$H$30</f>
        <v/>
      </c>
    </row>
    <row r="42" ht="20" customHeight="1">
      <c r="B42" s="11" t="inlineStr">
        <is>
          <t>미투자 잔액</t>
        </is>
      </c>
      <c r="C42" s="40">
        <f>$C$11-$F$30</f>
        <v/>
      </c>
      <c r="F42" s="11" t="inlineStr">
        <is>
          <t>연 예상 분배금 (세전)</t>
        </is>
      </c>
      <c r="G42" s="40">
        <f>$G$30*12</f>
        <v/>
      </c>
    </row>
    <row r="43" ht="20" customHeight="1">
      <c r="B43" s="11" t="inlineStr">
        <is>
          <t>담은 종목 수</t>
        </is>
      </c>
      <c r="C43" s="41">
        <f>COUNTIF($K$20:$K$29,"&gt;0")</f>
        <v/>
      </c>
      <c r="F43" s="11" t="inlineStr">
        <is>
          <t>연 예상 분배금 (세후)</t>
        </is>
      </c>
      <c r="G43" s="42">
        <f>$H$30*12</f>
        <v/>
      </c>
    </row>
    <row r="44" ht="20" customHeight="1">
      <c r="B44" s="11" t="inlineStr">
        <is>
          <t>연 수익률 (세전, 가중평균)</t>
        </is>
      </c>
      <c r="C44" s="43">
        <f>IF($F$30=0,0,$G$30*12/$F$30)</f>
        <v/>
      </c>
      <c r="F44" s="11" t="inlineStr">
        <is>
          <t>월 수익률 (세전)</t>
        </is>
      </c>
      <c r="G44" s="44">
        <f>IF($F$30=0,0,$G$30/$F$30)</f>
        <v/>
      </c>
    </row>
    <row r="45" ht="20" customHeight="1">
      <c r="B45" s="11" t="inlineStr">
        <is>
          <t>연 수익률 (세후, 가중평균)</t>
        </is>
      </c>
      <c r="C45" s="45">
        <f>IF($F$30=0,0,$H$30*12/$F$30)</f>
        <v/>
      </c>
      <c r="F45" s="11" t="inlineStr">
        <is>
          <t>월 수익률 (세후)</t>
        </is>
      </c>
      <c r="G45" s="46">
        <f>IF($F$30=0,0,$H$30/$F$30)</f>
        <v/>
      </c>
    </row>
    <row r="46">
      <c r="B46" s="7" t="inlineStr">
        <is>
          <t>연 수익률은 담은 종목들의 최근 12개월 실제 분배금을 투자 비중으로 가중한 값입니다. 확정 수익률이 아니며 매월 달라집니다.</t>
        </is>
      </c>
    </row>
    <row r="48" ht="4" customHeight="1">
      <c r="A48" s="8" t="n"/>
      <c r="B48" s="8" t="n"/>
      <c r="C48" s="8" t="n"/>
      <c r="D48" s="8" t="n"/>
      <c r="E48" s="8" t="n"/>
      <c r="F48" s="8" t="n"/>
      <c r="G48" s="8" t="n"/>
      <c r="H48" s="8" t="n"/>
    </row>
    <row r="49" ht="26" customHeight="1">
      <c r="A49" s="9" t="inlineStr">
        <is>
          <t>4</t>
        </is>
      </c>
      <c r="B49" s="10" t="inlineStr">
        <is>
          <t>총 투자금액별 예상 분배금  (위 구성을 그대로 두고 금액만 바꿨을 때)</t>
        </is>
      </c>
    </row>
    <row r="50" ht="6" customHeight="1"/>
    <row r="51" ht="28" customHeight="1">
      <c r="B51" s="18" t="inlineStr">
        <is>
          <t>투자금액 구간</t>
        </is>
      </c>
      <c r="C51" s="19" t="inlineStr">
        <is>
          <t>월 분배금(세전)</t>
        </is>
      </c>
      <c r="D51" s="19" t="inlineStr">
        <is>
          <t>월 분배금(세후)</t>
        </is>
      </c>
      <c r="E51" s="19" t="inlineStr">
        <is>
          <t>연 분배금(세전)</t>
        </is>
      </c>
      <c r="F51" s="20" t="inlineStr">
        <is>
          <t>연 분배금(세후)</t>
        </is>
      </c>
    </row>
    <row r="52" ht="19" customHeight="1">
      <c r="B52" s="47" t="n">
        <v>10000000</v>
      </c>
      <c r="C52" s="48">
        <f>$B52*$C$44/12</f>
        <v/>
      </c>
      <c r="D52" s="48">
        <f>$C52*IF($G$30=0,1-$C$13,$H$30/$G$30)</f>
        <v/>
      </c>
      <c r="E52" s="48">
        <f>$B52*$C$44</f>
        <v/>
      </c>
      <c r="F52" s="49">
        <f>$E52*IF($G$30=0,1-$C$13,$H$30/$G$30)</f>
        <v/>
      </c>
    </row>
    <row r="53" ht="19" customHeight="1">
      <c r="B53" s="50" t="n">
        <v>30000000</v>
      </c>
      <c r="C53" s="51">
        <f>$B53*$C$44/12</f>
        <v/>
      </c>
      <c r="D53" s="51">
        <f>$C53*IF($G$30=0,1-$C$13,$H$30/$G$30)</f>
        <v/>
      </c>
      <c r="E53" s="51">
        <f>$B53*$C$44</f>
        <v/>
      </c>
      <c r="F53" s="52">
        <f>$E53*IF($G$30=0,1-$C$13,$H$30/$G$30)</f>
        <v/>
      </c>
    </row>
    <row r="54" ht="19" customHeight="1">
      <c r="B54" s="47" t="n">
        <v>50000000</v>
      </c>
      <c r="C54" s="48">
        <f>$B54*$C$44/12</f>
        <v/>
      </c>
      <c r="D54" s="48">
        <f>$C54*IF($G$30=0,1-$C$13,$H$30/$G$30)</f>
        <v/>
      </c>
      <c r="E54" s="48">
        <f>$B54*$C$44</f>
        <v/>
      </c>
      <c r="F54" s="49">
        <f>$E54*IF($G$30=0,1-$C$13,$H$30/$G$30)</f>
        <v/>
      </c>
    </row>
    <row r="55" ht="19" customHeight="1">
      <c r="B55" s="50" t="n">
        <v>100000000</v>
      </c>
      <c r="C55" s="51">
        <f>$B55*$C$44/12</f>
        <v/>
      </c>
      <c r="D55" s="51">
        <f>$C55*IF($G$30=0,1-$C$13,$H$30/$G$30)</f>
        <v/>
      </c>
      <c r="E55" s="51">
        <f>$B55*$C$44</f>
        <v/>
      </c>
      <c r="F55" s="52">
        <f>$E55*IF($G$30=0,1-$C$13,$H$30/$G$30)</f>
        <v/>
      </c>
    </row>
    <row r="56" ht="19" customHeight="1">
      <c r="B56" s="47" t="n">
        <v>200000000</v>
      </c>
      <c r="C56" s="48">
        <f>$B56*$C$44/12</f>
        <v/>
      </c>
      <c r="D56" s="48">
        <f>$C56*IF($G$30=0,1-$C$13,$H$30/$G$30)</f>
        <v/>
      </c>
      <c r="E56" s="48">
        <f>$B56*$C$44</f>
        <v/>
      </c>
      <c r="F56" s="49">
        <f>$E56*IF($G$30=0,1-$C$13,$H$30/$G$30)</f>
        <v/>
      </c>
    </row>
    <row r="57" ht="19" customHeight="1">
      <c r="B57" s="50" t="n">
        <v>300000000</v>
      </c>
      <c r="C57" s="51">
        <f>$B57*$C$44/12</f>
        <v/>
      </c>
      <c r="D57" s="51">
        <f>$C57*IF($G$30=0,1-$C$13,$H$30/$G$30)</f>
        <v/>
      </c>
      <c r="E57" s="51">
        <f>$B57*$C$44</f>
        <v/>
      </c>
      <c r="F57" s="52">
        <f>$E57*IF($G$30=0,1-$C$13,$H$30/$G$30)</f>
        <v/>
      </c>
    </row>
    <row r="58" ht="19" customHeight="1">
      <c r="B58" s="47" t="n">
        <v>500000000</v>
      </c>
      <c r="C58" s="48">
        <f>$B58*$C$44/12</f>
        <v/>
      </c>
      <c r="D58" s="48">
        <f>$C58*IF($G$30=0,1-$C$13,$H$30/$G$30)</f>
        <v/>
      </c>
      <c r="E58" s="48">
        <f>$B58*$C$44</f>
        <v/>
      </c>
      <c r="F58" s="49">
        <f>$E58*IF($G$30=0,1-$C$13,$H$30/$G$30)</f>
        <v/>
      </c>
    </row>
    <row r="59" ht="19" customHeight="1">
      <c r="B59" s="53" t="n">
        <v>1000000000</v>
      </c>
      <c r="C59" s="54">
        <f>$B59*$C$44/12</f>
        <v/>
      </c>
      <c r="D59" s="54">
        <f>$C59*IF($G$30=0,1-$C$13,$H$30/$G$30)</f>
        <v/>
      </c>
      <c r="E59" s="54">
        <f>$B59*$C$44</f>
        <v/>
      </c>
      <c r="F59" s="55">
        <f>$E59*IF($G$30=0,1-$C$13,$H$30/$G$30)</f>
        <v/>
      </c>
    </row>
    <row r="60">
      <c r="B60" s="7" t="inlineStr">
        <is>
          <t>※ 단주 절사를 반영하지 않은 근사치라 2·3. 의 값과 몇 천 원 차이가 날 수 있습니다.</t>
        </is>
      </c>
    </row>
    <row r="62" ht="4" customHeight="1">
      <c r="A62" s="8" t="n"/>
      <c r="B62" s="8" t="n"/>
      <c r="C62" s="8" t="n"/>
      <c r="D62" s="8" t="n"/>
      <c r="E62" s="8" t="n"/>
      <c r="F62" s="8" t="n"/>
      <c r="G62" s="8" t="n"/>
      <c r="H62" s="8" t="n"/>
    </row>
    <row r="63" ht="26" customHeight="1">
      <c r="A63" s="9" t="inlineStr">
        <is>
          <t>5</t>
        </is>
      </c>
      <c r="B63" s="10" t="inlineStr">
        <is>
          <t>월배당 ETF 비교  (1억원 단독 투자 기준 · 연 분배율 상위 8 + 순자산 상위 6, 파킹형 제외 · 채택 월배당 73종목 중)</t>
        </is>
      </c>
    </row>
    <row r="64" ht="6" customHeight="1"/>
    <row r="65" ht="30" customHeight="1">
      <c r="B65" s="18" t="inlineStr">
        <is>
          <t>종목명</t>
        </is>
      </c>
      <c r="C65" s="19" t="inlineStr">
        <is>
          <t>유형</t>
        </is>
      </c>
      <c r="D65" s="19" t="inlineStr">
        <is>
          <t>현재가</t>
        </is>
      </c>
      <c r="E65" s="19" t="inlineStr">
        <is>
          <t>연 분배율</t>
        </is>
      </c>
      <c r="F65" s="19" t="inlineStr">
        <is>
          <t>월 분배금(세전)</t>
        </is>
      </c>
      <c r="G65" s="19" t="inlineStr">
        <is>
          <t>월 분배금(세후)</t>
        </is>
      </c>
      <c r="H65" s="20" t="inlineStr">
        <is>
          <t>변동성(1년)</t>
        </is>
      </c>
    </row>
    <row r="66" ht="19" customHeight="1">
      <c r="B66" s="56">
        <f>'ETF데이터'!$A$4</f>
        <v/>
      </c>
      <c r="C66" s="57">
        <f>'ETF데이터'!$P$4</f>
        <v/>
      </c>
      <c r="D66" s="48">
        <f>'ETF데이터'!$D$4</f>
        <v/>
      </c>
      <c r="E66" s="58">
        <f>'ETF데이터'!$J$4</f>
        <v/>
      </c>
      <c r="F66" s="48">
        <f>IF($D66=0,0,ROUNDDOWN(100000000/$D66,0)*$D66*$E66/12)</f>
        <v/>
      </c>
      <c r="G66" s="48">
        <f>$F66*(1-$C$13*'ETF데이터'!$T$4)</f>
        <v/>
      </c>
      <c r="H66" s="59">
        <f>'ETF데이터'!$H$4</f>
        <v/>
      </c>
    </row>
    <row r="67" ht="19" customHeight="1">
      <c r="B67" s="60">
        <f>'ETF데이터'!$A$5</f>
        <v/>
      </c>
      <c r="C67" s="61">
        <f>'ETF데이터'!$P$5</f>
        <v/>
      </c>
      <c r="D67" s="51">
        <f>'ETF데이터'!$D$5</f>
        <v/>
      </c>
      <c r="E67" s="62">
        <f>'ETF데이터'!$J$5</f>
        <v/>
      </c>
      <c r="F67" s="51">
        <f>IF($D67=0,0,ROUNDDOWN(100000000/$D67,0)*$D67*$E67/12)</f>
        <v/>
      </c>
      <c r="G67" s="51">
        <f>$F67*(1-$C$13*'ETF데이터'!$T$5)</f>
        <v/>
      </c>
      <c r="H67" s="63">
        <f>'ETF데이터'!$H$5</f>
        <v/>
      </c>
    </row>
    <row r="68" ht="19" customHeight="1">
      <c r="B68" s="56">
        <f>'ETF데이터'!$A$6</f>
        <v/>
      </c>
      <c r="C68" s="57">
        <f>'ETF데이터'!$P$6</f>
        <v/>
      </c>
      <c r="D68" s="48">
        <f>'ETF데이터'!$D$6</f>
        <v/>
      </c>
      <c r="E68" s="58">
        <f>'ETF데이터'!$J$6</f>
        <v/>
      </c>
      <c r="F68" s="48">
        <f>IF($D68=0,0,ROUNDDOWN(100000000/$D68,0)*$D68*$E68/12)</f>
        <v/>
      </c>
      <c r="G68" s="48">
        <f>$F68*(1-$C$13*'ETF데이터'!$T$6)</f>
        <v/>
      </c>
      <c r="H68" s="59">
        <f>'ETF데이터'!$H$6</f>
        <v/>
      </c>
    </row>
    <row r="69" ht="19" customHeight="1">
      <c r="B69" s="60">
        <f>'ETF데이터'!$A$7</f>
        <v/>
      </c>
      <c r="C69" s="61">
        <f>'ETF데이터'!$P$7</f>
        <v/>
      </c>
      <c r="D69" s="51">
        <f>'ETF데이터'!$D$7</f>
        <v/>
      </c>
      <c r="E69" s="62">
        <f>'ETF데이터'!$J$7</f>
        <v/>
      </c>
      <c r="F69" s="51">
        <f>IF($D69=0,0,ROUNDDOWN(100000000/$D69,0)*$D69*$E69/12)</f>
        <v/>
      </c>
      <c r="G69" s="51">
        <f>$F69*(1-$C$13*'ETF데이터'!$T$7)</f>
        <v/>
      </c>
      <c r="H69" s="63">
        <f>'ETF데이터'!$H$7</f>
        <v/>
      </c>
    </row>
    <row r="70" ht="19" customHeight="1">
      <c r="B70" s="56">
        <f>'ETF데이터'!$A$8</f>
        <v/>
      </c>
      <c r="C70" s="57">
        <f>'ETF데이터'!$P$8</f>
        <v/>
      </c>
      <c r="D70" s="48">
        <f>'ETF데이터'!$D$8</f>
        <v/>
      </c>
      <c r="E70" s="58">
        <f>'ETF데이터'!$J$8</f>
        <v/>
      </c>
      <c r="F70" s="48">
        <f>IF($D70=0,0,ROUNDDOWN(100000000/$D70,0)*$D70*$E70/12)</f>
        <v/>
      </c>
      <c r="G70" s="48">
        <f>$F70*(1-$C$13*'ETF데이터'!$T$8)</f>
        <v/>
      </c>
      <c r="H70" s="59">
        <f>'ETF데이터'!$H$8</f>
        <v/>
      </c>
    </row>
    <row r="71" ht="19" customHeight="1">
      <c r="B71" s="60">
        <f>'ETF데이터'!$A$9</f>
        <v/>
      </c>
      <c r="C71" s="61">
        <f>'ETF데이터'!$P$9</f>
        <v/>
      </c>
      <c r="D71" s="51">
        <f>'ETF데이터'!$D$9</f>
        <v/>
      </c>
      <c r="E71" s="62">
        <f>'ETF데이터'!$J$9</f>
        <v/>
      </c>
      <c r="F71" s="51">
        <f>IF($D71=0,0,ROUNDDOWN(100000000/$D71,0)*$D71*$E71/12)</f>
        <v/>
      </c>
      <c r="G71" s="51">
        <f>$F71*(1-$C$13*'ETF데이터'!$T$9)</f>
        <v/>
      </c>
      <c r="H71" s="63">
        <f>'ETF데이터'!$H$9</f>
        <v/>
      </c>
    </row>
    <row r="72" ht="19" customHeight="1">
      <c r="B72" s="56">
        <f>'ETF데이터'!$A$10</f>
        <v/>
      </c>
      <c r="C72" s="57">
        <f>'ETF데이터'!$P$10</f>
        <v/>
      </c>
      <c r="D72" s="48">
        <f>'ETF데이터'!$D$10</f>
        <v/>
      </c>
      <c r="E72" s="58">
        <f>'ETF데이터'!$J$10</f>
        <v/>
      </c>
      <c r="F72" s="48">
        <f>IF($D72=0,0,ROUNDDOWN(100000000/$D72,0)*$D72*$E72/12)</f>
        <v/>
      </c>
      <c r="G72" s="48">
        <f>$F72*(1-$C$13*'ETF데이터'!$T$10)</f>
        <v/>
      </c>
      <c r="H72" s="59">
        <f>'ETF데이터'!$H$10</f>
        <v/>
      </c>
    </row>
    <row r="73" ht="19" customHeight="1">
      <c r="B73" s="60">
        <f>'ETF데이터'!$A$11</f>
        <v/>
      </c>
      <c r="C73" s="61">
        <f>'ETF데이터'!$P$11</f>
        <v/>
      </c>
      <c r="D73" s="51">
        <f>'ETF데이터'!$D$11</f>
        <v/>
      </c>
      <c r="E73" s="62">
        <f>'ETF데이터'!$J$11</f>
        <v/>
      </c>
      <c r="F73" s="51">
        <f>IF($D73=0,0,ROUNDDOWN(100000000/$D73,0)*$D73*$E73/12)</f>
        <v/>
      </c>
      <c r="G73" s="51">
        <f>$F73*(1-$C$13*'ETF데이터'!$T$11)</f>
        <v/>
      </c>
      <c r="H73" s="63">
        <f>'ETF데이터'!$H$11</f>
        <v/>
      </c>
    </row>
    <row r="74" ht="19" customHeight="1">
      <c r="B74" s="56">
        <f>'ETF데이터'!$A$17</f>
        <v/>
      </c>
      <c r="C74" s="57">
        <f>'ETF데이터'!$P$17</f>
        <v/>
      </c>
      <c r="D74" s="48">
        <f>'ETF데이터'!$D$17</f>
        <v/>
      </c>
      <c r="E74" s="58">
        <f>'ETF데이터'!$J$17</f>
        <v/>
      </c>
      <c r="F74" s="48">
        <f>IF($D74=0,0,ROUNDDOWN(100000000/$D74,0)*$D74*$E74/12)</f>
        <v/>
      </c>
      <c r="G74" s="48">
        <f>$F74*(1-$C$13*'ETF데이터'!$T$17)</f>
        <v/>
      </c>
      <c r="H74" s="59">
        <f>'ETF데이터'!$H$17</f>
        <v/>
      </c>
    </row>
    <row r="75" ht="19" customHeight="1">
      <c r="B75" s="60">
        <f>'ETF데이터'!$A$28</f>
        <v/>
      </c>
      <c r="C75" s="61">
        <f>'ETF데이터'!$P$28</f>
        <v/>
      </c>
      <c r="D75" s="51">
        <f>'ETF데이터'!$D$28</f>
        <v/>
      </c>
      <c r="E75" s="62">
        <f>'ETF데이터'!$J$28</f>
        <v/>
      </c>
      <c r="F75" s="51">
        <f>IF($D75=0,0,ROUNDDOWN(100000000/$D75,0)*$D75*$E75/12)</f>
        <v/>
      </c>
      <c r="G75" s="51">
        <f>$F75*(1-$C$13*'ETF데이터'!$T$28)</f>
        <v/>
      </c>
      <c r="H75" s="63">
        <f>'ETF데이터'!$H$28</f>
        <v/>
      </c>
    </row>
    <row r="76" ht="19" customHeight="1">
      <c r="B76" s="56">
        <f>'ETF데이터'!$A$44</f>
        <v/>
      </c>
      <c r="C76" s="57">
        <f>'ETF데이터'!$P$44</f>
        <v/>
      </c>
      <c r="D76" s="48">
        <f>'ETF데이터'!$D$44</f>
        <v/>
      </c>
      <c r="E76" s="58">
        <f>'ETF데이터'!$J$44</f>
        <v/>
      </c>
      <c r="F76" s="48">
        <f>IF($D76=0,0,ROUNDDOWN(100000000/$D76,0)*$D76*$E76/12)</f>
        <v/>
      </c>
      <c r="G76" s="48">
        <f>$F76*(1-$C$13*'ETF데이터'!$T$44)</f>
        <v/>
      </c>
      <c r="H76" s="59">
        <f>'ETF데이터'!$H$44</f>
        <v/>
      </c>
    </row>
    <row r="77" ht="19" customHeight="1">
      <c r="B77" s="60">
        <f>'ETF데이터'!$A$59</f>
        <v/>
      </c>
      <c r="C77" s="61">
        <f>'ETF데이터'!$P$59</f>
        <v/>
      </c>
      <c r="D77" s="51">
        <f>'ETF데이터'!$D$59</f>
        <v/>
      </c>
      <c r="E77" s="62">
        <f>'ETF데이터'!$J$59</f>
        <v/>
      </c>
      <c r="F77" s="51">
        <f>IF($D77=0,0,ROUNDDOWN(100000000/$D77,0)*$D77*$E77/12)</f>
        <v/>
      </c>
      <c r="G77" s="51">
        <f>$F77*(1-$C$13*'ETF데이터'!$T$59)</f>
        <v/>
      </c>
      <c r="H77" s="63">
        <f>'ETF데이터'!$H$59</f>
        <v/>
      </c>
    </row>
    <row r="78" ht="19" customHeight="1">
      <c r="B78" s="56">
        <f>'ETF데이터'!$A$66</f>
        <v/>
      </c>
      <c r="C78" s="57">
        <f>'ETF데이터'!$P$66</f>
        <v/>
      </c>
      <c r="D78" s="48">
        <f>'ETF데이터'!$D$66</f>
        <v/>
      </c>
      <c r="E78" s="58">
        <f>'ETF데이터'!$J$66</f>
        <v/>
      </c>
      <c r="F78" s="48">
        <f>IF($D78=0,0,ROUNDDOWN(100000000/$D78,0)*$D78*$E78/12)</f>
        <v/>
      </c>
      <c r="G78" s="48">
        <f>$F78*(1-$C$13*'ETF데이터'!$T$66)</f>
        <v/>
      </c>
      <c r="H78" s="59">
        <f>'ETF데이터'!$H$66</f>
        <v/>
      </c>
    </row>
    <row r="79" ht="19" customHeight="1">
      <c r="B79" s="64">
        <f>'ETF데이터'!$A$79</f>
        <v/>
      </c>
      <c r="C79" s="65">
        <f>'ETF데이터'!$P$79</f>
        <v/>
      </c>
      <c r="D79" s="54">
        <f>'ETF데이터'!$D$79</f>
        <v/>
      </c>
      <c r="E79" s="66">
        <f>'ETF데이터'!$J$79</f>
        <v/>
      </c>
      <c r="F79" s="54">
        <f>IF($D79=0,0,ROUNDDOWN(100000000/$D79,0)*$D79*$E79/12)</f>
        <v/>
      </c>
      <c r="G79" s="54">
        <f>$F79*(1-$C$13*'ETF데이터'!$T$79)</f>
        <v/>
      </c>
      <c r="H79" s="67">
        <f>'ETF데이터'!$H$79</f>
        <v/>
      </c>
    </row>
    <row r="80">
      <c r="B80" s="7" t="inlineStr">
        <is>
          <t>※ 드롭다운에는 기준 미달 종목까지 전부 담겨 있습니다. 위 표에는 기준을 통과한 종목만 실었습니다.</t>
        </is>
      </c>
    </row>
    <row r="82" ht="4" customHeight="1">
      <c r="A82" s="8" t="n"/>
      <c r="B82" s="8" t="n"/>
      <c r="C82" s="8" t="n"/>
      <c r="D82" s="8" t="n"/>
      <c r="E82" s="8" t="n"/>
      <c r="F82" s="8" t="n"/>
      <c r="G82" s="8" t="n"/>
      <c r="H82" s="8" t="n"/>
    </row>
    <row r="83" ht="26" customHeight="1">
      <c r="A83" s="9" t="inlineStr">
        <is>
          <t>6</t>
        </is>
      </c>
      <c r="B83" s="10" t="inlineStr">
        <is>
          <t>유의사항</t>
        </is>
      </c>
    </row>
    <row r="84" ht="6" customHeight="1"/>
    <row r="85" ht="16" customHeight="1">
      <c r="B85" s="68" t="inlineStr">
        <is>
          <t>· 이 자료는 투자 권유가 아니라 참고 자료입니다. 최종 투자 판단과 그 결과는 투자자 본인에게 귀속됩니다.</t>
        </is>
      </c>
    </row>
    <row r="86" ht="16" customHeight="1">
      <c r="B86" s="68" t="inlineStr">
        <is>
          <t>· ETF 는 예금자보호법의 보호를 받지 않으며, 원금 손실이 발생할 수 있습니다.</t>
        </is>
      </c>
    </row>
    <row r="87" ht="16" customHeight="1">
      <c r="B87" s="7" t="inlineStr">
        <is>
          <t>· 분배금은 확정되지 않습니다. 커버드콜 ETF 의 분배 재원은 옵션 프리미엄이므로, 시장 변동성이 낮아지면 분배금도 함께 줄어듭니다.</t>
        </is>
      </c>
    </row>
    <row r="88" ht="16" customHeight="1">
      <c r="B88" s="7" t="inlineStr">
        <is>
          <t>· 분배금의 일부가 원금에서 지급될 수 있습니다(자본 환급). 이 경우 기준가가 그만큼 낮아집니다.</t>
        </is>
      </c>
    </row>
    <row r="89" ht="16" customHeight="1">
      <c r="B89" s="7" t="inlineStr">
        <is>
          <t>· 표시된 연 분배율은 최근 12개월 실제 분배금 합계를 현재가로 나눈 값(사후 수치)이며, 앞으로의 수익률을 보장하지 않습니다.</t>
        </is>
      </c>
    </row>
    <row r="90" ht="16" customHeight="1">
      <c r="B90" s="7" t="inlineStr">
        <is>
          <t>· 세율은 국내 상장 ETF 분배금 기준 15.4%(배당소득세 14% + 지방소득세 1.4%)를 적용했습니다. 금융소득종합과세 대상자는 실효세율이 달라집니다.</t>
        </is>
      </c>
    </row>
    <row r="91" ht="16" customHeight="1">
      <c r="B91" s="7" t="inlineStr">
        <is>
          <t>· 세금은 분배금 전액이 아니라 과세표준액에만 붙습니다. 국내주식 매매차익과 장내파생 손익은 과세표준에 들어가지 않으므로, 그 재원으로 분배하는 종목은 분배금의 상당 부분이 비과세입니다. 그래서 종목마다 다른 과세비율을 적용했습니다(고를 수 있는 250종목 중 250종목). 비율은 [ETF데이터] 장의 '과세비율' 칸에 있습니다.</t>
        </is>
      </c>
    </row>
    <row r="92" ht="16" customHeight="1">
      <c r="B92" s="7" t="inlineStr">
        <is>
          <t>· 과세비율은 최근 12개월에 실제로 매겨진 과세표준액을 같은 기간 분배금으로 나눈 값입니다. 지나간 실적이므로 앞으로도 같다는 뜻은 아닙니다 — 분배 재원(배당·이자·매매차익·파생손익)의 구성이 바뀌면 비율도 함께 바뀌고, 실제로 한 종목 안에서도 회차마다 0%에서 17%까지 움직인 사례가 있습니다. 실제 세액은 지급 시점의 과세표준으로 확정되므로 이 표와 다를 수 있습니다. 과세비율을 확인하지 못한 종목은 그 칸이 비어 있고, 분배금 전액에 세율을 적용해 보수적으로 계산했으므로 실제 세후 수령액이 표시된 금액보다 많을 수 있습니다.</t>
        </is>
      </c>
    </row>
    <row r="93" ht="16" customHeight="1">
      <c r="B93" s="7" t="inlineStr">
        <is>
          <t>· 세무 상담이 필요한 사안은 이 문서로 갈음하지 마시고 세무 전문가의 확인을 받으십시오.</t>
        </is>
      </c>
    </row>
    <row r="94" ht="16" customHeight="1">
      <c r="B94" s="7" t="inlineStr">
        <is>
          <t>· 매매수수료·거래세·환율 변동은 반영하지 않았습니다. 총보수는 분배율에 이미 반영되어 있습니다(기준가 차감).</t>
        </is>
      </c>
    </row>
    <row r="95" ht="16" customHeight="1">
      <c r="B95" s="7" t="inlineStr">
        <is>
          <t>· 수량은 정수 매수를 가정해 내림 처리했습니다. 남는 금액은 '미투자 잔액'에 표시됩니다.</t>
        </is>
      </c>
    </row>
    <row r="96" ht="16" customHeight="1">
      <c r="B96" s="7" t="inlineStr">
        <is>
          <t>· 여러 종목에 나눠 담아도 분배 시기는 종목마다 다릅니다. 매월 같은 날 한꺼번에 들어오지 않습니다.</t>
        </is>
      </c>
    </row>
    <row r="97" ht="16" customHeight="1">
      <c r="B97" s="7" t="inlineStr">
        <is>
          <t>· 목록에는 커버드콜뿐 아니라 리츠·채권형·배당주·파킹형 월배당 ETF 가 함께 있습니다. 분배 재원과 위험이 서로 다르므로 [ETF데이터] 장의 '유형'·'자산군' 칸을 확인하십시오.</t>
        </is>
      </c>
    </row>
    <row r="98" ht="16" customHeight="1">
      <c r="B98" s="7" t="inlineStr">
        <is>
          <t>· 드롭다운에는 유동성·변동성 기준에 미달한 종목도 담겨 있습니다. 담으면 2. 아래에 안내가 뜹니다.</t>
        </is>
      </c>
    </row>
    <row r="100" ht="15" customHeight="1">
      <c r="B100" s="69" t="inlineStr">
        <is>
          <t>자료 출처 ETFCHECK (www.etfcheck.co.kr) · 수집 2026-09-18T01:24:35.203Z · 대상 국내 상장 월배당 ETF · 채택 기준 순자산 300억원 이상, 60일 평균거래대금 5억원 이상, 연환산 변동성 35% 이하, 분배 이력 12개월 이상</t>
        </is>
      </c>
    </row>
  </sheetData>
  <mergeCells count="25">
    <mergeCell ref="B92:H92"/>
    <mergeCell ref="B95:H95"/>
    <mergeCell ref="B33:H33"/>
    <mergeCell ref="A1:H1"/>
    <mergeCell ref="B89:H89"/>
    <mergeCell ref="B85:H85"/>
    <mergeCell ref="B32:H32"/>
    <mergeCell ref="B94:H94"/>
    <mergeCell ref="B97:H97"/>
    <mergeCell ref="B35:H35"/>
    <mergeCell ref="B91:H91"/>
    <mergeCell ref="B100:H100"/>
    <mergeCell ref="B90:H90"/>
    <mergeCell ref="B31:H31"/>
    <mergeCell ref="A3:H3"/>
    <mergeCell ref="B93:H93"/>
    <mergeCell ref="B96:H96"/>
    <mergeCell ref="A2:H2"/>
    <mergeCell ref="B86:H86"/>
    <mergeCell ref="A5:H5"/>
    <mergeCell ref="B98:H98"/>
    <mergeCell ref="B88:H88"/>
    <mergeCell ref="B87:H87"/>
    <mergeCell ref="G40:H40"/>
    <mergeCell ref="B34:H34"/>
  </mergeCells>
  <dataValidations count="2">
    <dataValidation sqref="C12" showDropDown="0" showInputMessage="0" showErrorMessage="0" allowBlank="0" errorTitle="배분 방식" error="비율 또는 금액 중에서 고르십시오." promptTitle="배분 방식" prompt="비율(%) 로 나눌지, 금액(원) 으로 나눌지 고르십시오." type="list">
      <formula1>"비율,금액"</formula1>
    </dataValidation>
    <dataValidation sqref="B20:B29" showDropDown="0" showInputMessage="0" showErrorMessage="0" allowBlank="1" errorTitle="선택할 수 없는 종목" error="목록에 있는 ETF 중에서 고르십시오. 검색 칸을 비우면 전체 목록이 나옵니다." promptTitle="ETF 선택" prompt="▼ 를 눌러 고르십시오. 위 '종목 검색' 으로 목록을 좁힐 수 있습니다." type="list">
      <formula1>=검색결과</formula1>
    </dataValidation>
  </dataValidations>
  <printOptions horizontalCentered="1"/>
  <pageMargins left="0.35" right="0.35" top="0.45" bottom="0.45" header="0.5" footer="0.5"/>
  <pageSetup orientation="portrait" paperSize="9" fitToHeight="0" fitToWidth="1"/>
  <headerFooter>
    <oddHeader/>
    <oddFooter>&amp;R&amp;8 &amp;K6C6C6C&amp;P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4" customWidth="1" min="4" max="4"/>
    <col width="14" customWidth="1" min="5" max="5"/>
    <col width="13" customWidth="1" min="6" max="6"/>
    <col width="15" customWidth="1" min="7" max="7"/>
    <col width="13" customWidth="1" min="8" max="8"/>
    <col width="9" customWidth="1" min="9" max="9"/>
    <col hidden="1" width="13" customWidth="1" min="11" max="11"/>
    <col hidden="1" width="13" customWidth="1" min="12" max="12"/>
    <col hidden="1" width="13" customWidth="1" min="13" max="13"/>
    <col hidden="1" width="13" customWidth="1" min="14" max="14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0" customHeight="1">
      <c r="A2" s="4" t="inlineStr">
        <is>
          <t xml:space="preserve">   ETF 종목 조회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2" customHeight="1">
      <c r="A3" s="5" t="inlineStr">
        <is>
          <t xml:space="preserve">   ETF Screener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 ht="20" customHeight="1">
      <c r="A5" s="7" t="inlineStr">
        <is>
          <t xml:space="preserve">   자료 ETFCHECK · 기준일 2026-09-18 · 지급주기와 연 분배율로 고릅니다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</row>
    <row r="8" ht="26" customHeight="1">
      <c r="A8" s="9" t="inlineStr">
        <is>
          <t>1</t>
        </is>
      </c>
      <c r="B8" s="10" t="inlineStr">
        <is>
          <t>조회 조건</t>
        </is>
      </c>
    </row>
    <row r="9" ht="6" customHeight="1"/>
    <row r="10">
      <c r="B10" s="70" t="inlineStr">
        <is>
          <t>지급주기</t>
        </is>
      </c>
      <c r="C10" s="17" t="inlineStr">
        <is>
          <t>전체</t>
        </is>
      </c>
      <c r="E10" s="7" t="inlineStr">
        <is>
          <t>분배율은 백분율로 넣으십시오 (예: 5%). 최소·최대 사이에 드는 종목만 나옵니다.</t>
        </is>
      </c>
    </row>
    <row r="11">
      <c r="B11" s="70" t="inlineStr">
        <is>
          <t>연 분배율 최소</t>
        </is>
      </c>
      <c r="C11" s="71" t="n">
        <v>0</v>
      </c>
      <c r="E11" s="7" t="inlineStr">
        <is>
          <t>'판정 불가' 는 상장 1년이 안 돼 주기를 말할 수 없는 종목입니다. 빼지 않고 그대로 담았습니다.</t>
        </is>
      </c>
    </row>
    <row r="12">
      <c r="B12" s="70" t="inlineStr">
        <is>
          <t>연 분배율 최대</t>
        </is>
      </c>
      <c r="C12" s="71" t="n">
        <v>1</v>
      </c>
      <c r="E12" s="7" t="inlineStr">
        <is>
          <t>결과는 기준을 통과한 종목이 먼저, 그 안에서 연 분배율 높은 순입니다.</t>
        </is>
      </c>
    </row>
    <row r="14" ht="22" customHeight="1">
      <c r="B14" s="11" t="inlineStr">
        <is>
          <t>조건에 맞는 종목</t>
        </is>
      </c>
      <c r="C14" s="72">
        <f>COUNTIF('ETF데이터'!$T$4:$T$253,1)</f>
        <v/>
      </c>
      <c r="D14" s="3" t="inlineStr">
        <is>
          <t>전체 250종목 중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 ht="26" customHeight="1">
      <c r="A17" s="9" t="inlineStr">
        <is>
          <t>2</t>
        </is>
      </c>
      <c r="B17" s="10" t="inlineStr">
        <is>
          <t>조회 결과 (최대 60종목)</t>
        </is>
      </c>
    </row>
    <row r="18" ht="6" customHeight="1"/>
    <row r="19" ht="30" customHeight="1">
      <c r="B19" s="18" t="inlineStr">
        <is>
          <t>종목명</t>
        </is>
      </c>
      <c r="C19" s="19" t="inlineStr">
        <is>
          <t>지급주기</t>
        </is>
      </c>
      <c r="D19" s="19" t="inlineStr">
        <is>
          <t>연 분배율</t>
        </is>
      </c>
      <c r="E19" s="19" t="inlineStr">
        <is>
          <t>월 환산</t>
        </is>
      </c>
      <c r="F19" s="19" t="inlineStr">
        <is>
          <t>현재가</t>
        </is>
      </c>
      <c r="G19" s="19" t="inlineStr">
        <is>
          <t>변동성</t>
        </is>
      </c>
      <c r="H19" s="19" t="inlineStr">
        <is>
          <t>순자산</t>
        </is>
      </c>
      <c r="I19" s="19" t="inlineStr">
        <is>
          <t>채택</t>
        </is>
      </c>
      <c r="J19" s="20" t="inlineStr">
        <is>
          <t>담기</t>
        </is>
      </c>
    </row>
    <row r="20">
      <c r="B20" s="56">
        <f>IF($K20=0,"",INDEX('ETF데이터'!$A$4:$A$253,$K20))</f>
        <v/>
      </c>
      <c r="C20" s="73">
        <f>IF($K20=0,"",INDEX('ETF데이터'!$R$4:$R$253,$K20))</f>
        <v/>
      </c>
      <c r="D20" s="74">
        <f>IF($K20=0,"",INDEX('ETF데이터'!$J$4:$J$253,$K20))</f>
        <v/>
      </c>
      <c r="E20" s="75">
        <f>IF($K20=0,"",$D20/12)</f>
        <v/>
      </c>
      <c r="F20" s="76">
        <f>IF($K20=0,"",INDEX('ETF데이터'!$D$4:$D$253,$K20))</f>
        <v/>
      </c>
      <c r="G20" s="74">
        <f>IF($K20=0,"",INDEX('ETF데이터'!$H$4:$H$253,$K20))</f>
        <v/>
      </c>
      <c r="H20" s="77">
        <f>IF($K20=0,"",INDEX('ETF데이터'!$E$4:$E$253,$K20)/100000000)</f>
        <v/>
      </c>
      <c r="I20" s="73">
        <f>IF($K20=0,"",INDEX('ETF데이터'!$M$4:$M$253,$K20))</f>
        <v/>
      </c>
      <c r="J20" s="78" t="n"/>
      <c r="K20">
        <f>IFERROR(MATCH(1,'ETF데이터'!$V$4:$V$253,0),0)</f>
        <v/>
      </c>
      <c r="L20">
        <f>IF(AND($B20&lt;&gt;"",$J20&lt;&gt;""),1,0)</f>
        <v/>
      </c>
      <c r="M20">
        <f>IF($L20=1,0+1,0)</f>
        <v/>
      </c>
      <c r="N20">
        <f>IFERROR(INDEX($B$20:$B$79,MATCH(1,$M$20:$M$79,0)),"")</f>
        <v/>
      </c>
    </row>
    <row r="21">
      <c r="B21" s="60">
        <f>IF($K21=0,"",INDEX('ETF데이터'!$A$4:$A$253,$K21))</f>
        <v/>
      </c>
      <c r="C21" s="79">
        <f>IF($K21=0,"",INDEX('ETF데이터'!$R$4:$R$253,$K21))</f>
        <v/>
      </c>
      <c r="D21" s="80">
        <f>IF($K21=0,"",INDEX('ETF데이터'!$J$4:$J$253,$K21))</f>
        <v/>
      </c>
      <c r="E21" s="81">
        <f>IF($K21=0,"",$D21/12)</f>
        <v/>
      </c>
      <c r="F21" s="82">
        <f>IF($K21=0,"",INDEX('ETF데이터'!$D$4:$D$253,$K21))</f>
        <v/>
      </c>
      <c r="G21" s="80">
        <f>IF($K21=0,"",INDEX('ETF데이터'!$H$4:$H$253,$K21))</f>
        <v/>
      </c>
      <c r="H21" s="83">
        <f>IF($K21=0,"",INDEX('ETF데이터'!$E$4:$E$253,$K21)/100000000)</f>
        <v/>
      </c>
      <c r="I21" s="79">
        <f>IF($K21=0,"",INDEX('ETF데이터'!$M$4:$M$253,$K21))</f>
        <v/>
      </c>
      <c r="J21" s="78" t="n"/>
      <c r="K21">
        <f>IFERROR(MATCH(2,'ETF데이터'!$V$4:$V$253,0),0)</f>
        <v/>
      </c>
      <c r="L21">
        <f>IF(AND($B21&lt;&gt;"",$J21&lt;&gt;""),1,0)</f>
        <v/>
      </c>
      <c r="M21">
        <f>IF($L21=1,$M20+1,$M20)</f>
        <v/>
      </c>
      <c r="N21">
        <f>IFERROR(INDEX($B$20:$B$79,MATCH(2,$M$20:$M$79,0)),"")</f>
        <v/>
      </c>
    </row>
    <row r="22">
      <c r="B22" s="56">
        <f>IF($K22=0,"",INDEX('ETF데이터'!$A$4:$A$253,$K22))</f>
        <v/>
      </c>
      <c r="C22" s="73">
        <f>IF($K22=0,"",INDEX('ETF데이터'!$R$4:$R$253,$K22))</f>
        <v/>
      </c>
      <c r="D22" s="74">
        <f>IF($K22=0,"",INDEX('ETF데이터'!$J$4:$J$253,$K22))</f>
        <v/>
      </c>
      <c r="E22" s="75">
        <f>IF($K22=0,"",$D22/12)</f>
        <v/>
      </c>
      <c r="F22" s="76">
        <f>IF($K22=0,"",INDEX('ETF데이터'!$D$4:$D$253,$K22))</f>
        <v/>
      </c>
      <c r="G22" s="74">
        <f>IF($K22=0,"",INDEX('ETF데이터'!$H$4:$H$253,$K22))</f>
        <v/>
      </c>
      <c r="H22" s="77">
        <f>IF($K22=0,"",INDEX('ETF데이터'!$E$4:$E$253,$K22)/100000000)</f>
        <v/>
      </c>
      <c r="I22" s="73">
        <f>IF($K22=0,"",INDEX('ETF데이터'!$M$4:$M$253,$K22))</f>
        <v/>
      </c>
      <c r="J22" s="78" t="n"/>
      <c r="K22">
        <f>IFERROR(MATCH(3,'ETF데이터'!$V$4:$V$253,0),0)</f>
        <v/>
      </c>
      <c r="L22">
        <f>IF(AND($B22&lt;&gt;"",$J22&lt;&gt;""),1,0)</f>
        <v/>
      </c>
      <c r="M22">
        <f>IF($L22=1,$M21+1,$M21)</f>
        <v/>
      </c>
      <c r="N22">
        <f>IFERROR(INDEX($B$20:$B$79,MATCH(3,$M$20:$M$79,0)),"")</f>
        <v/>
      </c>
    </row>
    <row r="23">
      <c r="B23" s="60">
        <f>IF($K23=0,"",INDEX('ETF데이터'!$A$4:$A$253,$K23))</f>
        <v/>
      </c>
      <c r="C23" s="79">
        <f>IF($K23=0,"",INDEX('ETF데이터'!$R$4:$R$253,$K23))</f>
        <v/>
      </c>
      <c r="D23" s="80">
        <f>IF($K23=0,"",INDEX('ETF데이터'!$J$4:$J$253,$K23))</f>
        <v/>
      </c>
      <c r="E23" s="81">
        <f>IF($K23=0,"",$D23/12)</f>
        <v/>
      </c>
      <c r="F23" s="82">
        <f>IF($K23=0,"",INDEX('ETF데이터'!$D$4:$D$253,$K23))</f>
        <v/>
      </c>
      <c r="G23" s="80">
        <f>IF($K23=0,"",INDEX('ETF데이터'!$H$4:$H$253,$K23))</f>
        <v/>
      </c>
      <c r="H23" s="83">
        <f>IF($K23=0,"",INDEX('ETF데이터'!$E$4:$E$253,$K23)/100000000)</f>
        <v/>
      </c>
      <c r="I23" s="79">
        <f>IF($K23=0,"",INDEX('ETF데이터'!$M$4:$M$253,$K23))</f>
        <v/>
      </c>
      <c r="J23" s="78" t="n"/>
      <c r="K23">
        <f>IFERROR(MATCH(4,'ETF데이터'!$V$4:$V$253,0),0)</f>
        <v/>
      </c>
      <c r="L23">
        <f>IF(AND($B23&lt;&gt;"",$J23&lt;&gt;""),1,0)</f>
        <v/>
      </c>
      <c r="M23">
        <f>IF($L23=1,$M22+1,$M22)</f>
        <v/>
      </c>
      <c r="N23">
        <f>IFERROR(INDEX($B$20:$B$79,MATCH(4,$M$20:$M$79,0)),"")</f>
        <v/>
      </c>
    </row>
    <row r="24">
      <c r="B24" s="56">
        <f>IF($K24=0,"",INDEX('ETF데이터'!$A$4:$A$253,$K24))</f>
        <v/>
      </c>
      <c r="C24" s="73">
        <f>IF($K24=0,"",INDEX('ETF데이터'!$R$4:$R$253,$K24))</f>
        <v/>
      </c>
      <c r="D24" s="74">
        <f>IF($K24=0,"",INDEX('ETF데이터'!$J$4:$J$253,$K24))</f>
        <v/>
      </c>
      <c r="E24" s="75">
        <f>IF($K24=0,"",$D24/12)</f>
        <v/>
      </c>
      <c r="F24" s="76">
        <f>IF($K24=0,"",INDEX('ETF데이터'!$D$4:$D$253,$K24))</f>
        <v/>
      </c>
      <c r="G24" s="74">
        <f>IF($K24=0,"",INDEX('ETF데이터'!$H$4:$H$253,$K24))</f>
        <v/>
      </c>
      <c r="H24" s="77">
        <f>IF($K24=0,"",INDEX('ETF데이터'!$E$4:$E$253,$K24)/100000000)</f>
        <v/>
      </c>
      <c r="I24" s="73">
        <f>IF($K24=0,"",INDEX('ETF데이터'!$M$4:$M$253,$K24))</f>
        <v/>
      </c>
      <c r="J24" s="78" t="n"/>
      <c r="K24">
        <f>IFERROR(MATCH(5,'ETF데이터'!$V$4:$V$253,0),0)</f>
        <v/>
      </c>
      <c r="L24">
        <f>IF(AND($B24&lt;&gt;"",$J24&lt;&gt;""),1,0)</f>
        <v/>
      </c>
      <c r="M24">
        <f>IF($L24=1,$M23+1,$M23)</f>
        <v/>
      </c>
      <c r="N24">
        <f>IFERROR(INDEX($B$20:$B$79,MATCH(5,$M$20:$M$79,0)),"")</f>
        <v/>
      </c>
    </row>
    <row r="25">
      <c r="B25" s="60">
        <f>IF($K25=0,"",INDEX('ETF데이터'!$A$4:$A$253,$K25))</f>
        <v/>
      </c>
      <c r="C25" s="79">
        <f>IF($K25=0,"",INDEX('ETF데이터'!$R$4:$R$253,$K25))</f>
        <v/>
      </c>
      <c r="D25" s="80">
        <f>IF($K25=0,"",INDEX('ETF데이터'!$J$4:$J$253,$K25))</f>
        <v/>
      </c>
      <c r="E25" s="81">
        <f>IF($K25=0,"",$D25/12)</f>
        <v/>
      </c>
      <c r="F25" s="82">
        <f>IF($K25=0,"",INDEX('ETF데이터'!$D$4:$D$253,$K25))</f>
        <v/>
      </c>
      <c r="G25" s="80">
        <f>IF($K25=0,"",INDEX('ETF데이터'!$H$4:$H$253,$K25))</f>
        <v/>
      </c>
      <c r="H25" s="83">
        <f>IF($K25=0,"",INDEX('ETF데이터'!$E$4:$E$253,$K25)/100000000)</f>
        <v/>
      </c>
      <c r="I25" s="79">
        <f>IF($K25=0,"",INDEX('ETF데이터'!$M$4:$M$253,$K25))</f>
        <v/>
      </c>
      <c r="J25" s="78" t="n"/>
      <c r="K25">
        <f>IFERROR(MATCH(6,'ETF데이터'!$V$4:$V$253,0),0)</f>
        <v/>
      </c>
      <c r="L25">
        <f>IF(AND($B25&lt;&gt;"",$J25&lt;&gt;""),1,0)</f>
        <v/>
      </c>
      <c r="M25">
        <f>IF($L25=1,$M24+1,$M24)</f>
        <v/>
      </c>
      <c r="N25">
        <f>IFERROR(INDEX($B$20:$B$79,MATCH(6,$M$20:$M$79,0)),"")</f>
        <v/>
      </c>
    </row>
    <row r="26">
      <c r="B26" s="56">
        <f>IF($K26=0,"",INDEX('ETF데이터'!$A$4:$A$253,$K26))</f>
        <v/>
      </c>
      <c r="C26" s="73">
        <f>IF($K26=0,"",INDEX('ETF데이터'!$R$4:$R$253,$K26))</f>
        <v/>
      </c>
      <c r="D26" s="74">
        <f>IF($K26=0,"",INDEX('ETF데이터'!$J$4:$J$253,$K26))</f>
        <v/>
      </c>
      <c r="E26" s="75">
        <f>IF($K26=0,"",$D26/12)</f>
        <v/>
      </c>
      <c r="F26" s="76">
        <f>IF($K26=0,"",INDEX('ETF데이터'!$D$4:$D$253,$K26))</f>
        <v/>
      </c>
      <c r="G26" s="74">
        <f>IF($K26=0,"",INDEX('ETF데이터'!$H$4:$H$253,$K26))</f>
        <v/>
      </c>
      <c r="H26" s="77">
        <f>IF($K26=0,"",INDEX('ETF데이터'!$E$4:$E$253,$K26)/100000000)</f>
        <v/>
      </c>
      <c r="I26" s="73">
        <f>IF($K26=0,"",INDEX('ETF데이터'!$M$4:$M$253,$K26))</f>
        <v/>
      </c>
      <c r="J26" s="78" t="n"/>
      <c r="K26">
        <f>IFERROR(MATCH(7,'ETF데이터'!$V$4:$V$253,0),0)</f>
        <v/>
      </c>
      <c r="L26">
        <f>IF(AND($B26&lt;&gt;"",$J26&lt;&gt;""),1,0)</f>
        <v/>
      </c>
      <c r="M26">
        <f>IF($L26=1,$M25+1,$M25)</f>
        <v/>
      </c>
      <c r="N26">
        <f>IFERROR(INDEX($B$20:$B$79,MATCH(7,$M$20:$M$79,0)),"")</f>
        <v/>
      </c>
    </row>
    <row r="27">
      <c r="B27" s="60">
        <f>IF($K27=0,"",INDEX('ETF데이터'!$A$4:$A$253,$K27))</f>
        <v/>
      </c>
      <c r="C27" s="79">
        <f>IF($K27=0,"",INDEX('ETF데이터'!$R$4:$R$253,$K27))</f>
        <v/>
      </c>
      <c r="D27" s="80">
        <f>IF($K27=0,"",INDEX('ETF데이터'!$J$4:$J$253,$K27))</f>
        <v/>
      </c>
      <c r="E27" s="81">
        <f>IF($K27=0,"",$D27/12)</f>
        <v/>
      </c>
      <c r="F27" s="82">
        <f>IF($K27=0,"",INDEX('ETF데이터'!$D$4:$D$253,$K27))</f>
        <v/>
      </c>
      <c r="G27" s="80">
        <f>IF($K27=0,"",INDEX('ETF데이터'!$H$4:$H$253,$K27))</f>
        <v/>
      </c>
      <c r="H27" s="83">
        <f>IF($K27=0,"",INDEX('ETF데이터'!$E$4:$E$253,$K27)/100000000)</f>
        <v/>
      </c>
      <c r="I27" s="79">
        <f>IF($K27=0,"",INDEX('ETF데이터'!$M$4:$M$253,$K27))</f>
        <v/>
      </c>
      <c r="J27" s="78" t="n"/>
      <c r="K27">
        <f>IFERROR(MATCH(8,'ETF데이터'!$V$4:$V$253,0),0)</f>
        <v/>
      </c>
      <c r="L27">
        <f>IF(AND($B27&lt;&gt;"",$J27&lt;&gt;""),1,0)</f>
        <v/>
      </c>
      <c r="M27">
        <f>IF($L27=1,$M26+1,$M26)</f>
        <v/>
      </c>
      <c r="N27">
        <f>IFERROR(INDEX($B$20:$B$79,MATCH(8,$M$20:$M$79,0)),"")</f>
        <v/>
      </c>
    </row>
    <row r="28">
      <c r="B28" s="56">
        <f>IF($K28=0,"",INDEX('ETF데이터'!$A$4:$A$253,$K28))</f>
        <v/>
      </c>
      <c r="C28" s="73">
        <f>IF($K28=0,"",INDEX('ETF데이터'!$R$4:$R$253,$K28))</f>
        <v/>
      </c>
      <c r="D28" s="74">
        <f>IF($K28=0,"",INDEX('ETF데이터'!$J$4:$J$253,$K28))</f>
        <v/>
      </c>
      <c r="E28" s="75">
        <f>IF($K28=0,"",$D28/12)</f>
        <v/>
      </c>
      <c r="F28" s="76">
        <f>IF($K28=0,"",INDEX('ETF데이터'!$D$4:$D$253,$K28))</f>
        <v/>
      </c>
      <c r="G28" s="74">
        <f>IF($K28=0,"",INDEX('ETF데이터'!$H$4:$H$253,$K28))</f>
        <v/>
      </c>
      <c r="H28" s="77">
        <f>IF($K28=0,"",INDEX('ETF데이터'!$E$4:$E$253,$K28)/100000000)</f>
        <v/>
      </c>
      <c r="I28" s="73">
        <f>IF($K28=0,"",INDEX('ETF데이터'!$M$4:$M$253,$K28))</f>
        <v/>
      </c>
      <c r="J28" s="78" t="n"/>
      <c r="K28">
        <f>IFERROR(MATCH(9,'ETF데이터'!$V$4:$V$253,0),0)</f>
        <v/>
      </c>
      <c r="L28">
        <f>IF(AND($B28&lt;&gt;"",$J28&lt;&gt;""),1,0)</f>
        <v/>
      </c>
      <c r="M28">
        <f>IF($L28=1,$M27+1,$M27)</f>
        <v/>
      </c>
      <c r="N28">
        <f>IFERROR(INDEX($B$20:$B$79,MATCH(9,$M$20:$M$79,0)),"")</f>
        <v/>
      </c>
    </row>
    <row r="29">
      <c r="B29" s="60">
        <f>IF($K29=0,"",INDEX('ETF데이터'!$A$4:$A$253,$K29))</f>
        <v/>
      </c>
      <c r="C29" s="79">
        <f>IF($K29=0,"",INDEX('ETF데이터'!$R$4:$R$253,$K29))</f>
        <v/>
      </c>
      <c r="D29" s="80">
        <f>IF($K29=0,"",INDEX('ETF데이터'!$J$4:$J$253,$K29))</f>
        <v/>
      </c>
      <c r="E29" s="81">
        <f>IF($K29=0,"",$D29/12)</f>
        <v/>
      </c>
      <c r="F29" s="82">
        <f>IF($K29=0,"",INDEX('ETF데이터'!$D$4:$D$253,$K29))</f>
        <v/>
      </c>
      <c r="G29" s="80">
        <f>IF($K29=0,"",INDEX('ETF데이터'!$H$4:$H$253,$K29))</f>
        <v/>
      </c>
      <c r="H29" s="83">
        <f>IF($K29=0,"",INDEX('ETF데이터'!$E$4:$E$253,$K29)/100000000)</f>
        <v/>
      </c>
      <c r="I29" s="79">
        <f>IF($K29=0,"",INDEX('ETF데이터'!$M$4:$M$253,$K29))</f>
        <v/>
      </c>
      <c r="J29" s="78" t="n"/>
      <c r="K29">
        <f>IFERROR(MATCH(10,'ETF데이터'!$V$4:$V$253,0),0)</f>
        <v/>
      </c>
      <c r="L29">
        <f>IF(AND($B29&lt;&gt;"",$J29&lt;&gt;""),1,0)</f>
        <v/>
      </c>
      <c r="M29">
        <f>IF($L29=1,$M28+1,$M28)</f>
        <v/>
      </c>
      <c r="N29">
        <f>IFERROR(INDEX($B$20:$B$79,MATCH(10,$M$20:$M$79,0)),"")</f>
        <v/>
      </c>
    </row>
    <row r="30">
      <c r="B30" s="56">
        <f>IF($K30=0,"",INDEX('ETF데이터'!$A$4:$A$253,$K30))</f>
        <v/>
      </c>
      <c r="C30" s="73">
        <f>IF($K30=0,"",INDEX('ETF데이터'!$R$4:$R$253,$K30))</f>
        <v/>
      </c>
      <c r="D30" s="74">
        <f>IF($K30=0,"",INDEX('ETF데이터'!$J$4:$J$253,$K30))</f>
        <v/>
      </c>
      <c r="E30" s="75">
        <f>IF($K30=0,"",$D30/12)</f>
        <v/>
      </c>
      <c r="F30" s="76">
        <f>IF($K30=0,"",INDEX('ETF데이터'!$D$4:$D$253,$K30))</f>
        <v/>
      </c>
      <c r="G30" s="74">
        <f>IF($K30=0,"",INDEX('ETF데이터'!$H$4:$H$253,$K30))</f>
        <v/>
      </c>
      <c r="H30" s="77">
        <f>IF($K30=0,"",INDEX('ETF데이터'!$E$4:$E$253,$K30)/100000000)</f>
        <v/>
      </c>
      <c r="I30" s="73">
        <f>IF($K30=0,"",INDEX('ETF데이터'!$M$4:$M$253,$K30))</f>
        <v/>
      </c>
      <c r="J30" s="78" t="n"/>
      <c r="K30">
        <f>IFERROR(MATCH(11,'ETF데이터'!$V$4:$V$253,0),0)</f>
        <v/>
      </c>
      <c r="L30">
        <f>IF(AND($B30&lt;&gt;"",$J30&lt;&gt;""),1,0)</f>
        <v/>
      </c>
      <c r="M30">
        <f>IF($L30=1,$M29+1,$M29)</f>
        <v/>
      </c>
      <c r="N30">
        <f>IFERROR(INDEX($B$20:$B$79,MATCH(11,$M$20:$M$79,0)),"")</f>
        <v/>
      </c>
    </row>
    <row r="31">
      <c r="B31" s="60">
        <f>IF($K31=0,"",INDEX('ETF데이터'!$A$4:$A$253,$K31))</f>
        <v/>
      </c>
      <c r="C31" s="79">
        <f>IF($K31=0,"",INDEX('ETF데이터'!$R$4:$R$253,$K31))</f>
        <v/>
      </c>
      <c r="D31" s="80">
        <f>IF($K31=0,"",INDEX('ETF데이터'!$J$4:$J$253,$K31))</f>
        <v/>
      </c>
      <c r="E31" s="81">
        <f>IF($K31=0,"",$D31/12)</f>
        <v/>
      </c>
      <c r="F31" s="82">
        <f>IF($K31=0,"",INDEX('ETF데이터'!$D$4:$D$253,$K31))</f>
        <v/>
      </c>
      <c r="G31" s="80">
        <f>IF($K31=0,"",INDEX('ETF데이터'!$H$4:$H$253,$K31))</f>
        <v/>
      </c>
      <c r="H31" s="83">
        <f>IF($K31=0,"",INDEX('ETF데이터'!$E$4:$E$253,$K31)/100000000)</f>
        <v/>
      </c>
      <c r="I31" s="79">
        <f>IF($K31=0,"",INDEX('ETF데이터'!$M$4:$M$253,$K31))</f>
        <v/>
      </c>
      <c r="J31" s="78" t="n"/>
      <c r="K31">
        <f>IFERROR(MATCH(12,'ETF데이터'!$V$4:$V$253,0),0)</f>
        <v/>
      </c>
      <c r="L31">
        <f>IF(AND($B31&lt;&gt;"",$J31&lt;&gt;""),1,0)</f>
        <v/>
      </c>
      <c r="M31">
        <f>IF($L31=1,$M30+1,$M30)</f>
        <v/>
      </c>
      <c r="N31">
        <f>IFERROR(INDEX($B$20:$B$79,MATCH(12,$M$20:$M$79,0)),"")</f>
        <v/>
      </c>
    </row>
    <row r="32">
      <c r="B32" s="56">
        <f>IF($K32=0,"",INDEX('ETF데이터'!$A$4:$A$253,$K32))</f>
        <v/>
      </c>
      <c r="C32" s="73">
        <f>IF($K32=0,"",INDEX('ETF데이터'!$R$4:$R$253,$K32))</f>
        <v/>
      </c>
      <c r="D32" s="74">
        <f>IF($K32=0,"",INDEX('ETF데이터'!$J$4:$J$253,$K32))</f>
        <v/>
      </c>
      <c r="E32" s="75">
        <f>IF($K32=0,"",$D32/12)</f>
        <v/>
      </c>
      <c r="F32" s="76">
        <f>IF($K32=0,"",INDEX('ETF데이터'!$D$4:$D$253,$K32))</f>
        <v/>
      </c>
      <c r="G32" s="74">
        <f>IF($K32=0,"",INDEX('ETF데이터'!$H$4:$H$253,$K32))</f>
        <v/>
      </c>
      <c r="H32" s="77">
        <f>IF($K32=0,"",INDEX('ETF데이터'!$E$4:$E$253,$K32)/100000000)</f>
        <v/>
      </c>
      <c r="I32" s="73">
        <f>IF($K32=0,"",INDEX('ETF데이터'!$M$4:$M$253,$K32))</f>
        <v/>
      </c>
      <c r="J32" s="78" t="n"/>
      <c r="K32">
        <f>IFERROR(MATCH(13,'ETF데이터'!$V$4:$V$253,0),0)</f>
        <v/>
      </c>
      <c r="L32">
        <f>IF(AND($B32&lt;&gt;"",$J32&lt;&gt;""),1,0)</f>
        <v/>
      </c>
      <c r="M32">
        <f>IF($L32=1,$M31+1,$M31)</f>
        <v/>
      </c>
      <c r="N32">
        <f>IFERROR(INDEX($B$20:$B$79,MATCH(13,$M$20:$M$79,0)),"")</f>
        <v/>
      </c>
    </row>
    <row r="33">
      <c r="B33" s="60">
        <f>IF($K33=0,"",INDEX('ETF데이터'!$A$4:$A$253,$K33))</f>
        <v/>
      </c>
      <c r="C33" s="79">
        <f>IF($K33=0,"",INDEX('ETF데이터'!$R$4:$R$253,$K33))</f>
        <v/>
      </c>
      <c r="D33" s="80">
        <f>IF($K33=0,"",INDEX('ETF데이터'!$J$4:$J$253,$K33))</f>
        <v/>
      </c>
      <c r="E33" s="81">
        <f>IF($K33=0,"",$D33/12)</f>
        <v/>
      </c>
      <c r="F33" s="82">
        <f>IF($K33=0,"",INDEX('ETF데이터'!$D$4:$D$253,$K33))</f>
        <v/>
      </c>
      <c r="G33" s="80">
        <f>IF($K33=0,"",INDEX('ETF데이터'!$H$4:$H$253,$K33))</f>
        <v/>
      </c>
      <c r="H33" s="83">
        <f>IF($K33=0,"",INDEX('ETF데이터'!$E$4:$E$253,$K33)/100000000)</f>
        <v/>
      </c>
      <c r="I33" s="79">
        <f>IF($K33=0,"",INDEX('ETF데이터'!$M$4:$M$253,$K33))</f>
        <v/>
      </c>
      <c r="J33" s="78" t="n"/>
      <c r="K33">
        <f>IFERROR(MATCH(14,'ETF데이터'!$V$4:$V$253,0),0)</f>
        <v/>
      </c>
      <c r="L33">
        <f>IF(AND($B33&lt;&gt;"",$J33&lt;&gt;""),1,0)</f>
        <v/>
      </c>
      <c r="M33">
        <f>IF($L33=1,$M32+1,$M32)</f>
        <v/>
      </c>
      <c r="N33">
        <f>IFERROR(INDEX($B$20:$B$79,MATCH(14,$M$20:$M$79,0)),"")</f>
        <v/>
      </c>
    </row>
    <row r="34">
      <c r="B34" s="56">
        <f>IF($K34=0,"",INDEX('ETF데이터'!$A$4:$A$253,$K34))</f>
        <v/>
      </c>
      <c r="C34" s="73">
        <f>IF($K34=0,"",INDEX('ETF데이터'!$R$4:$R$253,$K34))</f>
        <v/>
      </c>
      <c r="D34" s="74">
        <f>IF($K34=0,"",INDEX('ETF데이터'!$J$4:$J$253,$K34))</f>
        <v/>
      </c>
      <c r="E34" s="75">
        <f>IF($K34=0,"",$D34/12)</f>
        <v/>
      </c>
      <c r="F34" s="76">
        <f>IF($K34=0,"",INDEX('ETF데이터'!$D$4:$D$253,$K34))</f>
        <v/>
      </c>
      <c r="G34" s="74">
        <f>IF($K34=0,"",INDEX('ETF데이터'!$H$4:$H$253,$K34))</f>
        <v/>
      </c>
      <c r="H34" s="77">
        <f>IF($K34=0,"",INDEX('ETF데이터'!$E$4:$E$253,$K34)/100000000)</f>
        <v/>
      </c>
      <c r="I34" s="73">
        <f>IF($K34=0,"",INDEX('ETF데이터'!$M$4:$M$253,$K34))</f>
        <v/>
      </c>
      <c r="J34" s="78" t="n"/>
      <c r="K34">
        <f>IFERROR(MATCH(15,'ETF데이터'!$V$4:$V$253,0),0)</f>
        <v/>
      </c>
      <c r="L34">
        <f>IF(AND($B34&lt;&gt;"",$J34&lt;&gt;""),1,0)</f>
        <v/>
      </c>
      <c r="M34">
        <f>IF($L34=1,$M33+1,$M33)</f>
        <v/>
      </c>
      <c r="N34">
        <f>IFERROR(INDEX($B$20:$B$79,MATCH(15,$M$20:$M$79,0)),"")</f>
        <v/>
      </c>
    </row>
    <row r="35">
      <c r="B35" s="60">
        <f>IF($K35=0,"",INDEX('ETF데이터'!$A$4:$A$253,$K35))</f>
        <v/>
      </c>
      <c r="C35" s="79">
        <f>IF($K35=0,"",INDEX('ETF데이터'!$R$4:$R$253,$K35))</f>
        <v/>
      </c>
      <c r="D35" s="80">
        <f>IF($K35=0,"",INDEX('ETF데이터'!$J$4:$J$253,$K35))</f>
        <v/>
      </c>
      <c r="E35" s="81">
        <f>IF($K35=0,"",$D35/12)</f>
        <v/>
      </c>
      <c r="F35" s="82">
        <f>IF($K35=0,"",INDEX('ETF데이터'!$D$4:$D$253,$K35))</f>
        <v/>
      </c>
      <c r="G35" s="80">
        <f>IF($K35=0,"",INDEX('ETF데이터'!$H$4:$H$253,$K35))</f>
        <v/>
      </c>
      <c r="H35" s="83">
        <f>IF($K35=0,"",INDEX('ETF데이터'!$E$4:$E$253,$K35)/100000000)</f>
        <v/>
      </c>
      <c r="I35" s="79">
        <f>IF($K35=0,"",INDEX('ETF데이터'!$M$4:$M$253,$K35))</f>
        <v/>
      </c>
      <c r="J35" s="78" t="n"/>
      <c r="K35">
        <f>IFERROR(MATCH(16,'ETF데이터'!$V$4:$V$253,0),0)</f>
        <v/>
      </c>
      <c r="L35">
        <f>IF(AND($B35&lt;&gt;"",$J35&lt;&gt;""),1,0)</f>
        <v/>
      </c>
      <c r="M35">
        <f>IF($L35=1,$M34+1,$M34)</f>
        <v/>
      </c>
      <c r="N35">
        <f>IFERROR(INDEX($B$20:$B$79,MATCH(16,$M$20:$M$79,0)),"")</f>
        <v/>
      </c>
    </row>
    <row r="36">
      <c r="B36" s="56">
        <f>IF($K36=0,"",INDEX('ETF데이터'!$A$4:$A$253,$K36))</f>
        <v/>
      </c>
      <c r="C36" s="73">
        <f>IF($K36=0,"",INDEX('ETF데이터'!$R$4:$R$253,$K36))</f>
        <v/>
      </c>
      <c r="D36" s="74">
        <f>IF($K36=0,"",INDEX('ETF데이터'!$J$4:$J$253,$K36))</f>
        <v/>
      </c>
      <c r="E36" s="75">
        <f>IF($K36=0,"",$D36/12)</f>
        <v/>
      </c>
      <c r="F36" s="76">
        <f>IF($K36=0,"",INDEX('ETF데이터'!$D$4:$D$253,$K36))</f>
        <v/>
      </c>
      <c r="G36" s="74">
        <f>IF($K36=0,"",INDEX('ETF데이터'!$H$4:$H$253,$K36))</f>
        <v/>
      </c>
      <c r="H36" s="77">
        <f>IF($K36=0,"",INDEX('ETF데이터'!$E$4:$E$253,$K36)/100000000)</f>
        <v/>
      </c>
      <c r="I36" s="73">
        <f>IF($K36=0,"",INDEX('ETF데이터'!$M$4:$M$253,$K36))</f>
        <v/>
      </c>
      <c r="J36" s="78" t="n"/>
      <c r="K36">
        <f>IFERROR(MATCH(17,'ETF데이터'!$V$4:$V$253,0),0)</f>
        <v/>
      </c>
      <c r="L36">
        <f>IF(AND($B36&lt;&gt;"",$J36&lt;&gt;""),1,0)</f>
        <v/>
      </c>
      <c r="M36">
        <f>IF($L36=1,$M35+1,$M35)</f>
        <v/>
      </c>
      <c r="N36">
        <f>IFERROR(INDEX($B$20:$B$79,MATCH(17,$M$20:$M$79,0)),"")</f>
        <v/>
      </c>
    </row>
    <row r="37">
      <c r="B37" s="60">
        <f>IF($K37=0,"",INDEX('ETF데이터'!$A$4:$A$253,$K37))</f>
        <v/>
      </c>
      <c r="C37" s="79">
        <f>IF($K37=0,"",INDEX('ETF데이터'!$R$4:$R$253,$K37))</f>
        <v/>
      </c>
      <c r="D37" s="80">
        <f>IF($K37=0,"",INDEX('ETF데이터'!$J$4:$J$253,$K37))</f>
        <v/>
      </c>
      <c r="E37" s="81">
        <f>IF($K37=0,"",$D37/12)</f>
        <v/>
      </c>
      <c r="F37" s="82">
        <f>IF($K37=0,"",INDEX('ETF데이터'!$D$4:$D$253,$K37))</f>
        <v/>
      </c>
      <c r="G37" s="80">
        <f>IF($K37=0,"",INDEX('ETF데이터'!$H$4:$H$253,$K37))</f>
        <v/>
      </c>
      <c r="H37" s="83">
        <f>IF($K37=0,"",INDEX('ETF데이터'!$E$4:$E$253,$K37)/100000000)</f>
        <v/>
      </c>
      <c r="I37" s="79">
        <f>IF($K37=0,"",INDEX('ETF데이터'!$M$4:$M$253,$K37))</f>
        <v/>
      </c>
      <c r="J37" s="78" t="n"/>
      <c r="K37">
        <f>IFERROR(MATCH(18,'ETF데이터'!$V$4:$V$253,0),0)</f>
        <v/>
      </c>
      <c r="L37">
        <f>IF(AND($B37&lt;&gt;"",$J37&lt;&gt;""),1,0)</f>
        <v/>
      </c>
      <c r="M37">
        <f>IF($L37=1,$M36+1,$M36)</f>
        <v/>
      </c>
      <c r="N37">
        <f>IFERROR(INDEX($B$20:$B$79,MATCH(18,$M$20:$M$79,0)),"")</f>
        <v/>
      </c>
    </row>
    <row r="38">
      <c r="B38" s="56">
        <f>IF($K38=0,"",INDEX('ETF데이터'!$A$4:$A$253,$K38))</f>
        <v/>
      </c>
      <c r="C38" s="73">
        <f>IF($K38=0,"",INDEX('ETF데이터'!$R$4:$R$253,$K38))</f>
        <v/>
      </c>
      <c r="D38" s="74">
        <f>IF($K38=0,"",INDEX('ETF데이터'!$J$4:$J$253,$K38))</f>
        <v/>
      </c>
      <c r="E38" s="75">
        <f>IF($K38=0,"",$D38/12)</f>
        <v/>
      </c>
      <c r="F38" s="76">
        <f>IF($K38=0,"",INDEX('ETF데이터'!$D$4:$D$253,$K38))</f>
        <v/>
      </c>
      <c r="G38" s="74">
        <f>IF($K38=0,"",INDEX('ETF데이터'!$H$4:$H$253,$K38))</f>
        <v/>
      </c>
      <c r="H38" s="77">
        <f>IF($K38=0,"",INDEX('ETF데이터'!$E$4:$E$253,$K38)/100000000)</f>
        <v/>
      </c>
      <c r="I38" s="73">
        <f>IF($K38=0,"",INDEX('ETF데이터'!$M$4:$M$253,$K38))</f>
        <v/>
      </c>
      <c r="J38" s="78" t="n"/>
      <c r="K38">
        <f>IFERROR(MATCH(19,'ETF데이터'!$V$4:$V$253,0),0)</f>
        <v/>
      </c>
      <c r="L38">
        <f>IF(AND($B38&lt;&gt;"",$J38&lt;&gt;""),1,0)</f>
        <v/>
      </c>
      <c r="M38">
        <f>IF($L38=1,$M37+1,$M37)</f>
        <v/>
      </c>
      <c r="N38">
        <f>IFERROR(INDEX($B$20:$B$79,MATCH(19,$M$20:$M$79,0)),"")</f>
        <v/>
      </c>
    </row>
    <row r="39">
      <c r="B39" s="60">
        <f>IF($K39=0,"",INDEX('ETF데이터'!$A$4:$A$253,$K39))</f>
        <v/>
      </c>
      <c r="C39" s="79">
        <f>IF($K39=0,"",INDEX('ETF데이터'!$R$4:$R$253,$K39))</f>
        <v/>
      </c>
      <c r="D39" s="80">
        <f>IF($K39=0,"",INDEX('ETF데이터'!$J$4:$J$253,$K39))</f>
        <v/>
      </c>
      <c r="E39" s="81">
        <f>IF($K39=0,"",$D39/12)</f>
        <v/>
      </c>
      <c r="F39" s="82">
        <f>IF($K39=0,"",INDEX('ETF데이터'!$D$4:$D$253,$K39))</f>
        <v/>
      </c>
      <c r="G39" s="80">
        <f>IF($K39=0,"",INDEX('ETF데이터'!$H$4:$H$253,$K39))</f>
        <v/>
      </c>
      <c r="H39" s="83">
        <f>IF($K39=0,"",INDEX('ETF데이터'!$E$4:$E$253,$K39)/100000000)</f>
        <v/>
      </c>
      <c r="I39" s="79">
        <f>IF($K39=0,"",INDEX('ETF데이터'!$M$4:$M$253,$K39))</f>
        <v/>
      </c>
      <c r="J39" s="78" t="n"/>
      <c r="K39">
        <f>IFERROR(MATCH(20,'ETF데이터'!$V$4:$V$253,0),0)</f>
        <v/>
      </c>
      <c r="L39">
        <f>IF(AND($B39&lt;&gt;"",$J39&lt;&gt;""),1,0)</f>
        <v/>
      </c>
      <c r="M39">
        <f>IF($L39=1,$M38+1,$M38)</f>
        <v/>
      </c>
      <c r="N39">
        <f>IFERROR(INDEX($B$20:$B$79,MATCH(20,$M$20:$M$79,0)),"")</f>
        <v/>
      </c>
    </row>
    <row r="40">
      <c r="B40" s="56">
        <f>IF($K40=0,"",INDEX('ETF데이터'!$A$4:$A$253,$K40))</f>
        <v/>
      </c>
      <c r="C40" s="73">
        <f>IF($K40=0,"",INDEX('ETF데이터'!$R$4:$R$253,$K40))</f>
        <v/>
      </c>
      <c r="D40" s="74">
        <f>IF($K40=0,"",INDEX('ETF데이터'!$J$4:$J$253,$K40))</f>
        <v/>
      </c>
      <c r="E40" s="75">
        <f>IF($K40=0,"",$D40/12)</f>
        <v/>
      </c>
      <c r="F40" s="76">
        <f>IF($K40=0,"",INDEX('ETF데이터'!$D$4:$D$253,$K40))</f>
        <v/>
      </c>
      <c r="G40" s="74">
        <f>IF($K40=0,"",INDEX('ETF데이터'!$H$4:$H$253,$K40))</f>
        <v/>
      </c>
      <c r="H40" s="77">
        <f>IF($K40=0,"",INDEX('ETF데이터'!$E$4:$E$253,$K40)/100000000)</f>
        <v/>
      </c>
      <c r="I40" s="73">
        <f>IF($K40=0,"",INDEX('ETF데이터'!$M$4:$M$253,$K40))</f>
        <v/>
      </c>
      <c r="J40" s="78" t="n"/>
      <c r="K40">
        <f>IFERROR(MATCH(21,'ETF데이터'!$V$4:$V$253,0),0)</f>
        <v/>
      </c>
      <c r="L40">
        <f>IF(AND($B40&lt;&gt;"",$J40&lt;&gt;""),1,0)</f>
        <v/>
      </c>
      <c r="M40">
        <f>IF($L40=1,$M39+1,$M39)</f>
        <v/>
      </c>
      <c r="N40">
        <f>IFERROR(INDEX($B$20:$B$79,MATCH(21,$M$20:$M$79,0)),"")</f>
        <v/>
      </c>
    </row>
    <row r="41">
      <c r="B41" s="60">
        <f>IF($K41=0,"",INDEX('ETF데이터'!$A$4:$A$253,$K41))</f>
        <v/>
      </c>
      <c r="C41" s="79">
        <f>IF($K41=0,"",INDEX('ETF데이터'!$R$4:$R$253,$K41))</f>
        <v/>
      </c>
      <c r="D41" s="80">
        <f>IF($K41=0,"",INDEX('ETF데이터'!$J$4:$J$253,$K41))</f>
        <v/>
      </c>
      <c r="E41" s="81">
        <f>IF($K41=0,"",$D41/12)</f>
        <v/>
      </c>
      <c r="F41" s="82">
        <f>IF($K41=0,"",INDEX('ETF데이터'!$D$4:$D$253,$K41))</f>
        <v/>
      </c>
      <c r="G41" s="80">
        <f>IF($K41=0,"",INDEX('ETF데이터'!$H$4:$H$253,$K41))</f>
        <v/>
      </c>
      <c r="H41" s="83">
        <f>IF($K41=0,"",INDEX('ETF데이터'!$E$4:$E$253,$K41)/100000000)</f>
        <v/>
      </c>
      <c r="I41" s="79">
        <f>IF($K41=0,"",INDEX('ETF데이터'!$M$4:$M$253,$K41))</f>
        <v/>
      </c>
      <c r="J41" s="78" t="n"/>
      <c r="K41">
        <f>IFERROR(MATCH(22,'ETF데이터'!$V$4:$V$253,0),0)</f>
        <v/>
      </c>
      <c r="L41">
        <f>IF(AND($B41&lt;&gt;"",$J41&lt;&gt;""),1,0)</f>
        <v/>
      </c>
      <c r="M41">
        <f>IF($L41=1,$M40+1,$M40)</f>
        <v/>
      </c>
      <c r="N41">
        <f>IFERROR(INDEX($B$20:$B$79,MATCH(22,$M$20:$M$79,0)),"")</f>
        <v/>
      </c>
    </row>
    <row r="42">
      <c r="B42" s="56">
        <f>IF($K42=0,"",INDEX('ETF데이터'!$A$4:$A$253,$K42))</f>
        <v/>
      </c>
      <c r="C42" s="73">
        <f>IF($K42=0,"",INDEX('ETF데이터'!$R$4:$R$253,$K42))</f>
        <v/>
      </c>
      <c r="D42" s="74">
        <f>IF($K42=0,"",INDEX('ETF데이터'!$J$4:$J$253,$K42))</f>
        <v/>
      </c>
      <c r="E42" s="75">
        <f>IF($K42=0,"",$D42/12)</f>
        <v/>
      </c>
      <c r="F42" s="76">
        <f>IF($K42=0,"",INDEX('ETF데이터'!$D$4:$D$253,$K42))</f>
        <v/>
      </c>
      <c r="G42" s="74">
        <f>IF($K42=0,"",INDEX('ETF데이터'!$H$4:$H$253,$K42))</f>
        <v/>
      </c>
      <c r="H42" s="77">
        <f>IF($K42=0,"",INDEX('ETF데이터'!$E$4:$E$253,$K42)/100000000)</f>
        <v/>
      </c>
      <c r="I42" s="73">
        <f>IF($K42=0,"",INDEX('ETF데이터'!$M$4:$M$253,$K42))</f>
        <v/>
      </c>
      <c r="J42" s="78" t="n"/>
      <c r="K42">
        <f>IFERROR(MATCH(23,'ETF데이터'!$V$4:$V$253,0),0)</f>
        <v/>
      </c>
      <c r="L42">
        <f>IF(AND($B42&lt;&gt;"",$J42&lt;&gt;""),1,0)</f>
        <v/>
      </c>
      <c r="M42">
        <f>IF($L42=1,$M41+1,$M41)</f>
        <v/>
      </c>
      <c r="N42">
        <f>IFERROR(INDEX($B$20:$B$79,MATCH(23,$M$20:$M$79,0)),"")</f>
        <v/>
      </c>
    </row>
    <row r="43">
      <c r="B43" s="60">
        <f>IF($K43=0,"",INDEX('ETF데이터'!$A$4:$A$253,$K43))</f>
        <v/>
      </c>
      <c r="C43" s="79">
        <f>IF($K43=0,"",INDEX('ETF데이터'!$R$4:$R$253,$K43))</f>
        <v/>
      </c>
      <c r="D43" s="80">
        <f>IF($K43=0,"",INDEX('ETF데이터'!$J$4:$J$253,$K43))</f>
        <v/>
      </c>
      <c r="E43" s="81">
        <f>IF($K43=0,"",$D43/12)</f>
        <v/>
      </c>
      <c r="F43" s="82">
        <f>IF($K43=0,"",INDEX('ETF데이터'!$D$4:$D$253,$K43))</f>
        <v/>
      </c>
      <c r="G43" s="80">
        <f>IF($K43=0,"",INDEX('ETF데이터'!$H$4:$H$253,$K43))</f>
        <v/>
      </c>
      <c r="H43" s="83">
        <f>IF($K43=0,"",INDEX('ETF데이터'!$E$4:$E$253,$K43)/100000000)</f>
        <v/>
      </c>
      <c r="I43" s="79">
        <f>IF($K43=0,"",INDEX('ETF데이터'!$M$4:$M$253,$K43))</f>
        <v/>
      </c>
      <c r="J43" s="78" t="n"/>
      <c r="K43">
        <f>IFERROR(MATCH(24,'ETF데이터'!$V$4:$V$253,0),0)</f>
        <v/>
      </c>
      <c r="L43">
        <f>IF(AND($B43&lt;&gt;"",$J43&lt;&gt;""),1,0)</f>
        <v/>
      </c>
      <c r="M43">
        <f>IF($L43=1,$M42+1,$M42)</f>
        <v/>
      </c>
      <c r="N43">
        <f>IFERROR(INDEX($B$20:$B$79,MATCH(24,$M$20:$M$79,0)),"")</f>
        <v/>
      </c>
    </row>
    <row r="44">
      <c r="B44" s="56">
        <f>IF($K44=0,"",INDEX('ETF데이터'!$A$4:$A$253,$K44))</f>
        <v/>
      </c>
      <c r="C44" s="73">
        <f>IF($K44=0,"",INDEX('ETF데이터'!$R$4:$R$253,$K44))</f>
        <v/>
      </c>
      <c r="D44" s="74">
        <f>IF($K44=0,"",INDEX('ETF데이터'!$J$4:$J$253,$K44))</f>
        <v/>
      </c>
      <c r="E44" s="75">
        <f>IF($K44=0,"",$D44/12)</f>
        <v/>
      </c>
      <c r="F44" s="76">
        <f>IF($K44=0,"",INDEX('ETF데이터'!$D$4:$D$253,$K44))</f>
        <v/>
      </c>
      <c r="G44" s="74">
        <f>IF($K44=0,"",INDEX('ETF데이터'!$H$4:$H$253,$K44))</f>
        <v/>
      </c>
      <c r="H44" s="77">
        <f>IF($K44=0,"",INDEX('ETF데이터'!$E$4:$E$253,$K44)/100000000)</f>
        <v/>
      </c>
      <c r="I44" s="73">
        <f>IF($K44=0,"",INDEX('ETF데이터'!$M$4:$M$253,$K44))</f>
        <v/>
      </c>
      <c r="J44" s="78" t="n"/>
      <c r="K44">
        <f>IFERROR(MATCH(25,'ETF데이터'!$V$4:$V$253,0),0)</f>
        <v/>
      </c>
      <c r="L44">
        <f>IF(AND($B44&lt;&gt;"",$J44&lt;&gt;""),1,0)</f>
        <v/>
      </c>
      <c r="M44">
        <f>IF($L44=1,$M43+1,$M43)</f>
        <v/>
      </c>
      <c r="N44">
        <f>IFERROR(INDEX($B$20:$B$79,MATCH(25,$M$20:$M$79,0)),"")</f>
        <v/>
      </c>
    </row>
    <row r="45">
      <c r="B45" s="60">
        <f>IF($K45=0,"",INDEX('ETF데이터'!$A$4:$A$253,$K45))</f>
        <v/>
      </c>
      <c r="C45" s="79">
        <f>IF($K45=0,"",INDEX('ETF데이터'!$R$4:$R$253,$K45))</f>
        <v/>
      </c>
      <c r="D45" s="80">
        <f>IF($K45=0,"",INDEX('ETF데이터'!$J$4:$J$253,$K45))</f>
        <v/>
      </c>
      <c r="E45" s="81">
        <f>IF($K45=0,"",$D45/12)</f>
        <v/>
      </c>
      <c r="F45" s="82">
        <f>IF($K45=0,"",INDEX('ETF데이터'!$D$4:$D$253,$K45))</f>
        <v/>
      </c>
      <c r="G45" s="80">
        <f>IF($K45=0,"",INDEX('ETF데이터'!$H$4:$H$253,$K45))</f>
        <v/>
      </c>
      <c r="H45" s="83">
        <f>IF($K45=0,"",INDEX('ETF데이터'!$E$4:$E$253,$K45)/100000000)</f>
        <v/>
      </c>
      <c r="I45" s="79">
        <f>IF($K45=0,"",INDEX('ETF데이터'!$M$4:$M$253,$K45))</f>
        <v/>
      </c>
      <c r="J45" s="78" t="n"/>
      <c r="K45">
        <f>IFERROR(MATCH(26,'ETF데이터'!$V$4:$V$253,0),0)</f>
        <v/>
      </c>
      <c r="L45">
        <f>IF(AND($B45&lt;&gt;"",$J45&lt;&gt;""),1,0)</f>
        <v/>
      </c>
      <c r="M45">
        <f>IF($L45=1,$M44+1,$M44)</f>
        <v/>
      </c>
      <c r="N45">
        <f>IFERROR(INDEX($B$20:$B$79,MATCH(26,$M$20:$M$79,0)),"")</f>
        <v/>
      </c>
    </row>
    <row r="46">
      <c r="B46" s="56">
        <f>IF($K46=0,"",INDEX('ETF데이터'!$A$4:$A$253,$K46))</f>
        <v/>
      </c>
      <c r="C46" s="73">
        <f>IF($K46=0,"",INDEX('ETF데이터'!$R$4:$R$253,$K46))</f>
        <v/>
      </c>
      <c r="D46" s="74">
        <f>IF($K46=0,"",INDEX('ETF데이터'!$J$4:$J$253,$K46))</f>
        <v/>
      </c>
      <c r="E46" s="75">
        <f>IF($K46=0,"",$D46/12)</f>
        <v/>
      </c>
      <c r="F46" s="76">
        <f>IF($K46=0,"",INDEX('ETF데이터'!$D$4:$D$253,$K46))</f>
        <v/>
      </c>
      <c r="G46" s="74">
        <f>IF($K46=0,"",INDEX('ETF데이터'!$H$4:$H$253,$K46))</f>
        <v/>
      </c>
      <c r="H46" s="77">
        <f>IF($K46=0,"",INDEX('ETF데이터'!$E$4:$E$253,$K46)/100000000)</f>
        <v/>
      </c>
      <c r="I46" s="73">
        <f>IF($K46=0,"",INDEX('ETF데이터'!$M$4:$M$253,$K46))</f>
        <v/>
      </c>
      <c r="J46" s="78" t="n"/>
      <c r="K46">
        <f>IFERROR(MATCH(27,'ETF데이터'!$V$4:$V$253,0),0)</f>
        <v/>
      </c>
      <c r="L46">
        <f>IF(AND($B46&lt;&gt;"",$J46&lt;&gt;""),1,0)</f>
        <v/>
      </c>
      <c r="M46">
        <f>IF($L46=1,$M45+1,$M45)</f>
        <v/>
      </c>
      <c r="N46">
        <f>IFERROR(INDEX($B$20:$B$79,MATCH(27,$M$20:$M$79,0)),"")</f>
        <v/>
      </c>
    </row>
    <row r="47">
      <c r="B47" s="60">
        <f>IF($K47=0,"",INDEX('ETF데이터'!$A$4:$A$253,$K47))</f>
        <v/>
      </c>
      <c r="C47" s="79">
        <f>IF($K47=0,"",INDEX('ETF데이터'!$R$4:$R$253,$K47))</f>
        <v/>
      </c>
      <c r="D47" s="80">
        <f>IF($K47=0,"",INDEX('ETF데이터'!$J$4:$J$253,$K47))</f>
        <v/>
      </c>
      <c r="E47" s="81">
        <f>IF($K47=0,"",$D47/12)</f>
        <v/>
      </c>
      <c r="F47" s="82">
        <f>IF($K47=0,"",INDEX('ETF데이터'!$D$4:$D$253,$K47))</f>
        <v/>
      </c>
      <c r="G47" s="80">
        <f>IF($K47=0,"",INDEX('ETF데이터'!$H$4:$H$253,$K47))</f>
        <v/>
      </c>
      <c r="H47" s="83">
        <f>IF($K47=0,"",INDEX('ETF데이터'!$E$4:$E$253,$K47)/100000000)</f>
        <v/>
      </c>
      <c r="I47" s="79">
        <f>IF($K47=0,"",INDEX('ETF데이터'!$M$4:$M$253,$K47))</f>
        <v/>
      </c>
      <c r="J47" s="78" t="n"/>
      <c r="K47">
        <f>IFERROR(MATCH(28,'ETF데이터'!$V$4:$V$253,0),0)</f>
        <v/>
      </c>
      <c r="L47">
        <f>IF(AND($B47&lt;&gt;"",$J47&lt;&gt;""),1,0)</f>
        <v/>
      </c>
      <c r="M47">
        <f>IF($L47=1,$M46+1,$M46)</f>
        <v/>
      </c>
      <c r="N47">
        <f>IFERROR(INDEX($B$20:$B$79,MATCH(28,$M$20:$M$79,0)),"")</f>
        <v/>
      </c>
    </row>
    <row r="48">
      <c r="B48" s="56">
        <f>IF($K48=0,"",INDEX('ETF데이터'!$A$4:$A$253,$K48))</f>
        <v/>
      </c>
      <c r="C48" s="73">
        <f>IF($K48=0,"",INDEX('ETF데이터'!$R$4:$R$253,$K48))</f>
        <v/>
      </c>
      <c r="D48" s="74">
        <f>IF($K48=0,"",INDEX('ETF데이터'!$J$4:$J$253,$K48))</f>
        <v/>
      </c>
      <c r="E48" s="75">
        <f>IF($K48=0,"",$D48/12)</f>
        <v/>
      </c>
      <c r="F48" s="76">
        <f>IF($K48=0,"",INDEX('ETF데이터'!$D$4:$D$253,$K48))</f>
        <v/>
      </c>
      <c r="G48" s="74">
        <f>IF($K48=0,"",INDEX('ETF데이터'!$H$4:$H$253,$K48))</f>
        <v/>
      </c>
      <c r="H48" s="77">
        <f>IF($K48=0,"",INDEX('ETF데이터'!$E$4:$E$253,$K48)/100000000)</f>
        <v/>
      </c>
      <c r="I48" s="73">
        <f>IF($K48=0,"",INDEX('ETF데이터'!$M$4:$M$253,$K48))</f>
        <v/>
      </c>
      <c r="J48" s="78" t="n"/>
      <c r="K48">
        <f>IFERROR(MATCH(29,'ETF데이터'!$V$4:$V$253,0),0)</f>
        <v/>
      </c>
      <c r="L48">
        <f>IF(AND($B48&lt;&gt;"",$J48&lt;&gt;""),1,0)</f>
        <v/>
      </c>
      <c r="M48">
        <f>IF($L48=1,$M47+1,$M47)</f>
        <v/>
      </c>
      <c r="N48">
        <f>IFERROR(INDEX($B$20:$B$79,MATCH(29,$M$20:$M$79,0)),"")</f>
        <v/>
      </c>
    </row>
    <row r="49">
      <c r="B49" s="60">
        <f>IF($K49=0,"",INDEX('ETF데이터'!$A$4:$A$253,$K49))</f>
        <v/>
      </c>
      <c r="C49" s="79">
        <f>IF($K49=0,"",INDEX('ETF데이터'!$R$4:$R$253,$K49))</f>
        <v/>
      </c>
      <c r="D49" s="80">
        <f>IF($K49=0,"",INDEX('ETF데이터'!$J$4:$J$253,$K49))</f>
        <v/>
      </c>
      <c r="E49" s="81">
        <f>IF($K49=0,"",$D49/12)</f>
        <v/>
      </c>
      <c r="F49" s="82">
        <f>IF($K49=0,"",INDEX('ETF데이터'!$D$4:$D$253,$K49))</f>
        <v/>
      </c>
      <c r="G49" s="80">
        <f>IF($K49=0,"",INDEX('ETF데이터'!$H$4:$H$253,$K49))</f>
        <v/>
      </c>
      <c r="H49" s="83">
        <f>IF($K49=0,"",INDEX('ETF데이터'!$E$4:$E$253,$K49)/100000000)</f>
        <v/>
      </c>
      <c r="I49" s="79">
        <f>IF($K49=0,"",INDEX('ETF데이터'!$M$4:$M$253,$K49))</f>
        <v/>
      </c>
      <c r="J49" s="78" t="n"/>
      <c r="K49">
        <f>IFERROR(MATCH(30,'ETF데이터'!$V$4:$V$253,0),0)</f>
        <v/>
      </c>
      <c r="L49">
        <f>IF(AND($B49&lt;&gt;"",$J49&lt;&gt;""),1,0)</f>
        <v/>
      </c>
      <c r="M49">
        <f>IF($L49=1,$M48+1,$M48)</f>
        <v/>
      </c>
      <c r="N49">
        <f>IFERROR(INDEX($B$20:$B$79,MATCH(30,$M$20:$M$79,0)),"")</f>
        <v/>
      </c>
    </row>
    <row r="50">
      <c r="B50" s="56">
        <f>IF($K50=0,"",INDEX('ETF데이터'!$A$4:$A$253,$K50))</f>
        <v/>
      </c>
      <c r="C50" s="73">
        <f>IF($K50=0,"",INDEX('ETF데이터'!$R$4:$R$253,$K50))</f>
        <v/>
      </c>
      <c r="D50" s="74">
        <f>IF($K50=0,"",INDEX('ETF데이터'!$J$4:$J$253,$K50))</f>
        <v/>
      </c>
      <c r="E50" s="75">
        <f>IF($K50=0,"",$D50/12)</f>
        <v/>
      </c>
      <c r="F50" s="76">
        <f>IF($K50=0,"",INDEX('ETF데이터'!$D$4:$D$253,$K50))</f>
        <v/>
      </c>
      <c r="G50" s="74">
        <f>IF($K50=0,"",INDEX('ETF데이터'!$H$4:$H$253,$K50))</f>
        <v/>
      </c>
      <c r="H50" s="77">
        <f>IF($K50=0,"",INDEX('ETF데이터'!$E$4:$E$253,$K50)/100000000)</f>
        <v/>
      </c>
      <c r="I50" s="73">
        <f>IF($K50=0,"",INDEX('ETF데이터'!$M$4:$M$253,$K50))</f>
        <v/>
      </c>
      <c r="J50" s="78" t="n"/>
      <c r="K50">
        <f>IFERROR(MATCH(31,'ETF데이터'!$V$4:$V$253,0),0)</f>
        <v/>
      </c>
      <c r="L50">
        <f>IF(AND($B50&lt;&gt;"",$J50&lt;&gt;""),1,0)</f>
        <v/>
      </c>
      <c r="M50">
        <f>IF($L50=1,$M49+1,$M49)</f>
        <v/>
      </c>
      <c r="N50">
        <f>IFERROR(INDEX($B$20:$B$79,MATCH(31,$M$20:$M$79,0)),"")</f>
        <v/>
      </c>
    </row>
    <row r="51">
      <c r="B51" s="60">
        <f>IF($K51=0,"",INDEX('ETF데이터'!$A$4:$A$253,$K51))</f>
        <v/>
      </c>
      <c r="C51" s="79">
        <f>IF($K51=0,"",INDEX('ETF데이터'!$R$4:$R$253,$K51))</f>
        <v/>
      </c>
      <c r="D51" s="80">
        <f>IF($K51=0,"",INDEX('ETF데이터'!$J$4:$J$253,$K51))</f>
        <v/>
      </c>
      <c r="E51" s="81">
        <f>IF($K51=0,"",$D51/12)</f>
        <v/>
      </c>
      <c r="F51" s="82">
        <f>IF($K51=0,"",INDEX('ETF데이터'!$D$4:$D$253,$K51))</f>
        <v/>
      </c>
      <c r="G51" s="80">
        <f>IF($K51=0,"",INDEX('ETF데이터'!$H$4:$H$253,$K51))</f>
        <v/>
      </c>
      <c r="H51" s="83">
        <f>IF($K51=0,"",INDEX('ETF데이터'!$E$4:$E$253,$K51)/100000000)</f>
        <v/>
      </c>
      <c r="I51" s="79">
        <f>IF($K51=0,"",INDEX('ETF데이터'!$M$4:$M$253,$K51))</f>
        <v/>
      </c>
      <c r="J51" s="78" t="n"/>
      <c r="K51">
        <f>IFERROR(MATCH(32,'ETF데이터'!$V$4:$V$253,0),0)</f>
        <v/>
      </c>
      <c r="L51">
        <f>IF(AND($B51&lt;&gt;"",$J51&lt;&gt;""),1,0)</f>
        <v/>
      </c>
      <c r="M51">
        <f>IF($L51=1,$M50+1,$M50)</f>
        <v/>
      </c>
      <c r="N51">
        <f>IFERROR(INDEX($B$20:$B$79,MATCH(32,$M$20:$M$79,0)),"")</f>
        <v/>
      </c>
    </row>
    <row r="52">
      <c r="B52" s="56">
        <f>IF($K52=0,"",INDEX('ETF데이터'!$A$4:$A$253,$K52))</f>
        <v/>
      </c>
      <c r="C52" s="73">
        <f>IF($K52=0,"",INDEX('ETF데이터'!$R$4:$R$253,$K52))</f>
        <v/>
      </c>
      <c r="D52" s="74">
        <f>IF($K52=0,"",INDEX('ETF데이터'!$J$4:$J$253,$K52))</f>
        <v/>
      </c>
      <c r="E52" s="75">
        <f>IF($K52=0,"",$D52/12)</f>
        <v/>
      </c>
      <c r="F52" s="76">
        <f>IF($K52=0,"",INDEX('ETF데이터'!$D$4:$D$253,$K52))</f>
        <v/>
      </c>
      <c r="G52" s="74">
        <f>IF($K52=0,"",INDEX('ETF데이터'!$H$4:$H$253,$K52))</f>
        <v/>
      </c>
      <c r="H52" s="77">
        <f>IF($K52=0,"",INDEX('ETF데이터'!$E$4:$E$253,$K52)/100000000)</f>
        <v/>
      </c>
      <c r="I52" s="73">
        <f>IF($K52=0,"",INDEX('ETF데이터'!$M$4:$M$253,$K52))</f>
        <v/>
      </c>
      <c r="J52" s="78" t="n"/>
      <c r="K52">
        <f>IFERROR(MATCH(33,'ETF데이터'!$V$4:$V$253,0),0)</f>
        <v/>
      </c>
      <c r="L52">
        <f>IF(AND($B52&lt;&gt;"",$J52&lt;&gt;""),1,0)</f>
        <v/>
      </c>
      <c r="M52">
        <f>IF($L52=1,$M51+1,$M51)</f>
        <v/>
      </c>
      <c r="N52">
        <f>IFERROR(INDEX($B$20:$B$79,MATCH(33,$M$20:$M$79,0)),"")</f>
        <v/>
      </c>
    </row>
    <row r="53">
      <c r="B53" s="60">
        <f>IF($K53=0,"",INDEX('ETF데이터'!$A$4:$A$253,$K53))</f>
        <v/>
      </c>
      <c r="C53" s="79">
        <f>IF($K53=0,"",INDEX('ETF데이터'!$R$4:$R$253,$K53))</f>
        <v/>
      </c>
      <c r="D53" s="80">
        <f>IF($K53=0,"",INDEX('ETF데이터'!$J$4:$J$253,$K53))</f>
        <v/>
      </c>
      <c r="E53" s="81">
        <f>IF($K53=0,"",$D53/12)</f>
        <v/>
      </c>
      <c r="F53" s="82">
        <f>IF($K53=0,"",INDEX('ETF데이터'!$D$4:$D$253,$K53))</f>
        <v/>
      </c>
      <c r="G53" s="80">
        <f>IF($K53=0,"",INDEX('ETF데이터'!$H$4:$H$253,$K53))</f>
        <v/>
      </c>
      <c r="H53" s="83">
        <f>IF($K53=0,"",INDEX('ETF데이터'!$E$4:$E$253,$K53)/100000000)</f>
        <v/>
      </c>
      <c r="I53" s="79">
        <f>IF($K53=0,"",INDEX('ETF데이터'!$M$4:$M$253,$K53))</f>
        <v/>
      </c>
      <c r="J53" s="78" t="n"/>
      <c r="K53">
        <f>IFERROR(MATCH(34,'ETF데이터'!$V$4:$V$253,0),0)</f>
        <v/>
      </c>
      <c r="L53">
        <f>IF(AND($B53&lt;&gt;"",$J53&lt;&gt;""),1,0)</f>
        <v/>
      </c>
      <c r="M53">
        <f>IF($L53=1,$M52+1,$M52)</f>
        <v/>
      </c>
      <c r="N53">
        <f>IFERROR(INDEX($B$20:$B$79,MATCH(34,$M$20:$M$79,0)),"")</f>
        <v/>
      </c>
    </row>
    <row r="54">
      <c r="B54" s="56">
        <f>IF($K54=0,"",INDEX('ETF데이터'!$A$4:$A$253,$K54))</f>
        <v/>
      </c>
      <c r="C54" s="73">
        <f>IF($K54=0,"",INDEX('ETF데이터'!$R$4:$R$253,$K54))</f>
        <v/>
      </c>
      <c r="D54" s="74">
        <f>IF($K54=0,"",INDEX('ETF데이터'!$J$4:$J$253,$K54))</f>
        <v/>
      </c>
      <c r="E54" s="75">
        <f>IF($K54=0,"",$D54/12)</f>
        <v/>
      </c>
      <c r="F54" s="76">
        <f>IF($K54=0,"",INDEX('ETF데이터'!$D$4:$D$253,$K54))</f>
        <v/>
      </c>
      <c r="G54" s="74">
        <f>IF($K54=0,"",INDEX('ETF데이터'!$H$4:$H$253,$K54))</f>
        <v/>
      </c>
      <c r="H54" s="77">
        <f>IF($K54=0,"",INDEX('ETF데이터'!$E$4:$E$253,$K54)/100000000)</f>
        <v/>
      </c>
      <c r="I54" s="73">
        <f>IF($K54=0,"",INDEX('ETF데이터'!$M$4:$M$253,$K54))</f>
        <v/>
      </c>
      <c r="J54" s="78" t="n"/>
      <c r="K54">
        <f>IFERROR(MATCH(35,'ETF데이터'!$V$4:$V$253,0),0)</f>
        <v/>
      </c>
      <c r="L54">
        <f>IF(AND($B54&lt;&gt;"",$J54&lt;&gt;""),1,0)</f>
        <v/>
      </c>
      <c r="M54">
        <f>IF($L54=1,$M53+1,$M53)</f>
        <v/>
      </c>
      <c r="N54">
        <f>IFERROR(INDEX($B$20:$B$79,MATCH(35,$M$20:$M$79,0)),"")</f>
        <v/>
      </c>
    </row>
    <row r="55">
      <c r="B55" s="60">
        <f>IF($K55=0,"",INDEX('ETF데이터'!$A$4:$A$253,$K55))</f>
        <v/>
      </c>
      <c r="C55" s="79">
        <f>IF($K55=0,"",INDEX('ETF데이터'!$R$4:$R$253,$K55))</f>
        <v/>
      </c>
      <c r="D55" s="80">
        <f>IF($K55=0,"",INDEX('ETF데이터'!$J$4:$J$253,$K55))</f>
        <v/>
      </c>
      <c r="E55" s="81">
        <f>IF($K55=0,"",$D55/12)</f>
        <v/>
      </c>
      <c r="F55" s="82">
        <f>IF($K55=0,"",INDEX('ETF데이터'!$D$4:$D$253,$K55))</f>
        <v/>
      </c>
      <c r="G55" s="80">
        <f>IF($K55=0,"",INDEX('ETF데이터'!$H$4:$H$253,$K55))</f>
        <v/>
      </c>
      <c r="H55" s="83">
        <f>IF($K55=0,"",INDEX('ETF데이터'!$E$4:$E$253,$K55)/100000000)</f>
        <v/>
      </c>
      <c r="I55" s="79">
        <f>IF($K55=0,"",INDEX('ETF데이터'!$M$4:$M$253,$K55))</f>
        <v/>
      </c>
      <c r="J55" s="78" t="n"/>
      <c r="K55">
        <f>IFERROR(MATCH(36,'ETF데이터'!$V$4:$V$253,0),0)</f>
        <v/>
      </c>
      <c r="L55">
        <f>IF(AND($B55&lt;&gt;"",$J55&lt;&gt;""),1,0)</f>
        <v/>
      </c>
      <c r="M55">
        <f>IF($L55=1,$M54+1,$M54)</f>
        <v/>
      </c>
      <c r="N55">
        <f>IFERROR(INDEX($B$20:$B$79,MATCH(36,$M$20:$M$79,0)),"")</f>
        <v/>
      </c>
    </row>
    <row r="56">
      <c r="B56" s="56">
        <f>IF($K56=0,"",INDEX('ETF데이터'!$A$4:$A$253,$K56))</f>
        <v/>
      </c>
      <c r="C56" s="73">
        <f>IF($K56=0,"",INDEX('ETF데이터'!$R$4:$R$253,$K56))</f>
        <v/>
      </c>
      <c r="D56" s="74">
        <f>IF($K56=0,"",INDEX('ETF데이터'!$J$4:$J$253,$K56))</f>
        <v/>
      </c>
      <c r="E56" s="75">
        <f>IF($K56=0,"",$D56/12)</f>
        <v/>
      </c>
      <c r="F56" s="76">
        <f>IF($K56=0,"",INDEX('ETF데이터'!$D$4:$D$253,$K56))</f>
        <v/>
      </c>
      <c r="G56" s="74">
        <f>IF($K56=0,"",INDEX('ETF데이터'!$H$4:$H$253,$K56))</f>
        <v/>
      </c>
      <c r="H56" s="77">
        <f>IF($K56=0,"",INDEX('ETF데이터'!$E$4:$E$253,$K56)/100000000)</f>
        <v/>
      </c>
      <c r="I56" s="73">
        <f>IF($K56=0,"",INDEX('ETF데이터'!$M$4:$M$253,$K56))</f>
        <v/>
      </c>
      <c r="J56" s="78" t="n"/>
      <c r="K56">
        <f>IFERROR(MATCH(37,'ETF데이터'!$V$4:$V$253,0),0)</f>
        <v/>
      </c>
      <c r="L56">
        <f>IF(AND($B56&lt;&gt;"",$J56&lt;&gt;""),1,0)</f>
        <v/>
      </c>
      <c r="M56">
        <f>IF($L56=1,$M55+1,$M55)</f>
        <v/>
      </c>
      <c r="N56">
        <f>IFERROR(INDEX($B$20:$B$79,MATCH(37,$M$20:$M$79,0)),"")</f>
        <v/>
      </c>
    </row>
    <row r="57">
      <c r="B57" s="60">
        <f>IF($K57=0,"",INDEX('ETF데이터'!$A$4:$A$253,$K57))</f>
        <v/>
      </c>
      <c r="C57" s="79">
        <f>IF($K57=0,"",INDEX('ETF데이터'!$R$4:$R$253,$K57))</f>
        <v/>
      </c>
      <c r="D57" s="80">
        <f>IF($K57=0,"",INDEX('ETF데이터'!$J$4:$J$253,$K57))</f>
        <v/>
      </c>
      <c r="E57" s="81">
        <f>IF($K57=0,"",$D57/12)</f>
        <v/>
      </c>
      <c r="F57" s="82">
        <f>IF($K57=0,"",INDEX('ETF데이터'!$D$4:$D$253,$K57))</f>
        <v/>
      </c>
      <c r="G57" s="80">
        <f>IF($K57=0,"",INDEX('ETF데이터'!$H$4:$H$253,$K57))</f>
        <v/>
      </c>
      <c r="H57" s="83">
        <f>IF($K57=0,"",INDEX('ETF데이터'!$E$4:$E$253,$K57)/100000000)</f>
        <v/>
      </c>
      <c r="I57" s="79">
        <f>IF($K57=0,"",INDEX('ETF데이터'!$M$4:$M$253,$K57))</f>
        <v/>
      </c>
      <c r="J57" s="78" t="n"/>
      <c r="K57">
        <f>IFERROR(MATCH(38,'ETF데이터'!$V$4:$V$253,0),0)</f>
        <v/>
      </c>
      <c r="L57">
        <f>IF(AND($B57&lt;&gt;"",$J57&lt;&gt;""),1,0)</f>
        <v/>
      </c>
      <c r="M57">
        <f>IF($L57=1,$M56+1,$M56)</f>
        <v/>
      </c>
      <c r="N57">
        <f>IFERROR(INDEX($B$20:$B$79,MATCH(38,$M$20:$M$79,0)),"")</f>
        <v/>
      </c>
    </row>
    <row r="58">
      <c r="B58" s="56">
        <f>IF($K58=0,"",INDEX('ETF데이터'!$A$4:$A$253,$K58))</f>
        <v/>
      </c>
      <c r="C58" s="73">
        <f>IF($K58=0,"",INDEX('ETF데이터'!$R$4:$R$253,$K58))</f>
        <v/>
      </c>
      <c r="D58" s="74">
        <f>IF($K58=0,"",INDEX('ETF데이터'!$J$4:$J$253,$K58))</f>
        <v/>
      </c>
      <c r="E58" s="75">
        <f>IF($K58=0,"",$D58/12)</f>
        <v/>
      </c>
      <c r="F58" s="76">
        <f>IF($K58=0,"",INDEX('ETF데이터'!$D$4:$D$253,$K58))</f>
        <v/>
      </c>
      <c r="G58" s="74">
        <f>IF($K58=0,"",INDEX('ETF데이터'!$H$4:$H$253,$K58))</f>
        <v/>
      </c>
      <c r="H58" s="77">
        <f>IF($K58=0,"",INDEX('ETF데이터'!$E$4:$E$253,$K58)/100000000)</f>
        <v/>
      </c>
      <c r="I58" s="73">
        <f>IF($K58=0,"",INDEX('ETF데이터'!$M$4:$M$253,$K58))</f>
        <v/>
      </c>
      <c r="J58" s="78" t="n"/>
      <c r="K58">
        <f>IFERROR(MATCH(39,'ETF데이터'!$V$4:$V$253,0),0)</f>
        <v/>
      </c>
      <c r="L58">
        <f>IF(AND($B58&lt;&gt;"",$J58&lt;&gt;""),1,0)</f>
        <v/>
      </c>
      <c r="M58">
        <f>IF($L58=1,$M57+1,$M57)</f>
        <v/>
      </c>
      <c r="N58">
        <f>IFERROR(INDEX($B$20:$B$79,MATCH(39,$M$20:$M$79,0)),"")</f>
        <v/>
      </c>
    </row>
    <row r="59">
      <c r="B59" s="60">
        <f>IF($K59=0,"",INDEX('ETF데이터'!$A$4:$A$253,$K59))</f>
        <v/>
      </c>
      <c r="C59" s="79">
        <f>IF($K59=0,"",INDEX('ETF데이터'!$R$4:$R$253,$K59))</f>
        <v/>
      </c>
      <c r="D59" s="80">
        <f>IF($K59=0,"",INDEX('ETF데이터'!$J$4:$J$253,$K59))</f>
        <v/>
      </c>
      <c r="E59" s="81">
        <f>IF($K59=0,"",$D59/12)</f>
        <v/>
      </c>
      <c r="F59" s="82">
        <f>IF($K59=0,"",INDEX('ETF데이터'!$D$4:$D$253,$K59))</f>
        <v/>
      </c>
      <c r="G59" s="80">
        <f>IF($K59=0,"",INDEX('ETF데이터'!$H$4:$H$253,$K59))</f>
        <v/>
      </c>
      <c r="H59" s="83">
        <f>IF($K59=0,"",INDEX('ETF데이터'!$E$4:$E$253,$K59)/100000000)</f>
        <v/>
      </c>
      <c r="I59" s="79">
        <f>IF($K59=0,"",INDEX('ETF데이터'!$M$4:$M$253,$K59))</f>
        <v/>
      </c>
      <c r="J59" s="78" t="n"/>
      <c r="K59">
        <f>IFERROR(MATCH(40,'ETF데이터'!$V$4:$V$253,0),0)</f>
        <v/>
      </c>
      <c r="L59">
        <f>IF(AND($B59&lt;&gt;"",$J59&lt;&gt;""),1,0)</f>
        <v/>
      </c>
      <c r="M59">
        <f>IF($L59=1,$M58+1,$M58)</f>
        <v/>
      </c>
      <c r="N59">
        <f>IFERROR(INDEX($B$20:$B$79,MATCH(40,$M$20:$M$79,0)),"")</f>
        <v/>
      </c>
    </row>
    <row r="60">
      <c r="B60" s="56">
        <f>IF($K60=0,"",INDEX('ETF데이터'!$A$4:$A$253,$K60))</f>
        <v/>
      </c>
      <c r="C60" s="73">
        <f>IF($K60=0,"",INDEX('ETF데이터'!$R$4:$R$253,$K60))</f>
        <v/>
      </c>
      <c r="D60" s="74">
        <f>IF($K60=0,"",INDEX('ETF데이터'!$J$4:$J$253,$K60))</f>
        <v/>
      </c>
      <c r="E60" s="75">
        <f>IF($K60=0,"",$D60/12)</f>
        <v/>
      </c>
      <c r="F60" s="76">
        <f>IF($K60=0,"",INDEX('ETF데이터'!$D$4:$D$253,$K60))</f>
        <v/>
      </c>
      <c r="G60" s="74">
        <f>IF($K60=0,"",INDEX('ETF데이터'!$H$4:$H$253,$K60))</f>
        <v/>
      </c>
      <c r="H60" s="77">
        <f>IF($K60=0,"",INDEX('ETF데이터'!$E$4:$E$253,$K60)/100000000)</f>
        <v/>
      </c>
      <c r="I60" s="73">
        <f>IF($K60=0,"",INDEX('ETF데이터'!$M$4:$M$253,$K60))</f>
        <v/>
      </c>
      <c r="J60" s="78" t="n"/>
      <c r="K60">
        <f>IFERROR(MATCH(41,'ETF데이터'!$V$4:$V$253,0),0)</f>
        <v/>
      </c>
      <c r="L60">
        <f>IF(AND($B60&lt;&gt;"",$J60&lt;&gt;""),1,0)</f>
        <v/>
      </c>
      <c r="M60">
        <f>IF($L60=1,$M59+1,$M59)</f>
        <v/>
      </c>
      <c r="N60">
        <f>IFERROR(INDEX($B$20:$B$79,MATCH(41,$M$20:$M$79,0)),"")</f>
        <v/>
      </c>
    </row>
    <row r="61">
      <c r="B61" s="60">
        <f>IF($K61=0,"",INDEX('ETF데이터'!$A$4:$A$253,$K61))</f>
        <v/>
      </c>
      <c r="C61" s="79">
        <f>IF($K61=0,"",INDEX('ETF데이터'!$R$4:$R$253,$K61))</f>
        <v/>
      </c>
      <c r="D61" s="80">
        <f>IF($K61=0,"",INDEX('ETF데이터'!$J$4:$J$253,$K61))</f>
        <v/>
      </c>
      <c r="E61" s="81">
        <f>IF($K61=0,"",$D61/12)</f>
        <v/>
      </c>
      <c r="F61" s="82">
        <f>IF($K61=0,"",INDEX('ETF데이터'!$D$4:$D$253,$K61))</f>
        <v/>
      </c>
      <c r="G61" s="80">
        <f>IF($K61=0,"",INDEX('ETF데이터'!$H$4:$H$253,$K61))</f>
        <v/>
      </c>
      <c r="H61" s="83">
        <f>IF($K61=0,"",INDEX('ETF데이터'!$E$4:$E$253,$K61)/100000000)</f>
        <v/>
      </c>
      <c r="I61" s="79">
        <f>IF($K61=0,"",INDEX('ETF데이터'!$M$4:$M$253,$K61))</f>
        <v/>
      </c>
      <c r="J61" s="78" t="n"/>
      <c r="K61">
        <f>IFERROR(MATCH(42,'ETF데이터'!$V$4:$V$253,0),0)</f>
        <v/>
      </c>
      <c r="L61">
        <f>IF(AND($B61&lt;&gt;"",$J61&lt;&gt;""),1,0)</f>
        <v/>
      </c>
      <c r="M61">
        <f>IF($L61=1,$M60+1,$M60)</f>
        <v/>
      </c>
      <c r="N61">
        <f>IFERROR(INDEX($B$20:$B$79,MATCH(42,$M$20:$M$79,0)),"")</f>
        <v/>
      </c>
    </row>
    <row r="62">
      <c r="B62" s="56">
        <f>IF($K62=0,"",INDEX('ETF데이터'!$A$4:$A$253,$K62))</f>
        <v/>
      </c>
      <c r="C62" s="73">
        <f>IF($K62=0,"",INDEX('ETF데이터'!$R$4:$R$253,$K62))</f>
        <v/>
      </c>
      <c r="D62" s="74">
        <f>IF($K62=0,"",INDEX('ETF데이터'!$J$4:$J$253,$K62))</f>
        <v/>
      </c>
      <c r="E62" s="75">
        <f>IF($K62=0,"",$D62/12)</f>
        <v/>
      </c>
      <c r="F62" s="76">
        <f>IF($K62=0,"",INDEX('ETF데이터'!$D$4:$D$253,$K62))</f>
        <v/>
      </c>
      <c r="G62" s="74">
        <f>IF($K62=0,"",INDEX('ETF데이터'!$H$4:$H$253,$K62))</f>
        <v/>
      </c>
      <c r="H62" s="77">
        <f>IF($K62=0,"",INDEX('ETF데이터'!$E$4:$E$253,$K62)/100000000)</f>
        <v/>
      </c>
      <c r="I62" s="73">
        <f>IF($K62=0,"",INDEX('ETF데이터'!$M$4:$M$253,$K62))</f>
        <v/>
      </c>
      <c r="J62" s="78" t="n"/>
      <c r="K62">
        <f>IFERROR(MATCH(43,'ETF데이터'!$V$4:$V$253,0),0)</f>
        <v/>
      </c>
      <c r="L62">
        <f>IF(AND($B62&lt;&gt;"",$J62&lt;&gt;""),1,0)</f>
        <v/>
      </c>
      <c r="M62">
        <f>IF($L62=1,$M61+1,$M61)</f>
        <v/>
      </c>
      <c r="N62">
        <f>IFERROR(INDEX($B$20:$B$79,MATCH(43,$M$20:$M$79,0)),"")</f>
        <v/>
      </c>
    </row>
    <row r="63">
      <c r="B63" s="60">
        <f>IF($K63=0,"",INDEX('ETF데이터'!$A$4:$A$253,$K63))</f>
        <v/>
      </c>
      <c r="C63" s="79">
        <f>IF($K63=0,"",INDEX('ETF데이터'!$R$4:$R$253,$K63))</f>
        <v/>
      </c>
      <c r="D63" s="80">
        <f>IF($K63=0,"",INDEX('ETF데이터'!$J$4:$J$253,$K63))</f>
        <v/>
      </c>
      <c r="E63" s="81">
        <f>IF($K63=0,"",$D63/12)</f>
        <v/>
      </c>
      <c r="F63" s="82">
        <f>IF($K63=0,"",INDEX('ETF데이터'!$D$4:$D$253,$K63))</f>
        <v/>
      </c>
      <c r="G63" s="80">
        <f>IF($K63=0,"",INDEX('ETF데이터'!$H$4:$H$253,$K63))</f>
        <v/>
      </c>
      <c r="H63" s="83">
        <f>IF($K63=0,"",INDEX('ETF데이터'!$E$4:$E$253,$K63)/100000000)</f>
        <v/>
      </c>
      <c r="I63" s="79">
        <f>IF($K63=0,"",INDEX('ETF데이터'!$M$4:$M$253,$K63))</f>
        <v/>
      </c>
      <c r="J63" s="78" t="n"/>
      <c r="K63">
        <f>IFERROR(MATCH(44,'ETF데이터'!$V$4:$V$253,0),0)</f>
        <v/>
      </c>
      <c r="L63">
        <f>IF(AND($B63&lt;&gt;"",$J63&lt;&gt;""),1,0)</f>
        <v/>
      </c>
      <c r="M63">
        <f>IF($L63=1,$M62+1,$M62)</f>
        <v/>
      </c>
      <c r="N63">
        <f>IFERROR(INDEX($B$20:$B$79,MATCH(44,$M$20:$M$79,0)),"")</f>
        <v/>
      </c>
    </row>
    <row r="64">
      <c r="B64" s="56">
        <f>IF($K64=0,"",INDEX('ETF데이터'!$A$4:$A$253,$K64))</f>
        <v/>
      </c>
      <c r="C64" s="73">
        <f>IF($K64=0,"",INDEX('ETF데이터'!$R$4:$R$253,$K64))</f>
        <v/>
      </c>
      <c r="D64" s="74">
        <f>IF($K64=0,"",INDEX('ETF데이터'!$J$4:$J$253,$K64))</f>
        <v/>
      </c>
      <c r="E64" s="75">
        <f>IF($K64=0,"",$D64/12)</f>
        <v/>
      </c>
      <c r="F64" s="76">
        <f>IF($K64=0,"",INDEX('ETF데이터'!$D$4:$D$253,$K64))</f>
        <v/>
      </c>
      <c r="G64" s="74">
        <f>IF($K64=0,"",INDEX('ETF데이터'!$H$4:$H$253,$K64))</f>
        <v/>
      </c>
      <c r="H64" s="77">
        <f>IF($K64=0,"",INDEX('ETF데이터'!$E$4:$E$253,$K64)/100000000)</f>
        <v/>
      </c>
      <c r="I64" s="73">
        <f>IF($K64=0,"",INDEX('ETF데이터'!$M$4:$M$253,$K64))</f>
        <v/>
      </c>
      <c r="J64" s="78" t="n"/>
      <c r="K64">
        <f>IFERROR(MATCH(45,'ETF데이터'!$V$4:$V$253,0),0)</f>
        <v/>
      </c>
      <c r="L64">
        <f>IF(AND($B64&lt;&gt;"",$J64&lt;&gt;""),1,0)</f>
        <v/>
      </c>
      <c r="M64">
        <f>IF($L64=1,$M63+1,$M63)</f>
        <v/>
      </c>
      <c r="N64">
        <f>IFERROR(INDEX($B$20:$B$79,MATCH(45,$M$20:$M$79,0)),"")</f>
        <v/>
      </c>
    </row>
    <row r="65">
      <c r="B65" s="60">
        <f>IF($K65=0,"",INDEX('ETF데이터'!$A$4:$A$253,$K65))</f>
        <v/>
      </c>
      <c r="C65" s="79">
        <f>IF($K65=0,"",INDEX('ETF데이터'!$R$4:$R$253,$K65))</f>
        <v/>
      </c>
      <c r="D65" s="80">
        <f>IF($K65=0,"",INDEX('ETF데이터'!$J$4:$J$253,$K65))</f>
        <v/>
      </c>
      <c r="E65" s="81">
        <f>IF($K65=0,"",$D65/12)</f>
        <v/>
      </c>
      <c r="F65" s="82">
        <f>IF($K65=0,"",INDEX('ETF데이터'!$D$4:$D$253,$K65))</f>
        <v/>
      </c>
      <c r="G65" s="80">
        <f>IF($K65=0,"",INDEX('ETF데이터'!$H$4:$H$253,$K65))</f>
        <v/>
      </c>
      <c r="H65" s="83">
        <f>IF($K65=0,"",INDEX('ETF데이터'!$E$4:$E$253,$K65)/100000000)</f>
        <v/>
      </c>
      <c r="I65" s="79">
        <f>IF($K65=0,"",INDEX('ETF데이터'!$M$4:$M$253,$K65))</f>
        <v/>
      </c>
      <c r="J65" s="78" t="n"/>
      <c r="K65">
        <f>IFERROR(MATCH(46,'ETF데이터'!$V$4:$V$253,0),0)</f>
        <v/>
      </c>
      <c r="L65">
        <f>IF(AND($B65&lt;&gt;"",$J65&lt;&gt;""),1,0)</f>
        <v/>
      </c>
      <c r="M65">
        <f>IF($L65=1,$M64+1,$M64)</f>
        <v/>
      </c>
      <c r="N65">
        <f>IFERROR(INDEX($B$20:$B$79,MATCH(46,$M$20:$M$79,0)),"")</f>
        <v/>
      </c>
    </row>
    <row r="66">
      <c r="B66" s="56">
        <f>IF($K66=0,"",INDEX('ETF데이터'!$A$4:$A$253,$K66))</f>
        <v/>
      </c>
      <c r="C66" s="73">
        <f>IF($K66=0,"",INDEX('ETF데이터'!$R$4:$R$253,$K66))</f>
        <v/>
      </c>
      <c r="D66" s="74">
        <f>IF($K66=0,"",INDEX('ETF데이터'!$J$4:$J$253,$K66))</f>
        <v/>
      </c>
      <c r="E66" s="75">
        <f>IF($K66=0,"",$D66/12)</f>
        <v/>
      </c>
      <c r="F66" s="76">
        <f>IF($K66=0,"",INDEX('ETF데이터'!$D$4:$D$253,$K66))</f>
        <v/>
      </c>
      <c r="G66" s="74">
        <f>IF($K66=0,"",INDEX('ETF데이터'!$H$4:$H$253,$K66))</f>
        <v/>
      </c>
      <c r="H66" s="77">
        <f>IF($K66=0,"",INDEX('ETF데이터'!$E$4:$E$253,$K66)/100000000)</f>
        <v/>
      </c>
      <c r="I66" s="73">
        <f>IF($K66=0,"",INDEX('ETF데이터'!$M$4:$M$253,$K66))</f>
        <v/>
      </c>
      <c r="J66" s="78" t="n"/>
      <c r="K66">
        <f>IFERROR(MATCH(47,'ETF데이터'!$V$4:$V$253,0),0)</f>
        <v/>
      </c>
      <c r="L66">
        <f>IF(AND($B66&lt;&gt;"",$J66&lt;&gt;""),1,0)</f>
        <v/>
      </c>
      <c r="M66">
        <f>IF($L66=1,$M65+1,$M65)</f>
        <v/>
      </c>
      <c r="N66">
        <f>IFERROR(INDEX($B$20:$B$79,MATCH(47,$M$20:$M$79,0)),"")</f>
        <v/>
      </c>
    </row>
    <row r="67">
      <c r="B67" s="60">
        <f>IF($K67=0,"",INDEX('ETF데이터'!$A$4:$A$253,$K67))</f>
        <v/>
      </c>
      <c r="C67" s="79">
        <f>IF($K67=0,"",INDEX('ETF데이터'!$R$4:$R$253,$K67))</f>
        <v/>
      </c>
      <c r="D67" s="80">
        <f>IF($K67=0,"",INDEX('ETF데이터'!$J$4:$J$253,$K67))</f>
        <v/>
      </c>
      <c r="E67" s="81">
        <f>IF($K67=0,"",$D67/12)</f>
        <v/>
      </c>
      <c r="F67" s="82">
        <f>IF($K67=0,"",INDEX('ETF데이터'!$D$4:$D$253,$K67))</f>
        <v/>
      </c>
      <c r="G67" s="80">
        <f>IF($K67=0,"",INDEX('ETF데이터'!$H$4:$H$253,$K67))</f>
        <v/>
      </c>
      <c r="H67" s="83">
        <f>IF($K67=0,"",INDEX('ETF데이터'!$E$4:$E$253,$K67)/100000000)</f>
        <v/>
      </c>
      <c r="I67" s="79">
        <f>IF($K67=0,"",INDEX('ETF데이터'!$M$4:$M$253,$K67))</f>
        <v/>
      </c>
      <c r="J67" s="78" t="n"/>
      <c r="K67">
        <f>IFERROR(MATCH(48,'ETF데이터'!$V$4:$V$253,0),0)</f>
        <v/>
      </c>
      <c r="L67">
        <f>IF(AND($B67&lt;&gt;"",$J67&lt;&gt;""),1,0)</f>
        <v/>
      </c>
      <c r="M67">
        <f>IF($L67=1,$M66+1,$M66)</f>
        <v/>
      </c>
      <c r="N67">
        <f>IFERROR(INDEX($B$20:$B$79,MATCH(48,$M$20:$M$79,0)),"")</f>
        <v/>
      </c>
    </row>
    <row r="68">
      <c r="B68" s="56">
        <f>IF($K68=0,"",INDEX('ETF데이터'!$A$4:$A$253,$K68))</f>
        <v/>
      </c>
      <c r="C68" s="73">
        <f>IF($K68=0,"",INDEX('ETF데이터'!$R$4:$R$253,$K68))</f>
        <v/>
      </c>
      <c r="D68" s="74">
        <f>IF($K68=0,"",INDEX('ETF데이터'!$J$4:$J$253,$K68))</f>
        <v/>
      </c>
      <c r="E68" s="75">
        <f>IF($K68=0,"",$D68/12)</f>
        <v/>
      </c>
      <c r="F68" s="76">
        <f>IF($K68=0,"",INDEX('ETF데이터'!$D$4:$D$253,$K68))</f>
        <v/>
      </c>
      <c r="G68" s="74">
        <f>IF($K68=0,"",INDEX('ETF데이터'!$H$4:$H$253,$K68))</f>
        <v/>
      </c>
      <c r="H68" s="77">
        <f>IF($K68=0,"",INDEX('ETF데이터'!$E$4:$E$253,$K68)/100000000)</f>
        <v/>
      </c>
      <c r="I68" s="73">
        <f>IF($K68=0,"",INDEX('ETF데이터'!$M$4:$M$253,$K68))</f>
        <v/>
      </c>
      <c r="J68" s="78" t="n"/>
      <c r="K68">
        <f>IFERROR(MATCH(49,'ETF데이터'!$V$4:$V$253,0),0)</f>
        <v/>
      </c>
      <c r="L68">
        <f>IF(AND($B68&lt;&gt;"",$J68&lt;&gt;""),1,0)</f>
        <v/>
      </c>
      <c r="M68">
        <f>IF($L68=1,$M67+1,$M67)</f>
        <v/>
      </c>
      <c r="N68">
        <f>IFERROR(INDEX($B$20:$B$79,MATCH(49,$M$20:$M$79,0)),"")</f>
        <v/>
      </c>
    </row>
    <row r="69">
      <c r="B69" s="60">
        <f>IF($K69=0,"",INDEX('ETF데이터'!$A$4:$A$253,$K69))</f>
        <v/>
      </c>
      <c r="C69" s="79">
        <f>IF($K69=0,"",INDEX('ETF데이터'!$R$4:$R$253,$K69))</f>
        <v/>
      </c>
      <c r="D69" s="80">
        <f>IF($K69=0,"",INDEX('ETF데이터'!$J$4:$J$253,$K69))</f>
        <v/>
      </c>
      <c r="E69" s="81">
        <f>IF($K69=0,"",$D69/12)</f>
        <v/>
      </c>
      <c r="F69" s="82">
        <f>IF($K69=0,"",INDEX('ETF데이터'!$D$4:$D$253,$K69))</f>
        <v/>
      </c>
      <c r="G69" s="80">
        <f>IF($K69=0,"",INDEX('ETF데이터'!$H$4:$H$253,$K69))</f>
        <v/>
      </c>
      <c r="H69" s="83">
        <f>IF($K69=0,"",INDEX('ETF데이터'!$E$4:$E$253,$K69)/100000000)</f>
        <v/>
      </c>
      <c r="I69" s="79">
        <f>IF($K69=0,"",INDEX('ETF데이터'!$M$4:$M$253,$K69))</f>
        <v/>
      </c>
      <c r="J69" s="78" t="n"/>
      <c r="K69">
        <f>IFERROR(MATCH(50,'ETF데이터'!$V$4:$V$253,0),0)</f>
        <v/>
      </c>
      <c r="L69">
        <f>IF(AND($B69&lt;&gt;"",$J69&lt;&gt;""),1,0)</f>
        <v/>
      </c>
      <c r="M69">
        <f>IF($L69=1,$M68+1,$M68)</f>
        <v/>
      </c>
      <c r="N69">
        <f>IFERROR(INDEX($B$20:$B$79,MATCH(50,$M$20:$M$79,0)),"")</f>
        <v/>
      </c>
    </row>
    <row r="70">
      <c r="B70" s="56">
        <f>IF($K70=0,"",INDEX('ETF데이터'!$A$4:$A$253,$K70))</f>
        <v/>
      </c>
      <c r="C70" s="73">
        <f>IF($K70=0,"",INDEX('ETF데이터'!$R$4:$R$253,$K70))</f>
        <v/>
      </c>
      <c r="D70" s="74">
        <f>IF($K70=0,"",INDEX('ETF데이터'!$J$4:$J$253,$K70))</f>
        <v/>
      </c>
      <c r="E70" s="75">
        <f>IF($K70=0,"",$D70/12)</f>
        <v/>
      </c>
      <c r="F70" s="76">
        <f>IF($K70=0,"",INDEX('ETF데이터'!$D$4:$D$253,$K70))</f>
        <v/>
      </c>
      <c r="G70" s="74">
        <f>IF($K70=0,"",INDEX('ETF데이터'!$H$4:$H$253,$K70))</f>
        <v/>
      </c>
      <c r="H70" s="77">
        <f>IF($K70=0,"",INDEX('ETF데이터'!$E$4:$E$253,$K70)/100000000)</f>
        <v/>
      </c>
      <c r="I70" s="73">
        <f>IF($K70=0,"",INDEX('ETF데이터'!$M$4:$M$253,$K70))</f>
        <v/>
      </c>
      <c r="J70" s="78" t="n"/>
      <c r="K70">
        <f>IFERROR(MATCH(51,'ETF데이터'!$V$4:$V$253,0),0)</f>
        <v/>
      </c>
      <c r="L70">
        <f>IF(AND($B70&lt;&gt;"",$J70&lt;&gt;""),1,0)</f>
        <v/>
      </c>
      <c r="M70">
        <f>IF($L70=1,$M69+1,$M69)</f>
        <v/>
      </c>
      <c r="N70">
        <f>IFERROR(INDEX($B$20:$B$79,MATCH(51,$M$20:$M$79,0)),"")</f>
        <v/>
      </c>
    </row>
    <row r="71">
      <c r="B71" s="60">
        <f>IF($K71=0,"",INDEX('ETF데이터'!$A$4:$A$253,$K71))</f>
        <v/>
      </c>
      <c r="C71" s="79">
        <f>IF($K71=0,"",INDEX('ETF데이터'!$R$4:$R$253,$K71))</f>
        <v/>
      </c>
      <c r="D71" s="80">
        <f>IF($K71=0,"",INDEX('ETF데이터'!$J$4:$J$253,$K71))</f>
        <v/>
      </c>
      <c r="E71" s="81">
        <f>IF($K71=0,"",$D71/12)</f>
        <v/>
      </c>
      <c r="F71" s="82">
        <f>IF($K71=0,"",INDEX('ETF데이터'!$D$4:$D$253,$K71))</f>
        <v/>
      </c>
      <c r="G71" s="80">
        <f>IF($K71=0,"",INDEX('ETF데이터'!$H$4:$H$253,$K71))</f>
        <v/>
      </c>
      <c r="H71" s="83">
        <f>IF($K71=0,"",INDEX('ETF데이터'!$E$4:$E$253,$K71)/100000000)</f>
        <v/>
      </c>
      <c r="I71" s="79">
        <f>IF($K71=0,"",INDEX('ETF데이터'!$M$4:$M$253,$K71))</f>
        <v/>
      </c>
      <c r="J71" s="78" t="n"/>
      <c r="K71">
        <f>IFERROR(MATCH(52,'ETF데이터'!$V$4:$V$253,0),0)</f>
        <v/>
      </c>
      <c r="L71">
        <f>IF(AND($B71&lt;&gt;"",$J71&lt;&gt;""),1,0)</f>
        <v/>
      </c>
      <c r="M71">
        <f>IF($L71=1,$M70+1,$M70)</f>
        <v/>
      </c>
      <c r="N71">
        <f>IFERROR(INDEX($B$20:$B$79,MATCH(52,$M$20:$M$79,0)),"")</f>
        <v/>
      </c>
    </row>
    <row r="72">
      <c r="B72" s="56">
        <f>IF($K72=0,"",INDEX('ETF데이터'!$A$4:$A$253,$K72))</f>
        <v/>
      </c>
      <c r="C72" s="73">
        <f>IF($K72=0,"",INDEX('ETF데이터'!$R$4:$R$253,$K72))</f>
        <v/>
      </c>
      <c r="D72" s="74">
        <f>IF($K72=0,"",INDEX('ETF데이터'!$J$4:$J$253,$K72))</f>
        <v/>
      </c>
      <c r="E72" s="75">
        <f>IF($K72=0,"",$D72/12)</f>
        <v/>
      </c>
      <c r="F72" s="76">
        <f>IF($K72=0,"",INDEX('ETF데이터'!$D$4:$D$253,$K72))</f>
        <v/>
      </c>
      <c r="G72" s="74">
        <f>IF($K72=0,"",INDEX('ETF데이터'!$H$4:$H$253,$K72))</f>
        <v/>
      </c>
      <c r="H72" s="77">
        <f>IF($K72=0,"",INDEX('ETF데이터'!$E$4:$E$253,$K72)/100000000)</f>
        <v/>
      </c>
      <c r="I72" s="73">
        <f>IF($K72=0,"",INDEX('ETF데이터'!$M$4:$M$253,$K72))</f>
        <v/>
      </c>
      <c r="J72" s="78" t="n"/>
      <c r="K72">
        <f>IFERROR(MATCH(53,'ETF데이터'!$V$4:$V$253,0),0)</f>
        <v/>
      </c>
      <c r="L72">
        <f>IF(AND($B72&lt;&gt;"",$J72&lt;&gt;""),1,0)</f>
        <v/>
      </c>
      <c r="M72">
        <f>IF($L72=1,$M71+1,$M71)</f>
        <v/>
      </c>
      <c r="N72">
        <f>IFERROR(INDEX($B$20:$B$79,MATCH(53,$M$20:$M$79,0)),"")</f>
        <v/>
      </c>
    </row>
    <row r="73">
      <c r="B73" s="60">
        <f>IF($K73=0,"",INDEX('ETF데이터'!$A$4:$A$253,$K73))</f>
        <v/>
      </c>
      <c r="C73" s="79">
        <f>IF($K73=0,"",INDEX('ETF데이터'!$R$4:$R$253,$K73))</f>
        <v/>
      </c>
      <c r="D73" s="80">
        <f>IF($K73=0,"",INDEX('ETF데이터'!$J$4:$J$253,$K73))</f>
        <v/>
      </c>
      <c r="E73" s="81">
        <f>IF($K73=0,"",$D73/12)</f>
        <v/>
      </c>
      <c r="F73" s="82">
        <f>IF($K73=0,"",INDEX('ETF데이터'!$D$4:$D$253,$K73))</f>
        <v/>
      </c>
      <c r="G73" s="80">
        <f>IF($K73=0,"",INDEX('ETF데이터'!$H$4:$H$253,$K73))</f>
        <v/>
      </c>
      <c r="H73" s="83">
        <f>IF($K73=0,"",INDEX('ETF데이터'!$E$4:$E$253,$K73)/100000000)</f>
        <v/>
      </c>
      <c r="I73" s="79">
        <f>IF($K73=0,"",INDEX('ETF데이터'!$M$4:$M$253,$K73))</f>
        <v/>
      </c>
      <c r="J73" s="78" t="n"/>
      <c r="K73">
        <f>IFERROR(MATCH(54,'ETF데이터'!$V$4:$V$253,0),0)</f>
        <v/>
      </c>
      <c r="L73">
        <f>IF(AND($B73&lt;&gt;"",$J73&lt;&gt;""),1,0)</f>
        <v/>
      </c>
      <c r="M73">
        <f>IF($L73=1,$M72+1,$M72)</f>
        <v/>
      </c>
      <c r="N73">
        <f>IFERROR(INDEX($B$20:$B$79,MATCH(54,$M$20:$M$79,0)),"")</f>
        <v/>
      </c>
    </row>
    <row r="74">
      <c r="B74" s="56">
        <f>IF($K74=0,"",INDEX('ETF데이터'!$A$4:$A$253,$K74))</f>
        <v/>
      </c>
      <c r="C74" s="73">
        <f>IF($K74=0,"",INDEX('ETF데이터'!$R$4:$R$253,$K74))</f>
        <v/>
      </c>
      <c r="D74" s="74">
        <f>IF($K74=0,"",INDEX('ETF데이터'!$J$4:$J$253,$K74))</f>
        <v/>
      </c>
      <c r="E74" s="75">
        <f>IF($K74=0,"",$D74/12)</f>
        <v/>
      </c>
      <c r="F74" s="76">
        <f>IF($K74=0,"",INDEX('ETF데이터'!$D$4:$D$253,$K74))</f>
        <v/>
      </c>
      <c r="G74" s="74">
        <f>IF($K74=0,"",INDEX('ETF데이터'!$H$4:$H$253,$K74))</f>
        <v/>
      </c>
      <c r="H74" s="77">
        <f>IF($K74=0,"",INDEX('ETF데이터'!$E$4:$E$253,$K74)/100000000)</f>
        <v/>
      </c>
      <c r="I74" s="73">
        <f>IF($K74=0,"",INDEX('ETF데이터'!$M$4:$M$253,$K74))</f>
        <v/>
      </c>
      <c r="J74" s="78" t="n"/>
      <c r="K74">
        <f>IFERROR(MATCH(55,'ETF데이터'!$V$4:$V$253,0),0)</f>
        <v/>
      </c>
      <c r="L74">
        <f>IF(AND($B74&lt;&gt;"",$J74&lt;&gt;""),1,0)</f>
        <v/>
      </c>
      <c r="M74">
        <f>IF($L74=1,$M73+1,$M73)</f>
        <v/>
      </c>
      <c r="N74">
        <f>IFERROR(INDEX($B$20:$B$79,MATCH(55,$M$20:$M$79,0)),"")</f>
        <v/>
      </c>
    </row>
    <row r="75">
      <c r="B75" s="60">
        <f>IF($K75=0,"",INDEX('ETF데이터'!$A$4:$A$253,$K75))</f>
        <v/>
      </c>
      <c r="C75" s="79">
        <f>IF($K75=0,"",INDEX('ETF데이터'!$R$4:$R$253,$K75))</f>
        <v/>
      </c>
      <c r="D75" s="80">
        <f>IF($K75=0,"",INDEX('ETF데이터'!$J$4:$J$253,$K75))</f>
        <v/>
      </c>
      <c r="E75" s="81">
        <f>IF($K75=0,"",$D75/12)</f>
        <v/>
      </c>
      <c r="F75" s="82">
        <f>IF($K75=0,"",INDEX('ETF데이터'!$D$4:$D$253,$K75))</f>
        <v/>
      </c>
      <c r="G75" s="80">
        <f>IF($K75=0,"",INDEX('ETF데이터'!$H$4:$H$253,$K75))</f>
        <v/>
      </c>
      <c r="H75" s="83">
        <f>IF($K75=0,"",INDEX('ETF데이터'!$E$4:$E$253,$K75)/100000000)</f>
        <v/>
      </c>
      <c r="I75" s="79">
        <f>IF($K75=0,"",INDEX('ETF데이터'!$M$4:$M$253,$K75))</f>
        <v/>
      </c>
      <c r="J75" s="78" t="n"/>
      <c r="K75">
        <f>IFERROR(MATCH(56,'ETF데이터'!$V$4:$V$253,0),0)</f>
        <v/>
      </c>
      <c r="L75">
        <f>IF(AND($B75&lt;&gt;"",$J75&lt;&gt;""),1,0)</f>
        <v/>
      </c>
      <c r="M75">
        <f>IF($L75=1,$M74+1,$M74)</f>
        <v/>
      </c>
      <c r="N75">
        <f>IFERROR(INDEX($B$20:$B$79,MATCH(56,$M$20:$M$79,0)),"")</f>
        <v/>
      </c>
    </row>
    <row r="76">
      <c r="B76" s="56">
        <f>IF($K76=0,"",INDEX('ETF데이터'!$A$4:$A$253,$K76))</f>
        <v/>
      </c>
      <c r="C76" s="73">
        <f>IF($K76=0,"",INDEX('ETF데이터'!$R$4:$R$253,$K76))</f>
        <v/>
      </c>
      <c r="D76" s="74">
        <f>IF($K76=0,"",INDEX('ETF데이터'!$J$4:$J$253,$K76))</f>
        <v/>
      </c>
      <c r="E76" s="75">
        <f>IF($K76=0,"",$D76/12)</f>
        <v/>
      </c>
      <c r="F76" s="76">
        <f>IF($K76=0,"",INDEX('ETF데이터'!$D$4:$D$253,$K76))</f>
        <v/>
      </c>
      <c r="G76" s="74">
        <f>IF($K76=0,"",INDEX('ETF데이터'!$H$4:$H$253,$K76))</f>
        <v/>
      </c>
      <c r="H76" s="77">
        <f>IF($K76=0,"",INDEX('ETF데이터'!$E$4:$E$253,$K76)/100000000)</f>
        <v/>
      </c>
      <c r="I76" s="73">
        <f>IF($K76=0,"",INDEX('ETF데이터'!$M$4:$M$253,$K76))</f>
        <v/>
      </c>
      <c r="J76" s="78" t="n"/>
      <c r="K76">
        <f>IFERROR(MATCH(57,'ETF데이터'!$V$4:$V$253,0),0)</f>
        <v/>
      </c>
      <c r="L76">
        <f>IF(AND($B76&lt;&gt;"",$J76&lt;&gt;""),1,0)</f>
        <v/>
      </c>
      <c r="M76">
        <f>IF($L76=1,$M75+1,$M75)</f>
        <v/>
      </c>
      <c r="N76">
        <f>IFERROR(INDEX($B$20:$B$79,MATCH(57,$M$20:$M$79,0)),"")</f>
        <v/>
      </c>
    </row>
    <row r="77">
      <c r="B77" s="60">
        <f>IF($K77=0,"",INDEX('ETF데이터'!$A$4:$A$253,$K77))</f>
        <v/>
      </c>
      <c r="C77" s="79">
        <f>IF($K77=0,"",INDEX('ETF데이터'!$R$4:$R$253,$K77))</f>
        <v/>
      </c>
      <c r="D77" s="80">
        <f>IF($K77=0,"",INDEX('ETF데이터'!$J$4:$J$253,$K77))</f>
        <v/>
      </c>
      <c r="E77" s="81">
        <f>IF($K77=0,"",$D77/12)</f>
        <v/>
      </c>
      <c r="F77" s="82">
        <f>IF($K77=0,"",INDEX('ETF데이터'!$D$4:$D$253,$K77))</f>
        <v/>
      </c>
      <c r="G77" s="80">
        <f>IF($K77=0,"",INDEX('ETF데이터'!$H$4:$H$253,$K77))</f>
        <v/>
      </c>
      <c r="H77" s="83">
        <f>IF($K77=0,"",INDEX('ETF데이터'!$E$4:$E$253,$K77)/100000000)</f>
        <v/>
      </c>
      <c r="I77" s="79">
        <f>IF($K77=0,"",INDEX('ETF데이터'!$M$4:$M$253,$K77))</f>
        <v/>
      </c>
      <c r="J77" s="78" t="n"/>
      <c r="K77">
        <f>IFERROR(MATCH(58,'ETF데이터'!$V$4:$V$253,0),0)</f>
        <v/>
      </c>
      <c r="L77">
        <f>IF(AND($B77&lt;&gt;"",$J77&lt;&gt;""),1,0)</f>
        <v/>
      </c>
      <c r="M77">
        <f>IF($L77=1,$M76+1,$M76)</f>
        <v/>
      </c>
      <c r="N77">
        <f>IFERROR(INDEX($B$20:$B$79,MATCH(58,$M$20:$M$79,0)),"")</f>
        <v/>
      </c>
    </row>
    <row r="78">
      <c r="B78" s="56">
        <f>IF($K78=0,"",INDEX('ETF데이터'!$A$4:$A$253,$K78))</f>
        <v/>
      </c>
      <c r="C78" s="73">
        <f>IF($K78=0,"",INDEX('ETF데이터'!$R$4:$R$253,$K78))</f>
        <v/>
      </c>
      <c r="D78" s="74">
        <f>IF($K78=0,"",INDEX('ETF데이터'!$J$4:$J$253,$K78))</f>
        <v/>
      </c>
      <c r="E78" s="75">
        <f>IF($K78=0,"",$D78/12)</f>
        <v/>
      </c>
      <c r="F78" s="76">
        <f>IF($K78=0,"",INDEX('ETF데이터'!$D$4:$D$253,$K78))</f>
        <v/>
      </c>
      <c r="G78" s="74">
        <f>IF($K78=0,"",INDEX('ETF데이터'!$H$4:$H$253,$K78))</f>
        <v/>
      </c>
      <c r="H78" s="77">
        <f>IF($K78=0,"",INDEX('ETF데이터'!$E$4:$E$253,$K78)/100000000)</f>
        <v/>
      </c>
      <c r="I78" s="73">
        <f>IF($K78=0,"",INDEX('ETF데이터'!$M$4:$M$253,$K78))</f>
        <v/>
      </c>
      <c r="J78" s="78" t="n"/>
      <c r="K78">
        <f>IFERROR(MATCH(59,'ETF데이터'!$V$4:$V$253,0),0)</f>
        <v/>
      </c>
      <c r="L78">
        <f>IF(AND($B78&lt;&gt;"",$J78&lt;&gt;""),1,0)</f>
        <v/>
      </c>
      <c r="M78">
        <f>IF($L78=1,$M77+1,$M77)</f>
        <v/>
      </c>
      <c r="N78">
        <f>IFERROR(INDEX($B$20:$B$79,MATCH(59,$M$20:$M$79,0)),"")</f>
        <v/>
      </c>
    </row>
    <row r="79">
      <c r="B79" s="64">
        <f>IF($K79=0,"",INDEX('ETF데이터'!$A$4:$A$253,$K79))</f>
        <v/>
      </c>
      <c r="C79" s="84">
        <f>IF($K79=0,"",INDEX('ETF데이터'!$R$4:$R$253,$K79))</f>
        <v/>
      </c>
      <c r="D79" s="85">
        <f>IF($K79=0,"",INDEX('ETF데이터'!$J$4:$J$253,$K79))</f>
        <v/>
      </c>
      <c r="E79" s="86">
        <f>IF($K79=0,"",$D79/12)</f>
        <v/>
      </c>
      <c r="F79" s="87">
        <f>IF($K79=0,"",INDEX('ETF데이터'!$D$4:$D$253,$K79))</f>
        <v/>
      </c>
      <c r="G79" s="85">
        <f>IF($K79=0,"",INDEX('ETF데이터'!$H$4:$H$253,$K79))</f>
        <v/>
      </c>
      <c r="H79" s="88">
        <f>IF($K79=0,"",INDEX('ETF데이터'!$E$4:$E$253,$K79)/100000000)</f>
        <v/>
      </c>
      <c r="I79" s="84">
        <f>IF($K79=0,"",INDEX('ETF데이터'!$M$4:$M$253,$K79))</f>
        <v/>
      </c>
      <c r="J79" s="89" t="n"/>
      <c r="K79">
        <f>IFERROR(MATCH(60,'ETF데이터'!$V$4:$V$253,0),0)</f>
        <v/>
      </c>
      <c r="L79">
        <f>IF(AND($B79&lt;&gt;"",$J79&lt;&gt;""),1,0)</f>
        <v/>
      </c>
      <c r="M79">
        <f>IF($L79=1,$M78+1,$M78)</f>
        <v/>
      </c>
      <c r="N79">
        <f>IFERROR(INDEX($B$20:$B$79,MATCH(60,$M$20:$M$79,0)),"")</f>
        <v/>
      </c>
    </row>
    <row r="81">
      <c r="B81" s="7" t="inlineStr">
        <is>
          <t>※ 조건에 맞는 종목이 60개를 넘으면 위에서부터 60개만 나옵니다. 조건을 좁혀 보십시오.</t>
        </is>
      </c>
    </row>
    <row r="82">
      <c r="B82" s="7" t="inlineStr">
        <is>
          <t>※ 담고 싶은 종목의 '담기' 칸에 O 를 넣으십시오. [제안서] 의 포트폴리오에 위에서부터 차례로 올라갑니다. 지우면 내려갑니다. 배분 비율은 제안서에서 직접 넣으십시오.</t>
        </is>
      </c>
    </row>
    <row r="83">
      <c r="B83" s="90" t="inlineStr">
        <is>
          <t>※ '담기' 표시는 종목이 아니라 그 줄에 붙습니다. 담은 뒤에 위의 조회 조건을 바꾸면 그 줄에 다른 종목이 올라오면서 담긴 종목도 함께 바뀝니다. 조건을 먼저 정하고 담으십시오.</t>
        </is>
      </c>
    </row>
    <row r="84">
      <c r="B84" s="7" t="inlineStr">
        <is>
          <t>※ [제안서] 에서 직접 고르셔도 됩니다. 그 장의 콤보박스는 조건과 상관없이 전체 목록을 담고 있습니다 — 조건을 바꿨다고 이미 담아 둔 종목이 빠지면 안 되기 때문입니다.</t>
        </is>
      </c>
    </row>
  </sheetData>
  <mergeCells count="4">
    <mergeCell ref="A1:I1"/>
    <mergeCell ref="A5:I5"/>
    <mergeCell ref="A3:I3"/>
    <mergeCell ref="A2:I2"/>
  </mergeCells>
  <dataValidations count="2">
    <dataValidation sqref="C10" showDropDown="0" showInputMessage="0" showErrorMessage="0" allowBlank="0" type="list">
      <formula1>"전체,월배당,분기배당,반기배당,연배당,주배당,비정기,판정 불가"</formula1>
    </dataValidation>
    <dataValidation sqref="J20:J79" showDropDown="0" showInputMessage="0" showErrorMessage="0" allowBlank="1" promptTitle="담기" prompt="▼ 를 눌러 O 를 고르면 [제안서] 포트폴리오에 올라갑니다. 지우면 내려갑니다." type="list">
      <formula1>"O"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2" customWidth="1" min="11" max="11"/>
    <col width="15" customWidth="1" min="12" max="12"/>
    <col width="8" customWidth="1" min="13" max="13"/>
    <col width="30" customWidth="1" min="14" max="14"/>
    <col width="34" customWidth="1" min="15" max="15"/>
    <col width="11" customWidth="1" min="16" max="16"/>
    <col width="14" customWidth="1" min="17" max="17"/>
    <col width="12" customWidth="1" min="18" max="18"/>
    <col width="12" customWidth="1" min="19" max="19"/>
    <col width="11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</cols>
  <sheetData>
    <row r="1">
      <c r="A1" s="91" t="inlineStr">
        <is>
          <t>ETFCHECK 수집 원본 — 이 장의 값은 손으로 고치지 마십시오. 매월 1일 수집기가 덮어씁니다.</t>
        </is>
      </c>
    </row>
    <row r="3" ht="30" customHeight="1">
      <c r="A3" s="92" t="inlineStr">
        <is>
          <t>종목명</t>
        </is>
      </c>
      <c r="B3" s="92" t="inlineStr">
        <is>
          <t>종목코드</t>
        </is>
      </c>
      <c r="C3" s="92" t="inlineStr">
        <is>
          <t>운용사</t>
        </is>
      </c>
      <c r="D3" s="92" t="inlineStr">
        <is>
          <t>현재가</t>
        </is>
      </c>
      <c r="E3" s="92" t="inlineStr">
        <is>
          <t>순자산총액</t>
        </is>
      </c>
      <c r="F3" s="92" t="inlineStr">
        <is>
          <t>60일 평균거래대금</t>
        </is>
      </c>
      <c r="G3" s="92" t="inlineStr">
        <is>
          <t>총보수(연)</t>
        </is>
      </c>
      <c r="H3" s="92" t="inlineStr">
        <is>
          <t>변동성(1년)</t>
        </is>
      </c>
      <c r="I3" s="92" t="inlineStr">
        <is>
          <t>최근 월분배율</t>
        </is>
      </c>
      <c r="J3" s="92" t="inlineStr">
        <is>
          <t>연환산 분배율</t>
        </is>
      </c>
      <c r="K3" s="92" t="inlineStr">
        <is>
          <t>분배 기록수</t>
        </is>
      </c>
      <c r="L3" s="92" t="inlineStr">
        <is>
          <t>최근 분배기준일</t>
        </is>
      </c>
      <c r="M3" s="92" t="inlineStr">
        <is>
          <t>채택</t>
        </is>
      </c>
      <c r="N3" s="92" t="inlineStr">
        <is>
          <t>제외 사유</t>
        </is>
      </c>
      <c r="O3" s="92" t="inlineStr">
        <is>
          <t>기초지수</t>
        </is>
      </c>
      <c r="P3" s="92" t="inlineStr">
        <is>
          <t>유형</t>
        </is>
      </c>
      <c r="Q3" s="92" t="inlineStr">
        <is>
          <t>자산군</t>
        </is>
      </c>
      <c r="R3" s="92" t="inlineStr">
        <is>
          <t>지급주기</t>
        </is>
      </c>
      <c r="S3" s="92" t="inlineStr">
        <is>
          <t>연 지급횟수</t>
        </is>
      </c>
      <c r="T3" s="92" t="inlineStr">
        <is>
          <t>과세비율</t>
        </is>
      </c>
    </row>
    <row r="4">
      <c r="A4" s="93" t="inlineStr">
        <is>
          <t>SOL 팔란티어커버드콜OTM채권혼합</t>
        </is>
      </c>
      <c r="B4" s="93" t="inlineStr">
        <is>
          <t>0040Y0</t>
        </is>
      </c>
      <c r="C4" s="93" t="inlineStr">
        <is>
          <t>신한자산운용</t>
        </is>
      </c>
      <c r="D4" s="94" t="n">
        <v>8042</v>
      </c>
      <c r="E4" s="94" t="n">
        <v>363498400000</v>
      </c>
      <c r="F4" s="94" t="n">
        <v>2819271155</v>
      </c>
      <c r="G4" s="74" t="n">
        <v>0.0035</v>
      </c>
      <c r="H4" s="74" t="n">
        <v>0.1636</v>
      </c>
      <c r="I4" s="74" t="n">
        <v>0.0194</v>
      </c>
      <c r="J4" s="74" t="n">
        <v>0.277916</v>
      </c>
      <c r="K4" s="94" t="n">
        <v>16</v>
      </c>
      <c r="L4" s="95" t="inlineStr">
        <is>
          <t>20260828</t>
        </is>
      </c>
      <c r="M4" s="93" t="inlineStr">
        <is>
          <t>채택</t>
        </is>
      </c>
      <c r="N4" s="93" t="inlineStr"/>
      <c r="O4" s="93" t="inlineStr">
        <is>
          <t>KEDI Palantir Covered Call OTM Treasury Balanced Index NTR</t>
        </is>
      </c>
      <c r="P4" s="93" t="inlineStr">
        <is>
          <t>커버드콜</t>
        </is>
      </c>
      <c r="Q4" s="93" t="inlineStr">
        <is>
          <t>멀티에셋</t>
        </is>
      </c>
      <c r="R4" s="93" t="inlineStr">
        <is>
          <t>월배당</t>
        </is>
      </c>
      <c r="S4" s="94" t="n">
        <v>11</v>
      </c>
      <c r="T4" s="74" t="n">
        <v>0.2801</v>
      </c>
      <c r="U4">
        <f>IF(AND($J4&lt;&gt;"",OR(조회_주기="전체",$R4=조회_주기),$J4&gt;=조회_최소,$J4&lt;=조회_최대),1,0)</f>
        <v/>
      </c>
      <c r="V4">
        <f>IF($U4=1,0+1,0)</f>
        <v/>
      </c>
      <c r="W4">
        <f>IF(검색어="",1,IF(ISNUMBER(SEARCH(검색어,$A4)),1,0))</f>
        <v/>
      </c>
      <c r="X4">
        <f>IF($W4=1,0+1,0)</f>
        <v/>
      </c>
      <c r="Y4">
        <f>IFERROR(INDEX($A$4:$A$253,MATCH(1,$X$4:$X$253,0)),"")</f>
        <v/>
      </c>
    </row>
    <row r="5">
      <c r="A5" s="93" t="inlineStr">
        <is>
          <t>ACE 미국빅테크7+데일리타겟커버드콜(합성)</t>
        </is>
      </c>
      <c r="B5" s="93" t="inlineStr">
        <is>
          <t>480020</t>
        </is>
      </c>
      <c r="C5" s="93" t="inlineStr">
        <is>
          <t>한국투신운용(ETF)</t>
        </is>
      </c>
      <c r="D5" s="94" t="n">
        <v>10120</v>
      </c>
      <c r="E5" s="94" t="n">
        <v>181148000000</v>
      </c>
      <c r="F5" s="94" t="n">
        <v>2874639602</v>
      </c>
      <c r="G5" s="74" t="n">
        <v>0.004500000000000001</v>
      </c>
      <c r="H5" s="74" t="n">
        <v>0.2145</v>
      </c>
      <c r="I5" s="74" t="n">
        <v>0.0297</v>
      </c>
      <c r="J5" s="74" t="n">
        <v>0.261858</v>
      </c>
      <c r="K5" s="94" t="n">
        <v>29</v>
      </c>
      <c r="L5" s="95" t="inlineStr">
        <is>
          <t>20260914</t>
        </is>
      </c>
      <c r="M5" s="93" t="inlineStr">
        <is>
          <t>채택</t>
        </is>
      </c>
      <c r="N5" s="93" t="inlineStr"/>
      <c r="O5" s="93" t="inlineStr">
        <is>
          <t>Bloomberg US Big Tech Top 7 Plus Premium(QQQ) Decrement 15%</t>
        </is>
      </c>
      <c r="P5" s="93" t="inlineStr">
        <is>
          <t>커버드콜</t>
        </is>
      </c>
      <c r="Q5" s="93" t="inlineStr">
        <is>
          <t>주식</t>
        </is>
      </c>
      <c r="R5" s="93" t="inlineStr">
        <is>
          <t>월배당</t>
        </is>
      </c>
      <c r="S5" s="94" t="n">
        <v>12</v>
      </c>
      <c r="T5" s="74" t="n">
        <v>0.9608</v>
      </c>
      <c r="U5">
        <f>IF(AND($J5&lt;&gt;"",OR(조회_주기="전체",$R5=조회_주기),$J5&gt;=조회_최소,$J5&lt;=조회_최대),1,0)</f>
        <v/>
      </c>
      <c r="V5">
        <f>IF($U5=1,$V4+1,$V4)</f>
        <v/>
      </c>
      <c r="W5">
        <f>IF(검색어="",1,IF(ISNUMBER(SEARCH(검색어,$A5)),1,0))</f>
        <v/>
      </c>
      <c r="X5">
        <f>IF($W5=1,$X4+1,$X4)</f>
        <v/>
      </c>
      <c r="Y5">
        <f>IFERROR(INDEX($A$4:$A$253,MATCH(2,$X$4:$X$253,0)),"")</f>
        <v/>
      </c>
    </row>
    <row r="6">
      <c r="A6" s="93" t="inlineStr">
        <is>
          <t>SOL 팔란티어미국채커버드콜혼합</t>
        </is>
      </c>
      <c r="B6" s="93" t="inlineStr">
        <is>
          <t>0040X0</t>
        </is>
      </c>
      <c r="C6" s="93" t="inlineStr">
        <is>
          <t>신한자산운용</t>
        </is>
      </c>
      <c r="D6" s="94" t="n">
        <v>9400</v>
      </c>
      <c r="E6" s="94" t="n">
        <v>174370000000</v>
      </c>
      <c r="F6" s="94" t="n">
        <v>1620093821</v>
      </c>
      <c r="G6" s="74" t="n">
        <v>0.0035</v>
      </c>
      <c r="H6" s="74" t="n">
        <v>0.2287</v>
      </c>
      <c r="I6" s="74" t="n">
        <v>0.0148</v>
      </c>
      <c r="J6" s="74" t="n">
        <v>0.244255</v>
      </c>
      <c r="K6" s="94" t="n">
        <v>16</v>
      </c>
      <c r="L6" s="95" t="inlineStr">
        <is>
          <t>20260828</t>
        </is>
      </c>
      <c r="M6" s="93" t="inlineStr">
        <is>
          <t>채택</t>
        </is>
      </c>
      <c r="N6" s="93" t="inlineStr"/>
      <c r="O6" s="93" t="inlineStr">
        <is>
          <t>KEDI Palantir U.S. Treasury Covered Call Balanced Index NTR</t>
        </is>
      </c>
      <c r="P6" s="93" t="inlineStr">
        <is>
          <t>커버드콜</t>
        </is>
      </c>
      <c r="Q6" s="93" t="inlineStr">
        <is>
          <t>멀티에셋</t>
        </is>
      </c>
      <c r="R6" s="93" t="inlineStr">
        <is>
          <t>월배당</t>
        </is>
      </c>
      <c r="S6" s="94" t="n">
        <v>11</v>
      </c>
      <c r="T6" s="74" t="n">
        <v>0.7805</v>
      </c>
      <c r="U6">
        <f>IF(AND($J6&lt;&gt;"",OR(조회_주기="전체",$R6=조회_주기),$J6&gt;=조회_최소,$J6&lt;=조회_최대),1,0)</f>
        <v/>
      </c>
      <c r="V6">
        <f>IF($U6=1,$V5+1,$V5)</f>
        <v/>
      </c>
      <c r="W6">
        <f>IF(검색어="",1,IF(ISNUMBER(SEARCH(검색어,$A6)),1,0))</f>
        <v/>
      </c>
      <c r="X6">
        <f>IF($W6=1,$X5+1,$X5)</f>
        <v/>
      </c>
      <c r="Y6">
        <f>IFERROR(INDEX($A$4:$A$253,MATCH(3,$X$4:$X$253,0)),"")</f>
        <v/>
      </c>
    </row>
    <row r="7">
      <c r="A7" s="93" t="inlineStr">
        <is>
          <t>PLUS 고배당주위클리커버드콜</t>
        </is>
      </c>
      <c r="B7" s="93" t="inlineStr">
        <is>
          <t>489030</t>
        </is>
      </c>
      <c r="C7" s="93" t="inlineStr">
        <is>
          <t>한화자산운용</t>
        </is>
      </c>
      <c r="D7" s="94" t="n">
        <v>6415</v>
      </c>
      <c r="E7" s="94" t="n">
        <v>300542750000</v>
      </c>
      <c r="F7" s="94" t="n">
        <v>4132355574</v>
      </c>
      <c r="G7" s="74" t="n">
        <v>0.003</v>
      </c>
      <c r="H7" s="74" t="n">
        <v>0.3076</v>
      </c>
      <c r="I7" s="74" t="n">
        <v>0.0148</v>
      </c>
      <c r="J7" s="74" t="n">
        <v>0.236633</v>
      </c>
      <c r="K7" s="94" t="n">
        <v>25</v>
      </c>
      <c r="L7" s="95" t="inlineStr">
        <is>
          <t>20260828</t>
        </is>
      </c>
      <c r="M7" s="93" t="inlineStr">
        <is>
          <t>채택</t>
        </is>
      </c>
      <c r="N7" s="93" t="inlineStr"/>
      <c r="O7" s="93" t="inlineStr">
        <is>
          <t>코스피 고배당 위클리 콜매도 ATM 지수</t>
        </is>
      </c>
      <c r="P7" s="93" t="inlineStr">
        <is>
          <t>커버드콜</t>
        </is>
      </c>
      <c r="Q7" s="93" t="inlineStr">
        <is>
          <t>주식</t>
        </is>
      </c>
      <c r="R7" s="93" t="inlineStr">
        <is>
          <t>월배당</t>
        </is>
      </c>
      <c r="S7" s="94" t="n">
        <v>11</v>
      </c>
      <c r="T7" s="74" t="n">
        <v>0.2194</v>
      </c>
      <c r="U7">
        <f>IF(AND($J7&lt;&gt;"",OR(조회_주기="전체",$R7=조회_주기),$J7&gt;=조회_최소,$J7&lt;=조회_최대),1,0)</f>
        <v/>
      </c>
      <c r="V7">
        <f>IF($U7=1,$V6+1,$V6)</f>
        <v/>
      </c>
      <c r="W7">
        <f>IF(검색어="",1,IF(ISNUMBER(SEARCH(검색어,$A7)),1,0))</f>
        <v/>
      </c>
      <c r="X7">
        <f>IF($W7=1,$X6+1,$X6)</f>
        <v/>
      </c>
      <c r="Y7">
        <f>IFERROR(INDEX($A$4:$A$253,MATCH(4,$X$4:$X$253,0)),"")</f>
        <v/>
      </c>
    </row>
    <row r="8">
      <c r="A8" s="93" t="inlineStr">
        <is>
          <t>KODEX 미국나스닥100데일리커버드콜OTM</t>
        </is>
      </c>
      <c r="B8" s="93" t="inlineStr">
        <is>
          <t>494300</t>
        </is>
      </c>
      <c r="C8" s="93" t="inlineStr">
        <is>
          <t>삼성자산운용(ETF)</t>
        </is>
      </c>
      <c r="D8" s="94" t="n">
        <v>9020</v>
      </c>
      <c r="E8" s="94" t="n">
        <v>1037300000000</v>
      </c>
      <c r="F8" s="94" t="n">
        <v>13139284818</v>
      </c>
      <c r="G8" s="74" t="n">
        <v>0.0025</v>
      </c>
      <c r="H8" s="74" t="n">
        <v>0.1951</v>
      </c>
      <c r="I8" s="74" t="n">
        <v>0.0166</v>
      </c>
      <c r="J8" s="74" t="n">
        <v>0.223947</v>
      </c>
      <c r="K8" s="94" t="n">
        <v>22</v>
      </c>
      <c r="L8" s="95" t="inlineStr">
        <is>
          <t>20260828</t>
        </is>
      </c>
      <c r="M8" s="93" t="inlineStr">
        <is>
          <t>채택</t>
        </is>
      </c>
      <c r="N8" s="93" t="inlineStr"/>
      <c r="O8" s="93" t="inlineStr">
        <is>
          <t>Nasdaq-100 Daily Covered Call 101 Index TR</t>
        </is>
      </c>
      <c r="P8" s="93" t="inlineStr">
        <is>
          <t>커버드콜</t>
        </is>
      </c>
      <c r="Q8" s="93" t="inlineStr">
        <is>
          <t>주식</t>
        </is>
      </c>
      <c r="R8" s="93" t="inlineStr">
        <is>
          <t>월배당</t>
        </is>
      </c>
      <c r="S8" s="94" t="n">
        <v>11</v>
      </c>
      <c r="T8" s="74" t="n">
        <v>0.8599</v>
      </c>
      <c r="U8">
        <f>IF(AND($J8&lt;&gt;"",OR(조회_주기="전체",$R8=조회_주기),$J8&gt;=조회_최소,$J8&lt;=조회_최대),1,0)</f>
        <v/>
      </c>
      <c r="V8">
        <f>IF($U8=1,$V7+1,$V7)</f>
        <v/>
      </c>
      <c r="W8">
        <f>IF(검색어="",1,IF(ISNUMBER(SEARCH(검색어,$A8)),1,0))</f>
        <v/>
      </c>
      <c r="X8">
        <f>IF($W8=1,$X7+1,$X7)</f>
        <v/>
      </c>
      <c r="Y8">
        <f>IFERROR(INDEX($A$4:$A$253,MATCH(5,$X$4:$X$253,0)),"")</f>
        <v/>
      </c>
    </row>
    <row r="9">
      <c r="A9" s="93" t="inlineStr">
        <is>
          <t>RISE 미국테크100데일리고정커버드콜</t>
        </is>
      </c>
      <c r="B9" s="93" t="inlineStr">
        <is>
          <t>491620</t>
        </is>
      </c>
      <c r="C9" s="93" t="inlineStr">
        <is>
          <t>KB자산운용</t>
        </is>
      </c>
      <c r="D9" s="94" t="n">
        <v>10465</v>
      </c>
      <c r="E9" s="94" t="n">
        <v>573482000000</v>
      </c>
      <c r="F9" s="94" t="n">
        <v>7365456187</v>
      </c>
      <c r="G9" s="74" t="n">
        <v>0.0025</v>
      </c>
      <c r="H9" s="74" t="n">
        <v>0.203</v>
      </c>
      <c r="I9" s="74" t="n">
        <v>0.0166</v>
      </c>
      <c r="J9" s="74" t="n">
        <v>0.215002</v>
      </c>
      <c r="K9" s="94" t="n">
        <v>23</v>
      </c>
      <c r="L9" s="95" t="inlineStr">
        <is>
          <t>20260828</t>
        </is>
      </c>
      <c r="M9" s="93" t="inlineStr">
        <is>
          <t>채택</t>
        </is>
      </c>
      <c r="N9" s="93" t="inlineStr"/>
      <c r="O9" s="93" t="inlineStr">
        <is>
          <t>KEDI U.S. Tech100 90% Participation + Daily Options Premium</t>
        </is>
      </c>
      <c r="P9" s="93" t="inlineStr">
        <is>
          <t>커버드콜</t>
        </is>
      </c>
      <c r="Q9" s="93" t="inlineStr">
        <is>
          <t>주식</t>
        </is>
      </c>
      <c r="R9" s="93" t="inlineStr">
        <is>
          <t>월배당</t>
        </is>
      </c>
      <c r="S9" s="94" t="n">
        <v>11</v>
      </c>
      <c r="T9" s="74" t="n">
        <v>1</v>
      </c>
      <c r="U9">
        <f>IF(AND($J9&lt;&gt;"",OR(조회_주기="전체",$R9=조회_주기),$J9&gt;=조회_최소,$J9&lt;=조회_최대),1,0)</f>
        <v/>
      </c>
      <c r="V9">
        <f>IF($U9=1,$V8+1,$V8)</f>
        <v/>
      </c>
      <c r="W9">
        <f>IF(검색어="",1,IF(ISNUMBER(SEARCH(검색어,$A9)),1,0))</f>
        <v/>
      </c>
      <c r="X9">
        <f>IF($W9=1,$X8+1,$X8)</f>
        <v/>
      </c>
      <c r="Y9">
        <f>IFERROR(INDEX($A$4:$A$253,MATCH(6,$X$4:$X$253,0)),"")</f>
        <v/>
      </c>
    </row>
    <row r="10">
      <c r="A10" s="93" t="inlineStr">
        <is>
          <t>RISE 미국AI밸류체인데일리고정커버드콜</t>
        </is>
      </c>
      <c r="B10" s="93" t="inlineStr">
        <is>
          <t>490590</t>
        </is>
      </c>
      <c r="C10" s="93" t="inlineStr">
        <is>
          <t>KB자산운용</t>
        </is>
      </c>
      <c r="D10" s="94" t="n">
        <v>14195</v>
      </c>
      <c r="E10" s="94" t="n">
        <v>788532250000</v>
      </c>
      <c r="F10" s="94" t="n">
        <v>9537517751</v>
      </c>
      <c r="G10" s="74" t="n">
        <v>0.0025</v>
      </c>
      <c r="H10" s="74" t="n">
        <v>0.332</v>
      </c>
      <c r="I10" s="74" t="n">
        <v>0.0163</v>
      </c>
      <c r="J10" s="74" t="n">
        <v>0.204438</v>
      </c>
      <c r="K10" s="94" t="n">
        <v>23</v>
      </c>
      <c r="L10" s="95" t="inlineStr">
        <is>
          <t>20260828</t>
        </is>
      </c>
      <c r="M10" s="93" t="inlineStr">
        <is>
          <t>채택</t>
        </is>
      </c>
      <c r="N10" s="93" t="inlineStr"/>
      <c r="O10" s="93" t="inlineStr">
        <is>
          <t>KEDI U.S. AI Value Chain 90% Participation + Daily Options P</t>
        </is>
      </c>
      <c r="P10" s="93" t="inlineStr">
        <is>
          <t>커버드콜</t>
        </is>
      </c>
      <c r="Q10" s="93" t="inlineStr">
        <is>
          <t>주식</t>
        </is>
      </c>
      <c r="R10" s="93" t="inlineStr">
        <is>
          <t>월배당</t>
        </is>
      </c>
      <c r="S10" s="94" t="n">
        <v>11</v>
      </c>
      <c r="T10" s="74" t="n">
        <v>1</v>
      </c>
      <c r="U10">
        <f>IF(AND($J10&lt;&gt;"",OR(조회_주기="전체",$R10=조회_주기),$J10&gt;=조회_최소,$J10&lt;=조회_최대),1,0)</f>
        <v/>
      </c>
      <c r="V10">
        <f>IF($U10=1,$V9+1,$V9)</f>
        <v/>
      </c>
      <c r="W10">
        <f>IF(검색어="",1,IF(ISNUMBER(SEARCH(검색어,$A10)),1,0))</f>
        <v/>
      </c>
      <c r="X10">
        <f>IF($W10=1,$X9+1,$X9)</f>
        <v/>
      </c>
      <c r="Y10">
        <f>IFERROR(INDEX($A$4:$A$253,MATCH(7,$X$4:$X$253,0)),"")</f>
        <v/>
      </c>
    </row>
    <row r="11">
      <c r="A11" s="93" t="inlineStr">
        <is>
          <t>ACE 미국500데일리타겟커버드콜(합성)</t>
        </is>
      </c>
      <c r="B11" s="93" t="inlineStr">
        <is>
          <t>480030</t>
        </is>
      </c>
      <c r="C11" s="93" t="inlineStr">
        <is>
          <t>한국투신운용(ETF)</t>
        </is>
      </c>
      <c r="D11" s="94" t="n">
        <v>9695</v>
      </c>
      <c r="E11" s="94" t="n">
        <v>162876000000</v>
      </c>
      <c r="F11" s="94" t="n">
        <v>1347207010</v>
      </c>
      <c r="G11" s="74" t="n">
        <v>0.004500000000000001</v>
      </c>
      <c r="H11" s="74" t="n">
        <v>0.1507</v>
      </c>
      <c r="I11" s="74" t="n">
        <v>0.0199</v>
      </c>
      <c r="J11" s="74" t="n">
        <v>0.200413</v>
      </c>
      <c r="K11" s="94" t="n">
        <v>29</v>
      </c>
      <c r="L11" s="95" t="inlineStr">
        <is>
          <t>20260914</t>
        </is>
      </c>
      <c r="M11" s="93" t="inlineStr">
        <is>
          <t>채택</t>
        </is>
      </c>
      <c r="N11" s="93" t="inlineStr"/>
      <c r="O11" s="93" t="inlineStr">
        <is>
          <t>Bloomberg US 500 Large Cap Premium(SPY) Decrement 15% Distri</t>
        </is>
      </c>
      <c r="P11" s="93" t="inlineStr">
        <is>
          <t>커버드콜</t>
        </is>
      </c>
      <c r="Q11" s="93" t="inlineStr">
        <is>
          <t>주식</t>
        </is>
      </c>
      <c r="R11" s="93" t="inlineStr">
        <is>
          <t>월배당</t>
        </is>
      </c>
      <c r="S11" s="94" t="n">
        <v>12</v>
      </c>
      <c r="T11" s="74" t="n">
        <v>0.9012</v>
      </c>
      <c r="U11">
        <f>IF(AND($J11&lt;&gt;"",OR(조회_주기="전체",$R11=조회_주기),$J11&gt;=조회_최소,$J11&lt;=조회_최대),1,0)</f>
        <v/>
      </c>
      <c r="V11">
        <f>IF($U11=1,$V10+1,$V10)</f>
        <v/>
      </c>
      <c r="W11">
        <f>IF(검색어="",1,IF(ISNUMBER(SEARCH(검색어,$A11)),1,0))</f>
        <v/>
      </c>
      <c r="X11">
        <f>IF($W11=1,$X10+1,$X10)</f>
        <v/>
      </c>
      <c r="Y11">
        <f>IFERROR(INDEX($A$4:$A$253,MATCH(8,$X$4:$X$253,0)),"")</f>
        <v/>
      </c>
    </row>
    <row r="12">
      <c r="A12" s="93" t="inlineStr">
        <is>
          <t>PLUS 고배당주위클리고정커버드콜</t>
        </is>
      </c>
      <c r="B12" s="93" t="inlineStr">
        <is>
          <t>0018C0</t>
        </is>
      </c>
      <c r="C12" s="93" t="inlineStr">
        <is>
          <t>한화자산운용</t>
        </is>
      </c>
      <c r="D12" s="94" t="n">
        <v>10545</v>
      </c>
      <c r="E12" s="94" t="n">
        <v>80142000000</v>
      </c>
      <c r="F12" s="94" t="n">
        <v>1003267462</v>
      </c>
      <c r="G12" s="74" t="n">
        <v>0.003</v>
      </c>
      <c r="H12" s="74" t="n">
        <v>0.2665</v>
      </c>
      <c r="I12" s="74" t="n">
        <v>0.0124</v>
      </c>
      <c r="J12" s="74" t="n">
        <v>0.169464</v>
      </c>
      <c r="K12" s="94" t="n">
        <v>19</v>
      </c>
      <c r="L12" s="95" t="inlineStr">
        <is>
          <t>20260914</t>
        </is>
      </c>
      <c r="M12" s="93" t="inlineStr">
        <is>
          <t>채택</t>
        </is>
      </c>
      <c r="N12" s="93" t="inlineStr"/>
      <c r="O12" s="93" t="inlineStr">
        <is>
          <t>코스피 고배당 위클리 고정 커버드콜 지수</t>
        </is>
      </c>
      <c r="P12" s="93" t="inlineStr">
        <is>
          <t>커버드콜</t>
        </is>
      </c>
      <c r="Q12" s="93" t="inlineStr">
        <is>
          <t>주식</t>
        </is>
      </c>
      <c r="R12" s="93" t="inlineStr">
        <is>
          <t>월배당</t>
        </is>
      </c>
      <c r="S12" s="94" t="n">
        <v>12</v>
      </c>
      <c r="T12" s="74" t="n">
        <v>0.2602</v>
      </c>
      <c r="U12">
        <f>IF(AND($J12&lt;&gt;"",OR(조회_주기="전체",$R12=조회_주기),$J12&gt;=조회_최소,$J12&lt;=조회_최대),1,0)</f>
        <v/>
      </c>
      <c r="V12">
        <f>IF($U12=1,$V11+1,$V11)</f>
        <v/>
      </c>
      <c r="W12">
        <f>IF(검색어="",1,IF(ISNUMBER(SEARCH(검색어,$A12)),1,0))</f>
        <v/>
      </c>
      <c r="X12">
        <f>IF($W12=1,$X11+1,$X11)</f>
        <v/>
      </c>
      <c r="Y12">
        <f>IFERROR(INDEX($A$4:$A$253,MATCH(9,$X$4:$X$253,0)),"")</f>
        <v/>
      </c>
    </row>
    <row r="13">
      <c r="A13" s="93" t="inlineStr">
        <is>
          <t>KODEX 테슬라커버드콜채권혼합액티브</t>
        </is>
      </c>
      <c r="B13" s="93" t="inlineStr">
        <is>
          <t>475080</t>
        </is>
      </c>
      <c r="C13" s="93" t="inlineStr">
        <is>
          <t>삼성자산운용(ETF)</t>
        </is>
      </c>
      <c r="D13" s="94" t="n">
        <v>7960</v>
      </c>
      <c r="E13" s="94" t="n">
        <v>289346000000</v>
      </c>
      <c r="F13" s="94" t="n">
        <v>1412926978</v>
      </c>
      <c r="G13" s="74" t="n">
        <v>0.0039</v>
      </c>
      <c r="H13" s="74" t="n">
        <v>0.1245</v>
      </c>
      <c r="I13" s="74" t="n">
        <v>0.0125</v>
      </c>
      <c r="J13" s="74" t="n">
        <v>0.161558</v>
      </c>
      <c r="K13" s="94" t="n">
        <v>31</v>
      </c>
      <c r="L13" s="95" t="inlineStr">
        <is>
          <t>20260828</t>
        </is>
      </c>
      <c r="M13" s="93" t="inlineStr">
        <is>
          <t>채택</t>
        </is>
      </c>
      <c r="N13" s="93" t="inlineStr"/>
      <c r="O13" s="93" t="inlineStr">
        <is>
          <t>KEDI Tesla Income Premium Balanced Index</t>
        </is>
      </c>
      <c r="P13" s="93" t="inlineStr">
        <is>
          <t>커버드콜</t>
        </is>
      </c>
      <c r="Q13" s="93" t="inlineStr">
        <is>
          <t>멀티에셋</t>
        </is>
      </c>
      <c r="R13" s="93" t="inlineStr">
        <is>
          <t>월배당</t>
        </is>
      </c>
      <c r="S13" s="94" t="n">
        <v>11</v>
      </c>
      <c r="T13" s="74" t="n">
        <v>0.5762</v>
      </c>
      <c r="U13">
        <f>IF(AND($J13&lt;&gt;"",OR(조회_주기="전체",$R13=조회_주기),$J13&gt;=조회_최소,$J13&lt;=조회_최대),1,0)</f>
        <v/>
      </c>
      <c r="V13">
        <f>IF($U13=1,$V12+1,$V12)</f>
        <v/>
      </c>
      <c r="W13">
        <f>IF(검색어="",1,IF(ISNUMBER(SEARCH(검색어,$A13)),1,0))</f>
        <v/>
      </c>
      <c r="X13">
        <f>IF($W13=1,$X12+1,$X12)</f>
        <v/>
      </c>
      <c r="Y13">
        <f>IFERROR(INDEX($A$4:$A$253,MATCH(10,$X$4:$X$253,0)),"")</f>
        <v/>
      </c>
    </row>
    <row r="14">
      <c r="A14" s="93" t="inlineStr">
        <is>
          <t>TIGER 미국AI빅테크10타겟데일리커버드콜</t>
        </is>
      </c>
      <c r="B14" s="93" t="inlineStr">
        <is>
          <t>493810</t>
        </is>
      </c>
      <c r="C14" s="93" t="inlineStr">
        <is>
          <t>미래에셋자산운용</t>
        </is>
      </c>
      <c r="D14" s="94" t="n">
        <v>11380</v>
      </c>
      <c r="E14" s="94" t="n">
        <v>248084000000</v>
      </c>
      <c r="F14" s="94" t="n">
        <v>1809178570</v>
      </c>
      <c r="G14" s="74" t="n">
        <v>0.0025</v>
      </c>
      <c r="H14" s="74" t="n">
        <v>0.2193</v>
      </c>
      <c r="I14" s="74" t="n">
        <v>0.0124</v>
      </c>
      <c r="J14" s="74" t="n">
        <v>0.159578</v>
      </c>
      <c r="K14" s="94" t="n">
        <v>23</v>
      </c>
      <c r="L14" s="95" t="inlineStr">
        <is>
          <t>20260914</t>
        </is>
      </c>
      <c r="M14" s="93" t="inlineStr">
        <is>
          <t>채택</t>
        </is>
      </c>
      <c r="N14" s="93" t="inlineStr"/>
      <c r="O14" s="93" t="inlineStr">
        <is>
          <t>KEDI US AI Big Tech 10+15% Daily Premium Index TR</t>
        </is>
      </c>
      <c r="P14" s="93" t="inlineStr">
        <is>
          <t>커버드콜</t>
        </is>
      </c>
      <c r="Q14" s="93" t="inlineStr">
        <is>
          <t>주식</t>
        </is>
      </c>
      <c r="R14" s="93" t="inlineStr">
        <is>
          <t>월배당</t>
        </is>
      </c>
      <c r="S14" s="94" t="n">
        <v>12</v>
      </c>
      <c r="T14" s="74" t="n">
        <v>1</v>
      </c>
      <c r="U14">
        <f>IF(AND($J14&lt;&gt;"",OR(조회_주기="전체",$R14=조회_주기),$J14&gt;=조회_최소,$J14&lt;=조회_최대),1,0)</f>
        <v/>
      </c>
      <c r="V14">
        <f>IF($U14=1,$V13+1,$V13)</f>
        <v/>
      </c>
      <c r="W14">
        <f>IF(검색어="",1,IF(ISNUMBER(SEARCH(검색어,$A14)),1,0))</f>
        <v/>
      </c>
      <c r="X14">
        <f>IF($W14=1,$X13+1,$X13)</f>
        <v/>
      </c>
      <c r="Y14">
        <f>IFERROR(INDEX($A$4:$A$253,MATCH(11,$X$4:$X$253,0)),"")</f>
        <v/>
      </c>
    </row>
    <row r="15">
      <c r="A15" s="93" t="inlineStr">
        <is>
          <t>KODEX 금융고배당TOP10타겟위클리커버드콜</t>
        </is>
      </c>
      <c r="B15" s="93" t="inlineStr">
        <is>
          <t>498410</t>
        </is>
      </c>
      <c r="C15" s="93" t="inlineStr">
        <is>
          <t>삼성자산운용(ETF)</t>
        </is>
      </c>
      <c r="D15" s="94" t="n">
        <v>11915</v>
      </c>
      <c r="E15" s="94" t="n">
        <v>830475500000</v>
      </c>
      <c r="F15" s="94" t="n">
        <v>22247696180</v>
      </c>
      <c r="G15" s="74" t="n">
        <v>0.0039</v>
      </c>
      <c r="H15" s="74" t="n">
        <v>0.3246</v>
      </c>
      <c r="I15" s="74" t="n">
        <v>0.0121</v>
      </c>
      <c r="J15" s="74" t="n">
        <v>0.157952</v>
      </c>
      <c r="K15" s="94" t="n">
        <v>20</v>
      </c>
      <c r="L15" s="95" t="inlineStr">
        <is>
          <t>20260828</t>
        </is>
      </c>
      <c r="M15" s="93" t="inlineStr">
        <is>
          <t>채택</t>
        </is>
      </c>
      <c r="N15" s="93" t="inlineStr"/>
      <c r="O15" s="93" t="inlineStr">
        <is>
          <t>코스피 200 금융 고배당 TOP 10 타겟 15% 분배 위클리 커버드콜</t>
        </is>
      </c>
      <c r="P15" s="93" t="inlineStr">
        <is>
          <t>커버드콜</t>
        </is>
      </c>
      <c r="Q15" s="93" t="inlineStr">
        <is>
          <t>주식</t>
        </is>
      </c>
      <c r="R15" s="93" t="inlineStr">
        <is>
          <t>월배당</t>
        </is>
      </c>
      <c r="S15" s="94" t="n">
        <v>11</v>
      </c>
      <c r="T15" s="74" t="n">
        <v>0.1987</v>
      </c>
      <c r="U15">
        <f>IF(AND($J15&lt;&gt;"",OR(조회_주기="전체",$R15=조회_주기),$J15&gt;=조회_최소,$J15&lt;=조회_최대),1,0)</f>
        <v/>
      </c>
      <c r="V15">
        <f>IF($U15=1,$V14+1,$V14)</f>
        <v/>
      </c>
      <c r="W15">
        <f>IF(검색어="",1,IF(ISNUMBER(SEARCH(검색어,$A15)),1,0))</f>
        <v/>
      </c>
      <c r="X15">
        <f>IF($W15=1,$X14+1,$X14)</f>
        <v/>
      </c>
      <c r="Y15">
        <f>IFERROR(INDEX($A$4:$A$253,MATCH(12,$X$4:$X$253,0)),"")</f>
        <v/>
      </c>
    </row>
    <row r="16">
      <c r="A16" s="93" t="inlineStr">
        <is>
          <t>KODEX 미국S&amp;P500데일리커버드콜OTM</t>
        </is>
      </c>
      <c r="B16" s="93" t="inlineStr">
        <is>
          <t>0005A0</t>
        </is>
      </c>
      <c r="C16" s="93" t="inlineStr">
        <is>
          <t>삼성자산운용(ETF)</t>
        </is>
      </c>
      <c r="D16" s="94" t="n">
        <v>9380</v>
      </c>
      <c r="E16" s="94" t="n">
        <v>201670000000</v>
      </c>
      <c r="F16" s="94" t="n">
        <v>1961310179</v>
      </c>
      <c r="G16" s="74" t="n">
        <v>0.0025</v>
      </c>
      <c r="H16" s="74" t="n">
        <v>0.1479</v>
      </c>
      <c r="I16" s="74" t="n">
        <v>0.0124</v>
      </c>
      <c r="J16" s="74" t="n">
        <v>0.157889</v>
      </c>
      <c r="K16" s="94" t="n">
        <v>20</v>
      </c>
      <c r="L16" s="95" t="inlineStr">
        <is>
          <t>20260828</t>
        </is>
      </c>
      <c r="M16" s="93" t="inlineStr">
        <is>
          <t>채택</t>
        </is>
      </c>
      <c r="N16" s="93" t="inlineStr"/>
      <c r="O16" s="93" t="inlineStr">
        <is>
          <t>S&amp;P500 Covered Call 1% OTM Daily Index(TR)</t>
        </is>
      </c>
      <c r="P16" s="93" t="inlineStr">
        <is>
          <t>커버드콜</t>
        </is>
      </c>
      <c r="Q16" s="93" t="inlineStr">
        <is>
          <t>주식</t>
        </is>
      </c>
      <c r="R16" s="93" t="inlineStr">
        <is>
          <t>월배당</t>
        </is>
      </c>
      <c r="S16" s="94" t="n">
        <v>11</v>
      </c>
      <c r="T16" s="74" t="n">
        <v>1</v>
      </c>
      <c r="U16">
        <f>IF(AND($J16&lt;&gt;"",OR(조회_주기="전체",$R16=조회_주기),$J16&gt;=조회_최소,$J16&lt;=조회_최대),1,0)</f>
        <v/>
      </c>
      <c r="V16">
        <f>IF($U16=1,$V15+1,$V15)</f>
        <v/>
      </c>
      <c r="W16">
        <f>IF(검색어="",1,IF(ISNUMBER(SEARCH(검색어,$A16)),1,0))</f>
        <v/>
      </c>
      <c r="X16">
        <f>IF($W16=1,$X15+1,$X15)</f>
        <v/>
      </c>
      <c r="Y16">
        <f>IFERROR(INDEX($A$4:$A$253,MATCH(13,$X$4:$X$253,0)),"")</f>
        <v/>
      </c>
    </row>
    <row r="17">
      <c r="A17" s="93" t="inlineStr">
        <is>
          <t>TIGER 미국나스닥100타겟데일리커버드콜</t>
        </is>
      </c>
      <c r="B17" s="93" t="inlineStr">
        <is>
          <t>486290</t>
        </is>
      </c>
      <c r="C17" s="93" t="inlineStr">
        <is>
          <t>미래에셋자산운용</t>
        </is>
      </c>
      <c r="D17" s="94" t="n">
        <v>10485</v>
      </c>
      <c r="E17" s="94" t="n">
        <v>2518497000000</v>
      </c>
      <c r="F17" s="94" t="n">
        <v>29218364064</v>
      </c>
      <c r="G17" s="74" t="n">
        <v>0.0025</v>
      </c>
      <c r="H17" s="74" t="n">
        <v>0.2077</v>
      </c>
      <c r="I17" s="74" t="n">
        <v>0.0124</v>
      </c>
      <c r="J17" s="74" t="n">
        <v>0.156223</v>
      </c>
      <c r="K17" s="94" t="n">
        <v>26</v>
      </c>
      <c r="L17" s="95" t="inlineStr">
        <is>
          <t>20260828</t>
        </is>
      </c>
      <c r="M17" s="93" t="inlineStr">
        <is>
          <t>채택</t>
        </is>
      </c>
      <c r="N17" s="93" t="inlineStr"/>
      <c r="O17" s="93" t="inlineStr">
        <is>
          <t>NASDAQ 100 Daily Covered Call Target Premium 15% Index</t>
        </is>
      </c>
      <c r="P17" s="93" t="inlineStr">
        <is>
          <t>커버드콜</t>
        </is>
      </c>
      <c r="Q17" s="93" t="inlineStr">
        <is>
          <t>주식</t>
        </is>
      </c>
      <c r="R17" s="93" t="inlineStr">
        <is>
          <t>월배당</t>
        </is>
      </c>
      <c r="S17" s="94" t="n">
        <v>11</v>
      </c>
      <c r="T17" s="74" t="n">
        <v>1</v>
      </c>
      <c r="U17">
        <f>IF(AND($J17&lt;&gt;"",OR(조회_주기="전체",$R17=조회_주기),$J17&gt;=조회_최소,$J17&lt;=조회_최대),1,0)</f>
        <v/>
      </c>
      <c r="V17">
        <f>IF($U17=1,$V16+1,$V16)</f>
        <v/>
      </c>
      <c r="W17">
        <f>IF(검색어="",1,IF(ISNUMBER(SEARCH(검색어,$A17)),1,0))</f>
        <v/>
      </c>
      <c r="X17">
        <f>IF($W17=1,$X16+1,$X16)</f>
        <v/>
      </c>
      <c r="Y17">
        <f>IFERROR(INDEX($A$4:$A$253,MATCH(14,$X$4:$X$253,0)),"")</f>
        <v/>
      </c>
    </row>
    <row r="18">
      <c r="A18" s="93" t="inlineStr">
        <is>
          <t>KODEX 미국AI테크TOP10타겟커버드콜</t>
        </is>
      </c>
      <c r="B18" s="93" t="inlineStr">
        <is>
          <t>483280</t>
        </is>
      </c>
      <c r="C18" s="93" t="inlineStr">
        <is>
          <t>삼성자산운용(ETF)</t>
        </is>
      </c>
      <c r="D18" s="94" t="n">
        <v>11870</v>
      </c>
      <c r="E18" s="94" t="n">
        <v>466491000000</v>
      </c>
      <c r="F18" s="94" t="n">
        <v>2775207019</v>
      </c>
      <c r="G18" s="74" t="n">
        <v>0.0039</v>
      </c>
      <c r="H18" s="74" t="n">
        <v>0.2464</v>
      </c>
      <c r="I18" s="74" t="n">
        <v>0.0123</v>
      </c>
      <c r="J18" s="74" t="n">
        <v>0.155013</v>
      </c>
      <c r="K18" s="94" t="n">
        <v>27</v>
      </c>
      <c r="L18" s="95" t="inlineStr">
        <is>
          <t>20260828</t>
        </is>
      </c>
      <c r="M18" s="93" t="inlineStr">
        <is>
          <t>채택</t>
        </is>
      </c>
      <c r="N18" s="93" t="inlineStr"/>
      <c r="O18" s="93" t="inlineStr">
        <is>
          <t>KEDI US AI Tech Top 10+15% Premium Index</t>
        </is>
      </c>
      <c r="P18" s="93" t="inlineStr">
        <is>
          <t>커버드콜</t>
        </is>
      </c>
      <c r="Q18" s="93" t="inlineStr">
        <is>
          <t>주식</t>
        </is>
      </c>
      <c r="R18" s="93" t="inlineStr">
        <is>
          <t>월배당</t>
        </is>
      </c>
      <c r="S18" s="94" t="n">
        <v>11</v>
      </c>
      <c r="T18" s="74" t="n">
        <v>1</v>
      </c>
      <c r="U18">
        <f>IF(AND($J18&lt;&gt;"",OR(조회_주기="전체",$R18=조회_주기),$J18&gt;=조회_최소,$J18&lt;=조회_최대),1,0)</f>
        <v/>
      </c>
      <c r="V18">
        <f>IF($U18=1,$V17+1,$V17)</f>
        <v/>
      </c>
      <c r="W18">
        <f>IF(검색어="",1,IF(ISNUMBER(SEARCH(검색어,$A18)),1,0))</f>
        <v/>
      </c>
      <c r="X18">
        <f>IF($W18=1,$X17+1,$X17)</f>
        <v/>
      </c>
      <c r="Y18">
        <f>IFERROR(INDEX($A$4:$A$253,MATCH(15,$X$4:$X$253,0)),"")</f>
        <v/>
      </c>
    </row>
    <row r="19">
      <c r="A19" s="93" t="inlineStr">
        <is>
          <t>TIGER 미국30년국채커버드콜액티브(H)</t>
        </is>
      </c>
      <c r="B19" s="93" t="inlineStr">
        <is>
          <t>476550</t>
        </is>
      </c>
      <c r="C19" s="93" t="inlineStr">
        <is>
          <t>미래에셋자산운용</t>
        </is>
      </c>
      <c r="D19" s="94" t="n">
        <v>6752</v>
      </c>
      <c r="E19" s="94" t="n">
        <v>763988800000</v>
      </c>
      <c r="F19" s="94" t="n">
        <v>7850731865</v>
      </c>
      <c r="G19" s="74" t="n">
        <v>0.0039</v>
      </c>
      <c r="H19" s="74" t="n">
        <v>0.0892</v>
      </c>
      <c r="I19" s="74" t="n">
        <v>0.01</v>
      </c>
      <c r="J19" s="74" t="n">
        <v>0.134182</v>
      </c>
      <c r="K19" s="94" t="n">
        <v>30</v>
      </c>
      <c r="L19" s="95" t="inlineStr">
        <is>
          <t>20260828</t>
        </is>
      </c>
      <c r="M19" s="93" t="inlineStr">
        <is>
          <t>채택</t>
        </is>
      </c>
      <c r="N19" s="93" t="inlineStr"/>
      <c r="O19" s="93" t="inlineStr">
        <is>
          <t>KEDI US Treasury 30Y Weekly Covered Call 30 Index</t>
        </is>
      </c>
      <c r="P19" s="93" t="inlineStr">
        <is>
          <t>커버드콜</t>
        </is>
      </c>
      <c r="Q19" s="93" t="inlineStr">
        <is>
          <t>채권</t>
        </is>
      </c>
      <c r="R19" s="93" t="inlineStr">
        <is>
          <t>월배당</t>
        </is>
      </c>
      <c r="S19" s="94" t="n">
        <v>11</v>
      </c>
      <c r="T19" s="74" t="n">
        <v>0</v>
      </c>
      <c r="U19">
        <f>IF(AND($J19&lt;&gt;"",OR(조회_주기="전체",$R19=조회_주기),$J19&gt;=조회_최소,$J19&lt;=조회_최대),1,0)</f>
        <v/>
      </c>
      <c r="V19">
        <f>IF($U19=1,$V18+1,$V18)</f>
        <v/>
      </c>
      <c r="W19">
        <f>IF(검색어="",1,IF(ISNUMBER(SEARCH(검색어,$A19)),1,0))</f>
        <v/>
      </c>
      <c r="X19">
        <f>IF($W19=1,$X18+1,$X18)</f>
        <v/>
      </c>
      <c r="Y19">
        <f>IFERROR(INDEX($A$4:$A$253,MATCH(16,$X$4:$X$253,0)),"")</f>
        <v/>
      </c>
    </row>
    <row r="20">
      <c r="A20" s="93" t="inlineStr">
        <is>
          <t>KODEX 미국30년국채타겟커버드콜(합성 H)</t>
        </is>
      </c>
      <c r="B20" s="93" t="inlineStr">
        <is>
          <t>481060</t>
        </is>
      </c>
      <c r="C20" s="93" t="inlineStr">
        <is>
          <t>삼성자산운용(ETF)</t>
        </is>
      </c>
      <c r="D20" s="94" t="n">
        <v>7325</v>
      </c>
      <c r="E20" s="94" t="n">
        <v>747516250000</v>
      </c>
      <c r="F20" s="94" t="n">
        <v>4009025702</v>
      </c>
      <c r="G20" s="74" t="n">
        <v>0.0025</v>
      </c>
      <c r="H20" s="74" t="n">
        <v>0.0839</v>
      </c>
      <c r="I20" s="74" t="n">
        <v>0.0101</v>
      </c>
      <c r="J20" s="74" t="n">
        <v>0.131604</v>
      </c>
      <c r="K20" s="94" t="n">
        <v>29</v>
      </c>
      <c r="L20" s="95" t="inlineStr">
        <is>
          <t>20260914</t>
        </is>
      </c>
      <c r="M20" s="93" t="inlineStr">
        <is>
          <t>채택</t>
        </is>
      </c>
      <c r="N20" s="93" t="inlineStr"/>
      <c r="O20" s="93" t="inlineStr">
        <is>
          <t>Bloomberg U.S. Treasury 20+ Year + 12% Premium (TLT) Covered</t>
        </is>
      </c>
      <c r="P20" s="93" t="inlineStr">
        <is>
          <t>커버드콜</t>
        </is>
      </c>
      <c r="Q20" s="93" t="inlineStr">
        <is>
          <t>채권</t>
        </is>
      </c>
      <c r="R20" s="93" t="inlineStr">
        <is>
          <t>월배당</t>
        </is>
      </c>
      <c r="S20" s="94" t="n">
        <v>12</v>
      </c>
      <c r="T20" s="74" t="n">
        <v>0</v>
      </c>
      <c r="U20">
        <f>IF(AND($J20&lt;&gt;"",OR(조회_주기="전체",$R20=조회_주기),$J20&gt;=조회_최소,$J20&lt;=조회_최대),1,0)</f>
        <v/>
      </c>
      <c r="V20">
        <f>IF($U20=1,$V19+1,$V19)</f>
        <v/>
      </c>
      <c r="W20">
        <f>IF(검색어="",1,IF(ISNUMBER(SEARCH(검색어,$A20)),1,0))</f>
        <v/>
      </c>
      <c r="X20">
        <f>IF($W20=1,$X19+1,$X19)</f>
        <v/>
      </c>
      <c r="Y20">
        <f>IFERROR(INDEX($A$4:$A$253,MATCH(17,$X$4:$X$253,0)),"")</f>
        <v/>
      </c>
    </row>
    <row r="21">
      <c r="A21" s="93" t="inlineStr">
        <is>
          <t>SOL 미국30년국채커버드콜(합성)</t>
        </is>
      </c>
      <c r="B21" s="93" t="inlineStr">
        <is>
          <t>473330</t>
        </is>
      </c>
      <c r="C21" s="93" t="inlineStr">
        <is>
          <t>신한자산운용</t>
        </is>
      </c>
      <c r="D21" s="94" t="n">
        <v>7955</v>
      </c>
      <c r="E21" s="94" t="n">
        <v>278822750000</v>
      </c>
      <c r="F21" s="94" t="n">
        <v>2151547005</v>
      </c>
      <c r="G21" s="74" t="n">
        <v>0.0025</v>
      </c>
      <c r="H21" s="74" t="n">
        <v>0.1361</v>
      </c>
      <c r="I21" s="74" t="n">
        <v>0.0074</v>
      </c>
      <c r="J21" s="74" t="n">
        <v>0.127844</v>
      </c>
      <c r="K21" s="94" t="n">
        <v>32</v>
      </c>
      <c r="L21" s="95" t="inlineStr">
        <is>
          <t>20260828</t>
        </is>
      </c>
      <c r="M21" s="93" t="inlineStr">
        <is>
          <t>채택</t>
        </is>
      </c>
      <c r="N21" s="93" t="inlineStr"/>
      <c r="O21" s="93" t="inlineStr">
        <is>
          <t>KEDI US Treasury 20Y+ 2% OTM BuyWrite Index</t>
        </is>
      </c>
      <c r="P21" s="93" t="inlineStr">
        <is>
          <t>커버드콜</t>
        </is>
      </c>
      <c r="Q21" s="93" t="inlineStr">
        <is>
          <t>채권</t>
        </is>
      </c>
      <c r="R21" s="93" t="inlineStr">
        <is>
          <t>월배당</t>
        </is>
      </c>
      <c r="S21" s="94" t="n">
        <v>11</v>
      </c>
      <c r="T21" s="74" t="n">
        <v>0.8142</v>
      </c>
      <c r="U21">
        <f>IF(AND($J21&lt;&gt;"",OR(조회_주기="전체",$R21=조회_주기),$J21&gt;=조회_최소,$J21&lt;=조회_최대),1,0)</f>
        <v/>
      </c>
      <c r="V21">
        <f>IF($U21=1,$V20+1,$V20)</f>
        <v/>
      </c>
      <c r="W21">
        <f>IF(검색어="",1,IF(ISNUMBER(SEARCH(검색어,$A21)),1,0))</f>
        <v/>
      </c>
      <c r="X21">
        <f>IF($W21=1,$X20+1,$X20)</f>
        <v/>
      </c>
      <c r="Y21">
        <f>IFERROR(INDEX($A$4:$A$253,MATCH(18,$X$4:$X$253,0)),"")</f>
        <v/>
      </c>
    </row>
    <row r="22">
      <c r="A22" s="93" t="inlineStr">
        <is>
          <t>TIGER 미국나스닥100커버드콜(합성)</t>
        </is>
      </c>
      <c r="B22" s="93" t="inlineStr">
        <is>
          <t>441680</t>
        </is>
      </c>
      <c r="C22" s="93" t="inlineStr">
        <is>
          <t>미래에셋자산운용</t>
        </is>
      </c>
      <c r="D22" s="94" t="n">
        <v>10860</v>
      </c>
      <c r="E22" s="94" t="n">
        <v>285618000000</v>
      </c>
      <c r="F22" s="94" t="n">
        <v>918952232</v>
      </c>
      <c r="G22" s="74" t="n">
        <v>0.0037</v>
      </c>
      <c r="H22" s="74" t="n">
        <v>0.147</v>
      </c>
      <c r="I22" s="74" t="n">
        <v>0.01</v>
      </c>
      <c r="J22" s="74" t="n">
        <v>0.123389</v>
      </c>
      <c r="K22" s="94" t="n">
        <v>47</v>
      </c>
      <c r="L22" s="95" t="inlineStr">
        <is>
          <t>20260828</t>
        </is>
      </c>
      <c r="M22" s="93" t="inlineStr">
        <is>
          <t>채택</t>
        </is>
      </c>
      <c r="N22" s="93" t="inlineStr"/>
      <c r="O22" s="93" t="inlineStr">
        <is>
          <t>Cboe NASDAQ-100 BuyWrite V2 Index</t>
        </is>
      </c>
      <c r="P22" s="93" t="inlineStr">
        <is>
          <t>커버드콜</t>
        </is>
      </c>
      <c r="Q22" s="93" t="inlineStr">
        <is>
          <t>주식</t>
        </is>
      </c>
      <c r="R22" s="93" t="inlineStr">
        <is>
          <t>월배당</t>
        </is>
      </c>
      <c r="S22" s="94" t="n">
        <v>11</v>
      </c>
      <c r="T22" s="74" t="n">
        <v>1</v>
      </c>
      <c r="U22">
        <f>IF(AND($J22&lt;&gt;"",OR(조회_주기="전체",$R22=조회_주기),$J22&gt;=조회_최소,$J22&lt;=조회_최대),1,0)</f>
        <v/>
      </c>
      <c r="V22">
        <f>IF($U22=1,$V21+1,$V21)</f>
        <v/>
      </c>
      <c r="W22">
        <f>IF(검색어="",1,IF(ISNUMBER(SEARCH(검색어,$A22)),1,0))</f>
        <v/>
      </c>
      <c r="X22">
        <f>IF($W22=1,$X21+1,$X21)</f>
        <v/>
      </c>
      <c r="Y22">
        <f>IFERROR(INDEX($A$4:$A$253,MATCH(19,$X$4:$X$253,0)),"")</f>
        <v/>
      </c>
    </row>
    <row r="23">
      <c r="A23" s="93" t="inlineStr">
        <is>
          <t>KODEX 미국배당다우존스타겟커버드콜</t>
        </is>
      </c>
      <c r="B23" s="93" t="inlineStr">
        <is>
          <t>483290</t>
        </is>
      </c>
      <c r="C23" s="93" t="inlineStr">
        <is>
          <t>삼성자산운용(ETF)</t>
        </is>
      </c>
      <c r="D23" s="94" t="n">
        <v>10225</v>
      </c>
      <c r="E23" s="94" t="n">
        <v>177915000000</v>
      </c>
      <c r="F23" s="94" t="n">
        <v>2237966667</v>
      </c>
      <c r="G23" s="74" t="n">
        <v>0.0039</v>
      </c>
      <c r="H23" s="74" t="n">
        <v>0.157</v>
      </c>
      <c r="I23" s="74" t="n">
        <v>0.0098</v>
      </c>
      <c r="J23" s="74" t="n">
        <v>0.121858</v>
      </c>
      <c r="K23" s="94" t="n">
        <v>27</v>
      </c>
      <c r="L23" s="95" t="inlineStr">
        <is>
          <t>20260828</t>
        </is>
      </c>
      <c r="M23" s="93" t="inlineStr">
        <is>
          <t>채택</t>
        </is>
      </c>
      <c r="N23" s="93" t="inlineStr"/>
      <c r="O23" s="93" t="inlineStr">
        <is>
          <t>Dow Jones US Dividend 100 10% Premium Covered Call Index(PR)</t>
        </is>
      </c>
      <c r="P23" s="93" t="inlineStr">
        <is>
          <t>커버드콜</t>
        </is>
      </c>
      <c r="Q23" s="93" t="inlineStr">
        <is>
          <t>주식</t>
        </is>
      </c>
      <c r="R23" s="93" t="inlineStr">
        <is>
          <t>월배당</t>
        </is>
      </c>
      <c r="S23" s="94" t="n">
        <v>11</v>
      </c>
      <c r="T23" s="74" t="n">
        <v>0.8539</v>
      </c>
      <c r="U23">
        <f>IF(AND($J23&lt;&gt;"",OR(조회_주기="전체",$R23=조회_주기),$J23&gt;=조회_최소,$J23&lt;=조회_최대),1,0)</f>
        <v/>
      </c>
      <c r="V23">
        <f>IF($U23=1,$V22+1,$V22)</f>
        <v/>
      </c>
      <c r="W23">
        <f>IF(검색어="",1,IF(ISNUMBER(SEARCH(검색어,$A23)),1,0))</f>
        <v/>
      </c>
      <c r="X23">
        <f>IF($W23=1,$X22+1,$X22)</f>
        <v/>
      </c>
      <c r="Y23">
        <f>IFERROR(INDEX($A$4:$A$253,MATCH(20,$X$4:$X$253,0)),"")</f>
        <v/>
      </c>
    </row>
    <row r="24">
      <c r="A24" s="93" t="inlineStr">
        <is>
          <t>TIGER 미국배당다우존스타겟데일리커버드콜</t>
        </is>
      </c>
      <c r="B24" s="93" t="inlineStr">
        <is>
          <t>0008S0</t>
        </is>
      </c>
      <c r="C24" s="93" t="inlineStr">
        <is>
          <t>미래에셋자산운용</t>
        </is>
      </c>
      <c r="D24" s="94" t="n">
        <v>9760</v>
      </c>
      <c r="E24" s="94" t="n">
        <v>314272000000</v>
      </c>
      <c r="F24" s="94" t="n">
        <v>3336873791</v>
      </c>
      <c r="G24" s="74" t="n">
        <v>0.0025</v>
      </c>
      <c r="H24" s="74" t="n">
        <v>0.1435</v>
      </c>
      <c r="I24" s="74" t="n">
        <v>0.01</v>
      </c>
      <c r="J24" s="74" t="n">
        <v>0.120594</v>
      </c>
      <c r="K24" s="94" t="n">
        <v>20</v>
      </c>
      <c r="L24" s="95" t="inlineStr">
        <is>
          <t>20260914</t>
        </is>
      </c>
      <c r="M24" s="93" t="inlineStr">
        <is>
          <t>채택</t>
        </is>
      </c>
      <c r="N24" s="93" t="inlineStr"/>
      <c r="O24" s="93" t="inlineStr">
        <is>
          <t>Dow Jones U.S. Dividend 100 10% Daily Premium Covered Call I</t>
        </is>
      </c>
      <c r="P24" s="93" t="inlineStr">
        <is>
          <t>커버드콜</t>
        </is>
      </c>
      <c r="Q24" s="93" t="inlineStr">
        <is>
          <t>주식</t>
        </is>
      </c>
      <c r="R24" s="93" t="inlineStr">
        <is>
          <t>월배당</t>
        </is>
      </c>
      <c r="S24" s="94" t="n">
        <v>12</v>
      </c>
      <c r="T24" s="74" t="n">
        <v>0.8505</v>
      </c>
      <c r="U24">
        <f>IF(AND($J24&lt;&gt;"",OR(조회_주기="전체",$R24=조회_주기),$J24&gt;=조회_최소,$J24&lt;=조회_최대),1,0)</f>
        <v/>
      </c>
      <c r="V24">
        <f>IF($U24=1,$V23+1,$V23)</f>
        <v/>
      </c>
      <c r="W24">
        <f>IF(검색어="",1,IF(ISNUMBER(SEARCH(검색어,$A24)),1,0))</f>
        <v/>
      </c>
      <c r="X24">
        <f>IF($W24=1,$X23+1,$X23)</f>
        <v/>
      </c>
      <c r="Y24">
        <f>IFERROR(INDEX($A$4:$A$253,MATCH(21,$X$4:$X$253,0)),"")</f>
        <v/>
      </c>
    </row>
    <row r="25">
      <c r="A25" s="93" t="inlineStr">
        <is>
          <t>TIGER 미국테크TOP10타겟커버드콜</t>
        </is>
      </c>
      <c r="B25" s="93" t="inlineStr">
        <is>
          <t>474220</t>
        </is>
      </c>
      <c r="C25" s="93" t="inlineStr">
        <is>
          <t>미래에셋자산운용</t>
        </is>
      </c>
      <c r="D25" s="94" t="n">
        <v>15105</v>
      </c>
      <c r="E25" s="94" t="n">
        <v>425961000000</v>
      </c>
      <c r="F25" s="94" t="n">
        <v>1641309224</v>
      </c>
      <c r="G25" s="74" t="n">
        <v>0.005</v>
      </c>
      <c r="H25" s="74" t="n">
        <v>0.1951</v>
      </c>
      <c r="I25" s="74" t="n">
        <v>0.0083</v>
      </c>
      <c r="J25" s="74" t="n">
        <v>0.103807</v>
      </c>
      <c r="K25" s="94" t="n">
        <v>32</v>
      </c>
      <c r="L25" s="95" t="inlineStr">
        <is>
          <t>20260914</t>
        </is>
      </c>
      <c r="M25" s="93" t="inlineStr">
        <is>
          <t>채택</t>
        </is>
      </c>
      <c r="N25" s="93" t="inlineStr"/>
      <c r="O25" s="93" t="inlineStr">
        <is>
          <t>Bloomberg U.S. Tech Top10 + 10% Premium Covered Call Index</t>
        </is>
      </c>
      <c r="P25" s="93" t="inlineStr">
        <is>
          <t>커버드콜</t>
        </is>
      </c>
      <c r="Q25" s="93" t="inlineStr">
        <is>
          <t>주식</t>
        </is>
      </c>
      <c r="R25" s="93" t="inlineStr">
        <is>
          <t>월배당</t>
        </is>
      </c>
      <c r="S25" s="94" t="n">
        <v>12</v>
      </c>
      <c r="T25" s="74" t="n">
        <v>1</v>
      </c>
      <c r="U25">
        <f>IF(AND($J25&lt;&gt;"",OR(조회_주기="전체",$R25=조회_주기),$J25&gt;=조회_최소,$J25&lt;=조회_최대),1,0)</f>
        <v/>
      </c>
      <c r="V25">
        <f>IF($U25=1,$V24+1,$V24)</f>
        <v/>
      </c>
      <c r="W25">
        <f>IF(검색어="",1,IF(ISNUMBER(SEARCH(검색어,$A25)),1,0))</f>
        <v/>
      </c>
      <c r="X25">
        <f>IF($W25=1,$X24+1,$X24)</f>
        <v/>
      </c>
      <c r="Y25">
        <f>IFERROR(INDEX($A$4:$A$253,MATCH(22,$X$4:$X$253,0)),"")</f>
        <v/>
      </c>
    </row>
    <row r="26">
      <c r="A26" s="93" t="inlineStr">
        <is>
          <t>TIGER 미국배당다우존스타겟커버드콜2호</t>
        </is>
      </c>
      <c r="B26" s="93" t="inlineStr">
        <is>
          <t>458760</t>
        </is>
      </c>
      <c r="C26" s="93" t="inlineStr">
        <is>
          <t>미래에셋자산운용</t>
        </is>
      </c>
      <c r="D26" s="94" t="n">
        <v>10895</v>
      </c>
      <c r="E26" s="94" t="n">
        <v>696190500000</v>
      </c>
      <c r="F26" s="94" t="n">
        <v>3284170817</v>
      </c>
      <c r="G26" s="74" t="n">
        <v>0.0039</v>
      </c>
      <c r="H26" s="74" t="n">
        <v>0.1502</v>
      </c>
      <c r="I26" s="74" t="n">
        <v>0.008</v>
      </c>
      <c r="J26" s="74" t="n">
        <v>0.09986200000000001</v>
      </c>
      <c r="K26" s="94" t="n">
        <v>38</v>
      </c>
      <c r="L26" s="95" t="inlineStr">
        <is>
          <t>20260828</t>
        </is>
      </c>
      <c r="M26" s="93" t="inlineStr">
        <is>
          <t>채택</t>
        </is>
      </c>
      <c r="N26" s="93" t="inlineStr"/>
      <c r="O26" s="93" t="inlineStr">
        <is>
          <t>Dow Jones U.S. Dividend 100 7% Premium Covered Call Index</t>
        </is>
      </c>
      <c r="P26" s="93" t="inlineStr">
        <is>
          <t>커버드콜</t>
        </is>
      </c>
      <c r="Q26" s="93" t="inlineStr">
        <is>
          <t>주식</t>
        </is>
      </c>
      <c r="R26" s="93" t="inlineStr">
        <is>
          <t>월배당</t>
        </is>
      </c>
      <c r="S26" s="94" t="n">
        <v>11</v>
      </c>
      <c r="T26" s="74" t="n">
        <v>0.9384</v>
      </c>
      <c r="U26">
        <f>IF(AND($J26&lt;&gt;"",OR(조회_주기="전체",$R26=조회_주기),$J26&gt;=조회_최소,$J26&lt;=조회_최대),1,0)</f>
        <v/>
      </c>
      <c r="V26">
        <f>IF($U26=1,$V25+1,$V25)</f>
        <v/>
      </c>
      <c r="W26">
        <f>IF(검색어="",1,IF(ISNUMBER(SEARCH(검색어,$A26)),1,0))</f>
        <v/>
      </c>
      <c r="X26">
        <f>IF($W26=1,$X25+1,$X25)</f>
        <v/>
      </c>
      <c r="Y26">
        <f>IFERROR(INDEX($A$4:$A$253,MATCH(23,$X$4:$X$253,0)),"")</f>
        <v/>
      </c>
    </row>
    <row r="27">
      <c r="A27" s="93" t="inlineStr">
        <is>
          <t>TIGER 리츠부동산인프라</t>
        </is>
      </c>
      <c r="B27" s="93" t="inlineStr">
        <is>
          <t>329200</t>
        </is>
      </c>
      <c r="C27" s="93" t="inlineStr">
        <is>
          <t>미래에셋자산운용</t>
        </is>
      </c>
      <c r="D27" s="94" t="n">
        <v>4062</v>
      </c>
      <c r="E27" s="94" t="n">
        <v>1558589400000</v>
      </c>
      <c r="F27" s="94" t="n">
        <v>11986649832</v>
      </c>
      <c r="G27" s="74" t="n">
        <v>0.0008</v>
      </c>
      <c r="H27" s="74" t="n">
        <v>0.177</v>
      </c>
      <c r="I27" s="74" t="n">
        <v>0.008100000000000001</v>
      </c>
      <c r="J27" s="74" t="n">
        <v>0.09748900000000001</v>
      </c>
      <c r="K27" s="94" t="n">
        <v>51</v>
      </c>
      <c r="L27" s="95" t="inlineStr">
        <is>
          <t>20260828</t>
        </is>
      </c>
      <c r="M27" s="93" t="inlineStr">
        <is>
          <t>채택</t>
        </is>
      </c>
      <c r="N27" s="93" t="inlineStr"/>
      <c r="O27" s="93" t="inlineStr">
        <is>
          <t>FnGuide 리츠부동산인프라</t>
        </is>
      </c>
      <c r="P27" s="93" t="inlineStr">
        <is>
          <t>일반</t>
        </is>
      </c>
      <c r="Q27" s="93" t="inlineStr">
        <is>
          <t>부동산</t>
        </is>
      </c>
      <c r="R27" s="93" t="inlineStr">
        <is>
          <t>월배당</t>
        </is>
      </c>
      <c r="S27" s="94" t="n">
        <v>11</v>
      </c>
      <c r="T27" s="74" t="n">
        <v>1</v>
      </c>
      <c r="U27">
        <f>IF(AND($J27&lt;&gt;"",OR(조회_주기="전체",$R27=조회_주기),$J27&gt;=조회_최소,$J27&lt;=조회_최대),1,0)</f>
        <v/>
      </c>
      <c r="V27">
        <f>IF($U27=1,$V26+1,$V26)</f>
        <v/>
      </c>
      <c r="W27">
        <f>IF(검색어="",1,IF(ISNUMBER(SEARCH(검색어,$A27)),1,0))</f>
        <v/>
      </c>
      <c r="X27">
        <f>IF($W27=1,$X26+1,$X26)</f>
        <v/>
      </c>
      <c r="Y27">
        <f>IFERROR(INDEX($A$4:$A$253,MATCH(24,$X$4:$X$253,0)),"")</f>
        <v/>
      </c>
    </row>
    <row r="28">
      <c r="A28" s="93" t="inlineStr">
        <is>
          <t>KODEX 미국배당커버드콜액티브</t>
        </is>
      </c>
      <c r="B28" s="93" t="inlineStr">
        <is>
          <t>441640</t>
        </is>
      </c>
      <c r="C28" s="93" t="inlineStr">
        <is>
          <t>삼성자산운용(ETF)</t>
        </is>
      </c>
      <c r="D28" s="94" t="n">
        <v>12445</v>
      </c>
      <c r="E28" s="94" t="n">
        <v>1720521250000</v>
      </c>
      <c r="F28" s="94" t="n">
        <v>12059383369</v>
      </c>
      <c r="G28" s="74" t="n">
        <v>0.0019</v>
      </c>
      <c r="H28" s="74" t="n">
        <v>0.1237</v>
      </c>
      <c r="I28" s="74" t="n">
        <v>0.007800000000000001</v>
      </c>
      <c r="J28" s="74" t="n">
        <v>0.095139</v>
      </c>
      <c r="K28" s="94" t="n">
        <v>48</v>
      </c>
      <c r="L28" s="95" t="inlineStr">
        <is>
          <t>20260914</t>
        </is>
      </c>
      <c r="M28" s="93" t="inlineStr">
        <is>
          <t>채택</t>
        </is>
      </c>
      <c r="N28" s="93" t="inlineStr"/>
      <c r="O28" s="93" t="inlineStr">
        <is>
          <t>S&amp;P 500</t>
        </is>
      </c>
      <c r="P28" s="93" t="inlineStr">
        <is>
          <t>커버드콜</t>
        </is>
      </c>
      <c r="Q28" s="93" t="inlineStr">
        <is>
          <t>주식</t>
        </is>
      </c>
      <c r="R28" s="93" t="inlineStr">
        <is>
          <t>월배당</t>
        </is>
      </c>
      <c r="S28" s="94" t="n">
        <v>12</v>
      </c>
      <c r="T28" s="74" t="n">
        <v>1</v>
      </c>
      <c r="U28">
        <f>IF(AND($J28&lt;&gt;"",OR(조회_주기="전체",$R28=조회_주기),$J28&gt;=조회_최소,$J28&lt;=조회_최대),1,0)</f>
        <v/>
      </c>
      <c r="V28">
        <f>IF($U28=1,$V27+1,$V27)</f>
        <v/>
      </c>
      <c r="W28">
        <f>IF(검색어="",1,IF(ISNUMBER(SEARCH(검색어,$A28)),1,0))</f>
        <v/>
      </c>
      <c r="X28">
        <f>IF($W28=1,$X27+1,$X27)</f>
        <v/>
      </c>
      <c r="Y28">
        <f>IFERROR(INDEX($A$4:$A$253,MATCH(25,$X$4:$X$253,0)),"")</f>
        <v/>
      </c>
    </row>
    <row r="29">
      <c r="A29" s="93" t="inlineStr">
        <is>
          <t>KODEX 한국부동산리츠인프라</t>
        </is>
      </c>
      <c r="B29" s="93" t="inlineStr">
        <is>
          <t>476800</t>
        </is>
      </c>
      <c r="C29" s="93" t="inlineStr">
        <is>
          <t>삼성자산운용(ETF)</t>
        </is>
      </c>
      <c r="D29" s="94" t="n">
        <v>4195</v>
      </c>
      <c r="E29" s="94" t="n">
        <v>485151750000</v>
      </c>
      <c r="F29" s="94" t="n">
        <v>2308757646</v>
      </c>
      <c r="G29" s="74" t="n">
        <v>0.0009</v>
      </c>
      <c r="H29" s="74" t="n">
        <v>0.1487</v>
      </c>
      <c r="I29" s="74" t="n">
        <v>0.0141</v>
      </c>
      <c r="J29" s="74" t="n">
        <v>0.092253</v>
      </c>
      <c r="K29" s="94" t="n">
        <v>30</v>
      </c>
      <c r="L29" s="95" t="inlineStr">
        <is>
          <t>20260914</t>
        </is>
      </c>
      <c r="M29" s="93" t="inlineStr">
        <is>
          <t>채택</t>
        </is>
      </c>
      <c r="N29" s="93" t="inlineStr"/>
      <c r="O29" s="93" t="inlineStr">
        <is>
          <t>KRX 부동산리츠인프라 지수</t>
        </is>
      </c>
      <c r="P29" s="93" t="inlineStr">
        <is>
          <t>일반</t>
        </is>
      </c>
      <c r="Q29" s="93" t="inlineStr">
        <is>
          <t>부동산</t>
        </is>
      </c>
      <c r="R29" s="93" t="inlineStr">
        <is>
          <t>월배당</t>
        </is>
      </c>
      <c r="S29" s="94" t="n">
        <v>12</v>
      </c>
      <c r="T29" s="74" t="n">
        <v>0.9121</v>
      </c>
      <c r="U29">
        <f>IF(AND($J29&lt;&gt;"",OR(조회_주기="전체",$R29=조회_주기),$J29&gt;=조회_최소,$J29&lt;=조회_최대),1,0)</f>
        <v/>
      </c>
      <c r="V29">
        <f>IF($U29=1,$V28+1,$V28)</f>
        <v/>
      </c>
      <c r="W29">
        <f>IF(검색어="",1,IF(ISNUMBER(SEARCH(검색어,$A29)),1,0))</f>
        <v/>
      </c>
      <c r="X29">
        <f>IF($W29=1,$X28+1,$X28)</f>
        <v/>
      </c>
      <c r="Y29">
        <f>IFERROR(INDEX($A$4:$A$253,MATCH(26,$X$4:$X$253,0)),"")</f>
        <v/>
      </c>
    </row>
    <row r="30">
      <c r="A30" s="93" t="inlineStr">
        <is>
          <t>ACE 글로벌인컴TOP10</t>
        </is>
      </c>
      <c r="B30" s="93" t="inlineStr">
        <is>
          <t>460960</t>
        </is>
      </c>
      <c r="C30" s="93" t="inlineStr">
        <is>
          <t>한국투신운용(ETF)</t>
        </is>
      </c>
      <c r="D30" s="94" t="n">
        <v>10950</v>
      </c>
      <c r="E30" s="94" t="n">
        <v>85410000000</v>
      </c>
      <c r="F30" s="94" t="n">
        <v>851596256</v>
      </c>
      <c r="G30" s="74" t="n">
        <v>0.0024</v>
      </c>
      <c r="H30" s="74" t="n">
        <v>0.1115</v>
      </c>
      <c r="I30" s="74" t="n">
        <v>0.006</v>
      </c>
      <c r="J30" s="74" t="n">
        <v>0.0779</v>
      </c>
      <c r="K30" s="94" t="n">
        <v>37</v>
      </c>
      <c r="L30" s="95" t="inlineStr">
        <is>
          <t>20260828</t>
        </is>
      </c>
      <c r="M30" s="93" t="inlineStr">
        <is>
          <t>채택</t>
        </is>
      </c>
      <c r="N30" s="93" t="inlineStr"/>
      <c r="O30" s="93" t="inlineStr">
        <is>
          <t>Solactive Global Superior Income TOP 10 Index PR</t>
        </is>
      </c>
      <c r="P30" s="93" t="inlineStr">
        <is>
          <t>일반</t>
        </is>
      </c>
      <c r="Q30" s="93" t="inlineStr">
        <is>
          <t>멀티에셋</t>
        </is>
      </c>
      <c r="R30" s="93" t="inlineStr">
        <is>
          <t>월배당</t>
        </is>
      </c>
      <c r="S30" s="94" t="n">
        <v>11</v>
      </c>
      <c r="T30" s="74" t="n">
        <v>1</v>
      </c>
      <c r="U30">
        <f>IF(AND($J30&lt;&gt;"",OR(조회_주기="전체",$R30=조회_주기),$J30&gt;=조회_최소,$J30&lt;=조회_최대),1,0)</f>
        <v/>
      </c>
      <c r="V30">
        <f>IF($U30=1,$V29+1,$V29)</f>
        <v/>
      </c>
      <c r="W30">
        <f>IF(검색어="",1,IF(ISNUMBER(SEARCH(검색어,$A30)),1,0))</f>
        <v/>
      </c>
      <c r="X30">
        <f>IF($W30=1,$X29+1,$X29)</f>
        <v/>
      </c>
      <c r="Y30">
        <f>IFERROR(INDEX($A$4:$A$253,MATCH(27,$X$4:$X$253,0)),"")</f>
        <v/>
      </c>
    </row>
    <row r="31">
      <c r="A31" s="93" t="inlineStr">
        <is>
          <t>KODEX iShares미국하이일드액티브</t>
        </is>
      </c>
      <c r="B31" s="93" t="inlineStr">
        <is>
          <t>468380</t>
        </is>
      </c>
      <c r="C31" s="93" t="inlineStr">
        <is>
          <t>삼성자산운용(ETF)</t>
        </is>
      </c>
      <c r="D31" s="94" t="n">
        <v>10875</v>
      </c>
      <c r="E31" s="94" t="n">
        <v>90153750000</v>
      </c>
      <c r="F31" s="94" t="n">
        <v>761405906</v>
      </c>
      <c r="G31" s="74" t="n">
        <v>0.0015</v>
      </c>
      <c r="H31" s="74" t="n">
        <v>0.1017</v>
      </c>
      <c r="I31" s="74" t="n">
        <v>0.005699999999999999</v>
      </c>
      <c r="J31" s="74" t="n">
        <v>0.071356</v>
      </c>
      <c r="K31" s="94" t="n">
        <v>34</v>
      </c>
      <c r="L31" s="95" t="inlineStr">
        <is>
          <t>20260828</t>
        </is>
      </c>
      <c r="M31" s="93" t="inlineStr">
        <is>
          <t>채택</t>
        </is>
      </c>
      <c r="N31" s="93" t="inlineStr"/>
      <c r="O31" s="93" t="inlineStr">
        <is>
          <t>ICE BofAML US HY Constrained Index</t>
        </is>
      </c>
      <c r="P31" s="93" t="inlineStr">
        <is>
          <t>일반</t>
        </is>
      </c>
      <c r="Q31" s="93" t="inlineStr">
        <is>
          <t>채권</t>
        </is>
      </c>
      <c r="R31" s="93" t="inlineStr">
        <is>
          <t>월배당</t>
        </is>
      </c>
      <c r="S31" s="94" t="n">
        <v>11</v>
      </c>
      <c r="T31" s="74" t="n">
        <v>1</v>
      </c>
      <c r="U31">
        <f>IF(AND($J31&lt;&gt;"",OR(조회_주기="전체",$R31=조회_주기),$J31&gt;=조회_최소,$J31&lt;=조회_최대),1,0)</f>
        <v/>
      </c>
      <c r="V31">
        <f>IF($U31=1,$V30+1,$V30)</f>
        <v/>
      </c>
      <c r="W31">
        <f>IF(검색어="",1,IF(ISNUMBER(SEARCH(검색어,$A31)),1,0))</f>
        <v/>
      </c>
      <c r="X31">
        <f>IF($W31=1,$X30+1,$X30)</f>
        <v/>
      </c>
      <c r="Y31">
        <f>IFERROR(INDEX($A$4:$A$253,MATCH(28,$X$4:$X$253,0)),"")</f>
        <v/>
      </c>
    </row>
    <row r="32">
      <c r="A32" s="93" t="inlineStr">
        <is>
          <t>KODEX 미국30년국채액티브(H)</t>
        </is>
      </c>
      <c r="B32" s="93" t="inlineStr">
        <is>
          <t>484790</t>
        </is>
      </c>
      <c r="C32" s="93" t="inlineStr">
        <is>
          <t>삼성자산운용(ETF)</t>
        </is>
      </c>
      <c r="D32" s="94" t="n">
        <v>8195</v>
      </c>
      <c r="E32" s="94" t="n">
        <v>590941450000</v>
      </c>
      <c r="F32" s="94" t="n">
        <v>4451600432</v>
      </c>
      <c r="G32" s="74" t="n">
        <v>0.00015</v>
      </c>
      <c r="H32" s="74" t="n">
        <v>0.091</v>
      </c>
      <c r="I32" s="74" t="n">
        <v>0.0042</v>
      </c>
      <c r="J32" s="74" t="n">
        <v>0.052349</v>
      </c>
      <c r="K32" s="94" t="n">
        <v>26</v>
      </c>
      <c r="L32" s="95" t="inlineStr">
        <is>
          <t>20260828</t>
        </is>
      </c>
      <c r="M32" s="93" t="inlineStr">
        <is>
          <t>채택</t>
        </is>
      </c>
      <c r="N32" s="93" t="inlineStr"/>
      <c r="O32" s="93" t="inlineStr">
        <is>
          <t>KEDI-KAP 미 국채 20년+ 지수(TR)</t>
        </is>
      </c>
      <c r="P32" s="93" t="inlineStr">
        <is>
          <t>일반</t>
        </is>
      </c>
      <c r="Q32" s="93" t="inlineStr">
        <is>
          <t>채권</t>
        </is>
      </c>
      <c r="R32" s="93" t="inlineStr">
        <is>
          <t>월배당</t>
        </is>
      </c>
      <c r="S32" s="94" t="n">
        <v>11</v>
      </c>
      <c r="T32" s="74" t="n">
        <v>0</v>
      </c>
      <c r="U32">
        <f>IF(AND($J32&lt;&gt;"",OR(조회_주기="전체",$R32=조회_주기),$J32&gt;=조회_최소,$J32&lt;=조회_최대),1,0)</f>
        <v/>
      </c>
      <c r="V32">
        <f>IF($U32=1,$V31+1,$V31)</f>
        <v/>
      </c>
      <c r="W32">
        <f>IF(검색어="",1,IF(ISNUMBER(SEARCH(검색어,$A32)),1,0))</f>
        <v/>
      </c>
      <c r="X32">
        <f>IF($W32=1,$X31+1,$X31)</f>
        <v/>
      </c>
      <c r="Y32">
        <f>IFERROR(INDEX($A$4:$A$253,MATCH(29,$X$4:$X$253,0)),"")</f>
        <v/>
      </c>
    </row>
    <row r="33">
      <c r="A33" s="93" t="inlineStr">
        <is>
          <t>PLUS 자사주매입고배당주</t>
        </is>
      </c>
      <c r="B33" s="93" t="inlineStr">
        <is>
          <t>0098N0</t>
        </is>
      </c>
      <c r="C33" s="93" t="inlineStr">
        <is>
          <t>한화자산운용</t>
        </is>
      </c>
      <c r="D33" s="94" t="n">
        <v>12960</v>
      </c>
      <c r="E33" s="94" t="n">
        <v>78408000000</v>
      </c>
      <c r="F33" s="94" t="n">
        <v>815669680</v>
      </c>
      <c r="G33" s="74" t="n">
        <v>0.003</v>
      </c>
      <c r="H33" s="74" t="n">
        <v>0.2814</v>
      </c>
      <c r="I33" s="74" t="n">
        <v>0.0053</v>
      </c>
      <c r="J33" s="74" t="n">
        <v>0.04976899999999999</v>
      </c>
      <c r="K33" s="94" t="n">
        <v>12</v>
      </c>
      <c r="L33" s="95" t="inlineStr">
        <is>
          <t>20260914</t>
        </is>
      </c>
      <c r="M33" s="93" t="inlineStr">
        <is>
          <t>채택</t>
        </is>
      </c>
      <c r="N33" s="93" t="inlineStr"/>
      <c r="O33" s="93" t="inlineStr">
        <is>
          <t>FnGuide 고배당주 플러스 자사주 지수</t>
        </is>
      </c>
      <c r="P33" s="93" t="inlineStr">
        <is>
          <t>일반</t>
        </is>
      </c>
      <c r="Q33" s="93" t="inlineStr">
        <is>
          <t>주식</t>
        </is>
      </c>
      <c r="R33" s="93" t="inlineStr">
        <is>
          <t>월배당</t>
        </is>
      </c>
      <c r="S33" s="94" t="n">
        <v>12</v>
      </c>
      <c r="T33" s="74" t="n">
        <v>0.6636</v>
      </c>
      <c r="U33">
        <f>IF(AND($J33&lt;&gt;"",OR(조회_주기="전체",$R33=조회_주기),$J33&gt;=조회_최소,$J33&lt;=조회_최대),1,0)</f>
        <v/>
      </c>
      <c r="V33">
        <f>IF($U33=1,$V32+1,$V32)</f>
        <v/>
      </c>
      <c r="W33">
        <f>IF(검색어="",1,IF(ISNUMBER(SEARCH(검색어,$A33)),1,0))</f>
        <v/>
      </c>
      <c r="X33">
        <f>IF($W33=1,$X32+1,$X32)</f>
        <v/>
      </c>
      <c r="Y33">
        <f>IFERROR(INDEX($A$4:$A$253,MATCH(30,$X$4:$X$253,0)),"")</f>
        <v/>
      </c>
    </row>
    <row r="34">
      <c r="A34" s="93" t="inlineStr">
        <is>
          <t>RISE KIS국고채30년Enhanced</t>
        </is>
      </c>
      <c r="B34" s="93" t="inlineStr">
        <is>
          <t>385560</t>
        </is>
      </c>
      <c r="C34" s="93" t="inlineStr">
        <is>
          <t>KB자산운용</t>
        </is>
      </c>
      <c r="D34" s="94" t="n">
        <v>50790</v>
      </c>
      <c r="E34" s="94" t="n">
        <v>454011810000</v>
      </c>
      <c r="F34" s="94" t="n">
        <v>1870758387</v>
      </c>
      <c r="G34" s="74" t="n">
        <v>0.0005</v>
      </c>
      <c r="H34" s="74" t="n">
        <v>0.1783</v>
      </c>
      <c r="I34" s="74" t="n">
        <v>0.0224</v>
      </c>
      <c r="J34" s="74" t="n">
        <v>0.047824</v>
      </c>
      <c r="K34" s="94" t="n">
        <v>10</v>
      </c>
      <c r="L34" s="95" t="inlineStr">
        <is>
          <t>20260908</t>
        </is>
      </c>
      <c r="M34" s="93" t="inlineStr">
        <is>
          <t>채택</t>
        </is>
      </c>
      <c r="N34" s="93" t="inlineStr"/>
      <c r="O34" s="93" t="inlineStr">
        <is>
          <t>KIS 국고채30년 Enhanced 지수(시장가격지수)</t>
        </is>
      </c>
      <c r="P34" s="93" t="inlineStr">
        <is>
          <t>일반</t>
        </is>
      </c>
      <c r="Q34" s="93" t="inlineStr">
        <is>
          <t>채권</t>
        </is>
      </c>
      <c r="R34" s="93" t="inlineStr">
        <is>
          <t>반기배당</t>
        </is>
      </c>
      <c r="S34" s="94" t="n">
        <v>2</v>
      </c>
      <c r="T34" s="74" t="n">
        <v>0</v>
      </c>
      <c r="U34">
        <f>IF(AND($J34&lt;&gt;"",OR(조회_주기="전체",$R34=조회_주기),$J34&gt;=조회_최소,$J34&lt;=조회_최대),1,0)</f>
        <v/>
      </c>
      <c r="V34">
        <f>IF($U34=1,$V33+1,$V33)</f>
        <v/>
      </c>
      <c r="W34">
        <f>IF(검색어="",1,IF(ISNUMBER(SEARCH(검색어,$A34)),1,0))</f>
        <v/>
      </c>
      <c r="X34">
        <f>IF($W34=1,$X33+1,$X33)</f>
        <v/>
      </c>
      <c r="Y34">
        <f>IFERROR(INDEX($A$4:$A$253,MATCH(31,$X$4:$X$253,0)),"")</f>
        <v/>
      </c>
    </row>
    <row r="35">
      <c r="A35" s="93" t="inlineStr">
        <is>
          <t>KODEX 미국종합채권ESG액티브(H)</t>
        </is>
      </c>
      <c r="B35" s="93" t="inlineStr">
        <is>
          <t>437080</t>
        </is>
      </c>
      <c r="C35" s="93" t="inlineStr">
        <is>
          <t>삼성자산운용(ETF)</t>
        </is>
      </c>
      <c r="D35" s="94" t="n">
        <v>96190</v>
      </c>
      <c r="E35" s="94" t="n">
        <v>222679850000</v>
      </c>
      <c r="F35" s="94" t="n">
        <v>583423355</v>
      </c>
      <c r="G35" s="74" t="n">
        <v>0.0018</v>
      </c>
      <c r="H35" s="74" t="n">
        <v>0.0393</v>
      </c>
      <c r="I35" s="74" t="n">
        <v>0.004</v>
      </c>
      <c r="J35" s="74" t="n">
        <v>0.046044</v>
      </c>
      <c r="K35" s="94" t="n">
        <v>19</v>
      </c>
      <c r="L35" s="95" t="inlineStr">
        <is>
          <t>20260828</t>
        </is>
      </c>
      <c r="M35" s="93" t="inlineStr">
        <is>
          <t>채택</t>
        </is>
      </c>
      <c r="N35" s="93" t="inlineStr"/>
      <c r="O35" s="93" t="inlineStr">
        <is>
          <t>Bloomberg MSCI US Aggregate 2BN ex Securitized SRI Capped In</t>
        </is>
      </c>
      <c r="P35" s="93" t="inlineStr">
        <is>
          <t>일반</t>
        </is>
      </c>
      <c r="Q35" s="93" t="inlineStr">
        <is>
          <t>채권</t>
        </is>
      </c>
      <c r="R35" s="93" t="inlineStr">
        <is>
          <t>월배당</t>
        </is>
      </c>
      <c r="S35" s="94" t="n">
        <v>11</v>
      </c>
      <c r="T35" s="74" t="n">
        <v>0.5956</v>
      </c>
      <c r="U35">
        <f>IF(AND($J35&lt;&gt;"",OR(조회_주기="전체",$R35=조회_주기),$J35&gt;=조회_최소,$J35&lt;=조회_최대),1,0)</f>
        <v/>
      </c>
      <c r="V35">
        <f>IF($U35=1,$V34+1,$V34)</f>
        <v/>
      </c>
      <c r="W35">
        <f>IF(검색어="",1,IF(ISNUMBER(SEARCH(검색어,$A35)),1,0))</f>
        <v/>
      </c>
      <c r="X35">
        <f>IF($W35=1,$X34+1,$X34)</f>
        <v/>
      </c>
      <c r="Y35">
        <f>IFERROR(INDEX($A$4:$A$253,MATCH(32,$X$4:$X$253,0)),"")</f>
        <v/>
      </c>
    </row>
    <row r="36">
      <c r="A36" s="93" t="inlineStr">
        <is>
          <t>KODEX 미국머니마켓액티브</t>
        </is>
      </c>
      <c r="B36" s="93" t="inlineStr">
        <is>
          <t>0048J0</t>
        </is>
      </c>
      <c r="C36" s="93" t="inlineStr">
        <is>
          <t>삼성자산운용(ETF)</t>
        </is>
      </c>
      <c r="D36" s="94" t="n">
        <v>13810</v>
      </c>
      <c r="E36" s="94" t="n">
        <v>874863500000</v>
      </c>
      <c r="F36" s="94" t="n">
        <v>8187605014</v>
      </c>
      <c r="G36" s="74" t="n">
        <v>0.0005</v>
      </c>
      <c r="H36" s="74" t="n">
        <v>0.1058</v>
      </c>
      <c r="I36" s="74" t="n">
        <v>0.0044</v>
      </c>
      <c r="J36" s="74" t="n">
        <v>0.04590900000000001</v>
      </c>
      <c r="K36" s="94" t="n">
        <v>15</v>
      </c>
      <c r="L36" s="95" t="inlineStr">
        <is>
          <t>20260828</t>
        </is>
      </c>
      <c r="M36" s="93" t="inlineStr">
        <is>
          <t>채택</t>
        </is>
      </c>
      <c r="N36" s="93" t="inlineStr"/>
      <c r="O36" s="93" t="inlineStr">
        <is>
          <t>KAP 미국 머니마켓 지수</t>
        </is>
      </c>
      <c r="P36" s="93" t="inlineStr">
        <is>
          <t>일반</t>
        </is>
      </c>
      <c r="Q36" s="93" t="inlineStr">
        <is>
          <t>단기자금(파킹형)</t>
        </is>
      </c>
      <c r="R36" s="93" t="inlineStr">
        <is>
          <t>월배당</t>
        </is>
      </c>
      <c r="S36" s="94" t="n">
        <v>11</v>
      </c>
      <c r="T36" s="74" t="n">
        <v>0.9038</v>
      </c>
      <c r="U36">
        <f>IF(AND($J36&lt;&gt;"",OR(조회_주기="전체",$R36=조회_주기),$J36&gt;=조회_최소,$J36&lt;=조회_최대),1,0)</f>
        <v/>
      </c>
      <c r="V36">
        <f>IF($U36=1,$V35+1,$V35)</f>
        <v/>
      </c>
      <c r="W36">
        <f>IF(검색어="",1,IF(ISNUMBER(SEARCH(검색어,$A36)),1,0))</f>
        <v/>
      </c>
      <c r="X36">
        <f>IF($W36=1,$X35+1,$X35)</f>
        <v/>
      </c>
      <c r="Y36">
        <f>IFERROR(INDEX($A$4:$A$253,MATCH(33,$X$4:$X$253,0)),"")</f>
        <v/>
      </c>
    </row>
    <row r="37">
      <c r="A37" s="93" t="inlineStr">
        <is>
          <t>ACE 미국30년국채액티브</t>
        </is>
      </c>
      <c r="B37" s="93" t="inlineStr">
        <is>
          <t>476760</t>
        </is>
      </c>
      <c r="C37" s="93" t="inlineStr">
        <is>
          <t>한국투자신탁운용</t>
        </is>
      </c>
      <c r="D37" s="94" t="n">
        <v>8920</v>
      </c>
      <c r="E37" s="94" t="n">
        <v>386236000000</v>
      </c>
      <c r="F37" s="94" t="n">
        <v>4923710227</v>
      </c>
      <c r="G37" s="74" t="n">
        <v>0.0005</v>
      </c>
      <c r="H37" s="74" t="n">
        <v>0.133</v>
      </c>
      <c r="I37" s="74" t="n">
        <v>0.0036</v>
      </c>
      <c r="J37" s="74" t="n">
        <v>0.044507</v>
      </c>
      <c r="K37" s="94" t="n">
        <v>29</v>
      </c>
      <c r="L37" s="95" t="inlineStr">
        <is>
          <t>20260828</t>
        </is>
      </c>
      <c r="M37" s="93" t="inlineStr">
        <is>
          <t>채택</t>
        </is>
      </c>
      <c r="N37" s="93" t="inlineStr"/>
      <c r="O37" s="93" t="inlineStr">
        <is>
          <t>Bloomberg US Treasury 20+ Year Total Return Index</t>
        </is>
      </c>
      <c r="P37" s="93" t="inlineStr">
        <is>
          <t>일반</t>
        </is>
      </c>
      <c r="Q37" s="93" t="inlineStr">
        <is>
          <t>채권</t>
        </is>
      </c>
      <c r="R37" s="93" t="inlineStr">
        <is>
          <t>월배당</t>
        </is>
      </c>
      <c r="S37" s="94" t="n">
        <v>11</v>
      </c>
      <c r="T37" s="74" t="n">
        <v>0.7531</v>
      </c>
      <c r="U37">
        <f>IF(AND($J37&lt;&gt;"",OR(조회_주기="전체",$R37=조회_주기),$J37&gt;=조회_최소,$J37&lt;=조회_최대),1,0)</f>
        <v/>
      </c>
      <c r="V37">
        <f>IF($U37=1,$V36+1,$V36)</f>
        <v/>
      </c>
      <c r="W37">
        <f>IF(검색어="",1,IF(ISNUMBER(SEARCH(검색어,$A37)),1,0))</f>
        <v/>
      </c>
      <c r="X37">
        <f>IF($W37=1,$X36+1,$X36)</f>
        <v/>
      </c>
      <c r="Y37">
        <f>IFERROR(INDEX($A$4:$A$253,MATCH(34,$X$4:$X$253,0)),"")</f>
        <v/>
      </c>
    </row>
    <row r="38">
      <c r="A38" s="93" t="inlineStr">
        <is>
          <t>SOL 국제금커버드콜액티브</t>
        </is>
      </c>
      <c r="B38" s="93" t="inlineStr">
        <is>
          <t>0022T0</t>
        </is>
      </c>
      <c r="C38" s="93" t="inlineStr">
        <is>
          <t>신한자산운용</t>
        </is>
      </c>
      <c r="D38" s="94" t="n">
        <v>13040</v>
      </c>
      <c r="E38" s="94" t="n">
        <v>74328000000</v>
      </c>
      <c r="F38" s="94" t="n">
        <v>979321717</v>
      </c>
      <c r="G38" s="74" t="n">
        <v>0.004500000000000001</v>
      </c>
      <c r="H38" s="74" t="n">
        <v>0.2879</v>
      </c>
      <c r="I38" s="74" t="n">
        <v>0.0033</v>
      </c>
      <c r="J38" s="74" t="n">
        <v>0.044248</v>
      </c>
      <c r="K38" s="94" t="n">
        <v>17</v>
      </c>
      <c r="L38" s="95" t="inlineStr">
        <is>
          <t>20260828</t>
        </is>
      </c>
      <c r="M38" s="93" t="inlineStr">
        <is>
          <t>채택</t>
        </is>
      </c>
      <c r="N38" s="93" t="inlineStr"/>
      <c r="O38" s="93" t="inlineStr">
        <is>
          <t>KEDI Gold Income Premium Index (Net Total Return)</t>
        </is>
      </c>
      <c r="P38" s="93" t="inlineStr">
        <is>
          <t>커버드콜</t>
        </is>
      </c>
      <c r="Q38" s="93" t="inlineStr">
        <is>
          <t>원자재</t>
        </is>
      </c>
      <c r="R38" s="93" t="inlineStr">
        <is>
          <t>월배당</t>
        </is>
      </c>
      <c r="S38" s="94" t="n">
        <v>11</v>
      </c>
      <c r="T38" s="74" t="n">
        <v>1</v>
      </c>
      <c r="U38">
        <f>IF(AND($J38&lt;&gt;"",OR(조회_주기="전체",$R38=조회_주기),$J38&gt;=조회_최소,$J38&lt;=조회_최대),1,0)</f>
        <v/>
      </c>
      <c r="V38">
        <f>IF($U38=1,$V37+1,$V37)</f>
        <v/>
      </c>
      <c r="W38">
        <f>IF(검색어="",1,IF(ISNUMBER(SEARCH(검색어,$A38)),1,0))</f>
        <v/>
      </c>
      <c r="X38">
        <f>IF($W38=1,$X37+1,$X37)</f>
        <v/>
      </c>
      <c r="Y38">
        <f>IFERROR(INDEX($A$4:$A$253,MATCH(35,$X$4:$X$253,0)),"")</f>
        <v/>
      </c>
    </row>
    <row r="39">
      <c r="A39" s="93" t="inlineStr">
        <is>
          <t>TIGER 코리아배당다우존스</t>
        </is>
      </c>
      <c r="B39" s="93" t="inlineStr">
        <is>
          <t>0052D0</t>
        </is>
      </c>
      <c r="C39" s="93" t="inlineStr">
        <is>
          <t>미래에셋자산운용</t>
        </is>
      </c>
      <c r="D39" s="94" t="n">
        <v>15405</v>
      </c>
      <c r="E39" s="94" t="n">
        <v>335829000000</v>
      </c>
      <c r="F39" s="94" t="n">
        <v>2461411066</v>
      </c>
      <c r="G39" s="74" t="n">
        <v>0.0025</v>
      </c>
      <c r="H39" s="74" t="n">
        <v>0.3042</v>
      </c>
      <c r="I39" s="74" t="n">
        <v>0.0042</v>
      </c>
      <c r="J39" s="74" t="n">
        <v>0.043427</v>
      </c>
      <c r="K39" s="94" t="n">
        <v>15</v>
      </c>
      <c r="L39" s="95" t="inlineStr">
        <is>
          <t>20260914</t>
        </is>
      </c>
      <c r="M39" s="93" t="inlineStr">
        <is>
          <t>채택</t>
        </is>
      </c>
      <c r="N39" s="93" t="inlineStr"/>
      <c r="O39" s="93" t="inlineStr">
        <is>
          <t>Dow Jones Korea Dividend 30 Index (KRW)</t>
        </is>
      </c>
      <c r="P39" s="93" t="inlineStr">
        <is>
          <t>일반</t>
        </is>
      </c>
      <c r="Q39" s="93" t="inlineStr">
        <is>
          <t>주식</t>
        </is>
      </c>
      <c r="R39" s="93" t="inlineStr">
        <is>
          <t>월배당</t>
        </is>
      </c>
      <c r="S39" s="94" t="n">
        <v>12</v>
      </c>
      <c r="T39" s="74" t="n">
        <v>0.7758</v>
      </c>
      <c r="U39">
        <f>IF(AND($J39&lt;&gt;"",OR(조회_주기="전체",$R39=조회_주기),$J39&gt;=조회_최소,$J39&lt;=조회_최대),1,0)</f>
        <v/>
      </c>
      <c r="V39">
        <f>IF($U39=1,$V38+1,$V38)</f>
        <v/>
      </c>
      <c r="W39">
        <f>IF(검색어="",1,IF(ISNUMBER(SEARCH(검색어,$A39)),1,0))</f>
        <v/>
      </c>
      <c r="X39">
        <f>IF($W39=1,$X38+1,$X38)</f>
        <v/>
      </c>
      <c r="Y39">
        <f>IFERROR(INDEX($A$4:$A$253,MATCH(36,$X$4:$X$253,0)),"")</f>
        <v/>
      </c>
    </row>
    <row r="40">
      <c r="A40" s="93" t="inlineStr">
        <is>
          <t>KODEX 미국10년국채액티브(H)</t>
        </is>
      </c>
      <c r="B40" s="93" t="inlineStr">
        <is>
          <t>0091C0</t>
        </is>
      </c>
      <c r="C40" s="93" t="inlineStr">
        <is>
          <t>삼성자산운용(ETF)</t>
        </is>
      </c>
      <c r="D40" s="94" t="n">
        <v>9410</v>
      </c>
      <c r="E40" s="94" t="n">
        <v>187353100000</v>
      </c>
      <c r="F40" s="94" t="n">
        <v>868256534</v>
      </c>
      <c r="G40" s="74" t="n">
        <v>0.0015</v>
      </c>
      <c r="H40" s="74" t="n">
        <v>0.0449</v>
      </c>
      <c r="I40" s="74" t="n">
        <v>0.0036</v>
      </c>
      <c r="J40" s="74" t="n">
        <v>0.042508</v>
      </c>
      <c r="K40" s="94" t="n">
        <v>12</v>
      </c>
      <c r="L40" s="95" t="inlineStr">
        <is>
          <t>20260914</t>
        </is>
      </c>
      <c r="M40" s="93" t="inlineStr">
        <is>
          <t>채택</t>
        </is>
      </c>
      <c r="N40" s="93" t="inlineStr"/>
      <c r="O40" s="93" t="inlineStr">
        <is>
          <t>KAP 미국 국채 10년 지수(총수익)</t>
        </is>
      </c>
      <c r="P40" s="93" t="inlineStr">
        <is>
          <t>일반</t>
        </is>
      </c>
      <c r="Q40" s="93" t="inlineStr">
        <is>
          <t>채권</t>
        </is>
      </c>
      <c r="R40" s="93" t="inlineStr">
        <is>
          <t>월배당</t>
        </is>
      </c>
      <c r="S40" s="94" t="n">
        <v>12</v>
      </c>
      <c r="T40" s="74" t="n">
        <v>0.495</v>
      </c>
      <c r="U40">
        <f>IF(AND($J40&lt;&gt;"",OR(조회_주기="전체",$R40=조회_주기),$J40&gt;=조회_최소,$J40&lt;=조회_최대),1,0)</f>
        <v/>
      </c>
      <c r="V40">
        <f>IF($U40=1,$V39+1,$V39)</f>
        <v/>
      </c>
      <c r="W40">
        <f>IF(검색어="",1,IF(ISNUMBER(SEARCH(검색어,$A40)),1,0))</f>
        <v/>
      </c>
      <c r="X40">
        <f>IF($W40=1,$X39+1,$X39)</f>
        <v/>
      </c>
      <c r="Y40">
        <f>IFERROR(INDEX($A$4:$A$253,MATCH(37,$X$4:$X$253,0)),"")</f>
        <v/>
      </c>
    </row>
    <row r="41">
      <c r="A41" s="93" t="inlineStr">
        <is>
          <t>KODEX 고배당주</t>
        </is>
      </c>
      <c r="B41" s="93" t="inlineStr">
        <is>
          <t>279530</t>
        </is>
      </c>
      <c r="C41" s="93" t="inlineStr">
        <is>
          <t>삼성자산운용(ETF)</t>
        </is>
      </c>
      <c r="D41" s="94" t="n">
        <v>17490</v>
      </c>
      <c r="E41" s="94" t="n">
        <v>346302000000</v>
      </c>
      <c r="F41" s="94" t="n">
        <v>5013283238</v>
      </c>
      <c r="G41" s="74" t="n">
        <v>0.003</v>
      </c>
      <c r="H41" s="74" t="n">
        <v>0.297</v>
      </c>
      <c r="I41" s="74" t="n">
        <v>0.0043</v>
      </c>
      <c r="J41" s="74" t="n">
        <v>0.041795</v>
      </c>
      <c r="K41" s="94" t="n">
        <v>36</v>
      </c>
      <c r="L41" s="95" t="inlineStr">
        <is>
          <t>20260828</t>
        </is>
      </c>
      <c r="M41" s="93" t="inlineStr">
        <is>
          <t>채택</t>
        </is>
      </c>
      <c r="N41" s="93" t="inlineStr"/>
      <c r="O41" s="93" t="inlineStr">
        <is>
          <t>FnGuide 고배당 Plus 지수</t>
        </is>
      </c>
      <c r="P41" s="93" t="inlineStr">
        <is>
          <t>일반</t>
        </is>
      </c>
      <c r="Q41" s="93" t="inlineStr">
        <is>
          <t>주식</t>
        </is>
      </c>
      <c r="R41" s="93" t="inlineStr">
        <is>
          <t>월배당</t>
        </is>
      </c>
      <c r="S41" s="94" t="n">
        <v>11</v>
      </c>
      <c r="T41" s="74" t="n">
        <v>1</v>
      </c>
      <c r="U41">
        <f>IF(AND($J41&lt;&gt;"",OR(조회_주기="전체",$R41=조회_주기),$J41&gt;=조회_최소,$J41&lt;=조회_최대),1,0)</f>
        <v/>
      </c>
      <c r="V41">
        <f>IF($U41=1,$V40+1,$V40)</f>
        <v/>
      </c>
      <c r="W41">
        <f>IF(검색어="",1,IF(ISNUMBER(SEARCH(검색어,$A41)),1,0))</f>
        <v/>
      </c>
      <c r="X41">
        <f>IF($W41=1,$X40+1,$X40)</f>
        <v/>
      </c>
      <c r="Y41">
        <f>IFERROR(INDEX($A$4:$A$253,MATCH(38,$X$4:$X$253,0)),"")</f>
        <v/>
      </c>
    </row>
    <row r="42">
      <c r="A42" s="93" t="inlineStr">
        <is>
          <t>ACE 미국30년국채액티브(H)</t>
        </is>
      </c>
      <c r="B42" s="93" t="inlineStr">
        <is>
          <t>453850</t>
        </is>
      </c>
      <c r="C42" s="93" t="inlineStr">
        <is>
          <t>한국투자신탁운용</t>
        </is>
      </c>
      <c r="D42" s="94" t="n">
        <v>7145</v>
      </c>
      <c r="E42" s="94" t="n">
        <v>1482587500000</v>
      </c>
      <c r="F42" s="94" t="n">
        <v>6811506010</v>
      </c>
      <c r="G42" s="74" t="n">
        <v>0.0005</v>
      </c>
      <c r="H42" s="74" t="n">
        <v>0.0885</v>
      </c>
      <c r="I42" s="74" t="n">
        <v>0.0036</v>
      </c>
      <c r="J42" s="74" t="n">
        <v>0.04156799999999999</v>
      </c>
      <c r="K42" s="94" t="n">
        <v>41</v>
      </c>
      <c r="L42" s="95" t="inlineStr">
        <is>
          <t>20260828</t>
        </is>
      </c>
      <c r="M42" s="93" t="inlineStr">
        <is>
          <t>채택</t>
        </is>
      </c>
      <c r="N42" s="93" t="inlineStr"/>
      <c r="O42" s="93" t="inlineStr">
        <is>
          <t>Bloomberg US Treasury 20+ Year Total Return Index</t>
        </is>
      </c>
      <c r="P42" s="93" t="inlineStr">
        <is>
          <t>일반</t>
        </is>
      </c>
      <c r="Q42" s="93" t="inlineStr">
        <is>
          <t>채권</t>
        </is>
      </c>
      <c r="R42" s="93" t="inlineStr">
        <is>
          <t>월배당</t>
        </is>
      </c>
      <c r="S42" s="94" t="n">
        <v>11</v>
      </c>
      <c r="T42" s="74" t="n">
        <v>0</v>
      </c>
      <c r="U42">
        <f>IF(AND($J42&lt;&gt;"",OR(조회_주기="전체",$R42=조회_주기),$J42&gt;=조회_최소,$J42&lt;=조회_최대),1,0)</f>
        <v/>
      </c>
      <c r="V42">
        <f>IF($U42=1,$V41+1,$V41)</f>
        <v/>
      </c>
      <c r="W42">
        <f>IF(검색어="",1,IF(ISNUMBER(SEARCH(검색어,$A42)),1,0))</f>
        <v/>
      </c>
      <c r="X42">
        <f>IF($W42=1,$X41+1,$X41)</f>
        <v/>
      </c>
      <c r="Y42">
        <f>IFERROR(INDEX($A$4:$A$253,MATCH(39,$X$4:$X$253,0)),"")</f>
        <v/>
      </c>
    </row>
    <row r="43">
      <c r="A43" s="93" t="inlineStr">
        <is>
          <t>KODEX 미국달러SOFR금리액티브(합성)</t>
        </is>
      </c>
      <c r="B43" s="93" t="inlineStr">
        <is>
          <t>455030</t>
        </is>
      </c>
      <c r="C43" s="93" t="inlineStr">
        <is>
          <t>삼성자산운용(ETF)</t>
        </is>
      </c>
      <c r="D43" s="94" t="n">
        <v>11890</v>
      </c>
      <c r="E43" s="94" t="n">
        <v>539806000000</v>
      </c>
      <c r="F43" s="94" t="n">
        <v>1631366094</v>
      </c>
      <c r="G43" s="74" t="n">
        <v>0.0015</v>
      </c>
      <c r="H43" s="74" t="n">
        <v>0.1066</v>
      </c>
      <c r="I43" s="74" t="n">
        <v>0.0036</v>
      </c>
      <c r="J43" s="74" t="n">
        <v>0.041548</v>
      </c>
      <c r="K43" s="94" t="n">
        <v>14</v>
      </c>
      <c r="L43" s="95" t="inlineStr">
        <is>
          <t>20260828</t>
        </is>
      </c>
      <c r="M43" s="93" t="inlineStr">
        <is>
          <t>채택</t>
        </is>
      </c>
      <c r="N43" s="93" t="inlineStr"/>
      <c r="O43" s="93" t="inlineStr">
        <is>
          <t>Bloomberg SOFR Index</t>
        </is>
      </c>
      <c r="P43" s="93" t="inlineStr">
        <is>
          <t>일반</t>
        </is>
      </c>
      <c r="Q43" s="93" t="inlineStr">
        <is>
          <t>단기자금(파킹형)</t>
        </is>
      </c>
      <c r="R43" s="93" t="inlineStr">
        <is>
          <t>월배당</t>
        </is>
      </c>
      <c r="S43" s="94" t="n">
        <v>11</v>
      </c>
      <c r="T43" s="74" t="n">
        <v>1</v>
      </c>
      <c r="U43">
        <f>IF(AND($J43&lt;&gt;"",OR(조회_주기="전체",$R43=조회_주기),$J43&gt;=조회_최소,$J43&lt;=조회_최대),1,0)</f>
        <v/>
      </c>
      <c r="V43">
        <f>IF($U43=1,$V42+1,$V42)</f>
        <v/>
      </c>
      <c r="W43">
        <f>IF(검색어="",1,IF(ISNUMBER(SEARCH(검색어,$A43)),1,0))</f>
        <v/>
      </c>
      <c r="X43">
        <f>IF($W43=1,$X42+1,$X42)</f>
        <v/>
      </c>
      <c r="Y43">
        <f>IFERROR(INDEX($A$4:$A$253,MATCH(40,$X$4:$X$253,0)),"")</f>
        <v/>
      </c>
    </row>
    <row r="44">
      <c r="A44" s="93" t="inlineStr">
        <is>
          <t>PLUS 고배당주</t>
        </is>
      </c>
      <c r="B44" s="93" t="inlineStr">
        <is>
          <t>161510</t>
        </is>
      </c>
      <c r="C44" s="93" t="inlineStr">
        <is>
          <t>한화자산운용</t>
        </is>
      </c>
      <c r="D44" s="94" t="n">
        <v>25020</v>
      </c>
      <c r="E44" s="94" t="n">
        <v>2388409200000</v>
      </c>
      <c r="F44" s="94" t="n">
        <v>21611395095</v>
      </c>
      <c r="G44" s="74" t="n">
        <v>0.0023</v>
      </c>
      <c r="H44" s="74" t="n">
        <v>0.3049</v>
      </c>
      <c r="I44" s="74" t="n">
        <v>0.004099999999999999</v>
      </c>
      <c r="J44" s="74" t="n">
        <v>0.041327</v>
      </c>
      <c r="K44" s="94" t="n">
        <v>31</v>
      </c>
      <c r="L44" s="95" t="inlineStr">
        <is>
          <t>20260828</t>
        </is>
      </c>
      <c r="M44" s="93" t="inlineStr">
        <is>
          <t>채택</t>
        </is>
      </c>
      <c r="N44" s="93" t="inlineStr"/>
      <c r="O44" s="93" t="inlineStr">
        <is>
          <t>FnGuide 고배당주</t>
        </is>
      </c>
      <c r="P44" s="93" t="inlineStr">
        <is>
          <t>일반</t>
        </is>
      </c>
      <c r="Q44" s="93" t="inlineStr">
        <is>
          <t>주식</t>
        </is>
      </c>
      <c r="R44" s="93" t="inlineStr">
        <is>
          <t>월배당</t>
        </is>
      </c>
      <c r="S44" s="94" t="n">
        <v>11</v>
      </c>
      <c r="T44" s="74" t="n">
        <v>0.9594</v>
      </c>
      <c r="U44">
        <f>IF(AND($J44&lt;&gt;"",OR(조회_주기="전체",$R44=조회_주기),$J44&gt;=조회_최소,$J44&lt;=조회_최대),1,0)</f>
        <v/>
      </c>
      <c r="V44">
        <f>IF($U44=1,$V43+1,$V43)</f>
        <v/>
      </c>
      <c r="W44">
        <f>IF(검색어="",1,IF(ISNUMBER(SEARCH(검색어,$A44)),1,0))</f>
        <v/>
      </c>
      <c r="X44">
        <f>IF($W44=1,$X43+1,$X43)</f>
        <v/>
      </c>
      <c r="Y44">
        <f>IFERROR(INDEX($A$4:$A$253,MATCH(41,$X$4:$X$253,0)),"")</f>
        <v/>
      </c>
    </row>
    <row r="45">
      <c r="A45" s="93" t="inlineStr">
        <is>
          <t>KODEX 금융고배당TOP10</t>
        </is>
      </c>
      <c r="B45" s="93" t="inlineStr">
        <is>
          <t>0089D0</t>
        </is>
      </c>
      <c r="C45" s="93" t="inlineStr">
        <is>
          <t>삼성자산운용(ETF)</t>
        </is>
      </c>
      <c r="D45" s="94" t="n">
        <v>13510</v>
      </c>
      <c r="E45" s="94" t="n">
        <v>225617000000</v>
      </c>
      <c r="F45" s="94" t="n">
        <v>3320244863</v>
      </c>
      <c r="G45" s="74" t="n">
        <v>0.003</v>
      </c>
      <c r="H45" s="74" t="n">
        <v>0.3462</v>
      </c>
      <c r="I45" s="74" t="n">
        <v>0.0044</v>
      </c>
      <c r="J45" s="74" t="n">
        <v>0.04122899999999999</v>
      </c>
      <c r="K45" s="94" t="n">
        <v>11</v>
      </c>
      <c r="L45" s="95" t="inlineStr">
        <is>
          <t>20260914</t>
        </is>
      </c>
      <c r="M45" s="93" t="inlineStr">
        <is>
          <t>채택</t>
        </is>
      </c>
      <c r="N45" s="93" t="inlineStr"/>
      <c r="O45" s="93" t="inlineStr">
        <is>
          <t>코스피 200 금융 고배당 TOP 10 지수</t>
        </is>
      </c>
      <c r="P45" s="93" t="inlineStr">
        <is>
          <t>일반</t>
        </is>
      </c>
      <c r="Q45" s="93" t="inlineStr">
        <is>
          <t>주식</t>
        </is>
      </c>
      <c r="R45" s="93" t="inlineStr">
        <is>
          <t>월배당</t>
        </is>
      </c>
      <c r="S45" s="94" t="n">
        <v>11</v>
      </c>
      <c r="T45" s="74" t="n">
        <v>0.7038</v>
      </c>
      <c r="U45">
        <f>IF(AND($J45&lt;&gt;"",OR(조회_주기="전체",$R45=조회_주기),$J45&gt;=조회_최소,$J45&lt;=조회_최대),1,0)</f>
        <v/>
      </c>
      <c r="V45">
        <f>IF($U45=1,$V44+1,$V44)</f>
        <v/>
      </c>
      <c r="W45">
        <f>IF(검색어="",1,IF(ISNUMBER(SEARCH(검색어,$A45)),1,0))</f>
        <v/>
      </c>
      <c r="X45">
        <f>IF($W45=1,$X44+1,$X44)</f>
        <v/>
      </c>
      <c r="Y45">
        <f>IFERROR(INDEX($A$4:$A$253,MATCH(42,$X$4:$X$253,0)),"")</f>
        <v/>
      </c>
    </row>
    <row r="46">
      <c r="A46" s="93" t="inlineStr">
        <is>
          <t>ACE 미국10년국채액티브</t>
        </is>
      </c>
      <c r="B46" s="93" t="inlineStr">
        <is>
          <t>0085P0</t>
        </is>
      </c>
      <c r="C46" s="93" t="inlineStr">
        <is>
          <t>한국투신운용(ETF)</t>
        </is>
      </c>
      <c r="D46" s="94" t="n">
        <v>9720</v>
      </c>
      <c r="E46" s="94" t="n">
        <v>112752000000</v>
      </c>
      <c r="F46" s="94" t="n">
        <v>1762040462</v>
      </c>
      <c r="G46" s="74" t="n">
        <v>0.0015</v>
      </c>
      <c r="H46" s="74" t="n">
        <v>0.108</v>
      </c>
      <c r="I46" s="74" t="n">
        <v>0.0031</v>
      </c>
      <c r="J46" s="74" t="n">
        <v>0.038683</v>
      </c>
      <c r="K46" s="94" t="n">
        <v>13</v>
      </c>
      <c r="L46" s="95" t="inlineStr">
        <is>
          <t>20260828</t>
        </is>
      </c>
      <c r="M46" s="93" t="inlineStr">
        <is>
          <t>채택</t>
        </is>
      </c>
      <c r="N46" s="93" t="inlineStr"/>
      <c r="O46" s="93" t="inlineStr">
        <is>
          <t>ICE U.S.Treasury 7-10 Year Bond Index</t>
        </is>
      </c>
      <c r="P46" s="93" t="inlineStr">
        <is>
          <t>일반</t>
        </is>
      </c>
      <c r="Q46" s="93" t="inlineStr">
        <is>
          <t>채권</t>
        </is>
      </c>
      <c r="R46" s="93" t="inlineStr">
        <is>
          <t>월배당</t>
        </is>
      </c>
      <c r="S46" s="94" t="n">
        <v>11</v>
      </c>
      <c r="T46" s="74" t="n">
        <v>0.9176</v>
      </c>
      <c r="U46">
        <f>IF(AND($J46&lt;&gt;"",OR(조회_주기="전체",$R46=조회_주기),$J46&gt;=조회_최소,$J46&lt;=조회_최대),1,0)</f>
        <v/>
      </c>
      <c r="V46">
        <f>IF($U46=1,$V45+1,$V45)</f>
        <v/>
      </c>
      <c r="W46">
        <f>IF(검색어="",1,IF(ISNUMBER(SEARCH(검색어,$A46)),1,0))</f>
        <v/>
      </c>
      <c r="X46">
        <f>IF($W46=1,$X45+1,$X45)</f>
        <v/>
      </c>
      <c r="Y46">
        <f>IFERROR(INDEX($A$4:$A$253,MATCH(43,$X$4:$X$253,0)),"")</f>
        <v/>
      </c>
    </row>
    <row r="47">
      <c r="A47" s="93" t="inlineStr">
        <is>
          <t>PLUS 고배당주채권혼합</t>
        </is>
      </c>
      <c r="B47" s="93" t="inlineStr">
        <is>
          <t>251600</t>
        </is>
      </c>
      <c r="C47" s="93" t="inlineStr">
        <is>
          <t>한화자산운용</t>
        </is>
      </c>
      <c r="D47" s="94" t="n">
        <v>15360</v>
      </c>
      <c r="E47" s="94" t="n">
        <v>595968000000</v>
      </c>
      <c r="F47" s="94" t="n">
        <v>3617896131</v>
      </c>
      <c r="G47" s="74" t="n">
        <v>0.002</v>
      </c>
      <c r="H47" s="74" t="n">
        <v>0.1536</v>
      </c>
      <c r="I47" s="74" t="n">
        <v>0.0032</v>
      </c>
      <c r="J47" s="74" t="n">
        <v>0.036979</v>
      </c>
      <c r="K47" s="94" t="n">
        <v>33</v>
      </c>
      <c r="L47" s="95" t="inlineStr">
        <is>
          <t>20260828</t>
        </is>
      </c>
      <c r="M47" s="93" t="inlineStr">
        <is>
          <t>채택</t>
        </is>
      </c>
      <c r="N47" s="93" t="inlineStr"/>
      <c r="O47" s="93" t="inlineStr">
        <is>
          <t>FnGuide 고배당 채권혼합 지수</t>
        </is>
      </c>
      <c r="P47" s="93" t="inlineStr">
        <is>
          <t>일반</t>
        </is>
      </c>
      <c r="Q47" s="93" t="inlineStr">
        <is>
          <t>멀티에셋</t>
        </is>
      </c>
      <c r="R47" s="93" t="inlineStr">
        <is>
          <t>월배당</t>
        </is>
      </c>
      <c r="S47" s="94" t="n">
        <v>11</v>
      </c>
      <c r="T47" s="74" t="n">
        <v>1</v>
      </c>
      <c r="U47">
        <f>IF(AND($J47&lt;&gt;"",OR(조회_주기="전체",$R47=조회_주기),$J47&gt;=조회_최소,$J47&lt;=조회_최대),1,0)</f>
        <v/>
      </c>
      <c r="V47">
        <f>IF($U47=1,$V46+1,$V46)</f>
        <v/>
      </c>
      <c r="W47">
        <f>IF(검색어="",1,IF(ISNUMBER(SEARCH(검색어,$A47)),1,0))</f>
        <v/>
      </c>
      <c r="X47">
        <f>IF($W47=1,$X46+1,$X46)</f>
        <v/>
      </c>
      <c r="Y47">
        <f>IFERROR(INDEX($A$4:$A$253,MATCH(44,$X$4:$X$253,0)),"")</f>
        <v/>
      </c>
    </row>
    <row r="48">
      <c r="A48" s="93" t="inlineStr">
        <is>
          <t>TIGER 은행고배당플러스TOP10</t>
        </is>
      </c>
      <c r="B48" s="93" t="inlineStr">
        <is>
          <t>466940</t>
        </is>
      </c>
      <c r="C48" s="93" t="inlineStr">
        <is>
          <t>미래에셋자산운용</t>
        </is>
      </c>
      <c r="D48" s="94" t="n">
        <v>27145</v>
      </c>
      <c r="E48" s="94" t="n">
        <v>848281250000</v>
      </c>
      <c r="F48" s="94" t="n">
        <v>21534517422</v>
      </c>
      <c r="G48" s="74" t="n">
        <v>0.003</v>
      </c>
      <c r="H48" s="74" t="n">
        <v>0.3336</v>
      </c>
      <c r="I48" s="74" t="n">
        <v>0.0038</v>
      </c>
      <c r="J48" s="74" t="n">
        <v>0.036692</v>
      </c>
      <c r="K48" s="94" t="n">
        <v>32</v>
      </c>
      <c r="L48" s="95" t="inlineStr">
        <is>
          <t>20260828</t>
        </is>
      </c>
      <c r="M48" s="93" t="inlineStr">
        <is>
          <t>채택</t>
        </is>
      </c>
      <c r="N48" s="93" t="inlineStr"/>
      <c r="O48" s="93" t="inlineStr">
        <is>
          <t>FnGuide 은행 고배당 플러스 TOP 10 지수</t>
        </is>
      </c>
      <c r="P48" s="93" t="inlineStr">
        <is>
          <t>일반</t>
        </is>
      </c>
      <c r="Q48" s="93" t="inlineStr">
        <is>
          <t>주식</t>
        </is>
      </c>
      <c r="R48" s="93" t="inlineStr">
        <is>
          <t>월배당</t>
        </is>
      </c>
      <c r="S48" s="94" t="n">
        <v>11</v>
      </c>
      <c r="T48" s="74" t="n">
        <v>0.9739</v>
      </c>
      <c r="U48">
        <f>IF(AND($J48&lt;&gt;"",OR(조회_주기="전체",$R48=조회_주기),$J48&gt;=조회_최소,$J48&lt;=조회_최대),1,0)</f>
        <v/>
      </c>
      <c r="V48">
        <f>IF($U48=1,$V47+1,$V47)</f>
        <v/>
      </c>
      <c r="W48">
        <f>IF(검색어="",1,IF(ISNUMBER(SEARCH(검색어,$A48)),1,0))</f>
        <v/>
      </c>
      <c r="X48">
        <f>IF($W48=1,$X47+1,$X47)</f>
        <v/>
      </c>
      <c r="Y48">
        <f>IFERROR(INDEX($A$4:$A$253,MATCH(45,$X$4:$X$253,0)),"")</f>
        <v/>
      </c>
    </row>
    <row r="49">
      <c r="A49" s="93" t="inlineStr">
        <is>
          <t>KODEX 은행</t>
        </is>
      </c>
      <c r="B49" s="93" t="inlineStr">
        <is>
          <t>091170</t>
        </is>
      </c>
      <c r="C49" s="93" t="inlineStr">
        <is>
          <t>삼성자산운용(ETF)</t>
        </is>
      </c>
      <c r="D49" s="94" t="n">
        <v>16685</v>
      </c>
      <c r="E49" s="94" t="n">
        <v>294490250000</v>
      </c>
      <c r="F49" s="94" t="n">
        <v>25313698311</v>
      </c>
      <c r="G49" s="74" t="n">
        <v>0.003</v>
      </c>
      <c r="H49" s="74" t="n">
        <v>0.3419</v>
      </c>
      <c r="I49" s="74" t="n">
        <v>0.0037</v>
      </c>
      <c r="J49" s="74" t="n">
        <v>0.0365</v>
      </c>
      <c r="K49" s="94" t="n">
        <v>29</v>
      </c>
      <c r="L49" s="95" t="inlineStr">
        <is>
          <t>20260828</t>
        </is>
      </c>
      <c r="M49" s="93" t="inlineStr">
        <is>
          <t>채택</t>
        </is>
      </c>
      <c r="N49" s="93" t="inlineStr"/>
      <c r="O49" s="93" t="inlineStr">
        <is>
          <t>KRX 은행</t>
        </is>
      </c>
      <c r="P49" s="93" t="inlineStr">
        <is>
          <t>일반</t>
        </is>
      </c>
      <c r="Q49" s="93" t="inlineStr">
        <is>
          <t>주식</t>
        </is>
      </c>
      <c r="R49" s="93" t="inlineStr">
        <is>
          <t>월배당</t>
        </is>
      </c>
      <c r="S49" s="94" t="n">
        <v>11</v>
      </c>
      <c r="T49" s="74" t="n">
        <v>0.8998</v>
      </c>
      <c r="U49">
        <f>IF(AND($J49&lt;&gt;"",OR(조회_주기="전체",$R49=조회_주기),$J49&gt;=조회_최소,$J49&lt;=조회_최대),1,0)</f>
        <v/>
      </c>
      <c r="V49">
        <f>IF($U49=1,$V48+1,$V48)</f>
        <v/>
      </c>
      <c r="W49">
        <f>IF(검색어="",1,IF(ISNUMBER(SEARCH(검색어,$A49)),1,0))</f>
        <v/>
      </c>
      <c r="X49">
        <f>IF($W49=1,$X48+1,$X48)</f>
        <v/>
      </c>
      <c r="Y49">
        <f>IFERROR(INDEX($A$4:$A$253,MATCH(46,$X$4:$X$253,0)),"")</f>
        <v/>
      </c>
    </row>
    <row r="50">
      <c r="A50" s="93" t="inlineStr">
        <is>
          <t>TIGER 미국초단기(3개월이하)국채</t>
        </is>
      </c>
      <c r="B50" s="93" t="inlineStr">
        <is>
          <t>0046A0</t>
        </is>
      </c>
      <c r="C50" s="93" t="inlineStr">
        <is>
          <t>미래에셋자산운용</t>
        </is>
      </c>
      <c r="D50" s="94" t="n">
        <v>9575</v>
      </c>
      <c r="E50" s="94" t="n">
        <v>374957000000</v>
      </c>
      <c r="F50" s="94" t="n">
        <v>8148146675</v>
      </c>
      <c r="G50" s="74" t="n">
        <v>0.0009</v>
      </c>
      <c r="H50" s="74" t="n">
        <v>0.1053</v>
      </c>
      <c r="I50" s="74" t="n">
        <v>0.0027</v>
      </c>
      <c r="J50" s="74" t="n">
        <v>0.035927</v>
      </c>
      <c r="K50" s="94" t="n">
        <v>16</v>
      </c>
      <c r="L50" s="95" t="inlineStr">
        <is>
          <t>20260828</t>
        </is>
      </c>
      <c r="M50" s="93" t="inlineStr">
        <is>
          <t>채택</t>
        </is>
      </c>
      <c r="N50" s="93" t="inlineStr"/>
      <c r="O50" s="93" t="inlineStr">
        <is>
          <t>ICE 0-3 Month US Treasury Securities Index</t>
        </is>
      </c>
      <c r="P50" s="93" t="inlineStr">
        <is>
          <t>일반</t>
        </is>
      </c>
      <c r="Q50" s="93" t="inlineStr">
        <is>
          <t>단기자금(파킹형)</t>
        </is>
      </c>
      <c r="R50" s="93" t="inlineStr">
        <is>
          <t>월배당</t>
        </is>
      </c>
      <c r="S50" s="94" t="n">
        <v>11</v>
      </c>
      <c r="T50" s="74" t="n">
        <v>0.8314</v>
      </c>
      <c r="U50">
        <f>IF(AND($J50&lt;&gt;"",OR(조회_주기="전체",$R50=조회_주기),$J50&gt;=조회_최소,$J50&lt;=조회_최대),1,0)</f>
        <v/>
      </c>
      <c r="V50">
        <f>IF($U50=1,$V49+1,$V49)</f>
        <v/>
      </c>
      <c r="W50">
        <f>IF(검색어="",1,IF(ISNUMBER(SEARCH(검색어,$A50)),1,0))</f>
        <v/>
      </c>
      <c r="X50">
        <f>IF($W50=1,$X49+1,$X49)</f>
        <v/>
      </c>
      <c r="Y50">
        <f>IFERROR(INDEX($A$4:$A$253,MATCH(47,$X$4:$X$253,0)),"")</f>
        <v/>
      </c>
    </row>
    <row r="51">
      <c r="A51" s="93" t="inlineStr">
        <is>
          <t>RISE 미국30년국채엔화노출(합성 H)</t>
        </is>
      </c>
      <c r="B51" s="93" t="inlineStr">
        <is>
          <t>472870</t>
        </is>
      </c>
      <c r="C51" s="93" t="inlineStr">
        <is>
          <t>KB자산운용</t>
        </is>
      </c>
      <c r="D51" s="94" t="n">
        <v>6975</v>
      </c>
      <c r="E51" s="94" t="n">
        <v>169143750000</v>
      </c>
      <c r="F51" s="94" t="n">
        <v>1601972165</v>
      </c>
      <c r="G51" s="74" t="n">
        <v>0.0015</v>
      </c>
      <c r="H51" s="74" t="n">
        <v>0.1368</v>
      </c>
      <c r="I51" s="74" t="n">
        <v>0.0024</v>
      </c>
      <c r="J51" s="74" t="n">
        <v>0.034122</v>
      </c>
      <c r="K51" s="94" t="n">
        <v>29</v>
      </c>
      <c r="L51" s="95" t="inlineStr">
        <is>
          <t>20260828</t>
        </is>
      </c>
      <c r="M51" s="93" t="inlineStr">
        <is>
          <t>채택</t>
        </is>
      </c>
      <c r="N51" s="93" t="inlineStr"/>
      <c r="O51" s="93" t="inlineStr">
        <is>
          <t>KIS 미국채 30년 엔화노출 지수(USD/JPY 헤지)</t>
        </is>
      </c>
      <c r="P51" s="93" t="inlineStr">
        <is>
          <t>일반</t>
        </is>
      </c>
      <c r="Q51" s="93" t="inlineStr">
        <is>
          <t>채권</t>
        </is>
      </c>
      <c r="R51" s="93" t="inlineStr">
        <is>
          <t>월배당</t>
        </is>
      </c>
      <c r="S51" s="94" t="n">
        <v>11</v>
      </c>
      <c r="T51" s="74" t="n">
        <v>0</v>
      </c>
      <c r="U51">
        <f>IF(AND($J51&lt;&gt;"",OR(조회_주기="전체",$R51=조회_주기),$J51&gt;=조회_최소,$J51&lt;=조회_최대),1,0)</f>
        <v/>
      </c>
      <c r="V51">
        <f>IF($U51=1,$V50+1,$V50)</f>
        <v/>
      </c>
      <c r="W51">
        <f>IF(검색어="",1,IF(ISNUMBER(SEARCH(검색어,$A51)),1,0))</f>
        <v/>
      </c>
      <c r="X51">
        <f>IF($W51=1,$X50+1,$X50)</f>
        <v/>
      </c>
      <c r="Y51">
        <f>IFERROR(INDEX($A$4:$A$253,MATCH(48,$X$4:$X$253,0)),"")</f>
        <v/>
      </c>
    </row>
    <row r="52">
      <c r="A52" s="93" t="inlineStr">
        <is>
          <t>ACE 미국30년국채엔화노출액티브(H)</t>
        </is>
      </c>
      <c r="B52" s="93" t="inlineStr">
        <is>
          <t>476750</t>
        </is>
      </c>
      <c r="C52" s="93" t="inlineStr">
        <is>
          <t>한국투자신탁운용</t>
        </is>
      </c>
      <c r="D52" s="94" t="n">
        <v>7550</v>
      </c>
      <c r="E52" s="94" t="n">
        <v>61155000000</v>
      </c>
      <c r="F52" s="94" t="n">
        <v>631877768</v>
      </c>
      <c r="G52" s="74" t="n">
        <v>0.0015</v>
      </c>
      <c r="H52" s="74" t="n">
        <v>0.1291</v>
      </c>
      <c r="I52" s="74" t="n">
        <v>0.0029</v>
      </c>
      <c r="J52" s="74" t="n">
        <v>0.03404</v>
      </c>
      <c r="K52" s="94" t="n">
        <v>29</v>
      </c>
      <c r="L52" s="95" t="inlineStr">
        <is>
          <t>20260828</t>
        </is>
      </c>
      <c r="M52" s="93" t="inlineStr">
        <is>
          <t>채택</t>
        </is>
      </c>
      <c r="N52" s="93" t="inlineStr"/>
      <c r="O52" s="93" t="inlineStr">
        <is>
          <t>Bloomberg U.S. Treasury 20+ Year Index T1530 JPY Currency He</t>
        </is>
      </c>
      <c r="P52" s="93" t="inlineStr">
        <is>
          <t>일반</t>
        </is>
      </c>
      <c r="Q52" s="93" t="inlineStr">
        <is>
          <t>채권</t>
        </is>
      </c>
      <c r="R52" s="93" t="inlineStr">
        <is>
          <t>월배당</t>
        </is>
      </c>
      <c r="S52" s="94" t="n">
        <v>11</v>
      </c>
      <c r="T52" s="74" t="n">
        <v>0</v>
      </c>
      <c r="U52">
        <f>IF(AND($J52&lt;&gt;"",OR(조회_주기="전체",$R52=조회_주기),$J52&gt;=조회_최소,$J52&lt;=조회_최대),1,0)</f>
        <v/>
      </c>
      <c r="V52">
        <f>IF($U52=1,$V51+1,$V51)</f>
        <v/>
      </c>
      <c r="W52">
        <f>IF(검색어="",1,IF(ISNUMBER(SEARCH(검색어,$A52)),1,0))</f>
        <v/>
      </c>
      <c r="X52">
        <f>IF($W52=1,$X51+1,$X51)</f>
        <v/>
      </c>
      <c r="Y52">
        <f>IFERROR(INDEX($A$4:$A$253,MATCH(49,$X$4:$X$253,0)),"")</f>
        <v/>
      </c>
    </row>
    <row r="53">
      <c r="A53" s="93" t="inlineStr">
        <is>
          <t>ACE 국고채10년</t>
        </is>
      </c>
      <c r="B53" s="93" t="inlineStr">
        <is>
          <t>365780</t>
        </is>
      </c>
      <c r="C53" s="93" t="inlineStr">
        <is>
          <t>한국투신운용(ETF)</t>
        </is>
      </c>
      <c r="D53" s="94" t="n">
        <v>82010</v>
      </c>
      <c r="E53" s="94" t="n">
        <v>516334960000</v>
      </c>
      <c r="F53" s="94" t="n">
        <v>1026561421</v>
      </c>
      <c r="G53" s="74" t="n">
        <v>0.0002</v>
      </c>
      <c r="H53" s="74" t="n">
        <v>0.0704</v>
      </c>
      <c r="I53" s="74" t="n">
        <v>0.0301</v>
      </c>
      <c r="J53" s="74" t="n">
        <v>0.032557</v>
      </c>
      <c r="K53" s="94" t="n">
        <v>5</v>
      </c>
      <c r="L53" s="95" t="inlineStr">
        <is>
          <t>20251229</t>
        </is>
      </c>
      <c r="M53" s="93" t="inlineStr">
        <is>
          <t>채택</t>
        </is>
      </c>
      <c r="N53" s="93" t="inlineStr"/>
      <c r="O53" s="93" t="inlineStr">
        <is>
          <t>KIS 10Y KTB</t>
        </is>
      </c>
      <c r="P53" s="93" t="inlineStr">
        <is>
          <t>일반</t>
        </is>
      </c>
      <c r="Q53" s="93" t="inlineStr">
        <is>
          <t>채권</t>
        </is>
      </c>
      <c r="R53" s="93" t="inlineStr">
        <is>
          <t>연배당</t>
        </is>
      </c>
      <c r="S53" s="94" t="n">
        <v>1</v>
      </c>
      <c r="T53" s="74" t="n">
        <v>0</v>
      </c>
      <c r="U53">
        <f>IF(AND($J53&lt;&gt;"",OR(조회_주기="전체",$R53=조회_주기),$J53&gt;=조회_최소,$J53&lt;=조회_최대),1,0)</f>
        <v/>
      </c>
      <c r="V53">
        <f>IF($U53=1,$V52+1,$V52)</f>
        <v/>
      </c>
      <c r="W53">
        <f>IF(검색어="",1,IF(ISNUMBER(SEARCH(검색어,$A53)),1,0))</f>
        <v/>
      </c>
      <c r="X53">
        <f>IF($W53=1,$X52+1,$X52)</f>
        <v/>
      </c>
      <c r="Y53">
        <f>IFERROR(INDEX($A$4:$A$253,MATCH(50,$X$4:$X$253,0)),"")</f>
        <v/>
      </c>
    </row>
    <row r="54">
      <c r="A54" s="93" t="inlineStr">
        <is>
          <t>SOL CD금리&amp;머니마켓액티브</t>
        </is>
      </c>
      <c r="B54" s="93" t="inlineStr">
        <is>
          <t>497880</t>
        </is>
      </c>
      <c r="C54" s="93" t="inlineStr">
        <is>
          <t>신한자산운용</t>
        </is>
      </c>
      <c r="D54" s="94" t="n">
        <v>50112</v>
      </c>
      <c r="E54" s="94" t="n">
        <v>290148480000</v>
      </c>
      <c r="F54" s="94" t="n">
        <v>5731947169</v>
      </c>
      <c r="G54" s="74" t="n">
        <v>0.0005</v>
      </c>
      <c r="H54" s="74" t="n">
        <v>0.009000000000000001</v>
      </c>
      <c r="I54" s="74" t="n">
        <v>0.0032</v>
      </c>
      <c r="J54" s="74" t="n">
        <v>0.03113</v>
      </c>
      <c r="K54" s="94" t="n">
        <v>21</v>
      </c>
      <c r="L54" s="95" t="inlineStr">
        <is>
          <t>20260828</t>
        </is>
      </c>
      <c r="M54" s="93" t="inlineStr">
        <is>
          <t>채택</t>
        </is>
      </c>
      <c r="N54" s="93" t="inlineStr"/>
      <c r="O54" s="93" t="inlineStr">
        <is>
          <t>KAP CD &amp; 단기자금시장 지수</t>
        </is>
      </c>
      <c r="P54" s="93" t="inlineStr">
        <is>
          <t>일반</t>
        </is>
      </c>
      <c r="Q54" s="93" t="inlineStr">
        <is>
          <t>단기자금(파킹형)</t>
        </is>
      </c>
      <c r="R54" s="93" t="inlineStr">
        <is>
          <t>월배당</t>
        </is>
      </c>
      <c r="S54" s="94" t="n">
        <v>11</v>
      </c>
      <c r="T54" s="74" t="n">
        <v>1</v>
      </c>
      <c r="U54">
        <f>IF(AND($J54&lt;&gt;"",OR(조회_주기="전체",$R54=조회_주기),$J54&gt;=조회_최소,$J54&lt;=조회_최대),1,0)</f>
        <v/>
      </c>
      <c r="V54">
        <f>IF($U54=1,$V53+1,$V53)</f>
        <v/>
      </c>
      <c r="W54">
        <f>IF(검색어="",1,IF(ISNUMBER(SEARCH(검색어,$A54)),1,0))</f>
        <v/>
      </c>
      <c r="X54">
        <f>IF($W54=1,$X53+1,$X53)</f>
        <v/>
      </c>
      <c r="Y54">
        <f>IFERROR(INDEX($A$4:$A$253,MATCH(51,$X$4:$X$253,0)),"")</f>
        <v/>
      </c>
    </row>
    <row r="55">
      <c r="A55" s="93" t="inlineStr">
        <is>
          <t>SOL 미국배당다우존스</t>
        </is>
      </c>
      <c r="B55" s="93" t="inlineStr">
        <is>
          <t>446720</t>
        </is>
      </c>
      <c r="C55" s="93" t="inlineStr">
        <is>
          <t>신한자산운용</t>
        </is>
      </c>
      <c r="D55" s="94" t="n">
        <v>13570</v>
      </c>
      <c r="E55" s="94" t="n">
        <v>1034034000000</v>
      </c>
      <c r="F55" s="94" t="n">
        <v>4502782635</v>
      </c>
      <c r="G55" s="74" t="n">
        <v>0.0001</v>
      </c>
      <c r="H55" s="74" t="n">
        <v>0.1414</v>
      </c>
      <c r="I55" s="74" t="n">
        <v>0.0019</v>
      </c>
      <c r="J55" s="74" t="n">
        <v>0.029919</v>
      </c>
      <c r="K55" s="94" t="n">
        <v>45</v>
      </c>
      <c r="L55" s="95" t="inlineStr">
        <is>
          <t>20260828</t>
        </is>
      </c>
      <c r="M55" s="93" t="inlineStr">
        <is>
          <t>채택</t>
        </is>
      </c>
      <c r="N55" s="93" t="inlineStr"/>
      <c r="O55" s="93" t="inlineStr">
        <is>
          <t>Dow Jones U.S. Dividend 100 Price Return Index</t>
        </is>
      </c>
      <c r="P55" s="93" t="inlineStr">
        <is>
          <t>일반</t>
        </is>
      </c>
      <c r="Q55" s="93" t="inlineStr">
        <is>
          <t>주식</t>
        </is>
      </c>
      <c r="R55" s="93" t="inlineStr">
        <is>
          <t>월배당</t>
        </is>
      </c>
      <c r="S55" s="94" t="n">
        <v>11</v>
      </c>
      <c r="T55" s="74" t="n">
        <v>1</v>
      </c>
      <c r="U55">
        <f>IF(AND($J55&lt;&gt;"",OR(조회_주기="전체",$R55=조회_주기),$J55&gt;=조회_최소,$J55&lt;=조회_최대),1,0)</f>
        <v/>
      </c>
      <c r="V55">
        <f>IF($U55=1,$V54+1,$V54)</f>
        <v/>
      </c>
      <c r="W55">
        <f>IF(검색어="",1,IF(ISNUMBER(SEARCH(검색어,$A55)),1,0))</f>
        <v/>
      </c>
      <c r="X55">
        <f>IF($W55=1,$X54+1,$X54)</f>
        <v/>
      </c>
      <c r="Y55">
        <f>IFERROR(INDEX($A$4:$A$253,MATCH(52,$X$4:$X$253,0)),"")</f>
        <v/>
      </c>
    </row>
    <row r="56">
      <c r="A56" s="93" t="inlineStr">
        <is>
          <t>KODEX 코리아배당성장채권혼합</t>
        </is>
      </c>
      <c r="B56" s="93" t="inlineStr">
        <is>
          <t>237370</t>
        </is>
      </c>
      <c r="C56" s="93" t="inlineStr">
        <is>
          <t>삼성자산운용(ETF)</t>
        </is>
      </c>
      <c r="D56" s="94" t="n">
        <v>15615</v>
      </c>
      <c r="E56" s="94" t="n">
        <v>162396000000</v>
      </c>
      <c r="F56" s="94" t="n">
        <v>1150412157</v>
      </c>
      <c r="G56" s="74" t="n">
        <v>0.0019</v>
      </c>
      <c r="H56" s="74" t="n">
        <v>0.1083</v>
      </c>
      <c r="I56" s="74" t="n">
        <v>0.003</v>
      </c>
      <c r="J56" s="74" t="n">
        <v>0.029715</v>
      </c>
      <c r="K56" s="94" t="n">
        <v>24</v>
      </c>
      <c r="L56" s="95" t="inlineStr">
        <is>
          <t>20260914</t>
        </is>
      </c>
      <c r="M56" s="93" t="inlineStr">
        <is>
          <t>채택</t>
        </is>
      </c>
      <c r="N56" s="93" t="inlineStr"/>
      <c r="O56" s="93" t="inlineStr">
        <is>
          <t>배당성장채권혼합지수</t>
        </is>
      </c>
      <c r="P56" s="93" t="inlineStr">
        <is>
          <t>일반</t>
        </is>
      </c>
      <c r="Q56" s="93" t="inlineStr">
        <is>
          <t>멀티에셋</t>
        </is>
      </c>
      <c r="R56" s="93" t="inlineStr">
        <is>
          <t>월배당</t>
        </is>
      </c>
      <c r="S56" s="94" t="n">
        <v>12</v>
      </c>
      <c r="T56" s="74" t="n">
        <v>1</v>
      </c>
      <c r="U56">
        <f>IF(AND($J56&lt;&gt;"",OR(조회_주기="전체",$R56=조회_주기),$J56&gt;=조회_최소,$J56&lt;=조회_최대),1,0)</f>
        <v/>
      </c>
      <c r="V56">
        <f>IF($U56=1,$V55+1,$V55)</f>
        <v/>
      </c>
      <c r="W56">
        <f>IF(검색어="",1,IF(ISNUMBER(SEARCH(검색어,$A56)),1,0))</f>
        <v/>
      </c>
      <c r="X56">
        <f>IF($W56=1,$X55+1,$X55)</f>
        <v/>
      </c>
      <c r="Y56">
        <f>IFERROR(INDEX($A$4:$A$253,MATCH(53,$X$4:$X$253,0)),"")</f>
        <v/>
      </c>
    </row>
    <row r="57">
      <c r="A57" s="93" t="inlineStr">
        <is>
          <t>SOL 미국배당미국채혼합50</t>
        </is>
      </c>
      <c r="B57" s="93" t="inlineStr">
        <is>
          <t>490490</t>
        </is>
      </c>
      <c r="C57" s="93" t="inlineStr">
        <is>
          <t>신한자산운용</t>
        </is>
      </c>
      <c r="D57" s="94" t="n">
        <v>10910</v>
      </c>
      <c r="E57" s="94" t="n">
        <v>471312000000</v>
      </c>
      <c r="F57" s="94" t="n">
        <v>2646256797</v>
      </c>
      <c r="G57" s="74" t="n">
        <v>0.0015</v>
      </c>
      <c r="H57" s="74" t="n">
        <v>0.1068</v>
      </c>
      <c r="I57" s="74" t="n">
        <v>0.0026</v>
      </c>
      <c r="J57" s="74" t="n">
        <v>0.029514</v>
      </c>
      <c r="K57" s="94" t="n">
        <v>23</v>
      </c>
      <c r="L57" s="95" t="inlineStr">
        <is>
          <t>20260914</t>
        </is>
      </c>
      <c r="M57" s="93" t="inlineStr">
        <is>
          <t>채택</t>
        </is>
      </c>
      <c r="N57" s="93" t="inlineStr"/>
      <c r="O57" s="93" t="inlineStr">
        <is>
          <t>KRX 다우존스 미국배당국채 혼합지수</t>
        </is>
      </c>
      <c r="P57" s="93" t="inlineStr">
        <is>
          <t>일반</t>
        </is>
      </c>
      <c r="Q57" s="93" t="inlineStr">
        <is>
          <t>멀티에셋</t>
        </is>
      </c>
      <c r="R57" s="93" t="inlineStr">
        <is>
          <t>월배당</t>
        </is>
      </c>
      <c r="S57" s="94" t="n">
        <v>12</v>
      </c>
      <c r="T57" s="74" t="n">
        <v>1</v>
      </c>
      <c r="U57">
        <f>IF(AND($J57&lt;&gt;"",OR(조회_주기="전체",$R57=조회_주기),$J57&gt;=조회_최소,$J57&lt;=조회_최대),1,0)</f>
        <v/>
      </c>
      <c r="V57">
        <f>IF($U57=1,$V56+1,$V56)</f>
        <v/>
      </c>
      <c r="W57">
        <f>IF(검색어="",1,IF(ISNUMBER(SEARCH(검색어,$A57)),1,0))</f>
        <v/>
      </c>
      <c r="X57">
        <f>IF($W57=1,$X56+1,$X56)</f>
        <v/>
      </c>
      <c r="Y57">
        <f>IFERROR(INDEX($A$4:$A$253,MATCH(54,$X$4:$X$253,0)),"")</f>
        <v/>
      </c>
    </row>
    <row r="58">
      <c r="A58" s="93" t="inlineStr">
        <is>
          <t>ACE 미국배당다우존스</t>
        </is>
      </c>
      <c r="B58" s="93" t="inlineStr">
        <is>
          <t>402970</t>
        </is>
      </c>
      <c r="C58" s="93" t="inlineStr">
        <is>
          <t>한국투신운용(ETF)</t>
        </is>
      </c>
      <c r="D58" s="94" t="n">
        <v>15040</v>
      </c>
      <c r="E58" s="94" t="n">
        <v>967072000000</v>
      </c>
      <c r="F58" s="94" t="n">
        <v>4728488371</v>
      </c>
      <c r="G58" s="74" t="n">
        <v>0.0001</v>
      </c>
      <c r="H58" s="74" t="n">
        <v>0.1406</v>
      </c>
      <c r="I58" s="74" t="n">
        <v>0.0024</v>
      </c>
      <c r="J58" s="74" t="n">
        <v>0.029322</v>
      </c>
      <c r="K58" s="94" t="n">
        <v>44</v>
      </c>
      <c r="L58" s="95" t="inlineStr">
        <is>
          <t>20260914</t>
        </is>
      </c>
      <c r="M58" s="93" t="inlineStr">
        <is>
          <t>채택</t>
        </is>
      </c>
      <c r="N58" s="93" t="inlineStr"/>
      <c r="O58" s="93" t="inlineStr">
        <is>
          <t>Dow Jones U.S. Dividend 100 Price Return Index</t>
        </is>
      </c>
      <c r="P58" s="93" t="inlineStr">
        <is>
          <t>일반</t>
        </is>
      </c>
      <c r="Q58" s="93" t="inlineStr">
        <is>
          <t>주식</t>
        </is>
      </c>
      <c r="R58" s="93" t="inlineStr">
        <is>
          <t>월배당</t>
        </is>
      </c>
      <c r="S58" s="94" t="n">
        <v>12</v>
      </c>
      <c r="T58" s="74" t="n">
        <v>1</v>
      </c>
      <c r="U58">
        <f>IF(AND($J58&lt;&gt;"",OR(조회_주기="전체",$R58=조회_주기),$J58&gt;=조회_최소,$J58&lt;=조회_최대),1,0)</f>
        <v/>
      </c>
      <c r="V58">
        <f>IF($U58=1,$V57+1,$V57)</f>
        <v/>
      </c>
      <c r="W58">
        <f>IF(검색어="",1,IF(ISNUMBER(SEARCH(검색어,$A58)),1,0))</f>
        <v/>
      </c>
      <c r="X58">
        <f>IF($W58=1,$X57+1,$X57)</f>
        <v/>
      </c>
      <c r="Y58">
        <f>IFERROR(INDEX($A$4:$A$253,MATCH(55,$X$4:$X$253,0)),"")</f>
        <v/>
      </c>
    </row>
    <row r="59">
      <c r="A59" s="93" t="inlineStr">
        <is>
          <t>TIGER 미국배당다우존스</t>
        </is>
      </c>
      <c r="B59" s="93" t="inlineStr">
        <is>
          <t>458730</t>
        </is>
      </c>
      <c r="C59" s="93" t="inlineStr">
        <is>
          <t>미래에셋자산운용</t>
        </is>
      </c>
      <c r="D59" s="94" t="n">
        <v>14810</v>
      </c>
      <c r="E59" s="94" t="n">
        <v>4335627500000</v>
      </c>
      <c r="F59" s="94" t="n">
        <v>32431323964</v>
      </c>
      <c r="G59" s="74" t="n">
        <v>0.0001</v>
      </c>
      <c r="H59" s="74" t="n">
        <v>0.1415</v>
      </c>
      <c r="I59" s="74" t="n">
        <v>0.002</v>
      </c>
      <c r="J59" s="74" t="n">
        <v>0.029237</v>
      </c>
      <c r="K59" s="94" t="n">
        <v>38</v>
      </c>
      <c r="L59" s="95" t="inlineStr">
        <is>
          <t>20260828</t>
        </is>
      </c>
      <c r="M59" s="93" t="inlineStr">
        <is>
          <t>채택</t>
        </is>
      </c>
      <c r="N59" s="93" t="inlineStr"/>
      <c r="O59" s="93" t="inlineStr">
        <is>
          <t>Dow Jones U.S. Dividend 100 Price Return Index</t>
        </is>
      </c>
      <c r="P59" s="93" t="inlineStr">
        <is>
          <t>일반</t>
        </is>
      </c>
      <c r="Q59" s="93" t="inlineStr">
        <is>
          <t>주식</t>
        </is>
      </c>
      <c r="R59" s="93" t="inlineStr">
        <is>
          <t>월배당</t>
        </is>
      </c>
      <c r="S59" s="94" t="n">
        <v>11</v>
      </c>
      <c r="T59" s="74" t="n">
        <v>1</v>
      </c>
      <c r="U59">
        <f>IF(AND($J59&lt;&gt;"",OR(조회_주기="전체",$R59=조회_주기),$J59&gt;=조회_최소,$J59&lt;=조회_최대),1,0)</f>
        <v/>
      </c>
      <c r="V59">
        <f>IF($U59=1,$V58+1,$V58)</f>
        <v/>
      </c>
      <c r="W59">
        <f>IF(검색어="",1,IF(ISNUMBER(SEARCH(검색어,$A59)),1,0))</f>
        <v/>
      </c>
      <c r="X59">
        <f>IF($W59=1,$X58+1,$X58)</f>
        <v/>
      </c>
      <c r="Y59">
        <f>IFERROR(INDEX($A$4:$A$253,MATCH(56,$X$4:$X$253,0)),"")</f>
        <v/>
      </c>
    </row>
    <row r="60">
      <c r="A60" s="93" t="inlineStr">
        <is>
          <t>KODEX 미국배당다우존스</t>
        </is>
      </c>
      <c r="B60" s="93" t="inlineStr">
        <is>
          <t>489250</t>
        </is>
      </c>
      <c r="C60" s="93" t="inlineStr">
        <is>
          <t>삼성자산운용(ETF)</t>
        </is>
      </c>
      <c r="D60" s="94" t="n">
        <v>12735</v>
      </c>
      <c r="E60" s="94" t="n">
        <v>604912500000</v>
      </c>
      <c r="F60" s="94" t="n">
        <v>5515443611</v>
      </c>
      <c r="G60" s="74" t="n">
        <v>9.900000000000001e-05</v>
      </c>
      <c r="H60" s="74" t="n">
        <v>0.1415</v>
      </c>
      <c r="I60" s="74" t="n">
        <v>0.0019</v>
      </c>
      <c r="J60" s="74" t="n">
        <v>0.028897</v>
      </c>
      <c r="K60" s="94" t="n">
        <v>25</v>
      </c>
      <c r="L60" s="95" t="inlineStr">
        <is>
          <t>20260914</t>
        </is>
      </c>
      <c r="M60" s="93" t="inlineStr">
        <is>
          <t>채택</t>
        </is>
      </c>
      <c r="N60" s="93" t="inlineStr"/>
      <c r="O60" s="93" t="inlineStr">
        <is>
          <t>Dow Jones U.S. Dividend 100 Price Return Index</t>
        </is>
      </c>
      <c r="P60" s="93" t="inlineStr">
        <is>
          <t>일반</t>
        </is>
      </c>
      <c r="Q60" s="93" t="inlineStr">
        <is>
          <t>주식</t>
        </is>
      </c>
      <c r="R60" s="93" t="inlineStr">
        <is>
          <t>월배당</t>
        </is>
      </c>
      <c r="S60" s="94" t="n">
        <v>12</v>
      </c>
      <c r="T60" s="74" t="n">
        <v>1</v>
      </c>
      <c r="U60">
        <f>IF(AND($J60&lt;&gt;"",OR(조회_주기="전체",$R60=조회_주기),$J60&gt;=조회_최소,$J60&lt;=조회_최대),1,0)</f>
        <v/>
      </c>
      <c r="V60">
        <f>IF($U60=1,$V59+1,$V59)</f>
        <v/>
      </c>
      <c r="W60">
        <f>IF(검색어="",1,IF(ISNUMBER(SEARCH(검색어,$A60)),1,0))</f>
        <v/>
      </c>
      <c r="X60">
        <f>IF($W60=1,$X59+1,$X59)</f>
        <v/>
      </c>
      <c r="Y60">
        <f>IFERROR(INDEX($A$4:$A$253,MATCH(57,$X$4:$X$253,0)),"")</f>
        <v/>
      </c>
    </row>
    <row r="61">
      <c r="A61" s="93" t="inlineStr">
        <is>
          <t>KODEX CD1년금리플러스액티브(합성)</t>
        </is>
      </c>
      <c r="B61" s="93" t="inlineStr">
        <is>
          <t>481050</t>
        </is>
      </c>
      <c r="C61" s="93" t="inlineStr">
        <is>
          <t>삼성자산운용(ETF)</t>
        </is>
      </c>
      <c r="D61" s="94" t="n">
        <v>1023390</v>
      </c>
      <c r="E61" s="94" t="n">
        <v>2535653403000</v>
      </c>
      <c r="F61" s="94" t="n">
        <v>24063154060</v>
      </c>
      <c r="G61" s="74" t="n">
        <v>0.0005</v>
      </c>
      <c r="H61" s="74" t="n">
        <v>0.0083</v>
      </c>
      <c r="I61" s="74" t="n">
        <v>0.0027</v>
      </c>
      <c r="J61" s="74" t="n">
        <v>0.028795</v>
      </c>
      <c r="K61" s="94" t="n">
        <v>21</v>
      </c>
      <c r="L61" s="95" t="inlineStr">
        <is>
          <t>20260828</t>
        </is>
      </c>
      <c r="M61" s="93" t="inlineStr">
        <is>
          <t>채택</t>
        </is>
      </c>
      <c r="N61" s="93" t="inlineStr"/>
      <c r="O61" s="93" t="inlineStr">
        <is>
          <t>KAP 1년은행CD+추가금리 지수</t>
        </is>
      </c>
      <c r="P61" s="93" t="inlineStr">
        <is>
          <t>일반</t>
        </is>
      </c>
      <c r="Q61" s="93" t="inlineStr">
        <is>
          <t>단기자금(파킹형)</t>
        </is>
      </c>
      <c r="R61" s="93" t="inlineStr">
        <is>
          <t>월배당</t>
        </is>
      </c>
      <c r="S61" s="94" t="n">
        <v>11</v>
      </c>
      <c r="T61" s="74" t="n">
        <v>1</v>
      </c>
      <c r="U61">
        <f>IF(AND($J61&lt;&gt;"",OR(조회_주기="전체",$R61=조회_주기),$J61&gt;=조회_최소,$J61&lt;=조회_최대),1,0)</f>
        <v/>
      </c>
      <c r="V61">
        <f>IF($U61=1,$V60+1,$V60)</f>
        <v/>
      </c>
      <c r="W61">
        <f>IF(검색어="",1,IF(ISNUMBER(SEARCH(검색어,$A61)),1,0))</f>
        <v/>
      </c>
      <c r="X61">
        <f>IF($W61=1,$X60+1,$X60)</f>
        <v/>
      </c>
      <c r="Y61">
        <f>IFERROR(INDEX($A$4:$A$253,MATCH(58,$X$4:$X$253,0)),"")</f>
        <v/>
      </c>
    </row>
    <row r="62">
      <c r="A62" s="93" t="inlineStr">
        <is>
          <t>SOL 미국배당다우존스(H)</t>
        </is>
      </c>
      <c r="B62" s="93" t="inlineStr">
        <is>
          <t>452360</t>
        </is>
      </c>
      <c r="C62" s="93" t="inlineStr">
        <is>
          <t>신한자산운용</t>
        </is>
      </c>
      <c r="D62" s="94" t="n">
        <v>13225</v>
      </c>
      <c r="E62" s="94" t="n">
        <v>226147500000</v>
      </c>
      <c r="F62" s="94" t="n">
        <v>1898613332</v>
      </c>
      <c r="G62" s="74" t="n">
        <v>0.0005</v>
      </c>
      <c r="H62" s="74" t="n">
        <v>0.1107</v>
      </c>
      <c r="I62" s="74" t="n">
        <v>0.0019</v>
      </c>
      <c r="J62" s="74" t="n">
        <v>0.028204</v>
      </c>
      <c r="K62" s="94" t="n">
        <v>41</v>
      </c>
      <c r="L62" s="95" t="inlineStr">
        <is>
          <t>20260828</t>
        </is>
      </c>
      <c r="M62" s="93" t="inlineStr">
        <is>
          <t>채택</t>
        </is>
      </c>
      <c r="N62" s="93" t="inlineStr"/>
      <c r="O62" s="93" t="inlineStr">
        <is>
          <t>Dow Jones U.S. Dividend 100 Price Return Index</t>
        </is>
      </c>
      <c r="P62" s="93" t="inlineStr">
        <is>
          <t>일반</t>
        </is>
      </c>
      <c r="Q62" s="93" t="inlineStr">
        <is>
          <t>주식</t>
        </is>
      </c>
      <c r="R62" s="93" t="inlineStr">
        <is>
          <t>월배당</t>
        </is>
      </c>
      <c r="S62" s="94" t="n">
        <v>11</v>
      </c>
      <c r="T62" s="74" t="n">
        <v>1</v>
      </c>
      <c r="U62">
        <f>IF(AND($J62&lt;&gt;"",OR(조회_주기="전체",$R62=조회_주기),$J62&gt;=조회_최소,$J62&lt;=조회_최대),1,0)</f>
        <v/>
      </c>
      <c r="V62">
        <f>IF($U62=1,$V61+1,$V61)</f>
        <v/>
      </c>
      <c r="W62">
        <f>IF(검색어="",1,IF(ISNUMBER(SEARCH(검색어,$A62)),1,0))</f>
        <v/>
      </c>
      <c r="X62">
        <f>IF($W62=1,$X61+1,$X61)</f>
        <v/>
      </c>
      <c r="Y62">
        <f>IFERROR(INDEX($A$4:$A$253,MATCH(59,$X$4:$X$253,0)),"")</f>
        <v/>
      </c>
    </row>
    <row r="63">
      <c r="A63" s="93" t="inlineStr">
        <is>
          <t>TIGER CD금리플러스액티브(합성)</t>
        </is>
      </c>
      <c r="B63" s="93" t="inlineStr">
        <is>
          <t>499660</t>
        </is>
      </c>
      <c r="C63" s="93" t="inlineStr">
        <is>
          <t>미래에셋자산운용</t>
        </is>
      </c>
      <c r="D63" s="94" t="n">
        <v>1002127</v>
      </c>
      <c r="E63" s="94" t="n">
        <v>450456086500</v>
      </c>
      <c r="F63" s="94" t="n">
        <v>13002083791</v>
      </c>
      <c r="G63" s="74" t="n">
        <v>9.8e-05</v>
      </c>
      <c r="H63" s="74" t="n">
        <v>0.008100000000000001</v>
      </c>
      <c r="I63" s="74" t="n">
        <v>0.0024</v>
      </c>
      <c r="J63" s="74" t="n">
        <v>0.02815</v>
      </c>
      <c r="K63" s="94" t="n">
        <v>21</v>
      </c>
      <c r="L63" s="95" t="inlineStr">
        <is>
          <t>20260828</t>
        </is>
      </c>
      <c r="M63" s="93" t="inlineStr">
        <is>
          <t>채택</t>
        </is>
      </c>
      <c r="N63" s="93" t="inlineStr"/>
      <c r="O63" s="93" t="inlineStr">
        <is>
          <t>KIS CD+CPI연동금리 월분배 지수(PR지수)</t>
        </is>
      </c>
      <c r="P63" s="93" t="inlineStr">
        <is>
          <t>일반</t>
        </is>
      </c>
      <c r="Q63" s="93" t="inlineStr">
        <is>
          <t>단기자금(파킹형)</t>
        </is>
      </c>
      <c r="R63" s="93" t="inlineStr">
        <is>
          <t>월배당</t>
        </is>
      </c>
      <c r="S63" s="94" t="n">
        <v>11</v>
      </c>
      <c r="T63" s="74" t="n">
        <v>0.9948</v>
      </c>
      <c r="U63">
        <f>IF(AND($J63&lt;&gt;"",OR(조회_주기="전체",$R63=조회_주기),$J63&gt;=조회_최소,$J63&lt;=조회_최대),1,0)</f>
        <v/>
      </c>
      <c r="V63">
        <f>IF($U63=1,$V62+1,$V62)</f>
        <v/>
      </c>
      <c r="W63">
        <f>IF(검색어="",1,IF(ISNUMBER(SEARCH(검색어,$A63)),1,0))</f>
        <v/>
      </c>
      <c r="X63">
        <f>IF($W63=1,$X62+1,$X62)</f>
        <v/>
      </c>
      <c r="Y63">
        <f>IFERROR(INDEX($A$4:$A$253,MATCH(60,$X$4:$X$253,0)),"")</f>
        <v/>
      </c>
    </row>
    <row r="64">
      <c r="A64" s="93" t="inlineStr">
        <is>
          <t>KODEX CD금리액티브(합성)</t>
        </is>
      </c>
      <c r="B64" s="93" t="inlineStr">
        <is>
          <t>459580</t>
        </is>
      </c>
      <c r="C64" s="93" t="inlineStr">
        <is>
          <t>삼성자산운용(ETF)</t>
        </is>
      </c>
      <c r="D64" s="94" t="n">
        <v>1075235</v>
      </c>
      <c r="E64" s="94" t="n">
        <v>6848709332500</v>
      </c>
      <c r="F64" s="94" t="n">
        <v>518403878379</v>
      </c>
      <c r="G64" s="74" t="n">
        <v>0.0002</v>
      </c>
      <c r="H64" s="74" t="n">
        <v>0.007900000000000001</v>
      </c>
      <c r="I64" s="74" t="n">
        <v>0.0026</v>
      </c>
      <c r="J64" s="74" t="n">
        <v>0.027513</v>
      </c>
      <c r="K64" s="94" t="n">
        <v>14</v>
      </c>
      <c r="L64" s="95" t="inlineStr">
        <is>
          <t>20260828</t>
        </is>
      </c>
      <c r="M64" s="93" t="inlineStr">
        <is>
          <t>채택</t>
        </is>
      </c>
      <c r="N64" s="93" t="inlineStr"/>
      <c r="O64" s="93" t="inlineStr">
        <is>
          <t>KAP 양도성예금증서(CD) 금리 지수</t>
        </is>
      </c>
      <c r="P64" s="93" t="inlineStr">
        <is>
          <t>일반</t>
        </is>
      </c>
      <c r="Q64" s="93" t="inlineStr">
        <is>
          <t>단기자금(파킹형)</t>
        </is>
      </c>
      <c r="R64" s="93" t="inlineStr">
        <is>
          <t>월배당</t>
        </is>
      </c>
      <c r="S64" s="94" t="n">
        <v>11</v>
      </c>
      <c r="T64" s="74" t="n">
        <v>1</v>
      </c>
      <c r="U64">
        <f>IF(AND($J64&lt;&gt;"",OR(조회_주기="전체",$R64=조회_주기),$J64&gt;=조회_최소,$J64&lt;=조회_최대),1,0)</f>
        <v/>
      </c>
      <c r="V64">
        <f>IF($U64=1,$V63+1,$V63)</f>
        <v/>
      </c>
      <c r="W64">
        <f>IF(검색어="",1,IF(ISNUMBER(SEARCH(검색어,$A64)),1,0))</f>
        <v/>
      </c>
      <c r="X64">
        <f>IF($W64=1,$X63+1,$X63)</f>
        <v/>
      </c>
      <c r="Y64">
        <f>IFERROR(INDEX($A$4:$A$253,MATCH(61,$X$4:$X$253,0)),"")</f>
        <v/>
      </c>
    </row>
    <row r="65">
      <c r="A65" s="93" t="inlineStr">
        <is>
          <t>RISE 중기우량회사채</t>
        </is>
      </c>
      <c r="B65" s="93" t="inlineStr">
        <is>
          <t>136340</t>
        </is>
      </c>
      <c r="C65" s="93" t="inlineStr">
        <is>
          <t>KB자산운용</t>
        </is>
      </c>
      <c r="D65" s="94" t="n">
        <v>103975</v>
      </c>
      <c r="E65" s="94" t="n">
        <v>298824150000</v>
      </c>
      <c r="F65" s="94" t="n">
        <v>586688179</v>
      </c>
      <c r="G65" s="74" t="n">
        <v>0.0007000000000000001</v>
      </c>
      <c r="H65" s="74" t="n">
        <v>0.0212</v>
      </c>
      <c r="I65" s="74" t="n">
        <v>0.0012</v>
      </c>
      <c r="J65" s="74" t="n">
        <v>0.027199</v>
      </c>
      <c r="K65" s="94" t="n">
        <v>45</v>
      </c>
      <c r="L65" s="95" t="inlineStr">
        <is>
          <t>20260828</t>
        </is>
      </c>
      <c r="M65" s="93" t="inlineStr">
        <is>
          <t>채택</t>
        </is>
      </c>
      <c r="N65" s="93" t="inlineStr"/>
      <c r="O65" s="93" t="inlineStr">
        <is>
          <t>KOBI Credit</t>
        </is>
      </c>
      <c r="P65" s="93" t="inlineStr">
        <is>
          <t>일반</t>
        </is>
      </c>
      <c r="Q65" s="93" t="inlineStr">
        <is>
          <t>채권</t>
        </is>
      </c>
      <c r="R65" s="93" t="inlineStr">
        <is>
          <t>월배당</t>
        </is>
      </c>
      <c r="S65" s="94" t="n">
        <v>11</v>
      </c>
      <c r="T65" s="74" t="n">
        <v>1</v>
      </c>
      <c r="U65">
        <f>IF(AND($J65&lt;&gt;"",OR(조회_주기="전체",$R65=조회_주기),$J65&gt;=조회_최소,$J65&lt;=조회_최대),1,0)</f>
        <v/>
      </c>
      <c r="V65">
        <f>IF($U65=1,$V64+1,$V64)</f>
        <v/>
      </c>
      <c r="W65">
        <f>IF(검색어="",1,IF(ISNUMBER(SEARCH(검색어,$A65)),1,0))</f>
        <v/>
      </c>
      <c r="X65">
        <f>IF($W65=1,$X64+1,$X64)</f>
        <v/>
      </c>
      <c r="Y65">
        <f>IFERROR(INDEX($A$4:$A$253,MATCH(62,$X$4:$X$253,0)),"")</f>
        <v/>
      </c>
    </row>
    <row r="66">
      <c r="A66" s="93" t="inlineStr">
        <is>
          <t>KODEX 단기채권PLUS</t>
        </is>
      </c>
      <c r="B66" s="93" t="inlineStr">
        <is>
          <t>214980</t>
        </is>
      </c>
      <c r="C66" s="93" t="inlineStr">
        <is>
          <t>삼성자산운용(ETF)</t>
        </is>
      </c>
      <c r="D66" s="94" t="n">
        <v>114425</v>
      </c>
      <c r="E66" s="94" t="n">
        <v>1827939375000</v>
      </c>
      <c r="F66" s="94" t="n">
        <v>3757333594</v>
      </c>
      <c r="G66" s="74" t="n">
        <v>0.0015</v>
      </c>
      <c r="H66" s="74" t="n">
        <v>0.0083</v>
      </c>
      <c r="I66" s="74" t="n">
        <v>0.0025</v>
      </c>
      <c r="J66" s="74" t="n">
        <v>0.026961</v>
      </c>
      <c r="K66" s="94" t="n">
        <v>14</v>
      </c>
      <c r="L66" s="95" t="inlineStr">
        <is>
          <t>20260914</t>
        </is>
      </c>
      <c r="M66" s="93" t="inlineStr">
        <is>
          <t>채택</t>
        </is>
      </c>
      <c r="N66" s="93" t="inlineStr"/>
      <c r="O66" s="93" t="inlineStr">
        <is>
          <t>KRW Cash+PLUS Index</t>
        </is>
      </c>
      <c r="P66" s="93" t="inlineStr">
        <is>
          <t>일반</t>
        </is>
      </c>
      <c r="Q66" s="93" t="inlineStr">
        <is>
          <t>채권</t>
        </is>
      </c>
      <c r="R66" s="93" t="inlineStr">
        <is>
          <t>월배당</t>
        </is>
      </c>
      <c r="S66" s="94" t="n">
        <v>12</v>
      </c>
      <c r="T66" s="74" t="n">
        <v>1</v>
      </c>
      <c r="U66">
        <f>IF(AND($J66&lt;&gt;"",OR(조회_주기="전체",$R66=조회_주기),$J66&gt;=조회_최소,$J66&lt;=조회_최대),1,0)</f>
        <v/>
      </c>
      <c r="V66">
        <f>IF($U66=1,$V65+1,$V65)</f>
        <v/>
      </c>
      <c r="W66">
        <f>IF(검색어="",1,IF(ISNUMBER(SEARCH(검색어,$A66)),1,0))</f>
        <v/>
      </c>
      <c r="X66">
        <f>IF($W66=1,$X65+1,$X65)</f>
        <v/>
      </c>
      <c r="Y66">
        <f>IFERROR(INDEX($A$4:$A$253,MATCH(63,$X$4:$X$253,0)),"")</f>
        <v/>
      </c>
    </row>
    <row r="67">
      <c r="A67" s="93" t="inlineStr">
        <is>
          <t>KODEX 코리아배당성장</t>
        </is>
      </c>
      <c r="B67" s="93" t="inlineStr">
        <is>
          <t>211900</t>
        </is>
      </c>
      <c r="C67" s="93" t="inlineStr">
        <is>
          <t>삼성자산운용(ETF)</t>
        </is>
      </c>
      <c r="D67" s="94" t="n">
        <v>27970</v>
      </c>
      <c r="E67" s="94" t="n">
        <v>90902500000</v>
      </c>
      <c r="F67" s="94" t="n">
        <v>521162100</v>
      </c>
      <c r="G67" s="74" t="n">
        <v>0.0015</v>
      </c>
      <c r="H67" s="74" t="n">
        <v>0.3451</v>
      </c>
      <c r="I67" s="74" t="n">
        <v>0.0009</v>
      </c>
      <c r="J67" s="74" t="n">
        <v>0.026564</v>
      </c>
      <c r="K67" s="94" t="n">
        <v>16</v>
      </c>
      <c r="L67" s="95" t="inlineStr">
        <is>
          <t>20260828</t>
        </is>
      </c>
      <c r="M67" s="93" t="inlineStr">
        <is>
          <t>채택</t>
        </is>
      </c>
      <c r="N67" s="93" t="inlineStr"/>
      <c r="O67" s="93" t="inlineStr">
        <is>
          <t>코스피 배당성장 50</t>
        </is>
      </c>
      <c r="P67" s="93" t="inlineStr">
        <is>
          <t>일반</t>
        </is>
      </c>
      <c r="Q67" s="93" t="inlineStr">
        <is>
          <t>주식</t>
        </is>
      </c>
      <c r="R67" s="93" t="inlineStr">
        <is>
          <t>월배당</t>
        </is>
      </c>
      <c r="S67" s="94" t="n">
        <v>11</v>
      </c>
      <c r="T67" s="74" t="n">
        <v>1</v>
      </c>
      <c r="U67">
        <f>IF(AND($J67&lt;&gt;"",OR(조회_주기="전체",$R67=조회_주기),$J67&gt;=조회_최소,$J67&lt;=조회_최대),1,0)</f>
        <v/>
      </c>
      <c r="V67">
        <f>IF($U67=1,$V66+1,$V66)</f>
        <v/>
      </c>
      <c r="W67">
        <f>IF(검색어="",1,IF(ISNUMBER(SEARCH(검색어,$A67)),1,0))</f>
        <v/>
      </c>
      <c r="X67">
        <f>IF($W67=1,$X66+1,$X66)</f>
        <v/>
      </c>
      <c r="Y67">
        <f>IFERROR(INDEX($A$4:$A$253,MATCH(64,$X$4:$X$253,0)),"")</f>
        <v/>
      </c>
    </row>
    <row r="68">
      <c r="A68" s="93" t="inlineStr">
        <is>
          <t>KODEX KOFR금리액티브(합성)</t>
        </is>
      </c>
      <c r="B68" s="93" t="inlineStr">
        <is>
          <t>423160</t>
        </is>
      </c>
      <c r="C68" s="93" t="inlineStr">
        <is>
          <t>삼성자산운용(ETF)</t>
        </is>
      </c>
      <c r="D68" s="94" t="n">
        <v>110842</v>
      </c>
      <c r="E68" s="94" t="n">
        <v>3634287496000</v>
      </c>
      <c r="F68" s="94" t="n">
        <v>10776839569</v>
      </c>
      <c r="G68" s="74" t="n">
        <v>0.0005</v>
      </c>
      <c r="H68" s="74" t="n">
        <v>0.0075</v>
      </c>
      <c r="I68" s="74" t="n">
        <v>0.0024</v>
      </c>
      <c r="J68" s="74" t="n">
        <v>0.026073</v>
      </c>
      <c r="K68" s="94" t="n">
        <v>14</v>
      </c>
      <c r="L68" s="95" t="inlineStr">
        <is>
          <t>20260828</t>
        </is>
      </c>
      <c r="M68" s="93" t="inlineStr">
        <is>
          <t>채택</t>
        </is>
      </c>
      <c r="N68" s="93" t="inlineStr"/>
      <c r="O68" s="93" t="inlineStr">
        <is>
          <t>KOFR 인덱스</t>
        </is>
      </c>
      <c r="P68" s="93" t="inlineStr">
        <is>
          <t>일반</t>
        </is>
      </c>
      <c r="Q68" s="93" t="inlineStr">
        <is>
          <t>단기자금(파킹형)</t>
        </is>
      </c>
      <c r="R68" s="93" t="inlineStr">
        <is>
          <t>월배당</t>
        </is>
      </c>
      <c r="S68" s="94" t="n">
        <v>11</v>
      </c>
      <c r="T68" s="74" t="n">
        <v>1</v>
      </c>
      <c r="U68">
        <f>IF(AND($J68&lt;&gt;"",OR(조회_주기="전체",$R68=조회_주기),$J68&gt;=조회_최소,$J68&lt;=조회_최대),1,0)</f>
        <v/>
      </c>
      <c r="V68">
        <f>IF($U68=1,$V67+1,$V67)</f>
        <v/>
      </c>
      <c r="W68">
        <f>IF(검색어="",1,IF(ISNUMBER(SEARCH(검색어,$A68)),1,0))</f>
        <v/>
      </c>
      <c r="X68">
        <f>IF($W68=1,$X67+1,$X67)</f>
        <v/>
      </c>
      <c r="Y68">
        <f>IFERROR(INDEX($A$4:$A$253,MATCH(65,$X$4:$X$253,0)),"")</f>
        <v/>
      </c>
    </row>
    <row r="69">
      <c r="A69" s="93" t="inlineStr">
        <is>
          <t>KODEX TRF3070</t>
        </is>
      </c>
      <c r="B69" s="93" t="inlineStr">
        <is>
          <t>329650</t>
        </is>
      </c>
      <c r="C69" s="93" t="inlineStr">
        <is>
          <t>삼성자산운용(ETF)</t>
        </is>
      </c>
      <c r="D69" s="94" t="n">
        <v>14030</v>
      </c>
      <c r="E69" s="94" t="n">
        <v>231495000000</v>
      </c>
      <c r="F69" s="94" t="n">
        <v>662574179</v>
      </c>
      <c r="G69" s="74" t="n">
        <v>0.0024</v>
      </c>
      <c r="H69" s="74" t="n">
        <v>0.0486</v>
      </c>
      <c r="I69" s="74" t="n">
        <v>0.0022</v>
      </c>
      <c r="J69" s="74" t="n">
        <v>0.025873</v>
      </c>
      <c r="K69" s="94" t="n">
        <v>14</v>
      </c>
      <c r="L69" s="95" t="inlineStr">
        <is>
          <t>20260914</t>
        </is>
      </c>
      <c r="M69" s="93" t="inlineStr">
        <is>
          <t>채택</t>
        </is>
      </c>
      <c r="N69" s="93" t="inlineStr"/>
      <c r="O69" s="93" t="inlineStr">
        <is>
          <t>FnGuide TRF 3070 지수</t>
        </is>
      </c>
      <c r="P69" s="93" t="inlineStr">
        <is>
          <t>일반</t>
        </is>
      </c>
      <c r="Q69" s="93" t="inlineStr">
        <is>
          <t>멀티에셋</t>
        </is>
      </c>
      <c r="R69" s="93" t="inlineStr">
        <is>
          <t>월배당</t>
        </is>
      </c>
      <c r="S69" s="94" t="n">
        <v>12</v>
      </c>
      <c r="T69" s="74" t="n">
        <v>1</v>
      </c>
      <c r="U69">
        <f>IF(AND($J69&lt;&gt;"",OR(조회_주기="전체",$R69=조회_주기),$J69&gt;=조회_최소,$J69&lt;=조회_최대),1,0)</f>
        <v/>
      </c>
      <c r="V69">
        <f>IF($U69=1,$V68+1,$V68)</f>
        <v/>
      </c>
      <c r="W69">
        <f>IF(검색어="",1,IF(ISNUMBER(SEARCH(검색어,$A69)),1,0))</f>
        <v/>
      </c>
      <c r="X69">
        <f>IF($W69=1,$X68+1,$X68)</f>
        <v/>
      </c>
      <c r="Y69">
        <f>IFERROR(INDEX($A$4:$A$253,MATCH(66,$X$4:$X$253,0)),"")</f>
        <v/>
      </c>
    </row>
    <row r="70">
      <c r="A70" s="93" t="inlineStr">
        <is>
          <t>KODEX 단기변동금리부채권액티브</t>
        </is>
      </c>
      <c r="B70" s="93" t="inlineStr">
        <is>
          <t>273140</t>
        </is>
      </c>
      <c r="C70" s="93" t="inlineStr">
        <is>
          <t>삼성자산운용(ETF)</t>
        </is>
      </c>
      <c r="D70" s="94" t="n">
        <v>114610</v>
      </c>
      <c r="E70" s="94" t="n">
        <v>279763010000</v>
      </c>
      <c r="F70" s="94" t="n">
        <v>507303058</v>
      </c>
      <c r="G70" s="74" t="n">
        <v>0.0015</v>
      </c>
      <c r="H70" s="74" t="n">
        <v>0.0077</v>
      </c>
      <c r="I70" s="74" t="n">
        <v>0.0023</v>
      </c>
      <c r="J70" s="74" t="n">
        <v>0.02553</v>
      </c>
      <c r="K70" s="94" t="n">
        <v>14</v>
      </c>
      <c r="L70" s="95" t="inlineStr">
        <is>
          <t>20260914</t>
        </is>
      </c>
      <c r="M70" s="93" t="inlineStr">
        <is>
          <t>채택</t>
        </is>
      </c>
      <c r="N70" s="93" t="inlineStr"/>
      <c r="O70" s="93" t="inlineStr">
        <is>
          <t>KAP 단기변동금리부 은행채</t>
        </is>
      </c>
      <c r="P70" s="93" t="inlineStr">
        <is>
          <t>일반</t>
        </is>
      </c>
      <c r="Q70" s="93" t="inlineStr">
        <is>
          <t>채권</t>
        </is>
      </c>
      <c r="R70" s="93" t="inlineStr">
        <is>
          <t>월배당</t>
        </is>
      </c>
      <c r="S70" s="94" t="n">
        <v>12</v>
      </c>
      <c r="T70" s="74" t="n">
        <v>1</v>
      </c>
      <c r="U70">
        <f>IF(AND($J70&lt;&gt;"",OR(조회_주기="전체",$R70=조회_주기),$J70&gt;=조회_최소,$J70&lt;=조회_최대),1,0)</f>
        <v/>
      </c>
      <c r="V70">
        <f>IF($U70=1,$V69+1,$V69)</f>
        <v/>
      </c>
      <c r="W70">
        <f>IF(검색어="",1,IF(ISNUMBER(SEARCH(검색어,$A70)),1,0))</f>
        <v/>
      </c>
      <c r="X70">
        <f>IF($W70=1,$X69+1,$X69)</f>
        <v/>
      </c>
      <c r="Y70">
        <f>IFERROR(INDEX($A$4:$A$253,MATCH(67,$X$4:$X$253,0)),"")</f>
        <v/>
      </c>
    </row>
    <row r="71">
      <c r="A71" s="93" t="inlineStr">
        <is>
          <t>KODEX 단기채권</t>
        </is>
      </c>
      <c r="B71" s="93" t="inlineStr">
        <is>
          <t>153130</t>
        </is>
      </c>
      <c r="C71" s="93" t="inlineStr">
        <is>
          <t>삼성자산운용(ETF)</t>
        </is>
      </c>
      <c r="D71" s="94" t="n">
        <v>113145</v>
      </c>
      <c r="E71" s="94" t="n">
        <v>806950140000</v>
      </c>
      <c r="F71" s="94" t="n">
        <v>3818509782</v>
      </c>
      <c r="G71" s="74" t="n">
        <v>0.0015</v>
      </c>
      <c r="H71" s="74" t="n">
        <v>0.007800000000000001</v>
      </c>
      <c r="I71" s="74" t="n">
        <v>0.0022</v>
      </c>
      <c r="J71" s="74" t="n">
        <v>0.025171</v>
      </c>
      <c r="K71" s="94" t="n">
        <v>14</v>
      </c>
      <c r="L71" s="95" t="inlineStr">
        <is>
          <t>20260914</t>
        </is>
      </c>
      <c r="M71" s="93" t="inlineStr">
        <is>
          <t>채택</t>
        </is>
      </c>
      <c r="N71" s="93" t="inlineStr"/>
      <c r="O71" s="93" t="inlineStr">
        <is>
          <t>KRW Cash Index</t>
        </is>
      </c>
      <c r="P71" s="93" t="inlineStr">
        <is>
          <t>일반</t>
        </is>
      </c>
      <c r="Q71" s="93" t="inlineStr">
        <is>
          <t>채권</t>
        </is>
      </c>
      <c r="R71" s="93" t="inlineStr">
        <is>
          <t>월배당</t>
        </is>
      </c>
      <c r="S71" s="94" t="n">
        <v>12</v>
      </c>
      <c r="T71" s="74" t="n">
        <v>1</v>
      </c>
      <c r="U71">
        <f>IF(AND($J71&lt;&gt;"",OR(조회_주기="전체",$R71=조회_주기),$J71&gt;=조회_최소,$J71&lt;=조회_최대),1,0)</f>
        <v/>
      </c>
      <c r="V71">
        <f>IF($U71=1,$V70+1,$V70)</f>
        <v/>
      </c>
      <c r="W71">
        <f>IF(검색어="",1,IF(ISNUMBER(SEARCH(검색어,$A71)),1,0))</f>
        <v/>
      </c>
      <c r="X71">
        <f>IF($W71=1,$X70+1,$X70)</f>
        <v/>
      </c>
      <c r="Y71">
        <f>IFERROR(INDEX($A$4:$A$253,MATCH(68,$X$4:$X$253,0)),"")</f>
        <v/>
      </c>
    </row>
    <row r="72">
      <c r="A72" s="93" t="inlineStr">
        <is>
          <t>ACE 미국S&amp;P500미국채혼합50액티브</t>
        </is>
      </c>
      <c r="B72" s="93" t="inlineStr">
        <is>
          <t>438080</t>
        </is>
      </c>
      <c r="C72" s="93" t="inlineStr">
        <is>
          <t>한국투자신탁운용</t>
        </is>
      </c>
      <c r="D72" s="94" t="n">
        <v>14025</v>
      </c>
      <c r="E72" s="94" t="n">
        <v>1246822500000</v>
      </c>
      <c r="F72" s="94" t="n">
        <v>6949958570</v>
      </c>
      <c r="G72" s="74" t="n">
        <v>0.0015</v>
      </c>
      <c r="H72" s="74" t="n">
        <v>0.09910000000000001</v>
      </c>
      <c r="I72" s="74" t="n">
        <v>0.0236</v>
      </c>
      <c r="J72" s="74" t="n">
        <v>0.023815</v>
      </c>
      <c r="K72" s="94" t="n">
        <v>1</v>
      </c>
      <c r="L72" s="95" t="inlineStr">
        <is>
          <t>20251229</t>
        </is>
      </c>
      <c r="M72" s="93" t="inlineStr">
        <is>
          <t>채택</t>
        </is>
      </c>
      <c r="N72" s="93" t="inlineStr"/>
      <c r="O72" s="93" t="inlineStr">
        <is>
          <t>S&amp;P 500 and Short-Term Treasury 50/50 Blend Index (USD)</t>
        </is>
      </c>
      <c r="P72" s="93" t="inlineStr">
        <is>
          <t>일반</t>
        </is>
      </c>
      <c r="Q72" s="93" t="inlineStr">
        <is>
          <t>멀티에셋</t>
        </is>
      </c>
      <c r="R72" s="93" t="inlineStr">
        <is>
          <t>연배당</t>
        </is>
      </c>
      <c r="S72" s="94" t="n">
        <v>1</v>
      </c>
      <c r="T72" s="74" t="n">
        <v>1</v>
      </c>
      <c r="U72">
        <f>IF(AND($J72&lt;&gt;"",OR(조회_주기="전체",$R72=조회_주기),$J72&gt;=조회_최소,$J72&lt;=조회_최대),1,0)</f>
        <v/>
      </c>
      <c r="V72">
        <f>IF($U72=1,$V71+1,$V71)</f>
        <v/>
      </c>
      <c r="W72">
        <f>IF(검색어="",1,IF(ISNUMBER(SEARCH(검색어,$A72)),1,0))</f>
        <v/>
      </c>
      <c r="X72">
        <f>IF($W72=1,$X71+1,$X71)</f>
        <v/>
      </c>
      <c r="Y72">
        <f>IFERROR(INDEX($A$4:$A$253,MATCH(69,$X$4:$X$253,0)),"")</f>
        <v/>
      </c>
    </row>
    <row r="73">
      <c r="A73" s="93" t="inlineStr">
        <is>
          <t>SOL 종합채권(AA-이상)액티브</t>
        </is>
      </c>
      <c r="B73" s="93" t="inlineStr">
        <is>
          <t>436140</t>
        </is>
      </c>
      <c r="C73" s="93" t="inlineStr">
        <is>
          <t>신한자산운용</t>
        </is>
      </c>
      <c r="D73" s="94" t="n">
        <v>105760</v>
      </c>
      <c r="E73" s="94" t="n">
        <v>1245006720000</v>
      </c>
      <c r="F73" s="94" t="n">
        <v>1186379997</v>
      </c>
      <c r="G73" s="74" t="n">
        <v>0.0004</v>
      </c>
      <c r="H73" s="74" t="n">
        <v>0.04559999999999999</v>
      </c>
      <c r="I73" s="74" t="n">
        <v>0.0212</v>
      </c>
      <c r="J73" s="74" t="n">
        <v>0.022504</v>
      </c>
      <c r="K73" s="94" t="n">
        <v>1</v>
      </c>
      <c r="L73" s="95" t="inlineStr">
        <is>
          <t>20251212</t>
        </is>
      </c>
      <c r="M73" s="93" t="inlineStr">
        <is>
          <t>채택</t>
        </is>
      </c>
      <c r="N73" s="93" t="inlineStr"/>
      <c r="O73" s="93" t="inlineStr">
        <is>
          <t>KAP K-종합채권지수(AA-이상, 총수익)</t>
        </is>
      </c>
      <c r="P73" s="93" t="inlineStr">
        <is>
          <t>일반</t>
        </is>
      </c>
      <c r="Q73" s="93" t="inlineStr">
        <is>
          <t>채권</t>
        </is>
      </c>
      <c r="R73" s="93" t="inlineStr">
        <is>
          <t>연배당</t>
        </is>
      </c>
      <c r="S73" s="94" t="n">
        <v>1</v>
      </c>
      <c r="T73" s="74" t="n">
        <v>1</v>
      </c>
      <c r="U73">
        <f>IF(AND($J73&lt;&gt;"",OR(조회_주기="전체",$R73=조회_주기),$J73&gt;=조회_최소,$J73&lt;=조회_최대),1,0)</f>
        <v/>
      </c>
      <c r="V73">
        <f>IF($U73=1,$V72+1,$V72)</f>
        <v/>
      </c>
      <c r="W73">
        <f>IF(검색어="",1,IF(ISNUMBER(SEARCH(검색어,$A73)),1,0))</f>
        <v/>
      </c>
      <c r="X73">
        <f>IF($W73=1,$X72+1,$X72)</f>
        <v/>
      </c>
      <c r="Y73">
        <f>IFERROR(INDEX($A$4:$A$253,MATCH(70,$X$4:$X$253,0)),"")</f>
        <v/>
      </c>
    </row>
    <row r="74">
      <c r="A74" s="93" t="inlineStr">
        <is>
          <t>KODEX 삼성전자채권혼합</t>
        </is>
      </c>
      <c r="B74" s="93" t="inlineStr">
        <is>
          <t>448330</t>
        </is>
      </c>
      <c r="C74" s="93" t="inlineStr">
        <is>
          <t>삼성자산운용(ETF)</t>
        </is>
      </c>
      <c r="D74" s="94" t="n">
        <v>17260</v>
      </c>
      <c r="E74" s="94" t="n">
        <v>1275514000000</v>
      </c>
      <c r="F74" s="94" t="n">
        <v>13345361115</v>
      </c>
      <c r="G74" s="74" t="n">
        <v>0.0007000000000000001</v>
      </c>
      <c r="H74" s="74" t="n">
        <v>0.2307</v>
      </c>
      <c r="I74" s="74" t="n">
        <v>0.0021</v>
      </c>
      <c r="J74" s="74" t="n">
        <v>0.020973</v>
      </c>
      <c r="K74" s="94" t="n">
        <v>24</v>
      </c>
      <c r="L74" s="95" t="inlineStr">
        <is>
          <t>20260914</t>
        </is>
      </c>
      <c r="M74" s="93" t="inlineStr">
        <is>
          <t>채택</t>
        </is>
      </c>
      <c r="N74" s="93" t="inlineStr"/>
      <c r="O74" s="93" t="inlineStr">
        <is>
          <t>Wise 삼성전자 채권혼합 지수</t>
        </is>
      </c>
      <c r="P74" s="93" t="inlineStr">
        <is>
          <t>일반</t>
        </is>
      </c>
      <c r="Q74" s="93" t="inlineStr">
        <is>
          <t>멀티에셋</t>
        </is>
      </c>
      <c r="R74" s="93" t="inlineStr">
        <is>
          <t>월배당</t>
        </is>
      </c>
      <c r="S74" s="94" t="n">
        <v>12</v>
      </c>
      <c r="T74" s="74" t="n">
        <v>1</v>
      </c>
      <c r="U74">
        <f>IF(AND($J74&lt;&gt;"",OR(조회_주기="전체",$R74=조회_주기),$J74&gt;=조회_최소,$J74&lt;=조회_최대),1,0)</f>
        <v/>
      </c>
      <c r="V74">
        <f>IF($U74=1,$V73+1,$V73)</f>
        <v/>
      </c>
      <c r="W74">
        <f>IF(검색어="",1,IF(ISNUMBER(SEARCH(검색어,$A74)),1,0))</f>
        <v/>
      </c>
      <c r="X74">
        <f>IF($W74=1,$X73+1,$X73)</f>
        <v/>
      </c>
      <c r="Y74">
        <f>IFERROR(INDEX($A$4:$A$253,MATCH(71,$X$4:$X$253,0)),"")</f>
        <v/>
      </c>
    </row>
    <row r="75">
      <c r="A75" s="93" t="inlineStr">
        <is>
          <t>TIGER 미국S&amp;P500배당귀족</t>
        </is>
      </c>
      <c r="B75" s="93" t="inlineStr">
        <is>
          <t>429000</t>
        </is>
      </c>
      <c r="C75" s="93" t="inlineStr">
        <is>
          <t>미래에셋자산운용</t>
        </is>
      </c>
      <c r="D75" s="94" t="n">
        <v>13092</v>
      </c>
      <c r="E75" s="94" t="n">
        <v>187215600000</v>
      </c>
      <c r="F75" s="94" t="n">
        <v>1337214504</v>
      </c>
      <c r="G75" s="74" t="n">
        <v>0.0025</v>
      </c>
      <c r="H75" s="74" t="n">
        <v>0.1466</v>
      </c>
      <c r="I75" s="74" t="n">
        <v>0.0015</v>
      </c>
      <c r="J75" s="74" t="n">
        <v>0.020929</v>
      </c>
      <c r="K75" s="94" t="n">
        <v>48</v>
      </c>
      <c r="L75" s="95" t="inlineStr">
        <is>
          <t>20260828</t>
        </is>
      </c>
      <c r="M75" s="93" t="inlineStr">
        <is>
          <t>채택</t>
        </is>
      </c>
      <c r="N75" s="93" t="inlineStr"/>
      <c r="O75" s="93" t="inlineStr">
        <is>
          <t>S&amp;P 500 Dividend Aristocrats Index</t>
        </is>
      </c>
      <c r="P75" s="93" t="inlineStr">
        <is>
          <t>일반</t>
        </is>
      </c>
      <c r="Q75" s="93" t="inlineStr">
        <is>
          <t>주식</t>
        </is>
      </c>
      <c r="R75" s="93" t="inlineStr">
        <is>
          <t>월배당</t>
        </is>
      </c>
      <c r="S75" s="94" t="n">
        <v>11</v>
      </c>
      <c r="T75" s="74" t="n">
        <v>1</v>
      </c>
      <c r="U75">
        <f>IF(AND($J75&lt;&gt;"",OR(조회_주기="전체",$R75=조회_주기),$J75&gt;=조회_최소,$J75&lt;=조회_최대),1,0)</f>
        <v/>
      </c>
      <c r="V75">
        <f>IF($U75=1,$V74+1,$V74)</f>
        <v/>
      </c>
      <c r="W75">
        <f>IF(검색어="",1,IF(ISNUMBER(SEARCH(검색어,$A75)),1,0))</f>
        <v/>
      </c>
      <c r="X75">
        <f>IF($W75=1,$X74+1,$X74)</f>
        <v/>
      </c>
      <c r="Y75">
        <f>IFERROR(INDEX($A$4:$A$253,MATCH(72,$X$4:$X$253,0)),"")</f>
        <v/>
      </c>
    </row>
    <row r="76">
      <c r="A76" s="93" t="inlineStr">
        <is>
          <t>KODEX 미국S&amp;P500</t>
        </is>
      </c>
      <c r="B76" s="93" t="inlineStr">
        <is>
          <t>379800</t>
        </is>
      </c>
      <c r="C76" s="93" t="inlineStr">
        <is>
          <t>삼성자산운용(ETF)</t>
        </is>
      </c>
      <c r="D76" s="94" t="n">
        <v>23800</v>
      </c>
      <c r="E76" s="94" t="n">
        <v>10343480000000</v>
      </c>
      <c r="F76" s="94" t="n">
        <v>658769887676</v>
      </c>
      <c r="G76" s="74" t="n">
        <v>6.2e-05</v>
      </c>
      <c r="H76" s="74" t="n">
        <v>0.1472</v>
      </c>
      <c r="I76" s="74" t="n">
        <v>0.0054</v>
      </c>
      <c r="J76" s="74" t="n">
        <v>0.020126</v>
      </c>
      <c r="K76" s="94" t="n">
        <v>6</v>
      </c>
      <c r="L76" s="95" t="inlineStr">
        <is>
          <t>20260730</t>
        </is>
      </c>
      <c r="M76" s="93" t="inlineStr">
        <is>
          <t>채택</t>
        </is>
      </c>
      <c r="N76" s="93" t="inlineStr"/>
      <c r="O76" s="93" t="inlineStr">
        <is>
          <t>S&amp;P 500</t>
        </is>
      </c>
      <c r="P76" s="93" t="inlineStr">
        <is>
          <t>일반</t>
        </is>
      </c>
      <c r="Q76" s="93" t="inlineStr">
        <is>
          <t>주식</t>
        </is>
      </c>
      <c r="R76" s="93" t="inlineStr">
        <is>
          <t>분기배당</t>
        </is>
      </c>
      <c r="S76" s="94" t="n">
        <v>4</v>
      </c>
      <c r="T76" s="74" t="n">
        <v>1</v>
      </c>
      <c r="U76">
        <f>IF(AND($J76&lt;&gt;"",OR(조회_주기="전체",$R76=조회_주기),$J76&gt;=조회_최소,$J76&lt;=조회_최대),1,0)</f>
        <v/>
      </c>
      <c r="V76">
        <f>IF($U76=1,$V75+1,$V75)</f>
        <v/>
      </c>
      <c r="W76">
        <f>IF(검색어="",1,IF(ISNUMBER(SEARCH(검색어,$A76)),1,0))</f>
        <v/>
      </c>
      <c r="X76">
        <f>IF($W76=1,$X75+1,$X75)</f>
        <v/>
      </c>
      <c r="Y76">
        <f>IFERROR(INDEX($A$4:$A$253,MATCH(73,$X$4:$X$253,0)),"")</f>
        <v/>
      </c>
    </row>
    <row r="77">
      <c r="A77" s="93" t="inlineStr">
        <is>
          <t>SOL 미국S&amp;P500미국채혼합50</t>
        </is>
      </c>
      <c r="B77" s="93" t="inlineStr">
        <is>
          <t>0080X0</t>
        </is>
      </c>
      <c r="C77" s="93" t="inlineStr">
        <is>
          <t>신한자산운용</t>
        </is>
      </c>
      <c r="D77" s="94" t="n">
        <v>10865</v>
      </c>
      <c r="E77" s="94" t="n">
        <v>76055000000</v>
      </c>
      <c r="F77" s="94" t="n">
        <v>692258140</v>
      </c>
      <c r="G77" s="74" t="n">
        <v>0.0015</v>
      </c>
      <c r="H77" s="74" t="n">
        <v>0.1092</v>
      </c>
      <c r="I77" s="74" t="n">
        <v>0.0019</v>
      </c>
      <c r="J77" s="74" t="n">
        <v>0.019788</v>
      </c>
      <c r="K77" s="94" t="n">
        <v>13</v>
      </c>
      <c r="L77" s="95" t="inlineStr">
        <is>
          <t>20260914</t>
        </is>
      </c>
      <c r="M77" s="93" t="inlineStr">
        <is>
          <t>채택</t>
        </is>
      </c>
      <c r="N77" s="93" t="inlineStr"/>
      <c r="O77" s="93" t="inlineStr">
        <is>
          <t>S&amp;P 500 and iBoxx $ Treasuries 7-10Y 50/50 Blend Index (USD)</t>
        </is>
      </c>
      <c r="P77" s="93" t="inlineStr">
        <is>
          <t>일반</t>
        </is>
      </c>
      <c r="Q77" s="93" t="inlineStr">
        <is>
          <t>멀티에셋</t>
        </is>
      </c>
      <c r="R77" s="93" t="inlineStr">
        <is>
          <t>월배당</t>
        </is>
      </c>
      <c r="S77" s="94" t="n">
        <v>12</v>
      </c>
      <c r="T77" s="74" t="n">
        <v>1</v>
      </c>
      <c r="U77">
        <f>IF(AND($J77&lt;&gt;"",OR(조회_주기="전체",$R77=조회_주기),$J77&gt;=조회_최소,$J77&lt;=조회_최대),1,0)</f>
        <v/>
      </c>
      <c r="V77">
        <f>IF($U77=1,$V76+1,$V76)</f>
        <v/>
      </c>
      <c r="W77">
        <f>IF(검색어="",1,IF(ISNUMBER(SEARCH(검색어,$A77)),1,0))</f>
        <v/>
      </c>
      <c r="X77">
        <f>IF($W77=1,$X76+1,$X76)</f>
        <v/>
      </c>
      <c r="Y77">
        <f>IFERROR(INDEX($A$4:$A$253,MATCH(74,$X$4:$X$253,0)),"")</f>
        <v/>
      </c>
    </row>
    <row r="78">
      <c r="A78" s="93" t="inlineStr">
        <is>
          <t>ACE 미국나스닥100미국채혼합50액티브</t>
        </is>
      </c>
      <c r="B78" s="93" t="inlineStr">
        <is>
          <t>438100</t>
        </is>
      </c>
      <c r="C78" s="93" t="inlineStr">
        <is>
          <t>한국투자신탁운용</t>
        </is>
      </c>
      <c r="D78" s="94" t="n">
        <v>15182</v>
      </c>
      <c r="E78" s="94" t="n">
        <v>941284000000</v>
      </c>
      <c r="F78" s="94" t="n">
        <v>5146701000</v>
      </c>
      <c r="G78" s="74" t="n">
        <v>0.0015</v>
      </c>
      <c r="H78" s="74" t="n">
        <v>0.1142</v>
      </c>
      <c r="I78" s="74" t="n">
        <v>0.0193</v>
      </c>
      <c r="J78" s="74" t="n">
        <v>0.01897</v>
      </c>
      <c r="K78" s="94" t="n">
        <v>1</v>
      </c>
      <c r="L78" s="95" t="inlineStr">
        <is>
          <t>20251229</t>
        </is>
      </c>
      <c r="M78" s="93" t="inlineStr">
        <is>
          <t>채택</t>
        </is>
      </c>
      <c r="N78" s="93" t="inlineStr"/>
      <c r="O78" s="93" t="inlineStr">
        <is>
          <t>Nasdaq-100 US T-Bills 30/70 Index</t>
        </is>
      </c>
      <c r="P78" s="93" t="inlineStr">
        <is>
          <t>일반</t>
        </is>
      </c>
      <c r="Q78" s="93" t="inlineStr">
        <is>
          <t>멀티에셋</t>
        </is>
      </c>
      <c r="R78" s="93" t="inlineStr">
        <is>
          <t>연배당</t>
        </is>
      </c>
      <c r="S78" s="94" t="n">
        <v>1</v>
      </c>
      <c r="T78" s="74" t="n">
        <v>1</v>
      </c>
      <c r="U78">
        <f>IF(AND($J78&lt;&gt;"",OR(조회_주기="전체",$R78=조회_주기),$J78&gt;=조회_최소,$J78&lt;=조회_최대),1,0)</f>
        <v/>
      </c>
      <c r="V78">
        <f>IF($U78=1,$V77+1,$V77)</f>
        <v/>
      </c>
      <c r="W78">
        <f>IF(검색어="",1,IF(ISNUMBER(SEARCH(검색어,$A78)),1,0))</f>
        <v/>
      </c>
      <c r="X78">
        <f>IF($W78=1,$X77+1,$X77)</f>
        <v/>
      </c>
      <c r="Y78">
        <f>IFERROR(INDEX($A$4:$A$253,MATCH(75,$X$4:$X$253,0)),"")</f>
        <v/>
      </c>
    </row>
    <row r="79">
      <c r="A79" s="93" t="inlineStr">
        <is>
          <t>KODEX 200미국채혼합50</t>
        </is>
      </c>
      <c r="B79" s="93" t="inlineStr">
        <is>
          <t>284430</t>
        </is>
      </c>
      <c r="C79" s="93" t="inlineStr">
        <is>
          <t>삼성자산운용(ETF)</t>
        </is>
      </c>
      <c r="D79" s="94" t="n">
        <v>20825</v>
      </c>
      <c r="E79" s="94" t="n">
        <v>2019192000000</v>
      </c>
      <c r="F79" s="94" t="n">
        <v>21211699143</v>
      </c>
      <c r="G79" s="74" t="n">
        <v>0.0035</v>
      </c>
      <c r="H79" s="74" t="n">
        <v>0.2503</v>
      </c>
      <c r="I79" s="74" t="n">
        <v>0.0013</v>
      </c>
      <c r="J79" s="74" t="n">
        <v>0.016807</v>
      </c>
      <c r="K79" s="94" t="n">
        <v>14</v>
      </c>
      <c r="L79" s="95" t="inlineStr">
        <is>
          <t>20260914</t>
        </is>
      </c>
      <c r="M79" s="93" t="inlineStr">
        <is>
          <t>채택</t>
        </is>
      </c>
      <c r="N79" s="93" t="inlineStr"/>
      <c r="O79" s="93" t="inlineStr">
        <is>
          <t>코스피 200 미국채 혼합지수</t>
        </is>
      </c>
      <c r="P79" s="93" t="inlineStr">
        <is>
          <t>일반</t>
        </is>
      </c>
      <c r="Q79" s="93" t="inlineStr">
        <is>
          <t>멀티에셋</t>
        </is>
      </c>
      <c r="R79" s="93" t="inlineStr">
        <is>
          <t>월배당</t>
        </is>
      </c>
      <c r="S79" s="94" t="n">
        <v>12</v>
      </c>
      <c r="T79" s="74" t="n">
        <v>1</v>
      </c>
      <c r="U79">
        <f>IF(AND($J79&lt;&gt;"",OR(조회_주기="전체",$R79=조회_주기),$J79&gt;=조회_최소,$J79&lt;=조회_최대),1,0)</f>
        <v/>
      </c>
      <c r="V79">
        <f>IF($U79=1,$V78+1,$V78)</f>
        <v/>
      </c>
      <c r="W79">
        <f>IF(검색어="",1,IF(ISNUMBER(SEARCH(검색어,$A79)),1,0))</f>
        <v/>
      </c>
      <c r="X79">
        <f>IF($W79=1,$X78+1,$X78)</f>
        <v/>
      </c>
      <c r="Y79">
        <f>IFERROR(INDEX($A$4:$A$253,MATCH(76,$X$4:$X$253,0)),"")</f>
        <v/>
      </c>
    </row>
    <row r="80">
      <c r="A80" s="93" t="inlineStr">
        <is>
          <t>KODEX TDF2050액티브 적격</t>
        </is>
      </c>
      <c r="B80" s="93" t="inlineStr">
        <is>
          <t>434060</t>
        </is>
      </c>
      <c r="C80" s="93" t="inlineStr">
        <is>
          <t>삼성자산운용(ETF)</t>
        </is>
      </c>
      <c r="D80" s="94" t="n">
        <v>16790</v>
      </c>
      <c r="E80" s="94" t="n">
        <v>634662000000</v>
      </c>
      <c r="F80" s="94" t="n">
        <v>2305369030</v>
      </c>
      <c r="G80" s="74" t="n">
        <v>0.003</v>
      </c>
      <c r="H80" s="74" t="n">
        <v>0.1242</v>
      </c>
      <c r="I80" s="74" t="n">
        <v>0.006999999999999999</v>
      </c>
      <c r="J80" s="74" t="n">
        <v>0.01626</v>
      </c>
      <c r="K80" s="94" t="n">
        <v>11</v>
      </c>
      <c r="L80" s="95" t="inlineStr">
        <is>
          <t>20260730</t>
        </is>
      </c>
      <c r="M80" s="93" t="inlineStr">
        <is>
          <t>채택</t>
        </is>
      </c>
      <c r="N80" s="93" t="inlineStr"/>
      <c r="O80" s="93" t="inlineStr">
        <is>
          <t>Samsung Korea Target Date 2050 Index</t>
        </is>
      </c>
      <c r="P80" s="93" t="inlineStr">
        <is>
          <t>일반</t>
        </is>
      </c>
      <c r="Q80" s="93" t="inlineStr">
        <is>
          <t>멀티에셋</t>
        </is>
      </c>
      <c r="R80" s="93" t="inlineStr">
        <is>
          <t>분기배당</t>
        </is>
      </c>
      <c r="S80" s="94" t="n">
        <v>4</v>
      </c>
      <c r="T80" s="74" t="n">
        <v>1</v>
      </c>
      <c r="U80">
        <f>IF(AND($J80&lt;&gt;"",OR(조회_주기="전체",$R80=조회_주기),$J80&gt;=조회_최소,$J80&lt;=조회_최대),1,0)</f>
        <v/>
      </c>
      <c r="V80">
        <f>IF($U80=1,$V79+1,$V79)</f>
        <v/>
      </c>
      <c r="W80">
        <f>IF(검색어="",1,IF(ISNUMBER(SEARCH(검색어,$A80)),1,0))</f>
        <v/>
      </c>
      <c r="X80">
        <f>IF($W80=1,$X79+1,$X79)</f>
        <v/>
      </c>
      <c r="Y80">
        <f>IFERROR(INDEX($A$4:$A$253,MATCH(77,$X$4:$X$253,0)),"")</f>
        <v/>
      </c>
    </row>
    <row r="81">
      <c r="A81" s="93" t="inlineStr">
        <is>
          <t>KODEX 종합채권(AA-이상)액티브</t>
        </is>
      </c>
      <c r="B81" s="93" t="inlineStr">
        <is>
          <t>273130</t>
        </is>
      </c>
      <c r="C81" s="93" t="inlineStr">
        <is>
          <t>삼성자산운용(ETF)</t>
        </is>
      </c>
      <c r="D81" s="94" t="n">
        <v>109855</v>
      </c>
      <c r="E81" s="94" t="n">
        <v>3517117680000</v>
      </c>
      <c r="F81" s="94" t="n">
        <v>3366129380</v>
      </c>
      <c r="G81" s="74" t="n">
        <v>0.00045</v>
      </c>
      <c r="H81" s="74" t="n">
        <v>0.04099999999999999</v>
      </c>
      <c r="I81" s="74" t="n">
        <v>0.0149</v>
      </c>
      <c r="J81" s="74" t="n">
        <v>0.015721</v>
      </c>
      <c r="K81" s="94" t="n">
        <v>1</v>
      </c>
      <c r="L81" s="95" t="inlineStr">
        <is>
          <t>20251212</t>
        </is>
      </c>
      <c r="M81" s="93" t="inlineStr">
        <is>
          <t>채택</t>
        </is>
      </c>
      <c r="N81" s="93" t="inlineStr"/>
      <c r="O81" s="93" t="inlineStr">
        <is>
          <t>KAP 한국종합채권</t>
        </is>
      </c>
      <c r="P81" s="93" t="inlineStr">
        <is>
          <t>일반</t>
        </is>
      </c>
      <c r="Q81" s="93" t="inlineStr">
        <is>
          <t>채권</t>
        </is>
      </c>
      <c r="R81" s="93" t="inlineStr">
        <is>
          <t>연배당</t>
        </is>
      </c>
      <c r="S81" s="94" t="n">
        <v>1</v>
      </c>
      <c r="T81" s="74" t="n">
        <v>1</v>
      </c>
      <c r="U81">
        <f>IF(AND($J81&lt;&gt;"",OR(조회_주기="전체",$R81=조회_주기),$J81&gt;=조회_최소,$J81&lt;=조회_최대),1,0)</f>
        <v/>
      </c>
      <c r="V81">
        <f>IF($U81=1,$V80+1,$V80)</f>
        <v/>
      </c>
      <c r="W81">
        <f>IF(검색어="",1,IF(ISNUMBER(SEARCH(검색어,$A81)),1,0))</f>
        <v/>
      </c>
      <c r="X81">
        <f>IF($W81=1,$X80+1,$X80)</f>
        <v/>
      </c>
      <c r="Y81">
        <f>IFERROR(INDEX($A$4:$A$253,MATCH(78,$X$4:$X$253,0)),"")</f>
        <v/>
      </c>
    </row>
    <row r="82">
      <c r="A82" s="93" t="inlineStr">
        <is>
          <t>SOL 초단기채권액티브</t>
        </is>
      </c>
      <c r="B82" s="93" t="inlineStr">
        <is>
          <t>469830</t>
        </is>
      </c>
      <c r="C82" s="93" t="inlineStr">
        <is>
          <t>신한자산운용</t>
        </is>
      </c>
      <c r="D82" s="94" t="n">
        <v>54470</v>
      </c>
      <c r="E82" s="94" t="n">
        <v>1042991560000</v>
      </c>
      <c r="F82" s="94" t="n">
        <v>11992893726</v>
      </c>
      <c r="G82" s="74" t="n">
        <v>0.0005</v>
      </c>
      <c r="H82" s="74" t="n">
        <v>0.0161</v>
      </c>
      <c r="I82" s="74" t="n">
        <v>0.0158</v>
      </c>
      <c r="J82" s="74" t="n">
        <v>0.015605</v>
      </c>
      <c r="K82" s="94" t="n">
        <v>1</v>
      </c>
      <c r="L82" s="95" t="inlineStr">
        <is>
          <t>20251212</t>
        </is>
      </c>
      <c r="M82" s="93" t="inlineStr">
        <is>
          <t>채택</t>
        </is>
      </c>
      <c r="N82" s="93" t="inlineStr"/>
      <c r="O82" s="93" t="inlineStr">
        <is>
          <t>KAP 단기자금시장 지수</t>
        </is>
      </c>
      <c r="P82" s="93" t="inlineStr">
        <is>
          <t>일반</t>
        </is>
      </c>
      <c r="Q82" s="93" t="inlineStr">
        <is>
          <t>단기자금(파킹형)</t>
        </is>
      </c>
      <c r="R82" s="93" t="inlineStr">
        <is>
          <t>연배당</t>
        </is>
      </c>
      <c r="S82" s="94" t="n">
        <v>1</v>
      </c>
      <c r="T82" s="74" t="n">
        <v>1</v>
      </c>
      <c r="U82">
        <f>IF(AND($J82&lt;&gt;"",OR(조회_주기="전체",$R82=조회_주기),$J82&gt;=조회_최소,$J82&lt;=조회_최대),1,0)</f>
        <v/>
      </c>
      <c r="V82">
        <f>IF($U82=1,$V81+1,$V81)</f>
        <v/>
      </c>
      <c r="W82">
        <f>IF(검색어="",1,IF(ISNUMBER(SEARCH(검색어,$A82)),1,0))</f>
        <v/>
      </c>
      <c r="X82">
        <f>IF($W82=1,$X81+1,$X81)</f>
        <v/>
      </c>
      <c r="Y82">
        <f>IFERROR(INDEX($A$4:$A$253,MATCH(79,$X$4:$X$253,0)),"")</f>
        <v/>
      </c>
    </row>
    <row r="83">
      <c r="A83" s="93" t="inlineStr">
        <is>
          <t>PLUS 미국S&amp;P500미국채혼합50액티브</t>
        </is>
      </c>
      <c r="B83" s="93" t="inlineStr">
        <is>
          <t>0057H0</t>
        </is>
      </c>
      <c r="C83" s="93" t="inlineStr">
        <is>
          <t>한화자산운용</t>
        </is>
      </c>
      <c r="D83" s="94" t="n">
        <v>11655</v>
      </c>
      <c r="E83" s="94" t="n">
        <v>79254000000</v>
      </c>
      <c r="F83" s="94" t="n">
        <v>1021012991</v>
      </c>
      <c r="G83" s="74" t="n">
        <v>0.0015</v>
      </c>
      <c r="H83" s="74" t="n">
        <v>0.1018</v>
      </c>
      <c r="I83" s="74" t="n">
        <v>0.001</v>
      </c>
      <c r="J83" s="74" t="n">
        <v>0.015358</v>
      </c>
      <c r="K83" s="94" t="n">
        <v>10</v>
      </c>
      <c r="L83" s="95" t="inlineStr">
        <is>
          <t>20260828</t>
        </is>
      </c>
      <c r="M83" s="93" t="inlineStr">
        <is>
          <t>채택</t>
        </is>
      </c>
      <c r="N83" s="93" t="inlineStr"/>
      <c r="O83" s="93" t="inlineStr">
        <is>
          <t>S&amp;P500 and U.S. Treasury Bill 0-3 Month 50/50 Blend Index (U</t>
        </is>
      </c>
      <c r="P83" s="93" t="inlineStr">
        <is>
          <t>일반</t>
        </is>
      </c>
      <c r="Q83" s="93" t="inlineStr">
        <is>
          <t>멀티에셋</t>
        </is>
      </c>
      <c r="R83" s="93" t="inlineStr">
        <is>
          <t>월배당</t>
        </is>
      </c>
      <c r="S83" s="94" t="n">
        <v>10</v>
      </c>
      <c r="T83" s="74" t="n">
        <v>1</v>
      </c>
      <c r="U83">
        <f>IF(AND($J83&lt;&gt;"",OR(조회_주기="전체",$R83=조회_주기),$J83&gt;=조회_최소,$J83&lt;=조회_최대),1,0)</f>
        <v/>
      </c>
      <c r="V83">
        <f>IF($U83=1,$V82+1,$V82)</f>
        <v/>
      </c>
      <c r="W83">
        <f>IF(검색어="",1,IF(ISNUMBER(SEARCH(검색어,$A83)),1,0))</f>
        <v/>
      </c>
      <c r="X83">
        <f>IF($W83=1,$X82+1,$X82)</f>
        <v/>
      </c>
      <c r="Y83">
        <f>IFERROR(INDEX($A$4:$A$253,MATCH(80,$X$4:$X$253,0)),"")</f>
        <v/>
      </c>
    </row>
    <row r="84">
      <c r="A84" s="93" t="inlineStr">
        <is>
          <t>TIGER 차이나전기차SOLACTIVE</t>
        </is>
      </c>
      <c r="B84" s="93" t="inlineStr">
        <is>
          <t>371460</t>
        </is>
      </c>
      <c r="C84" s="93" t="inlineStr">
        <is>
          <t>미래에셋자산운용</t>
        </is>
      </c>
      <c r="D84" s="94" t="n">
        <v>9400</v>
      </c>
      <c r="E84" s="94" t="n">
        <v>674920000000</v>
      </c>
      <c r="F84" s="94" t="n">
        <v>2460824800</v>
      </c>
      <c r="G84" s="74" t="n">
        <v>0.0049</v>
      </c>
      <c r="H84" s="74" t="n">
        <v>0.2927</v>
      </c>
      <c r="I84" s="74" t="n">
        <v>0.011</v>
      </c>
      <c r="J84" s="74" t="n">
        <v>0.014894</v>
      </c>
      <c r="K84" s="94" t="n">
        <v>1</v>
      </c>
      <c r="L84" s="95" t="inlineStr">
        <is>
          <t>20251229</t>
        </is>
      </c>
      <c r="M84" s="93" t="inlineStr">
        <is>
          <t>채택</t>
        </is>
      </c>
      <c r="N84" s="93" t="inlineStr"/>
      <c r="O84" s="93" t="inlineStr">
        <is>
          <t>Solactive China Electric Vehicle and Battery Index PR</t>
        </is>
      </c>
      <c r="P84" s="93" t="inlineStr">
        <is>
          <t>일반</t>
        </is>
      </c>
      <c r="Q84" s="93" t="inlineStr">
        <is>
          <t>주식</t>
        </is>
      </c>
      <c r="R84" s="93" t="inlineStr">
        <is>
          <t>연배당</t>
        </is>
      </c>
      <c r="S84" s="94" t="n">
        <v>1</v>
      </c>
      <c r="T84" s="74" t="n">
        <v>1</v>
      </c>
      <c r="U84">
        <f>IF(AND($J84&lt;&gt;"",OR(조회_주기="전체",$R84=조회_주기),$J84&gt;=조회_최소,$J84&lt;=조회_최대),1,0)</f>
        <v/>
      </c>
      <c r="V84">
        <f>IF($U84=1,$V83+1,$V83)</f>
        <v/>
      </c>
      <c r="W84">
        <f>IF(검색어="",1,IF(ISNUMBER(SEARCH(검색어,$A84)),1,0))</f>
        <v/>
      </c>
      <c r="X84">
        <f>IF($W84=1,$X83+1,$X83)</f>
        <v/>
      </c>
      <c r="Y84">
        <f>IFERROR(INDEX($A$4:$A$253,MATCH(81,$X$4:$X$253,0)),"")</f>
        <v/>
      </c>
    </row>
    <row r="85">
      <c r="A85" s="93" t="inlineStr">
        <is>
          <t>KODEX 머니마켓액티브</t>
        </is>
      </c>
      <c r="B85" s="93" t="inlineStr">
        <is>
          <t>488770</t>
        </is>
      </c>
      <c r="C85" s="93" t="inlineStr">
        <is>
          <t>삼성자산운용(ETF)</t>
        </is>
      </c>
      <c r="D85" s="94" t="n">
        <v>105570</v>
      </c>
      <c r="E85" s="94" t="n">
        <v>9003326310000</v>
      </c>
      <c r="F85" s="94" t="n">
        <v>75383474839</v>
      </c>
      <c r="G85" s="74" t="n">
        <v>0.0005</v>
      </c>
      <c r="H85" s="74" t="n">
        <v>0.0146</v>
      </c>
      <c r="I85" s="74" t="n">
        <v>0.0143</v>
      </c>
      <c r="J85" s="74" t="n">
        <v>0.01419</v>
      </c>
      <c r="K85" s="94" t="n">
        <v>1</v>
      </c>
      <c r="L85" s="95" t="inlineStr">
        <is>
          <t>20251212</t>
        </is>
      </c>
      <c r="M85" s="93" t="inlineStr">
        <is>
          <t>채택</t>
        </is>
      </c>
      <c r="N85" s="93" t="inlineStr"/>
      <c r="O85" s="93" t="inlineStr">
        <is>
          <t>KAP MMF 지수</t>
        </is>
      </c>
      <c r="P85" s="93" t="inlineStr">
        <is>
          <t>일반</t>
        </is>
      </c>
      <c r="Q85" s="93" t="inlineStr">
        <is>
          <t>단기자금(파킹형)</t>
        </is>
      </c>
      <c r="R85" s="93" t="inlineStr">
        <is>
          <t>연배당</t>
        </is>
      </c>
      <c r="S85" s="94" t="n">
        <v>1</v>
      </c>
      <c r="T85" s="74" t="n">
        <v>1</v>
      </c>
      <c r="U85">
        <f>IF(AND($J85&lt;&gt;"",OR(조회_주기="전체",$R85=조회_주기),$J85&gt;=조회_최소,$J85&lt;=조회_최대),1,0)</f>
        <v/>
      </c>
      <c r="V85">
        <f>IF($U85=1,$V84+1,$V84)</f>
        <v/>
      </c>
      <c r="W85">
        <f>IF(검색어="",1,IF(ISNUMBER(SEARCH(검색어,$A85)),1,0))</f>
        <v/>
      </c>
      <c r="X85">
        <f>IF($W85=1,$X84+1,$X84)</f>
        <v/>
      </c>
      <c r="Y85">
        <f>IFERROR(INDEX($A$4:$A$253,MATCH(82,$X$4:$X$253,0)),"")</f>
        <v/>
      </c>
    </row>
    <row r="86">
      <c r="A86" s="93" t="inlineStr">
        <is>
          <t>RISE 머니마켓액티브</t>
        </is>
      </c>
      <c r="B86" s="93" t="inlineStr">
        <is>
          <t>455890</t>
        </is>
      </c>
      <c r="C86" s="93" t="inlineStr">
        <is>
          <t>KB자산운용</t>
        </is>
      </c>
      <c r="D86" s="94" t="n">
        <v>55565</v>
      </c>
      <c r="E86" s="94" t="n">
        <v>3124419950000</v>
      </c>
      <c r="F86" s="94" t="n">
        <v>11977727650</v>
      </c>
      <c r="G86" s="74" t="n">
        <v>0.0005</v>
      </c>
      <c r="H86" s="74" t="n">
        <v>0.0142</v>
      </c>
      <c r="I86" s="74" t="n">
        <v>0.0139</v>
      </c>
      <c r="J86" s="74" t="n">
        <v>0.013768</v>
      </c>
      <c r="K86" s="94" t="n">
        <v>1</v>
      </c>
      <c r="L86" s="95" t="inlineStr">
        <is>
          <t>20251212</t>
        </is>
      </c>
      <c r="M86" s="93" t="inlineStr">
        <is>
          <t>채택</t>
        </is>
      </c>
      <c r="N86" s="93" t="inlineStr"/>
      <c r="O86" s="93" t="inlineStr">
        <is>
          <t>KIS 시가평가 MMF 지수</t>
        </is>
      </c>
      <c r="P86" s="93" t="inlineStr">
        <is>
          <t>일반</t>
        </is>
      </c>
      <c r="Q86" s="93" t="inlineStr">
        <is>
          <t>단기자금(파킹형)</t>
        </is>
      </c>
      <c r="R86" s="93" t="inlineStr">
        <is>
          <t>연배당</t>
        </is>
      </c>
      <c r="S86" s="94" t="n">
        <v>1</v>
      </c>
      <c r="T86" s="74" t="n">
        <v>1</v>
      </c>
      <c r="U86">
        <f>IF(AND($J86&lt;&gt;"",OR(조회_주기="전체",$R86=조회_주기),$J86&gt;=조회_최소,$J86&lt;=조회_최대),1,0)</f>
        <v/>
      </c>
      <c r="V86">
        <f>IF($U86=1,$V85+1,$V85)</f>
        <v/>
      </c>
      <c r="W86">
        <f>IF(검색어="",1,IF(ISNUMBER(SEARCH(검색어,$A86)),1,0))</f>
        <v/>
      </c>
      <c r="X86">
        <f>IF($W86=1,$X85+1,$X85)</f>
        <v/>
      </c>
      <c r="Y86">
        <f>IFERROR(INDEX($A$4:$A$253,MATCH(83,$X$4:$X$253,0)),"")</f>
        <v/>
      </c>
    </row>
    <row r="87">
      <c r="A87" s="93" t="inlineStr">
        <is>
          <t>TIGER 미국다우존스30</t>
        </is>
      </c>
      <c r="B87" s="93" t="inlineStr">
        <is>
          <t>245340</t>
        </is>
      </c>
      <c r="C87" s="93" t="inlineStr">
        <is>
          <t>미래에셋자산운용</t>
        </is>
      </c>
      <c r="D87" s="94" t="n">
        <v>34890</v>
      </c>
      <c r="E87" s="94" t="n">
        <v>141653400000</v>
      </c>
      <c r="F87" s="94" t="n">
        <v>838265610</v>
      </c>
      <c r="G87" s="74" t="n">
        <v>0.0035</v>
      </c>
      <c r="H87" s="74" t="n">
        <v>0.1454</v>
      </c>
      <c r="I87" s="74" t="n">
        <v>0.001</v>
      </c>
      <c r="J87" s="74" t="n">
        <v>0.013471</v>
      </c>
      <c r="K87" s="94" t="n">
        <v>52</v>
      </c>
      <c r="L87" s="95" t="inlineStr">
        <is>
          <t>20260828</t>
        </is>
      </c>
      <c r="M87" s="93" t="inlineStr">
        <is>
          <t>채택</t>
        </is>
      </c>
      <c r="N87" s="93" t="inlineStr"/>
      <c r="O87" s="93" t="inlineStr">
        <is>
          <t>DowJones Industrial Average Index</t>
        </is>
      </c>
      <c r="P87" s="93" t="inlineStr">
        <is>
          <t>일반</t>
        </is>
      </c>
      <c r="Q87" s="93" t="inlineStr">
        <is>
          <t>주식</t>
        </is>
      </c>
      <c r="R87" s="93" t="inlineStr">
        <is>
          <t>월배당</t>
        </is>
      </c>
      <c r="S87" s="94" t="n">
        <v>11</v>
      </c>
      <c r="T87" s="74" t="n">
        <v>1</v>
      </c>
      <c r="U87">
        <f>IF(AND($J87&lt;&gt;"",OR(조회_주기="전체",$R87=조회_주기),$J87&gt;=조회_최소,$J87&lt;=조회_최대),1,0)</f>
        <v/>
      </c>
      <c r="V87">
        <f>IF($U87=1,$V86+1,$V86)</f>
        <v/>
      </c>
      <c r="W87">
        <f>IF(검색어="",1,IF(ISNUMBER(SEARCH(검색어,$A87)),1,0))</f>
        <v/>
      </c>
      <c r="X87">
        <f>IF($W87=1,$X86+1,$X86)</f>
        <v/>
      </c>
      <c r="Y87">
        <f>IFERROR(INDEX($A$4:$A$253,MATCH(84,$X$4:$X$253,0)),"")</f>
        <v/>
      </c>
    </row>
    <row r="88">
      <c r="A88" s="93" t="inlineStr">
        <is>
          <t>KODEX MSCI선진국</t>
        </is>
      </c>
      <c r="B88" s="93" t="inlineStr">
        <is>
          <t>251350</t>
        </is>
      </c>
      <c r="C88" s="93" t="inlineStr">
        <is>
          <t>삼성자산운용(ETF)</t>
        </is>
      </c>
      <c r="D88" s="94" t="n">
        <v>38840</v>
      </c>
      <c r="E88" s="94" t="n">
        <v>497152000000</v>
      </c>
      <c r="F88" s="94" t="n">
        <v>1269810994</v>
      </c>
      <c r="G88" s="74" t="n">
        <v>0.003</v>
      </c>
      <c r="H88" s="74" t="n">
        <v>0.1324</v>
      </c>
      <c r="I88" s="74" t="n">
        <v>0.004500000000000001</v>
      </c>
      <c r="J88" s="74" t="n">
        <v>0.01344</v>
      </c>
      <c r="K88" s="94" t="n">
        <v>14</v>
      </c>
      <c r="L88" s="95" t="inlineStr">
        <is>
          <t>20260730</t>
        </is>
      </c>
      <c r="M88" s="93" t="inlineStr">
        <is>
          <t>채택</t>
        </is>
      </c>
      <c r="N88" s="93" t="inlineStr"/>
      <c r="O88" s="93" t="inlineStr">
        <is>
          <t>MSCI World Markets Index</t>
        </is>
      </c>
      <c r="P88" s="93" t="inlineStr">
        <is>
          <t>일반</t>
        </is>
      </c>
      <c r="Q88" s="93" t="inlineStr">
        <is>
          <t>주식</t>
        </is>
      </c>
      <c r="R88" s="93" t="inlineStr">
        <is>
          <t>분기배당</t>
        </is>
      </c>
      <c r="S88" s="94" t="n">
        <v>4</v>
      </c>
      <c r="T88" s="74" t="n">
        <v>1</v>
      </c>
      <c r="U88">
        <f>IF(AND($J88&lt;&gt;"",OR(조회_주기="전체",$R88=조회_주기),$J88&gt;=조회_최소,$J88&lt;=조회_최대),1,0)</f>
        <v/>
      </c>
      <c r="V88">
        <f>IF($U88=1,$V87+1,$V87)</f>
        <v/>
      </c>
      <c r="W88">
        <f>IF(검색어="",1,IF(ISNUMBER(SEARCH(검색어,$A88)),1,0))</f>
        <v/>
      </c>
      <c r="X88">
        <f>IF($W88=1,$X87+1,$X87)</f>
        <v/>
      </c>
      <c r="Y88">
        <f>IFERROR(INDEX($A$4:$A$253,MATCH(85,$X$4:$X$253,0)),"")</f>
        <v/>
      </c>
    </row>
    <row r="89">
      <c r="A89" s="93" t="inlineStr">
        <is>
          <t>TIGER 종합채권(AA-이상)액티브</t>
        </is>
      </c>
      <c r="B89" s="93" t="inlineStr">
        <is>
          <t>451540</t>
        </is>
      </c>
      <c r="C89" s="93" t="inlineStr">
        <is>
          <t>미래에셋자산운용</t>
        </is>
      </c>
      <c r="D89" s="94" t="n">
        <v>52840</v>
      </c>
      <c r="E89" s="94" t="n">
        <v>1032387920000</v>
      </c>
      <c r="F89" s="94" t="n">
        <v>861456159</v>
      </c>
      <c r="G89" s="74" t="n">
        <v>0.0003</v>
      </c>
      <c r="H89" s="74" t="n">
        <v>0.0431</v>
      </c>
      <c r="I89" s="74" t="n">
        <v>0.0125</v>
      </c>
      <c r="J89" s="74" t="n">
        <v>0.013248</v>
      </c>
      <c r="K89" s="94" t="n">
        <v>1</v>
      </c>
      <c r="L89" s="95" t="inlineStr">
        <is>
          <t>20251127</t>
        </is>
      </c>
      <c r="M89" s="93" t="inlineStr">
        <is>
          <t>채택</t>
        </is>
      </c>
      <c r="N89" s="93" t="inlineStr"/>
      <c r="O89" s="93" t="inlineStr">
        <is>
          <t>KIS 종합채권형 지수(AA-이상)</t>
        </is>
      </c>
      <c r="P89" s="93" t="inlineStr">
        <is>
          <t>일반</t>
        </is>
      </c>
      <c r="Q89" s="93" t="inlineStr">
        <is>
          <t>채권</t>
        </is>
      </c>
      <c r="R89" s="93" t="inlineStr">
        <is>
          <t>연배당</t>
        </is>
      </c>
      <c r="S89" s="94" t="n">
        <v>1</v>
      </c>
      <c r="T89" s="74" t="n">
        <v>1</v>
      </c>
      <c r="U89">
        <f>IF(AND($J89&lt;&gt;"",OR(조회_주기="전체",$R89=조회_주기),$J89&gt;=조회_최소,$J89&lt;=조회_최대),1,0)</f>
        <v/>
      </c>
      <c r="V89">
        <f>IF($U89=1,$V88+1,$V88)</f>
        <v/>
      </c>
      <c r="W89">
        <f>IF(검색어="",1,IF(ISNUMBER(SEARCH(검색어,$A89)),1,0))</f>
        <v/>
      </c>
      <c r="X89">
        <f>IF($W89=1,$X88+1,$X88)</f>
        <v/>
      </c>
      <c r="Y89">
        <f>IFERROR(INDEX($A$4:$A$253,MATCH(86,$X$4:$X$253,0)),"")</f>
        <v/>
      </c>
    </row>
    <row r="90">
      <c r="A90" s="93" t="inlineStr">
        <is>
          <t>KODEX 국고채3년</t>
        </is>
      </c>
      <c r="B90" s="93" t="inlineStr">
        <is>
          <t>114260</t>
        </is>
      </c>
      <c r="C90" s="93" t="inlineStr">
        <is>
          <t>삼성자산운용(ETF)</t>
        </is>
      </c>
      <c r="D90" s="94" t="n">
        <v>61645</v>
      </c>
      <c r="E90" s="94" t="n">
        <v>495625800000</v>
      </c>
      <c r="F90" s="94" t="n">
        <v>1448534477</v>
      </c>
      <c r="G90" s="74" t="n">
        <v>0.0015</v>
      </c>
      <c r="H90" s="74" t="n">
        <v>0.0258</v>
      </c>
      <c r="I90" s="74" t="n">
        <v>0.013</v>
      </c>
      <c r="J90" s="74" t="n">
        <v>0.013091</v>
      </c>
      <c r="K90" s="94" t="n">
        <v>1</v>
      </c>
      <c r="L90" s="95" t="inlineStr">
        <is>
          <t>20251212</t>
        </is>
      </c>
      <c r="M90" s="93" t="inlineStr">
        <is>
          <t>채택</t>
        </is>
      </c>
      <c r="N90" s="93" t="inlineStr"/>
      <c r="O90" s="93" t="inlineStr">
        <is>
          <t>MKF TB Index</t>
        </is>
      </c>
      <c r="P90" s="93" t="inlineStr">
        <is>
          <t>일반</t>
        </is>
      </c>
      <c r="Q90" s="93" t="inlineStr">
        <is>
          <t>채권</t>
        </is>
      </c>
      <c r="R90" s="93" t="inlineStr">
        <is>
          <t>연배당</t>
        </is>
      </c>
      <c r="S90" s="94" t="n">
        <v>1</v>
      </c>
      <c r="T90" s="74" t="n">
        <v>1</v>
      </c>
      <c r="U90">
        <f>IF(AND($J90&lt;&gt;"",OR(조회_주기="전체",$R90=조회_주기),$J90&gt;=조회_최소,$J90&lt;=조회_최대),1,0)</f>
        <v/>
      </c>
      <c r="V90">
        <f>IF($U90=1,$V89+1,$V89)</f>
        <v/>
      </c>
      <c r="W90">
        <f>IF(검색어="",1,IF(ISNUMBER(SEARCH(검색어,$A90)),1,0))</f>
        <v/>
      </c>
      <c r="X90">
        <f>IF($W90=1,$X89+1,$X89)</f>
        <v/>
      </c>
      <c r="Y90">
        <f>IFERROR(INDEX($A$4:$A$253,MATCH(87,$X$4:$X$253,0)),"")</f>
        <v/>
      </c>
    </row>
    <row r="91">
      <c r="A91" s="93" t="inlineStr">
        <is>
          <t>ACE 머니마켓액티브</t>
        </is>
      </c>
      <c r="B91" s="93" t="inlineStr">
        <is>
          <t>487340</t>
        </is>
      </c>
      <c r="C91" s="93" t="inlineStr">
        <is>
          <t>한국투신운용(ETF)</t>
        </is>
      </c>
      <c r="D91" s="94" t="n">
        <v>106035</v>
      </c>
      <c r="E91" s="94" t="n">
        <v>947104620000</v>
      </c>
      <c r="F91" s="94" t="n">
        <v>1978968671</v>
      </c>
      <c r="G91" s="74" t="n">
        <v>0.0005</v>
      </c>
      <c r="H91" s="74" t="n">
        <v>0.0135</v>
      </c>
      <c r="I91" s="74" t="n">
        <v>0.0132</v>
      </c>
      <c r="J91" s="74" t="n">
        <v>0.012986</v>
      </c>
      <c r="K91" s="94" t="n">
        <v>1</v>
      </c>
      <c r="L91" s="95" t="inlineStr">
        <is>
          <t>20251127</t>
        </is>
      </c>
      <c r="M91" s="93" t="inlineStr">
        <is>
          <t>채택</t>
        </is>
      </c>
      <c r="N91" s="93" t="inlineStr"/>
      <c r="O91" s="93" t="inlineStr">
        <is>
          <t>MK-KAP 머니마켓 총수익 지수</t>
        </is>
      </c>
      <c r="P91" s="93" t="inlineStr">
        <is>
          <t>일반</t>
        </is>
      </c>
      <c r="Q91" s="93" t="inlineStr">
        <is>
          <t>단기자금(파킹형)</t>
        </is>
      </c>
      <c r="R91" s="93" t="inlineStr">
        <is>
          <t>연배당</t>
        </is>
      </c>
      <c r="S91" s="94" t="n">
        <v>1</v>
      </c>
      <c r="T91" s="74" t="n">
        <v>1</v>
      </c>
      <c r="U91">
        <f>IF(AND($J91&lt;&gt;"",OR(조회_주기="전체",$R91=조회_주기),$J91&gt;=조회_최소,$J91&lt;=조회_최대),1,0)</f>
        <v/>
      </c>
      <c r="V91">
        <f>IF($U91=1,$V90+1,$V90)</f>
        <v/>
      </c>
      <c r="W91">
        <f>IF(검색어="",1,IF(ISNUMBER(SEARCH(검색어,$A91)),1,0))</f>
        <v/>
      </c>
      <c r="X91">
        <f>IF($W91=1,$X90+1,$X90)</f>
        <v/>
      </c>
      <c r="Y91">
        <f>IFERROR(INDEX($A$4:$A$253,MATCH(88,$X$4:$X$253,0)),"")</f>
        <v/>
      </c>
    </row>
    <row r="92">
      <c r="A92" s="93" t="inlineStr">
        <is>
          <t>ACE 종합채권(AA-이상)액티브</t>
        </is>
      </c>
      <c r="B92" s="93" t="inlineStr">
        <is>
          <t>356540</t>
        </is>
      </c>
      <c r="C92" s="93" t="inlineStr">
        <is>
          <t>한국투신운용(ETF)</t>
        </is>
      </c>
      <c r="D92" s="94" t="n">
        <v>101225</v>
      </c>
      <c r="E92" s="94" t="n">
        <v>1138376350000</v>
      </c>
      <c r="F92" s="94" t="n">
        <v>757990029</v>
      </c>
      <c r="G92" s="74" t="n">
        <v>0.0002</v>
      </c>
      <c r="H92" s="74" t="n">
        <v>0.04190000000000001</v>
      </c>
      <c r="I92" s="74" t="n">
        <v>0.0122</v>
      </c>
      <c r="J92" s="74" t="n">
        <v>0.012862</v>
      </c>
      <c r="K92" s="94" t="n">
        <v>1</v>
      </c>
      <c r="L92" s="95" t="inlineStr">
        <is>
          <t>20251127</t>
        </is>
      </c>
      <c r="M92" s="93" t="inlineStr">
        <is>
          <t>채택</t>
        </is>
      </c>
      <c r="N92" s="93" t="inlineStr"/>
      <c r="O92" s="93" t="inlineStr">
        <is>
          <t>KIS 종합채권AA-이상</t>
        </is>
      </c>
      <c r="P92" s="93" t="inlineStr">
        <is>
          <t>일반</t>
        </is>
      </c>
      <c r="Q92" s="93" t="inlineStr">
        <is>
          <t>채권</t>
        </is>
      </c>
      <c r="R92" s="93" t="inlineStr">
        <is>
          <t>연배당</t>
        </is>
      </c>
      <c r="S92" s="94" t="n">
        <v>1</v>
      </c>
      <c r="T92" s="74" t="n">
        <v>1</v>
      </c>
      <c r="U92">
        <f>IF(AND($J92&lt;&gt;"",OR(조회_주기="전체",$R92=조회_주기),$J92&gt;=조회_최소,$J92&lt;=조회_최대),1,0)</f>
        <v/>
      </c>
      <c r="V92">
        <f>IF($U92=1,$V91+1,$V91)</f>
        <v/>
      </c>
      <c r="W92">
        <f>IF(검색어="",1,IF(ISNUMBER(SEARCH(검색어,$A92)),1,0))</f>
        <v/>
      </c>
      <c r="X92">
        <f>IF($W92=1,$X91+1,$X91)</f>
        <v/>
      </c>
      <c r="Y92">
        <f>IFERROR(INDEX($A$4:$A$253,MATCH(89,$X$4:$X$253,0)),"")</f>
        <v/>
      </c>
    </row>
    <row r="93">
      <c r="A93" s="93" t="inlineStr">
        <is>
          <t>PLUS 머니마켓액티브</t>
        </is>
      </c>
      <c r="B93" s="93" t="inlineStr">
        <is>
          <t>477050</t>
        </is>
      </c>
      <c r="C93" s="93" t="inlineStr">
        <is>
          <t>한화자산운용</t>
        </is>
      </c>
      <c r="D93" s="94" t="n">
        <v>53590</v>
      </c>
      <c r="E93" s="94" t="n">
        <v>551548280000</v>
      </c>
      <c r="F93" s="94" t="n">
        <v>1185944556</v>
      </c>
      <c r="G93" s="74" t="n">
        <v>0.0005</v>
      </c>
      <c r="H93" s="74" t="n">
        <v>0.0133</v>
      </c>
      <c r="I93" s="74" t="n">
        <v>0.013</v>
      </c>
      <c r="J93" s="74" t="n">
        <v>0.012857</v>
      </c>
      <c r="K93" s="94" t="n">
        <v>1</v>
      </c>
      <c r="L93" s="95" t="inlineStr">
        <is>
          <t>20251212</t>
        </is>
      </c>
      <c r="M93" s="93" t="inlineStr">
        <is>
          <t>채택</t>
        </is>
      </c>
      <c r="N93" s="93" t="inlineStr"/>
      <c r="O93" s="93" t="inlineStr">
        <is>
          <t>KAP 시가평가 MMF 지수(총수익)</t>
        </is>
      </c>
      <c r="P93" s="93" t="inlineStr">
        <is>
          <t>일반</t>
        </is>
      </c>
      <c r="Q93" s="93" t="inlineStr">
        <is>
          <t>단기자금(파킹형)</t>
        </is>
      </c>
      <c r="R93" s="93" t="inlineStr">
        <is>
          <t>연배당</t>
        </is>
      </c>
      <c r="S93" s="94" t="n">
        <v>1</v>
      </c>
      <c r="T93" s="74" t="n">
        <v>1</v>
      </c>
      <c r="U93">
        <f>IF(AND($J93&lt;&gt;"",OR(조회_주기="전체",$R93=조회_주기),$J93&gt;=조회_최소,$J93&lt;=조회_최대),1,0)</f>
        <v/>
      </c>
      <c r="V93">
        <f>IF($U93=1,$V92+1,$V92)</f>
        <v/>
      </c>
      <c r="W93">
        <f>IF(검색어="",1,IF(ISNUMBER(SEARCH(검색어,$A93)),1,0))</f>
        <v/>
      </c>
      <c r="X93">
        <f>IF($W93=1,$X92+1,$X92)</f>
        <v/>
      </c>
      <c r="Y93">
        <f>IFERROR(INDEX($A$4:$A$253,MATCH(90,$X$4:$X$253,0)),"")</f>
        <v/>
      </c>
    </row>
    <row r="94">
      <c r="A94" s="93" t="inlineStr">
        <is>
          <t>TIGER TDF2045 적격</t>
        </is>
      </c>
      <c r="B94" s="93" t="inlineStr">
        <is>
          <t>0025N0</t>
        </is>
      </c>
      <c r="C94" s="93" t="inlineStr">
        <is>
          <t>미래에셋자산운용</t>
        </is>
      </c>
      <c r="D94" s="94" t="n">
        <v>11950</v>
      </c>
      <c r="E94" s="94" t="n">
        <v>783322500000</v>
      </c>
      <c r="F94" s="94" t="n">
        <v>3786200703</v>
      </c>
      <c r="G94" s="74" t="n">
        <v>0.0019</v>
      </c>
      <c r="H94" s="74" t="n">
        <v>0.1187</v>
      </c>
      <c r="I94" s="74" t="n">
        <v>0.012</v>
      </c>
      <c r="J94" s="74" t="n">
        <v>0.011715</v>
      </c>
      <c r="K94" s="94" t="n">
        <v>1</v>
      </c>
      <c r="L94" s="95" t="inlineStr">
        <is>
          <t>20251229</t>
        </is>
      </c>
      <c r="M94" s="93" t="inlineStr">
        <is>
          <t>채택</t>
        </is>
      </c>
      <c r="N94" s="93" t="inlineStr"/>
      <c r="O94" s="93" t="inlineStr">
        <is>
          <t>S&amp;P Korea Target Date 2045 Global Index</t>
        </is>
      </c>
      <c r="P94" s="93" t="inlineStr">
        <is>
          <t>일반</t>
        </is>
      </c>
      <c r="Q94" s="93" t="inlineStr">
        <is>
          <t>멀티에셋</t>
        </is>
      </c>
      <c r="R94" s="93" t="inlineStr">
        <is>
          <t>연배당</t>
        </is>
      </c>
      <c r="S94" s="94" t="n">
        <v>1</v>
      </c>
      <c r="T94" s="74" t="n">
        <v>1</v>
      </c>
      <c r="U94">
        <f>IF(AND($J94&lt;&gt;"",OR(조회_주기="전체",$R94=조회_주기),$J94&gt;=조회_최소,$J94&lt;=조회_최대),1,0)</f>
        <v/>
      </c>
      <c r="V94">
        <f>IF($U94=1,$V93+1,$V93)</f>
        <v/>
      </c>
      <c r="W94">
        <f>IF(검색어="",1,IF(ISNUMBER(SEARCH(검색어,$A94)),1,0))</f>
        <v/>
      </c>
      <c r="X94">
        <f>IF($W94=1,$X93+1,$X93)</f>
        <v/>
      </c>
      <c r="Y94">
        <f>IFERROR(INDEX($A$4:$A$253,MATCH(91,$X$4:$X$253,0)),"")</f>
        <v/>
      </c>
    </row>
    <row r="95">
      <c r="A95" s="93" t="inlineStr">
        <is>
          <t>TIGER 미국나스닥100채권혼합50</t>
        </is>
      </c>
      <c r="B95" s="93" t="inlineStr">
        <is>
          <t>435420</t>
        </is>
      </c>
      <c r="C95" s="93" t="inlineStr">
        <is>
          <t>미래에셋자산운용</t>
        </is>
      </c>
      <c r="D95" s="94" t="n">
        <v>14010</v>
      </c>
      <c r="E95" s="94" t="n">
        <v>505761000000</v>
      </c>
      <c r="F95" s="94" t="n">
        <v>3765770025</v>
      </c>
      <c r="G95" s="74" t="n">
        <v>0.0025</v>
      </c>
      <c r="H95" s="74" t="n">
        <v>0.0959</v>
      </c>
      <c r="I95" s="74" t="n">
        <v>0.003</v>
      </c>
      <c r="J95" s="74" t="n">
        <v>0.01142</v>
      </c>
      <c r="K95" s="94" t="n">
        <v>11</v>
      </c>
      <c r="L95" s="95" t="inlineStr">
        <is>
          <t>20260730</t>
        </is>
      </c>
      <c r="M95" s="93" t="inlineStr">
        <is>
          <t>채택</t>
        </is>
      </c>
      <c r="N95" s="93" t="inlineStr"/>
      <c r="O95" s="93" t="inlineStr">
        <is>
          <t>FnGuide 나스닥100채권혼합50 지수</t>
        </is>
      </c>
      <c r="P95" s="93" t="inlineStr">
        <is>
          <t>일반</t>
        </is>
      </c>
      <c r="Q95" s="93" t="inlineStr">
        <is>
          <t>멀티에셋</t>
        </is>
      </c>
      <c r="R95" s="93" t="inlineStr">
        <is>
          <t>분기배당</t>
        </is>
      </c>
      <c r="S95" s="94" t="n">
        <v>4</v>
      </c>
      <c r="T95" s="74" t="n">
        <v>1</v>
      </c>
      <c r="U95">
        <f>IF(AND($J95&lt;&gt;"",OR(조회_주기="전체",$R95=조회_주기),$J95&gt;=조회_최소,$J95&lt;=조회_최대),1,0)</f>
        <v/>
      </c>
      <c r="V95">
        <f>IF($U95=1,$V94+1,$V94)</f>
        <v/>
      </c>
      <c r="W95">
        <f>IF(검색어="",1,IF(ISNUMBER(SEARCH(검색어,$A95)),1,0))</f>
        <v/>
      </c>
      <c r="X95">
        <f>IF($W95=1,$X94+1,$X94)</f>
        <v/>
      </c>
      <c r="Y95">
        <f>IFERROR(INDEX($A$4:$A$253,MATCH(92,$X$4:$X$253,0)),"")</f>
        <v/>
      </c>
    </row>
    <row r="96">
      <c r="A96" s="93" t="inlineStr">
        <is>
          <t>RISE 미국S&amp;P500</t>
        </is>
      </c>
      <c r="B96" s="93" t="inlineStr">
        <is>
          <t>379780</t>
        </is>
      </c>
      <c r="C96" s="93" t="inlineStr">
        <is>
          <t>KB자산운용</t>
        </is>
      </c>
      <c r="D96" s="94" t="n">
        <v>22890</v>
      </c>
      <c r="E96" s="94" t="n">
        <v>1497006000000</v>
      </c>
      <c r="F96" s="94" t="n">
        <v>5663902329</v>
      </c>
      <c r="G96" s="74" t="n">
        <v>4.7e-05</v>
      </c>
      <c r="H96" s="74" t="n">
        <v>0.146</v>
      </c>
      <c r="I96" s="74" t="n">
        <v>0.0027</v>
      </c>
      <c r="J96" s="74" t="n">
        <v>0.011271</v>
      </c>
      <c r="K96" s="94" t="n">
        <v>18</v>
      </c>
      <c r="L96" s="95" t="inlineStr">
        <is>
          <t>20260629</t>
        </is>
      </c>
      <c r="M96" s="93" t="inlineStr">
        <is>
          <t>채택</t>
        </is>
      </c>
      <c r="N96" s="93" t="inlineStr"/>
      <c r="O96" s="93" t="inlineStr">
        <is>
          <t>S&amp;P 500</t>
        </is>
      </c>
      <c r="P96" s="93" t="inlineStr">
        <is>
          <t>일반</t>
        </is>
      </c>
      <c r="Q96" s="93" t="inlineStr">
        <is>
          <t>주식</t>
        </is>
      </c>
      <c r="R96" s="93" t="inlineStr">
        <is>
          <t>분기배당</t>
        </is>
      </c>
      <c r="S96" s="94" t="n">
        <v>3</v>
      </c>
      <c r="T96" s="74" t="n">
        <v>1</v>
      </c>
      <c r="U96">
        <f>IF(AND($J96&lt;&gt;"",OR(조회_주기="전체",$R96=조회_주기),$J96&gt;=조회_최소,$J96&lt;=조회_최대),1,0)</f>
        <v/>
      </c>
      <c r="V96">
        <f>IF($U96=1,$V95+1,$V95)</f>
        <v/>
      </c>
      <c r="W96">
        <f>IF(검색어="",1,IF(ISNUMBER(SEARCH(검색어,$A96)),1,0))</f>
        <v/>
      </c>
      <c r="X96">
        <f>IF($W96=1,$X95+1,$X95)</f>
        <v/>
      </c>
      <c r="Y96">
        <f>IFERROR(INDEX($A$4:$A$253,MATCH(93,$X$4:$X$253,0)),"")</f>
        <v/>
      </c>
    </row>
    <row r="97">
      <c r="A97" s="93" t="inlineStr">
        <is>
          <t>TIGER 차이나항셍테크</t>
        </is>
      </c>
      <c r="B97" s="93" t="inlineStr">
        <is>
          <t>371160</t>
        </is>
      </c>
      <c r="C97" s="93" t="inlineStr">
        <is>
          <t>미래에셋자산운용</t>
        </is>
      </c>
      <c r="D97" s="94" t="n">
        <v>6515</v>
      </c>
      <c r="E97" s="94" t="n">
        <v>531949750000</v>
      </c>
      <c r="F97" s="94" t="n">
        <v>4537697554</v>
      </c>
      <c r="G97" s="74" t="n">
        <v>0.0009</v>
      </c>
      <c r="H97" s="74" t="n">
        <v>0.297</v>
      </c>
      <c r="I97" s="74" t="n">
        <v>0.0033</v>
      </c>
      <c r="J97" s="74" t="n">
        <v>0.010744</v>
      </c>
      <c r="K97" s="94" t="n">
        <v>6</v>
      </c>
      <c r="L97" s="95" t="inlineStr">
        <is>
          <t>20260730</t>
        </is>
      </c>
      <c r="M97" s="93" t="inlineStr">
        <is>
          <t>채택</t>
        </is>
      </c>
      <c r="N97" s="93" t="inlineStr"/>
      <c r="O97" s="93" t="inlineStr">
        <is>
          <t>항셍 테크</t>
        </is>
      </c>
      <c r="P97" s="93" t="inlineStr">
        <is>
          <t>일반</t>
        </is>
      </c>
      <c r="Q97" s="93" t="inlineStr">
        <is>
          <t>주식</t>
        </is>
      </c>
      <c r="R97" s="93" t="inlineStr">
        <is>
          <t>분기배당</t>
        </is>
      </c>
      <c r="S97" s="94" t="n">
        <v>4</v>
      </c>
      <c r="T97" s="74" t="n">
        <v>0</v>
      </c>
      <c r="U97">
        <f>IF(AND($J97&lt;&gt;"",OR(조회_주기="전체",$R97=조회_주기),$J97&gt;=조회_최소,$J97&lt;=조회_최대),1,0)</f>
        <v/>
      </c>
      <c r="V97">
        <f>IF($U97=1,$V96+1,$V96)</f>
        <v/>
      </c>
      <c r="W97">
        <f>IF(검색어="",1,IF(ISNUMBER(SEARCH(검색어,$A97)),1,0))</f>
        <v/>
      </c>
      <c r="X97">
        <f>IF($W97=1,$X96+1,$X96)</f>
        <v/>
      </c>
      <c r="Y97">
        <f>IFERROR(INDEX($A$4:$A$253,MATCH(94,$X$4:$X$253,0)),"")</f>
        <v/>
      </c>
    </row>
    <row r="98">
      <c r="A98" s="93" t="inlineStr">
        <is>
          <t>KODEX 미국나스닥100</t>
        </is>
      </c>
      <c r="B98" s="93" t="inlineStr">
        <is>
          <t>379810</t>
        </is>
      </c>
      <c r="C98" s="93" t="inlineStr">
        <is>
          <t>삼성자산운용(ETF)</t>
        </is>
      </c>
      <c r="D98" s="94" t="n">
        <v>26880</v>
      </c>
      <c r="E98" s="94" t="n">
        <v>9356928000000</v>
      </c>
      <c r="F98" s="94" t="n">
        <v>385928554372</v>
      </c>
      <c r="G98" s="74" t="n">
        <v>6.2e-05</v>
      </c>
      <c r="H98" s="74" t="n">
        <v>0.2067</v>
      </c>
      <c r="I98" s="74" t="n">
        <v>0.0031</v>
      </c>
      <c r="J98" s="74" t="n">
        <v>0.010491</v>
      </c>
      <c r="K98" s="94" t="n">
        <v>6</v>
      </c>
      <c r="L98" s="95" t="inlineStr">
        <is>
          <t>20260730</t>
        </is>
      </c>
      <c r="M98" s="93" t="inlineStr">
        <is>
          <t>채택</t>
        </is>
      </c>
      <c r="N98" s="93" t="inlineStr"/>
      <c r="O98" s="93" t="inlineStr">
        <is>
          <t>나스닥 100</t>
        </is>
      </c>
      <c r="P98" s="93" t="inlineStr">
        <is>
          <t>일반</t>
        </is>
      </c>
      <c r="Q98" s="93" t="inlineStr">
        <is>
          <t>주식</t>
        </is>
      </c>
      <c r="R98" s="93" t="inlineStr">
        <is>
          <t>분기배당</t>
        </is>
      </c>
      <c r="S98" s="94" t="n">
        <v>4</v>
      </c>
      <c r="T98" s="74" t="n">
        <v>1</v>
      </c>
      <c r="U98">
        <f>IF(AND($J98&lt;&gt;"",OR(조회_주기="전체",$R98=조회_주기),$J98&gt;=조회_최소,$J98&lt;=조회_최대),1,0)</f>
        <v/>
      </c>
      <c r="V98">
        <f>IF($U98=1,$V97+1,$V97)</f>
        <v/>
      </c>
      <c r="W98">
        <f>IF(검색어="",1,IF(ISNUMBER(SEARCH(검색어,$A98)),1,0))</f>
        <v/>
      </c>
      <c r="X98">
        <f>IF($W98=1,$X97+1,$X97)</f>
        <v/>
      </c>
      <c r="Y98">
        <f>IFERROR(INDEX($A$4:$A$253,MATCH(95,$X$4:$X$253,0)),"")</f>
        <v/>
      </c>
    </row>
    <row r="99">
      <c r="A99" s="93" t="inlineStr">
        <is>
          <t>TIGER 단기통안채</t>
        </is>
      </c>
      <c r="B99" s="93" t="inlineStr">
        <is>
          <t>157450</t>
        </is>
      </c>
      <c r="C99" s="93" t="inlineStr">
        <is>
          <t>미래에셋자산운용</t>
        </is>
      </c>
      <c r="D99" s="94" t="n">
        <v>112670</v>
      </c>
      <c r="E99" s="94" t="n">
        <v>1299986460000</v>
      </c>
      <c r="F99" s="94" t="n">
        <v>2408049800</v>
      </c>
      <c r="G99" s="74" t="n">
        <v>0.0009</v>
      </c>
      <c r="H99" s="74" t="n">
        <v>0.0104</v>
      </c>
      <c r="I99" s="74" t="n">
        <v>0.0101</v>
      </c>
      <c r="J99" s="74" t="n">
        <v>0.010038</v>
      </c>
      <c r="K99" s="94" t="n">
        <v>1</v>
      </c>
      <c r="L99" s="95" t="inlineStr">
        <is>
          <t>20251127</t>
        </is>
      </c>
      <c r="M99" s="93" t="inlineStr">
        <is>
          <t>채택</t>
        </is>
      </c>
      <c r="N99" s="93" t="inlineStr"/>
      <c r="O99" s="93" t="inlineStr">
        <is>
          <t>KIS 통안채 6개월 지수</t>
        </is>
      </c>
      <c r="P99" s="93" t="inlineStr">
        <is>
          <t>일반</t>
        </is>
      </c>
      <c r="Q99" s="93" t="inlineStr">
        <is>
          <t>채권</t>
        </is>
      </c>
      <c r="R99" s="93" t="inlineStr">
        <is>
          <t>연배당</t>
        </is>
      </c>
      <c r="S99" s="94" t="n">
        <v>1</v>
      </c>
      <c r="T99" s="74" t="n">
        <v>1</v>
      </c>
      <c r="U99">
        <f>IF(AND($J99&lt;&gt;"",OR(조회_주기="전체",$R99=조회_주기),$J99&gt;=조회_최소,$J99&lt;=조회_최대),1,0)</f>
        <v/>
      </c>
      <c r="V99">
        <f>IF($U99=1,$V98+1,$V98)</f>
        <v/>
      </c>
      <c r="W99">
        <f>IF(검색어="",1,IF(ISNUMBER(SEARCH(검색어,$A99)),1,0))</f>
        <v/>
      </c>
      <c r="X99">
        <f>IF($W99=1,$X98+1,$X98)</f>
        <v/>
      </c>
      <c r="Y99">
        <f>IFERROR(INDEX($A$4:$A$253,MATCH(96,$X$4:$X$253,0)),"")</f>
        <v/>
      </c>
    </row>
    <row r="100">
      <c r="A100" s="93" t="inlineStr">
        <is>
          <t>TIGER 미국S&amp;P500</t>
        </is>
      </c>
      <c r="B100" s="93" t="inlineStr">
        <is>
          <t>360750</t>
        </is>
      </c>
      <c r="C100" s="93" t="inlineStr">
        <is>
          <t>미래에셋자산운용</t>
        </is>
      </c>
      <c r="D100" s="94" t="n">
        <v>26180</v>
      </c>
      <c r="E100" s="94" t="n">
        <v>20835353000000</v>
      </c>
      <c r="F100" s="94" t="n">
        <v>977474865045</v>
      </c>
      <c r="G100" s="74" t="n">
        <v>6.8e-05</v>
      </c>
      <c r="H100" s="74" t="n">
        <v>0.1463</v>
      </c>
      <c r="I100" s="74" t="n">
        <v>0.0025</v>
      </c>
      <c r="J100" s="74" t="n">
        <v>0.009664000000000001</v>
      </c>
      <c r="K100" s="94" t="n">
        <v>20</v>
      </c>
      <c r="L100" s="95" t="inlineStr">
        <is>
          <t>20260730</t>
        </is>
      </c>
      <c r="M100" s="93" t="inlineStr">
        <is>
          <t>채택</t>
        </is>
      </c>
      <c r="N100" s="93" t="inlineStr"/>
      <c r="O100" s="93" t="inlineStr">
        <is>
          <t>S&amp;P 500</t>
        </is>
      </c>
      <c r="P100" s="93" t="inlineStr">
        <is>
          <t>일반</t>
        </is>
      </c>
      <c r="Q100" s="93" t="inlineStr">
        <is>
          <t>주식</t>
        </is>
      </c>
      <c r="R100" s="93" t="inlineStr">
        <is>
          <t>분기배당</t>
        </is>
      </c>
      <c r="S100" s="94" t="n">
        <v>4</v>
      </c>
      <c r="T100" s="74" t="n">
        <v>1</v>
      </c>
      <c r="U100">
        <f>IF(AND($J100&lt;&gt;"",OR(조회_주기="전체",$R100=조회_주기),$J100&gt;=조회_최소,$J100&lt;=조회_최대),1,0)</f>
        <v/>
      </c>
      <c r="V100">
        <f>IF($U100=1,$V99+1,$V99)</f>
        <v/>
      </c>
      <c r="W100">
        <f>IF(검색어="",1,IF(ISNUMBER(SEARCH(검색어,$A100)),1,0))</f>
        <v/>
      </c>
      <c r="X100">
        <f>IF($W100=1,$X99+1,$X99)</f>
        <v/>
      </c>
      <c r="Y100">
        <f>IFERROR(INDEX($A$4:$A$253,MATCH(97,$X$4:$X$253,0)),"")</f>
        <v/>
      </c>
    </row>
    <row r="101">
      <c r="A101" s="93" t="inlineStr">
        <is>
          <t>ACE 미국S&amp;P500</t>
        </is>
      </c>
      <c r="B101" s="93" t="inlineStr">
        <is>
          <t>360200</t>
        </is>
      </c>
      <c r="C101" s="93" t="inlineStr">
        <is>
          <t>한국투신운용(ETF)</t>
        </is>
      </c>
      <c r="D101" s="94" t="n">
        <v>26460</v>
      </c>
      <c r="E101" s="94" t="n">
        <v>3990168000000</v>
      </c>
      <c r="F101" s="94" t="n">
        <v>20638295534</v>
      </c>
      <c r="G101" s="74" t="n">
        <v>4.7e-05</v>
      </c>
      <c r="H101" s="74" t="n">
        <v>0.1463</v>
      </c>
      <c r="I101" s="74" t="n">
        <v>0.0024</v>
      </c>
      <c r="J101" s="74" t="n">
        <v>0.009562000000000001</v>
      </c>
      <c r="K101" s="94" t="n">
        <v>20</v>
      </c>
      <c r="L101" s="95" t="inlineStr">
        <is>
          <t>20260730</t>
        </is>
      </c>
      <c r="M101" s="93" t="inlineStr">
        <is>
          <t>채택</t>
        </is>
      </c>
      <c r="N101" s="93" t="inlineStr"/>
      <c r="O101" s="93" t="inlineStr">
        <is>
          <t>S&amp;P 500</t>
        </is>
      </c>
      <c r="P101" s="93" t="inlineStr">
        <is>
          <t>일반</t>
        </is>
      </c>
      <c r="Q101" s="93" t="inlineStr">
        <is>
          <t>주식</t>
        </is>
      </c>
      <c r="R101" s="93" t="inlineStr">
        <is>
          <t>분기배당</t>
        </is>
      </c>
      <c r="S101" s="94" t="n">
        <v>4</v>
      </c>
      <c r="T101" s="74" t="n">
        <v>1</v>
      </c>
      <c r="U101">
        <f>IF(AND($J101&lt;&gt;"",OR(조회_주기="전체",$R101=조회_주기),$J101&gt;=조회_최소,$J101&lt;=조회_최대),1,0)</f>
        <v/>
      </c>
      <c r="V101">
        <f>IF($U101=1,$V100+1,$V100)</f>
        <v/>
      </c>
      <c r="W101">
        <f>IF(검색어="",1,IF(ISNUMBER(SEARCH(검색어,$A101)),1,0))</f>
        <v/>
      </c>
      <c r="X101">
        <f>IF($W101=1,$X100+1,$X100)</f>
        <v/>
      </c>
      <c r="Y101">
        <f>IFERROR(INDEX($A$4:$A$253,MATCH(98,$X$4:$X$253,0)),"")</f>
        <v/>
      </c>
    </row>
    <row r="102">
      <c r="A102" s="93" t="inlineStr">
        <is>
          <t>KODEX 미국S&amp;P500(H)</t>
        </is>
      </c>
      <c r="B102" s="93" t="inlineStr">
        <is>
          <t>449180</t>
        </is>
      </c>
      <c r="C102" s="93" t="inlineStr">
        <is>
          <t>삼성자산운용(ETF)</t>
        </is>
      </c>
      <c r="D102" s="94" t="n">
        <v>17045</v>
      </c>
      <c r="E102" s="94" t="n">
        <v>1033779250000</v>
      </c>
      <c r="F102" s="94" t="n">
        <v>7580021768</v>
      </c>
      <c r="G102" s="74" t="n">
        <v>9.900000000000001e-05</v>
      </c>
      <c r="H102" s="74" t="n">
        <v>0.1303</v>
      </c>
      <c r="I102" s="74" t="n">
        <v>0.0024</v>
      </c>
      <c r="J102" s="74" t="n">
        <v>0.009387</v>
      </c>
      <c r="K102" s="94" t="n">
        <v>14</v>
      </c>
      <c r="L102" s="95" t="inlineStr">
        <is>
          <t>20260730</t>
        </is>
      </c>
      <c r="M102" s="93" t="inlineStr">
        <is>
          <t>채택</t>
        </is>
      </c>
      <c r="N102" s="93" t="inlineStr"/>
      <c r="O102" s="93" t="inlineStr">
        <is>
          <t>S&amp;P 500</t>
        </is>
      </c>
      <c r="P102" s="93" t="inlineStr">
        <is>
          <t>일반</t>
        </is>
      </c>
      <c r="Q102" s="93" t="inlineStr">
        <is>
          <t>주식</t>
        </is>
      </c>
      <c r="R102" s="93" t="inlineStr">
        <is>
          <t>분기배당</t>
        </is>
      </c>
      <c r="S102" s="94" t="n">
        <v>4</v>
      </c>
      <c r="T102" s="74" t="n">
        <v>1</v>
      </c>
      <c r="U102">
        <f>IF(AND($J102&lt;&gt;"",OR(조회_주기="전체",$R102=조회_주기),$J102&gt;=조회_최소,$J102&lt;=조회_최대),1,0)</f>
        <v/>
      </c>
      <c r="V102">
        <f>IF($U102=1,$V101+1,$V101)</f>
        <v/>
      </c>
      <c r="W102">
        <f>IF(검색어="",1,IF(ISNUMBER(SEARCH(검색어,$A102)),1,0))</f>
        <v/>
      </c>
      <c r="X102">
        <f>IF($W102=1,$X101+1,$X101)</f>
        <v/>
      </c>
      <c r="Y102">
        <f>IFERROR(INDEX($A$4:$A$253,MATCH(99,$X$4:$X$253,0)),"")</f>
        <v/>
      </c>
    </row>
    <row r="103">
      <c r="A103" s="93" t="inlineStr">
        <is>
          <t>TIGER 미국S&amp;P500(H)</t>
        </is>
      </c>
      <c r="B103" s="93" t="inlineStr">
        <is>
          <t>448290</t>
        </is>
      </c>
      <c r="C103" s="93" t="inlineStr">
        <is>
          <t>미래에셋자산운용</t>
        </is>
      </c>
      <c r="D103" s="94" t="n">
        <v>17655</v>
      </c>
      <c r="E103" s="94" t="n">
        <v>483747000000</v>
      </c>
      <c r="F103" s="94" t="n">
        <v>2311184375</v>
      </c>
      <c r="G103" s="74" t="n">
        <v>0.0007000000000000001</v>
      </c>
      <c r="H103" s="74" t="n">
        <v>0.1302</v>
      </c>
      <c r="I103" s="74" t="n">
        <v>0.0024</v>
      </c>
      <c r="J103" s="74" t="n">
        <v>0.009233</v>
      </c>
      <c r="K103" s="94" t="n">
        <v>6</v>
      </c>
      <c r="L103" s="95" t="inlineStr">
        <is>
          <t>20260730</t>
        </is>
      </c>
      <c r="M103" s="93" t="inlineStr">
        <is>
          <t>채택</t>
        </is>
      </c>
      <c r="N103" s="93" t="inlineStr"/>
      <c r="O103" s="93" t="inlineStr">
        <is>
          <t>S&amp;P 500</t>
        </is>
      </c>
      <c r="P103" s="93" t="inlineStr">
        <is>
          <t>일반</t>
        </is>
      </c>
      <c r="Q103" s="93" t="inlineStr">
        <is>
          <t>주식</t>
        </is>
      </c>
      <c r="R103" s="93" t="inlineStr">
        <is>
          <t>분기배당</t>
        </is>
      </c>
      <c r="S103" s="94" t="n">
        <v>4</v>
      </c>
      <c r="T103" s="74" t="n">
        <v>1</v>
      </c>
      <c r="U103">
        <f>IF(AND($J103&lt;&gt;"",OR(조회_주기="전체",$R103=조회_주기),$J103&gt;=조회_최소,$J103&lt;=조회_최대),1,0)</f>
        <v/>
      </c>
      <c r="V103">
        <f>IF($U103=1,$V102+1,$V102)</f>
        <v/>
      </c>
      <c r="W103">
        <f>IF(검색어="",1,IF(ISNUMBER(SEARCH(검색어,$A103)),1,0))</f>
        <v/>
      </c>
      <c r="X103">
        <f>IF($W103=1,$X102+1,$X102)</f>
        <v/>
      </c>
      <c r="Y103">
        <f>IFERROR(INDEX($A$4:$A$253,MATCH(100,$X$4:$X$253,0)),"")</f>
        <v/>
      </c>
    </row>
    <row r="104">
      <c r="A104" s="93" t="inlineStr">
        <is>
          <t>SOL 미국S&amp;P500</t>
        </is>
      </c>
      <c r="B104" s="93" t="inlineStr">
        <is>
          <t>433330</t>
        </is>
      </c>
      <c r="C104" s="93" t="inlineStr">
        <is>
          <t>신한자산운용</t>
        </is>
      </c>
      <c r="D104" s="94" t="n">
        <v>21860</v>
      </c>
      <c r="E104" s="94" t="n">
        <v>297296000000</v>
      </c>
      <c r="F104" s="94" t="n">
        <v>1985560754</v>
      </c>
      <c r="G104" s="74" t="n">
        <v>4.7e-05</v>
      </c>
      <c r="H104" s="74" t="n">
        <v>0.1457</v>
      </c>
      <c r="I104" s="74" t="n">
        <v>0.0009</v>
      </c>
      <c r="J104" s="74" t="n">
        <v>0.008966</v>
      </c>
      <c r="K104" s="94" t="n">
        <v>50</v>
      </c>
      <c r="L104" s="95" t="inlineStr">
        <is>
          <t>20260828</t>
        </is>
      </c>
      <c r="M104" s="93" t="inlineStr">
        <is>
          <t>채택</t>
        </is>
      </c>
      <c r="N104" s="93" t="inlineStr"/>
      <c r="O104" s="93" t="inlineStr">
        <is>
          <t>S&amp;P 500</t>
        </is>
      </c>
      <c r="P104" s="93" t="inlineStr">
        <is>
          <t>일반</t>
        </is>
      </c>
      <c r="Q104" s="93" t="inlineStr">
        <is>
          <t>주식</t>
        </is>
      </c>
      <c r="R104" s="93" t="inlineStr">
        <is>
          <t>월배당</t>
        </is>
      </c>
      <c r="S104" s="94" t="n">
        <v>11</v>
      </c>
      <c r="T104" s="74" t="n">
        <v>1</v>
      </c>
      <c r="U104">
        <f>IF(AND($J104&lt;&gt;"",OR(조회_주기="전체",$R104=조회_주기),$J104&gt;=조회_최소,$J104&lt;=조회_최대),1,0)</f>
        <v/>
      </c>
      <c r="V104">
        <f>IF($U104=1,$V103+1,$V103)</f>
        <v/>
      </c>
      <c r="W104">
        <f>IF(검색어="",1,IF(ISNUMBER(SEARCH(검색어,$A104)),1,0))</f>
        <v/>
      </c>
      <c r="X104">
        <f>IF($W104=1,$X103+1,$X103)</f>
        <v/>
      </c>
      <c r="Y104">
        <f>IFERROR(INDEX($A$4:$A$253,MATCH(101,$X$4:$X$253,0)),"")</f>
        <v/>
      </c>
    </row>
    <row r="105">
      <c r="A105" s="93" t="inlineStr">
        <is>
          <t>1Q 머니마켓액티브</t>
        </is>
      </c>
      <c r="B105" s="93" t="inlineStr">
        <is>
          <t>479080</t>
        </is>
      </c>
      <c r="C105" s="93" t="inlineStr">
        <is>
          <t>하나자산운용</t>
        </is>
      </c>
      <c r="D105" s="94" t="n">
        <v>53855</v>
      </c>
      <c r="E105" s="94" t="n">
        <v>884299100000</v>
      </c>
      <c r="F105" s="94" t="n">
        <v>2790927622</v>
      </c>
      <c r="G105" s="74" t="n">
        <v>0.0005</v>
      </c>
      <c r="H105" s="74" t="n">
        <v>0.0089</v>
      </c>
      <c r="I105" s="74" t="n">
        <v>0.0086</v>
      </c>
      <c r="J105" s="74" t="n">
        <v>0.008449</v>
      </c>
      <c r="K105" s="94" t="n">
        <v>1</v>
      </c>
      <c r="L105" s="95" t="inlineStr">
        <is>
          <t>20251113</t>
        </is>
      </c>
      <c r="M105" s="93" t="inlineStr">
        <is>
          <t>채택</t>
        </is>
      </c>
      <c r="N105" s="93" t="inlineStr"/>
      <c r="O105" s="93" t="inlineStr">
        <is>
          <t>KIS-하나 MMF지수</t>
        </is>
      </c>
      <c r="P105" s="93" t="inlineStr">
        <is>
          <t>일반</t>
        </is>
      </c>
      <c r="Q105" s="93" t="inlineStr">
        <is>
          <t>단기자금(파킹형)</t>
        </is>
      </c>
      <c r="R105" s="93" t="inlineStr">
        <is>
          <t>연배당</t>
        </is>
      </c>
      <c r="S105" s="94" t="n">
        <v>1</v>
      </c>
      <c r="T105" s="74" t="n">
        <v>1</v>
      </c>
      <c r="U105">
        <f>IF(AND($J105&lt;&gt;"",OR(조회_주기="전체",$R105=조회_주기),$J105&gt;=조회_최소,$J105&lt;=조회_최대),1,0)</f>
        <v/>
      </c>
      <c r="V105">
        <f>IF($U105=1,$V104+1,$V104)</f>
        <v/>
      </c>
      <c r="W105">
        <f>IF(검색어="",1,IF(ISNUMBER(SEARCH(검색어,$A105)),1,0))</f>
        <v/>
      </c>
      <c r="X105">
        <f>IF($W105=1,$X104+1,$X104)</f>
        <v/>
      </c>
      <c r="Y105">
        <f>IFERROR(INDEX($A$4:$A$253,MATCH(102,$X$4:$X$253,0)),"")</f>
        <v/>
      </c>
    </row>
    <row r="106">
      <c r="A106" s="93" t="inlineStr">
        <is>
          <t>TIGER 미국달러단기채권액티브</t>
        </is>
      </c>
      <c r="B106" s="93" t="inlineStr">
        <is>
          <t>329750</t>
        </is>
      </c>
      <c r="C106" s="93" t="inlineStr">
        <is>
          <t>미래에셋자산운용</t>
        </is>
      </c>
      <c r="D106" s="94" t="n">
        <v>13085</v>
      </c>
      <c r="E106" s="94" t="n">
        <v>703973000000</v>
      </c>
      <c r="F106" s="94" t="n">
        <v>5255308342</v>
      </c>
      <c r="G106" s="74" t="n">
        <v>0.003</v>
      </c>
      <c r="H106" s="74" t="n">
        <v>0.1042</v>
      </c>
      <c r="I106" s="74" t="n">
        <v>0.007800000000000001</v>
      </c>
      <c r="J106" s="74" t="n">
        <v>0.008101000000000001</v>
      </c>
      <c r="K106" s="94" t="n">
        <v>4</v>
      </c>
      <c r="L106" s="95" t="inlineStr">
        <is>
          <t>20251127</t>
        </is>
      </c>
      <c r="M106" s="93" t="inlineStr">
        <is>
          <t>채택</t>
        </is>
      </c>
      <c r="N106" s="93" t="inlineStr"/>
      <c r="O106" s="93" t="inlineStr">
        <is>
          <t>KIS U.S. TREASURY BOND 0-1Y</t>
        </is>
      </c>
      <c r="P106" s="93" t="inlineStr">
        <is>
          <t>일반</t>
        </is>
      </c>
      <c r="Q106" s="93" t="inlineStr">
        <is>
          <t>채권</t>
        </is>
      </c>
      <c r="R106" s="93" t="inlineStr">
        <is>
          <t>연배당</t>
        </is>
      </c>
      <c r="S106" s="94" t="n">
        <v>1</v>
      </c>
      <c r="T106" s="74" t="n">
        <v>1</v>
      </c>
      <c r="U106">
        <f>IF(AND($J106&lt;&gt;"",OR(조회_주기="전체",$R106=조회_주기),$J106&gt;=조회_최소,$J106&lt;=조회_최대),1,0)</f>
        <v/>
      </c>
      <c r="V106">
        <f>IF($U106=1,$V105+1,$V105)</f>
        <v/>
      </c>
      <c r="W106">
        <f>IF(검색어="",1,IF(ISNUMBER(SEARCH(검색어,$A106)),1,0))</f>
        <v/>
      </c>
      <c r="X106">
        <f>IF($W106=1,$X105+1,$X105)</f>
        <v/>
      </c>
      <c r="Y106">
        <f>IFERROR(INDEX($A$4:$A$253,MATCH(103,$X$4:$X$253,0)),"")</f>
        <v/>
      </c>
    </row>
    <row r="107">
      <c r="A107" s="93" t="inlineStr">
        <is>
          <t>TIGER 단기채권액티브</t>
        </is>
      </c>
      <c r="B107" s="93" t="inlineStr">
        <is>
          <t>272580</t>
        </is>
      </c>
      <c r="C107" s="93" t="inlineStr">
        <is>
          <t>미래에셋자산운용</t>
        </is>
      </c>
      <c r="D107" s="94" t="n">
        <v>57165</v>
      </c>
      <c r="E107" s="94" t="n">
        <v>788076690000</v>
      </c>
      <c r="F107" s="94" t="n">
        <v>3242878403</v>
      </c>
      <c r="G107" s="74" t="n">
        <v>0.0007000000000000001</v>
      </c>
      <c r="H107" s="74" t="n">
        <v>0.008</v>
      </c>
      <c r="I107" s="74" t="n">
        <v>0.007800000000000001</v>
      </c>
      <c r="J107" s="74" t="n">
        <v>0.007645</v>
      </c>
      <c r="K107" s="94" t="n">
        <v>1</v>
      </c>
      <c r="L107" s="95" t="inlineStr">
        <is>
          <t>20251127</t>
        </is>
      </c>
      <c r="M107" s="93" t="inlineStr">
        <is>
          <t>채택</t>
        </is>
      </c>
      <c r="N107" s="93" t="inlineStr"/>
      <c r="O107" s="93" t="inlineStr">
        <is>
          <t>KIS 통안채 6개월 플러스 지수</t>
        </is>
      </c>
      <c r="P107" s="93" t="inlineStr">
        <is>
          <t>일반</t>
        </is>
      </c>
      <c r="Q107" s="93" t="inlineStr">
        <is>
          <t>채권</t>
        </is>
      </c>
      <c r="R107" s="93" t="inlineStr">
        <is>
          <t>연배당</t>
        </is>
      </c>
      <c r="S107" s="94" t="n">
        <v>1</v>
      </c>
      <c r="T107" s="74" t="n">
        <v>1</v>
      </c>
      <c r="U107">
        <f>IF(AND($J107&lt;&gt;"",OR(조회_주기="전체",$R107=조회_주기),$J107&gt;=조회_최소,$J107&lt;=조회_최대),1,0)</f>
        <v/>
      </c>
      <c r="V107">
        <f>IF($U107=1,$V106+1,$V106)</f>
        <v/>
      </c>
      <c r="W107">
        <f>IF(검색어="",1,IF(ISNUMBER(SEARCH(검색어,$A107)),1,0))</f>
        <v/>
      </c>
      <c r="X107">
        <f>IF($W107=1,$X106+1,$X106)</f>
        <v/>
      </c>
      <c r="Y107">
        <f>IFERROR(INDEX($A$4:$A$253,MATCH(104,$X$4:$X$253,0)),"")</f>
        <v/>
      </c>
    </row>
    <row r="108">
      <c r="A108" s="93" t="inlineStr">
        <is>
          <t>TIGER 머니마켓액티브</t>
        </is>
      </c>
      <c r="B108" s="93" t="inlineStr">
        <is>
          <t>0043B0</t>
        </is>
      </c>
      <c r="C108" s="93" t="inlineStr">
        <is>
          <t>미래에셋자산운용</t>
        </is>
      </c>
      <c r="D108" s="94" t="n">
        <v>103700</v>
      </c>
      <c r="E108" s="94" t="n">
        <v>3031462100000</v>
      </c>
      <c r="F108" s="94" t="n">
        <v>14827918954</v>
      </c>
      <c r="G108" s="74" t="n">
        <v>0.0004</v>
      </c>
      <c r="H108" s="74" t="n">
        <v>0.0073</v>
      </c>
      <c r="I108" s="74" t="n">
        <v>0.0071</v>
      </c>
      <c r="J108" s="74" t="n">
        <v>0.006953</v>
      </c>
      <c r="K108" s="94" t="n">
        <v>1</v>
      </c>
      <c r="L108" s="95" t="inlineStr">
        <is>
          <t>20251127</t>
        </is>
      </c>
      <c r="M108" s="93" t="inlineStr">
        <is>
          <t>채택</t>
        </is>
      </c>
      <c r="N108" s="93" t="inlineStr"/>
      <c r="O108" s="93" t="inlineStr">
        <is>
          <t>KIS-미래에셋 MMF지수</t>
        </is>
      </c>
      <c r="P108" s="93" t="inlineStr">
        <is>
          <t>일반</t>
        </is>
      </c>
      <c r="Q108" s="93" t="inlineStr">
        <is>
          <t>단기자금(파킹형)</t>
        </is>
      </c>
      <c r="R108" s="93" t="inlineStr">
        <is>
          <t>연배당</t>
        </is>
      </c>
      <c r="S108" s="94" t="n">
        <v>1</v>
      </c>
      <c r="T108" s="74" t="n">
        <v>1</v>
      </c>
      <c r="U108">
        <f>IF(AND($J108&lt;&gt;"",OR(조회_주기="전체",$R108=조회_주기),$J108&gt;=조회_최소,$J108&lt;=조회_최대),1,0)</f>
        <v/>
      </c>
      <c r="V108">
        <f>IF($U108=1,$V107+1,$V107)</f>
        <v/>
      </c>
      <c r="W108">
        <f>IF(검색어="",1,IF(ISNUMBER(SEARCH(검색어,$A108)),1,0))</f>
        <v/>
      </c>
      <c r="X108">
        <f>IF($W108=1,$X107+1,$X107)</f>
        <v/>
      </c>
      <c r="Y108">
        <f>IFERROR(INDEX($A$4:$A$253,MATCH(105,$X$4:$X$253,0)),"")</f>
        <v/>
      </c>
    </row>
    <row r="109">
      <c r="A109" s="93" t="inlineStr">
        <is>
          <t>TIGER 우량회사채액티브</t>
        </is>
      </c>
      <c r="B109" s="93" t="inlineStr">
        <is>
          <t>438330</t>
        </is>
      </c>
      <c r="C109" s="93" t="inlineStr">
        <is>
          <t>미래에셋자산운용</t>
        </is>
      </c>
      <c r="D109" s="94" t="n">
        <v>115365</v>
      </c>
      <c r="E109" s="94" t="n">
        <v>500107275000</v>
      </c>
      <c r="F109" s="94" t="n">
        <v>1106021214</v>
      </c>
      <c r="G109" s="74" t="n">
        <v>0.001</v>
      </c>
      <c r="H109" s="74" t="n">
        <v>0.0214</v>
      </c>
      <c r="I109" s="74" t="n">
        <v>0.002</v>
      </c>
      <c r="J109" s="74" t="n">
        <v>0.006085</v>
      </c>
      <c r="K109" s="94" t="n">
        <v>8</v>
      </c>
      <c r="L109" s="95" t="inlineStr">
        <is>
          <t>20251127</t>
        </is>
      </c>
      <c r="M109" s="93" t="inlineStr">
        <is>
          <t>채택</t>
        </is>
      </c>
      <c r="N109" s="93" t="inlineStr"/>
      <c r="O109" s="93" t="inlineStr">
        <is>
          <t>KIS 투자등급회사채 지수</t>
        </is>
      </c>
      <c r="P109" s="93" t="inlineStr">
        <is>
          <t>일반</t>
        </is>
      </c>
      <c r="Q109" s="93" t="inlineStr">
        <is>
          <t>채권</t>
        </is>
      </c>
      <c r="R109" s="93" t="inlineStr">
        <is>
          <t>연배당</t>
        </is>
      </c>
      <c r="S109" s="94" t="n">
        <v>2</v>
      </c>
      <c r="T109" s="74" t="n">
        <v>1</v>
      </c>
      <c r="U109">
        <f>IF(AND($J109&lt;&gt;"",OR(조회_주기="전체",$R109=조회_주기),$J109&gt;=조회_최소,$J109&lt;=조회_최대),1,0)</f>
        <v/>
      </c>
      <c r="V109">
        <f>IF($U109=1,$V108+1,$V108)</f>
        <v/>
      </c>
      <c r="W109">
        <f>IF(검색어="",1,IF(ISNUMBER(SEARCH(검색어,$A109)),1,0))</f>
        <v/>
      </c>
      <c r="X109">
        <f>IF($W109=1,$X108+1,$X108)</f>
        <v/>
      </c>
      <c r="Y109">
        <f>IFERROR(INDEX($A$4:$A$253,MATCH(106,$X$4:$X$253,0)),"")</f>
        <v/>
      </c>
    </row>
    <row r="110">
      <c r="A110" s="93" t="inlineStr">
        <is>
          <t>TIGER KOFR금리액티브(합성)</t>
        </is>
      </c>
      <c r="B110" s="93" t="inlineStr">
        <is>
          <t>449170</t>
        </is>
      </c>
      <c r="C110" s="93" t="inlineStr">
        <is>
          <t>미래에셋자산운용</t>
        </is>
      </c>
      <c r="D110" s="94" t="n">
        <v>111917</v>
      </c>
      <c r="E110" s="94" t="n">
        <v>2386406191000</v>
      </c>
      <c r="F110" s="94" t="n">
        <v>8565007863</v>
      </c>
      <c r="G110" s="74" t="n">
        <v>0.0003</v>
      </c>
      <c r="H110" s="74" t="n">
        <v>0.0064</v>
      </c>
      <c r="I110" s="74" t="n">
        <v>0.0062</v>
      </c>
      <c r="J110" s="74" t="n">
        <v>0.006076000000000001</v>
      </c>
      <c r="K110" s="94" t="n">
        <v>1</v>
      </c>
      <c r="L110" s="95" t="inlineStr">
        <is>
          <t>20251127</t>
        </is>
      </c>
      <c r="M110" s="93" t="inlineStr">
        <is>
          <t>채택</t>
        </is>
      </c>
      <c r="N110" s="93" t="inlineStr"/>
      <c r="O110" s="93" t="inlineStr">
        <is>
          <t>KOFR 인덱스</t>
        </is>
      </c>
      <c r="P110" s="93" t="inlineStr">
        <is>
          <t>일반</t>
        </is>
      </c>
      <c r="Q110" s="93" t="inlineStr">
        <is>
          <t>단기자금(파킹형)</t>
        </is>
      </c>
      <c r="R110" s="93" t="inlineStr">
        <is>
          <t>연배당</t>
        </is>
      </c>
      <c r="S110" s="94" t="n">
        <v>1</v>
      </c>
      <c r="T110" s="74" t="n">
        <v>1</v>
      </c>
      <c r="U110">
        <f>IF(AND($J110&lt;&gt;"",OR(조회_주기="전체",$R110=조회_주기),$J110&gt;=조회_최소,$J110&lt;=조회_최대),1,0)</f>
        <v/>
      </c>
      <c r="V110">
        <f>IF($U110=1,$V109+1,$V109)</f>
        <v/>
      </c>
      <c r="W110">
        <f>IF(검색어="",1,IF(ISNUMBER(SEARCH(검색어,$A110)),1,0))</f>
        <v/>
      </c>
      <c r="X110">
        <f>IF($W110=1,$X109+1,$X109)</f>
        <v/>
      </c>
      <c r="Y110">
        <f>IFERROR(INDEX($A$4:$A$253,MATCH(107,$X$4:$X$253,0)),"")</f>
        <v/>
      </c>
    </row>
    <row r="111">
      <c r="A111" s="93" t="inlineStr">
        <is>
          <t>RISE 미국나스닥100</t>
        </is>
      </c>
      <c r="B111" s="93" t="inlineStr">
        <is>
          <t>368590</t>
        </is>
      </c>
      <c r="C111" s="93" t="inlineStr">
        <is>
          <t>KB자산운용</t>
        </is>
      </c>
      <c r="D111" s="94" t="n">
        <v>29990</v>
      </c>
      <c r="E111" s="94" t="n">
        <v>1586471000000</v>
      </c>
      <c r="F111" s="94" t="n">
        <v>8135473063</v>
      </c>
      <c r="G111" s="74" t="n">
        <v>6.2e-05</v>
      </c>
      <c r="H111" s="74" t="n">
        <v>0.2061</v>
      </c>
      <c r="I111" s="74" t="n">
        <v>0.0015</v>
      </c>
      <c r="J111" s="74" t="n">
        <v>0.005835</v>
      </c>
      <c r="K111" s="94" t="n">
        <v>18</v>
      </c>
      <c r="L111" s="95" t="inlineStr">
        <is>
          <t>20260629</t>
        </is>
      </c>
      <c r="M111" s="93" t="inlineStr">
        <is>
          <t>채택</t>
        </is>
      </c>
      <c r="N111" s="93" t="inlineStr"/>
      <c r="O111" s="93" t="inlineStr">
        <is>
          <t>나스닥 100</t>
        </is>
      </c>
      <c r="P111" s="93" t="inlineStr">
        <is>
          <t>일반</t>
        </is>
      </c>
      <c r="Q111" s="93" t="inlineStr">
        <is>
          <t>주식</t>
        </is>
      </c>
      <c r="R111" s="93" t="inlineStr">
        <is>
          <t>분기배당</t>
        </is>
      </c>
      <c r="S111" s="94" t="n">
        <v>3</v>
      </c>
      <c r="T111" s="74" t="n">
        <v>1</v>
      </c>
      <c r="U111">
        <f>IF(AND($J111&lt;&gt;"",OR(조회_주기="전체",$R111=조회_주기),$J111&gt;=조회_최소,$J111&lt;=조회_최대),1,0)</f>
        <v/>
      </c>
      <c r="V111">
        <f>IF($U111=1,$V110+1,$V110)</f>
        <v/>
      </c>
      <c r="W111">
        <f>IF(검색어="",1,IF(ISNUMBER(SEARCH(검색어,$A111)),1,0))</f>
        <v/>
      </c>
      <c r="X111">
        <f>IF($W111=1,$X110+1,$X110)</f>
        <v/>
      </c>
      <c r="Y111">
        <f>IFERROR(INDEX($A$4:$A$253,MATCH(108,$X$4:$X$253,0)),"")</f>
        <v/>
      </c>
    </row>
    <row r="112">
      <c r="A112" s="93" t="inlineStr">
        <is>
          <t>TIGER CD1년금리액티브(합성)</t>
        </is>
      </c>
      <c r="B112" s="93" t="inlineStr">
        <is>
          <t>475630</t>
        </is>
      </c>
      <c r="C112" s="93" t="inlineStr">
        <is>
          <t>미래에셋자산운용</t>
        </is>
      </c>
      <c r="D112" s="94" t="n">
        <v>1077725</v>
      </c>
      <c r="E112" s="94" t="n">
        <v>1679957730000</v>
      </c>
      <c r="F112" s="94" t="n">
        <v>50973988880</v>
      </c>
      <c r="G112" s="74" t="n">
        <v>9.8e-05</v>
      </c>
      <c r="H112" s="74" t="n">
        <v>0.006</v>
      </c>
      <c r="I112" s="74" t="n">
        <v>0.0058</v>
      </c>
      <c r="J112" s="74" t="n">
        <v>0.005691000000000001</v>
      </c>
      <c r="K112" s="94" t="n">
        <v>1</v>
      </c>
      <c r="L112" s="95" t="inlineStr">
        <is>
          <t>20251127</t>
        </is>
      </c>
      <c r="M112" s="93" t="inlineStr">
        <is>
          <t>채택</t>
        </is>
      </c>
      <c r="N112" s="93" t="inlineStr"/>
      <c r="O112" s="93" t="inlineStr">
        <is>
          <t>KIS CD 1Y 총수익지수</t>
        </is>
      </c>
      <c r="P112" s="93" t="inlineStr">
        <is>
          <t>일반</t>
        </is>
      </c>
      <c r="Q112" s="93" t="inlineStr">
        <is>
          <t>단기자금(파킹형)</t>
        </is>
      </c>
      <c r="R112" s="93" t="inlineStr">
        <is>
          <t>연배당</t>
        </is>
      </c>
      <c r="S112" s="94" t="n">
        <v>1</v>
      </c>
      <c r="T112" s="74" t="n">
        <v>1</v>
      </c>
      <c r="U112">
        <f>IF(AND($J112&lt;&gt;"",OR(조회_주기="전체",$R112=조회_주기),$J112&gt;=조회_최소,$J112&lt;=조회_최대),1,0)</f>
        <v/>
      </c>
      <c r="V112">
        <f>IF($U112=1,$V111+1,$V111)</f>
        <v/>
      </c>
      <c r="W112">
        <f>IF(검색어="",1,IF(ISNUMBER(SEARCH(검색어,$A112)),1,0))</f>
        <v/>
      </c>
      <c r="X112">
        <f>IF($W112=1,$X111+1,$X111)</f>
        <v/>
      </c>
      <c r="Y112">
        <f>IFERROR(INDEX($A$4:$A$253,MATCH(109,$X$4:$X$253,0)),"")</f>
        <v/>
      </c>
    </row>
    <row r="113">
      <c r="A113" s="93" t="inlineStr">
        <is>
          <t>KODEX 미국나스닥100(H)</t>
        </is>
      </c>
      <c r="B113" s="93" t="inlineStr">
        <is>
          <t>449190</t>
        </is>
      </c>
      <c r="C113" s="93" t="inlineStr">
        <is>
          <t>삼성자산운용(ETF)</t>
        </is>
      </c>
      <c r="D113" s="94" t="n">
        <v>22105</v>
      </c>
      <c r="E113" s="94" t="n">
        <v>555940750000</v>
      </c>
      <c r="F113" s="94" t="n">
        <v>5675497803</v>
      </c>
      <c r="G113" s="74" t="n">
        <v>9.900000000000001e-05</v>
      </c>
      <c r="H113" s="74" t="n">
        <v>0.1996</v>
      </c>
      <c r="I113" s="74" t="n">
        <v>0.0016</v>
      </c>
      <c r="J113" s="74" t="n">
        <v>0.005338000000000001</v>
      </c>
      <c r="K113" s="94" t="n">
        <v>14</v>
      </c>
      <c r="L113" s="95" t="inlineStr">
        <is>
          <t>20260730</t>
        </is>
      </c>
      <c r="M113" s="93" t="inlineStr">
        <is>
          <t>채택</t>
        </is>
      </c>
      <c r="N113" s="93" t="inlineStr"/>
      <c r="O113" s="93" t="inlineStr">
        <is>
          <t>나스닥 100</t>
        </is>
      </c>
      <c r="P113" s="93" t="inlineStr">
        <is>
          <t>일반</t>
        </is>
      </c>
      <c r="Q113" s="93" t="inlineStr">
        <is>
          <t>주식</t>
        </is>
      </c>
      <c r="R113" s="93" t="inlineStr">
        <is>
          <t>분기배당</t>
        </is>
      </c>
      <c r="S113" s="94" t="n">
        <v>4</v>
      </c>
      <c r="T113" s="74" t="n">
        <v>1</v>
      </c>
      <c r="U113">
        <f>IF(AND($J113&lt;&gt;"",OR(조회_주기="전체",$R113=조회_주기),$J113&gt;=조회_최소,$J113&lt;=조회_최대),1,0)</f>
        <v/>
      </c>
      <c r="V113">
        <f>IF($U113=1,$V112+1,$V112)</f>
        <v/>
      </c>
      <c r="W113">
        <f>IF(검색어="",1,IF(ISNUMBER(SEARCH(검색어,$A113)),1,0))</f>
        <v/>
      </c>
      <c r="X113">
        <f>IF($W113=1,$X112+1,$X112)</f>
        <v/>
      </c>
      <c r="Y113">
        <f>IFERROR(INDEX($A$4:$A$253,MATCH(110,$X$4:$X$253,0)),"")</f>
        <v/>
      </c>
    </row>
    <row r="114">
      <c r="A114" s="93" t="inlineStr">
        <is>
          <t>TIGER 미국나스닥100</t>
        </is>
      </c>
      <c r="B114" s="93" t="inlineStr">
        <is>
          <t>133690</t>
        </is>
      </c>
      <c r="C114" s="93" t="inlineStr">
        <is>
          <t>미래에셋자산운용</t>
        </is>
      </c>
      <c r="D114" s="94" t="n">
        <v>179800</v>
      </c>
      <c r="E114" s="94" t="n">
        <v>11764314000000</v>
      </c>
      <c r="F114" s="94" t="n">
        <v>515477985498</v>
      </c>
      <c r="G114" s="74" t="n">
        <v>6.8e-05</v>
      </c>
      <c r="H114" s="74" t="n">
        <v>0.2063</v>
      </c>
      <c r="I114" s="74" t="n">
        <v>0.0014</v>
      </c>
      <c r="J114" s="74" t="n">
        <v>0.005211</v>
      </c>
      <c r="K114" s="94" t="n">
        <v>20</v>
      </c>
      <c r="L114" s="95" t="inlineStr">
        <is>
          <t>20260730</t>
        </is>
      </c>
      <c r="M114" s="93" t="inlineStr">
        <is>
          <t>채택</t>
        </is>
      </c>
      <c r="N114" s="93" t="inlineStr"/>
      <c r="O114" s="93" t="inlineStr">
        <is>
          <t>나스닥 100</t>
        </is>
      </c>
      <c r="P114" s="93" t="inlineStr">
        <is>
          <t>일반</t>
        </is>
      </c>
      <c r="Q114" s="93" t="inlineStr">
        <is>
          <t>주식</t>
        </is>
      </c>
      <c r="R114" s="93" t="inlineStr">
        <is>
          <t>분기배당</t>
        </is>
      </c>
      <c r="S114" s="94" t="n">
        <v>4</v>
      </c>
      <c r="T114" s="74" t="n">
        <v>1</v>
      </c>
      <c r="U114">
        <f>IF(AND($J114&lt;&gt;"",OR(조회_주기="전체",$R114=조회_주기),$J114&gt;=조회_최소,$J114&lt;=조회_최대),1,0)</f>
        <v/>
      </c>
      <c r="V114">
        <f>IF($U114=1,$V113+1,$V113)</f>
        <v/>
      </c>
      <c r="W114">
        <f>IF(검색어="",1,IF(ISNUMBER(SEARCH(검색어,$A114)),1,0))</f>
        <v/>
      </c>
      <c r="X114">
        <f>IF($W114=1,$X113+1,$X113)</f>
        <v/>
      </c>
      <c r="Y114">
        <f>IFERROR(INDEX($A$4:$A$253,MATCH(111,$X$4:$X$253,0)),"")</f>
        <v/>
      </c>
    </row>
    <row r="115">
      <c r="A115" s="93" t="inlineStr">
        <is>
          <t>ACE 미국나스닥100</t>
        </is>
      </c>
      <c r="B115" s="93" t="inlineStr">
        <is>
          <t>367380</t>
        </is>
      </c>
      <c r="C115" s="93" t="inlineStr">
        <is>
          <t>한국투신운용(ETF)</t>
        </is>
      </c>
      <c r="D115" s="94" t="n">
        <v>30915</v>
      </c>
      <c r="E115" s="94" t="n">
        <v>3499578000000</v>
      </c>
      <c r="F115" s="94" t="n">
        <v>21333970336</v>
      </c>
      <c r="G115" s="74" t="n">
        <v>6.2e-05</v>
      </c>
      <c r="H115" s="74" t="n">
        <v>0.2062</v>
      </c>
      <c r="I115" s="74" t="n">
        <v>0.0015</v>
      </c>
      <c r="J115" s="74" t="n">
        <v>0.005208000000000001</v>
      </c>
      <c r="K115" s="94" t="n">
        <v>20</v>
      </c>
      <c r="L115" s="95" t="inlineStr">
        <is>
          <t>20260730</t>
        </is>
      </c>
      <c r="M115" s="93" t="inlineStr">
        <is>
          <t>채택</t>
        </is>
      </c>
      <c r="N115" s="93" t="inlineStr"/>
      <c r="O115" s="93" t="inlineStr">
        <is>
          <t>나스닥 100</t>
        </is>
      </c>
      <c r="P115" s="93" t="inlineStr">
        <is>
          <t>일반</t>
        </is>
      </c>
      <c r="Q115" s="93" t="inlineStr">
        <is>
          <t>주식</t>
        </is>
      </c>
      <c r="R115" s="93" t="inlineStr">
        <is>
          <t>분기배당</t>
        </is>
      </c>
      <c r="S115" s="94" t="n">
        <v>4</v>
      </c>
      <c r="T115" s="74" t="n">
        <v>1</v>
      </c>
      <c r="U115">
        <f>IF(AND($J115&lt;&gt;"",OR(조회_주기="전체",$R115=조회_주기),$J115&gt;=조회_최소,$J115&lt;=조회_최대),1,0)</f>
        <v/>
      </c>
      <c r="V115">
        <f>IF($U115=1,$V114+1,$V114)</f>
        <v/>
      </c>
      <c r="W115">
        <f>IF(검색어="",1,IF(ISNUMBER(SEARCH(검색어,$A115)),1,0))</f>
        <v/>
      </c>
      <c r="X115">
        <f>IF($W115=1,$X114+1,$X114)</f>
        <v/>
      </c>
      <c r="Y115">
        <f>IFERROR(INDEX($A$4:$A$253,MATCH(112,$X$4:$X$253,0)),"")</f>
        <v/>
      </c>
    </row>
    <row r="116">
      <c r="A116" s="93" t="inlineStr">
        <is>
          <t>KODEX 미국빅테크10(H)</t>
        </is>
      </c>
      <c r="B116" s="93" t="inlineStr">
        <is>
          <t>314250</t>
        </is>
      </c>
      <c r="C116" s="93" t="inlineStr">
        <is>
          <t>삼성자산운용(ETF)</t>
        </is>
      </c>
      <c r="D116" s="94" t="n">
        <v>62790</v>
      </c>
      <c r="E116" s="94" t="n">
        <v>656155500000</v>
      </c>
      <c r="F116" s="94" t="n">
        <v>3543887418</v>
      </c>
      <c r="G116" s="74" t="n">
        <v>0.004500000000000001</v>
      </c>
      <c r="H116" s="74" t="n">
        <v>0.2299</v>
      </c>
      <c r="I116" s="74" t="n">
        <v>0.0013</v>
      </c>
      <c r="J116" s="74" t="n">
        <v>0.004539</v>
      </c>
      <c r="K116" s="94" t="n">
        <v>4</v>
      </c>
      <c r="L116" s="95" t="inlineStr">
        <is>
          <t>20260730</t>
        </is>
      </c>
      <c r="M116" s="93" t="inlineStr">
        <is>
          <t>채택</t>
        </is>
      </c>
      <c r="N116" s="93" t="inlineStr"/>
      <c r="O116" s="93" t="inlineStr">
        <is>
          <t>NYSE FANG+TM Index</t>
        </is>
      </c>
      <c r="P116" s="93" t="inlineStr">
        <is>
          <t>일반</t>
        </is>
      </c>
      <c r="Q116" s="93" t="inlineStr">
        <is>
          <t>주식</t>
        </is>
      </c>
      <c r="R116" s="93" t="inlineStr">
        <is>
          <t>분기배당</t>
        </is>
      </c>
      <c r="S116" s="94" t="n">
        <v>4</v>
      </c>
      <c r="T116" s="74" t="n">
        <v>1</v>
      </c>
      <c r="U116">
        <f>IF(AND($J116&lt;&gt;"",OR(조회_주기="전체",$R116=조회_주기),$J116&gt;=조회_최소,$J116&lt;=조회_최대),1,0)</f>
        <v/>
      </c>
      <c r="V116">
        <f>IF($U116=1,$V115+1,$V115)</f>
        <v/>
      </c>
      <c r="W116">
        <f>IF(검색어="",1,IF(ISNUMBER(SEARCH(검색어,$A116)),1,0))</f>
        <v/>
      </c>
      <c r="X116">
        <f>IF($W116=1,$X115+1,$X115)</f>
        <v/>
      </c>
      <c r="Y116">
        <f>IFERROR(INDEX($A$4:$A$253,MATCH(113,$X$4:$X$253,0)),"")</f>
        <v/>
      </c>
    </row>
    <row r="117">
      <c r="A117" s="93" t="inlineStr">
        <is>
          <t>TIGER 미국테크TOP10 INDXX</t>
        </is>
      </c>
      <c r="B117" s="93" t="inlineStr">
        <is>
          <t>381170</t>
        </is>
      </c>
      <c r="C117" s="93" t="inlineStr">
        <is>
          <t>미래에셋자산운용</t>
        </is>
      </c>
      <c r="D117" s="94" t="n">
        <v>31380</v>
      </c>
      <c r="E117" s="94" t="n">
        <v>3875430000000</v>
      </c>
      <c r="F117" s="94" t="n">
        <v>23883469977</v>
      </c>
      <c r="G117" s="74" t="n">
        <v>0.0049</v>
      </c>
      <c r="H117" s="74" t="n">
        <v>0.2105</v>
      </c>
      <c r="I117" s="74" t="n">
        <v>0.0025</v>
      </c>
      <c r="J117" s="74" t="n">
        <v>0.002454</v>
      </c>
      <c r="K117" s="94" t="n">
        <v>1</v>
      </c>
      <c r="L117" s="95" t="inlineStr">
        <is>
          <t>20251229</t>
        </is>
      </c>
      <c r="M117" s="93" t="inlineStr">
        <is>
          <t>채택</t>
        </is>
      </c>
      <c r="N117" s="93" t="inlineStr"/>
      <c r="O117" s="93" t="inlineStr">
        <is>
          <t>Indxx US Tech Top10 Index</t>
        </is>
      </c>
      <c r="P117" s="93" t="inlineStr">
        <is>
          <t>일반</t>
        </is>
      </c>
      <c r="Q117" s="93" t="inlineStr">
        <is>
          <t>주식</t>
        </is>
      </c>
      <c r="R117" s="93" t="inlineStr">
        <is>
          <t>연배당</t>
        </is>
      </c>
      <c r="S117" s="94" t="n">
        <v>1</v>
      </c>
      <c r="T117" s="74" t="n">
        <v>1</v>
      </c>
      <c r="U117">
        <f>IF(AND($J117&lt;&gt;"",OR(조회_주기="전체",$R117=조회_주기),$J117&gt;=조회_최소,$J117&lt;=조회_최대),1,0)</f>
        <v/>
      </c>
      <c r="V117">
        <f>IF($U117=1,$V116+1,$V116)</f>
        <v/>
      </c>
      <c r="W117">
        <f>IF(검색어="",1,IF(ISNUMBER(SEARCH(검색어,$A117)),1,0))</f>
        <v/>
      </c>
      <c r="X117">
        <f>IF($W117=1,$X116+1,$X116)</f>
        <v/>
      </c>
      <c r="Y117">
        <f>IFERROR(INDEX($A$4:$A$253,MATCH(114,$X$4:$X$253,0)),"")</f>
        <v/>
      </c>
    </row>
    <row r="118">
      <c r="A118" s="93" t="inlineStr">
        <is>
          <t>ACE 미국빅테크TOP7 Plus</t>
        </is>
      </c>
      <c r="B118" s="93" t="inlineStr">
        <is>
          <t>465580</t>
        </is>
      </c>
      <c r="C118" s="93" t="inlineStr">
        <is>
          <t>한국투신운용(ETF)</t>
        </is>
      </c>
      <c r="D118" s="94" t="n">
        <v>24545</v>
      </c>
      <c r="E118" s="94" t="n">
        <v>1093479750000</v>
      </c>
      <c r="F118" s="94" t="n">
        <v>15734996536</v>
      </c>
      <c r="G118" s="74" t="n">
        <v>0.003</v>
      </c>
      <c r="H118" s="74" t="n">
        <v>0.2142</v>
      </c>
      <c r="I118" s="74" t="n">
        <v>0.0024</v>
      </c>
      <c r="J118" s="74" t="n">
        <v>0.0022</v>
      </c>
      <c r="K118" s="94" t="n">
        <v>1</v>
      </c>
      <c r="L118" s="95" t="inlineStr">
        <is>
          <t>20251229</t>
        </is>
      </c>
      <c r="M118" s="93" t="inlineStr">
        <is>
          <t>채택</t>
        </is>
      </c>
      <c r="N118" s="93" t="inlineStr"/>
      <c r="O118" s="93" t="inlineStr">
        <is>
          <t>Solactive US Big Tech Top 7 Plus Index PR</t>
        </is>
      </c>
      <c r="P118" s="93" t="inlineStr">
        <is>
          <t>일반</t>
        </is>
      </c>
      <c r="Q118" s="93" t="inlineStr">
        <is>
          <t>주식</t>
        </is>
      </c>
      <c r="R118" s="93" t="inlineStr">
        <is>
          <t>연배당</t>
        </is>
      </c>
      <c r="S118" s="94" t="n">
        <v>1</v>
      </c>
      <c r="T118" s="74" t="n">
        <v>1</v>
      </c>
      <c r="U118">
        <f>IF(AND($J118&lt;&gt;"",OR(조회_주기="전체",$R118=조회_주기),$J118&gt;=조회_최소,$J118&lt;=조회_최대),1,0)</f>
        <v/>
      </c>
      <c r="V118">
        <f>IF($U118=1,$V117+1,$V117)</f>
        <v/>
      </c>
      <c r="W118">
        <f>IF(검색어="",1,IF(ISNUMBER(SEARCH(검색어,$A118)),1,0))</f>
        <v/>
      </c>
      <c r="X118">
        <f>IF($W118=1,$X117+1,$X117)</f>
        <v/>
      </c>
      <c r="Y118">
        <f>IFERROR(INDEX($A$4:$A$253,MATCH(115,$X$4:$X$253,0)),"")</f>
        <v/>
      </c>
    </row>
    <row r="119">
      <c r="A119" s="93" t="inlineStr">
        <is>
          <t>TIME 미국나스닥100채권혼합50액티브</t>
        </is>
      </c>
      <c r="B119" s="93" t="inlineStr">
        <is>
          <t>0019K0</t>
        </is>
      </c>
      <c r="C119" s="93" t="inlineStr">
        <is>
          <t>타임폴리오자산운용</t>
        </is>
      </c>
      <c r="D119" s="94" t="n">
        <v>13275</v>
      </c>
      <c r="E119" s="94" t="n">
        <v>568170000000</v>
      </c>
      <c r="F119" s="94" t="n">
        <v>6542980793</v>
      </c>
      <c r="G119" s="74" t="n">
        <v>0.0025</v>
      </c>
      <c r="H119" s="74" t="n">
        <v>0.1882</v>
      </c>
      <c r="I119" s="74" t="n">
        <v>0.0018</v>
      </c>
      <c r="J119" s="74" t="n">
        <v>0.001582</v>
      </c>
      <c r="K119" s="94" t="n">
        <v>1</v>
      </c>
      <c r="L119" s="95" t="inlineStr">
        <is>
          <t>20251229</t>
        </is>
      </c>
      <c r="M119" s="93" t="inlineStr">
        <is>
          <t>채택</t>
        </is>
      </c>
      <c r="N119" s="93" t="inlineStr"/>
      <c r="O119" s="93" t="inlineStr">
        <is>
          <t>FnGuide 미국 나스닥100 단기채권혼합 지수</t>
        </is>
      </c>
      <c r="P119" s="93" t="inlineStr">
        <is>
          <t>일반</t>
        </is>
      </c>
      <c r="Q119" s="93" t="inlineStr">
        <is>
          <t>멀티에셋</t>
        </is>
      </c>
      <c r="R119" s="93" t="inlineStr">
        <is>
          <t>연배당</t>
        </is>
      </c>
      <c r="S119" s="94" t="n">
        <v>1</v>
      </c>
      <c r="T119" s="74" t="n">
        <v>1</v>
      </c>
      <c r="U119">
        <f>IF(AND($J119&lt;&gt;"",OR(조회_주기="전체",$R119=조회_주기),$J119&gt;=조회_최소,$J119&lt;=조회_최대),1,0)</f>
        <v/>
      </c>
      <c r="V119">
        <f>IF($U119=1,$V118+1,$V118)</f>
        <v/>
      </c>
      <c r="W119">
        <f>IF(검색어="",1,IF(ISNUMBER(SEARCH(검색어,$A119)),1,0))</f>
        <v/>
      </c>
      <c r="X119">
        <f>IF($W119=1,$X118+1,$X118)</f>
        <v/>
      </c>
      <c r="Y119">
        <f>IFERROR(INDEX($A$4:$A$253,MATCH(116,$X$4:$X$253,0)),"")</f>
        <v/>
      </c>
    </row>
    <row r="120">
      <c r="A120" s="93" t="inlineStr">
        <is>
          <t>TIGER CD금리투자KIS(합성)</t>
        </is>
      </c>
      <c r="B120" s="93" t="inlineStr">
        <is>
          <t>357870</t>
        </is>
      </c>
      <c r="C120" s="93" t="inlineStr">
        <is>
          <t>미래에셋자산운용</t>
        </is>
      </c>
      <c r="D120" s="94" t="n">
        <v>58085</v>
      </c>
      <c r="E120" s="94" t="n">
        <v>3379733810000</v>
      </c>
      <c r="F120" s="94" t="n">
        <v>13162065160</v>
      </c>
      <c r="G120" s="74" t="n">
        <v>0.0003</v>
      </c>
      <c r="H120" s="74" t="n">
        <v>0.0016</v>
      </c>
      <c r="I120" s="74" t="n">
        <v>0.0011</v>
      </c>
      <c r="J120" s="74" t="n">
        <v>0.001119</v>
      </c>
      <c r="K120" s="94" t="n">
        <v>1</v>
      </c>
      <c r="L120" s="95" t="inlineStr">
        <is>
          <t>20251127</t>
        </is>
      </c>
      <c r="M120" s="93" t="inlineStr">
        <is>
          <t>채택</t>
        </is>
      </c>
      <c r="N120" s="93" t="inlineStr"/>
      <c r="O120" s="93" t="inlineStr">
        <is>
          <t>KIS CD 금리투자</t>
        </is>
      </c>
      <c r="P120" s="93" t="inlineStr">
        <is>
          <t>일반</t>
        </is>
      </c>
      <c r="Q120" s="93" t="inlineStr">
        <is>
          <t>단기자금(파킹형)</t>
        </is>
      </c>
      <c r="R120" s="93" t="inlineStr">
        <is>
          <t>연배당</t>
        </is>
      </c>
      <c r="S120" s="94" t="n">
        <v>1</v>
      </c>
      <c r="T120" s="74" t="n">
        <v>1</v>
      </c>
      <c r="U120">
        <f>IF(AND($J120&lt;&gt;"",OR(조회_주기="전체",$R120=조회_주기),$J120&gt;=조회_최소,$J120&lt;=조회_최대),1,0)</f>
        <v/>
      </c>
      <c r="V120">
        <f>IF($U120=1,$V119+1,$V119)</f>
        <v/>
      </c>
      <c r="W120">
        <f>IF(검색어="",1,IF(ISNUMBER(SEARCH(검색어,$A120)),1,0))</f>
        <v/>
      </c>
      <c r="X120">
        <f>IF($W120=1,$X119+1,$X119)</f>
        <v/>
      </c>
      <c r="Y120">
        <f>IFERROR(INDEX($A$4:$A$253,MATCH(117,$X$4:$X$253,0)),"")</f>
        <v/>
      </c>
    </row>
    <row r="121">
      <c r="A121" s="93" t="inlineStr">
        <is>
          <t>TIGER 미국달러SOFR금리액티브(합성)</t>
        </is>
      </c>
      <c r="B121" s="93" t="inlineStr">
        <is>
          <t>456610</t>
        </is>
      </c>
      <c r="C121" s="93" t="inlineStr">
        <is>
          <t>미래에셋자산운용</t>
        </is>
      </c>
      <c r="D121" s="94" t="n">
        <v>60132</v>
      </c>
      <c r="E121" s="94" t="n">
        <v>729521424000</v>
      </c>
      <c r="F121" s="94" t="n">
        <v>2176210474</v>
      </c>
      <c r="G121" s="74" t="n">
        <v>0.0005</v>
      </c>
      <c r="H121" s="74" t="n">
        <v>0.1035</v>
      </c>
      <c r="I121" s="74" t="n">
        <v>0.0007000000000000001</v>
      </c>
      <c r="J121" s="74" t="n">
        <v>0.000682</v>
      </c>
      <c r="K121" s="94" t="n">
        <v>1</v>
      </c>
      <c r="L121" s="95" t="inlineStr">
        <is>
          <t>20251127</t>
        </is>
      </c>
      <c r="M121" s="93" t="inlineStr">
        <is>
          <t>채택</t>
        </is>
      </c>
      <c r="N121" s="93" t="inlineStr"/>
      <c r="O121" s="93" t="inlineStr">
        <is>
          <t>Solactive SOFR Daily Total Return Index</t>
        </is>
      </c>
      <c r="P121" s="93" t="inlineStr">
        <is>
          <t>일반</t>
        </is>
      </c>
      <c r="Q121" s="93" t="inlineStr">
        <is>
          <t>단기자금(파킹형)</t>
        </is>
      </c>
      <c r="R121" s="93" t="inlineStr">
        <is>
          <t>연배당</t>
        </is>
      </c>
      <c r="S121" s="94" t="n">
        <v>1</v>
      </c>
      <c r="T121" s="74" t="n">
        <v>1</v>
      </c>
      <c r="U121">
        <f>IF(AND($J121&lt;&gt;"",OR(조회_주기="전체",$R121=조회_주기),$J121&gt;=조회_최소,$J121&lt;=조회_최대),1,0)</f>
        <v/>
      </c>
      <c r="V121">
        <f>IF($U121=1,$V120+1,$V120)</f>
        <v/>
      </c>
      <c r="W121">
        <f>IF(검색어="",1,IF(ISNUMBER(SEARCH(검색어,$A121)),1,0))</f>
        <v/>
      </c>
      <c r="X121">
        <f>IF($W121=1,$X120+1,$X120)</f>
        <v/>
      </c>
      <c r="Y121">
        <f>IFERROR(INDEX($A$4:$A$253,MATCH(118,$X$4:$X$253,0)),"")</f>
        <v/>
      </c>
    </row>
    <row r="122">
      <c r="A122" s="93" t="inlineStr">
        <is>
          <t>RISE CD금리액티브(합성)</t>
        </is>
      </c>
      <c r="B122" s="93" t="inlineStr">
        <is>
          <t>477080</t>
        </is>
      </c>
      <c r="C122" s="93" t="inlineStr">
        <is>
          <t>KB자산운용</t>
        </is>
      </c>
      <c r="D122" s="94" t="n">
        <v>107635</v>
      </c>
      <c r="E122" s="94" t="n">
        <v>1546176775000</v>
      </c>
      <c r="F122" s="94" t="n">
        <v>803765027</v>
      </c>
      <c r="G122" s="74" t="n">
        <v>0.0002</v>
      </c>
      <c r="H122" s="74" t="n">
        <v>0.001</v>
      </c>
      <c r="I122" s="74" t="n">
        <v>0.0002</v>
      </c>
      <c r="J122" s="74" t="n">
        <v>0.000149</v>
      </c>
      <c r="K122" s="94" t="n">
        <v>1</v>
      </c>
      <c r="L122" s="95" t="inlineStr">
        <is>
          <t>20251212</t>
        </is>
      </c>
      <c r="M122" s="93" t="inlineStr">
        <is>
          <t>채택</t>
        </is>
      </c>
      <c r="N122" s="93" t="inlineStr"/>
      <c r="O122" s="93" t="inlineStr">
        <is>
          <t>FnGuide CD금리투자 지수</t>
        </is>
      </c>
      <c r="P122" s="93" t="inlineStr">
        <is>
          <t>일반</t>
        </is>
      </c>
      <c r="Q122" s="93" t="inlineStr">
        <is>
          <t>단기자금(파킹형)</t>
        </is>
      </c>
      <c r="R122" s="93" t="inlineStr">
        <is>
          <t>연배당</t>
        </is>
      </c>
      <c r="S122" s="94" t="n">
        <v>1</v>
      </c>
      <c r="T122" s="74" t="n">
        <v>1</v>
      </c>
      <c r="U122">
        <f>IF(AND($J122&lt;&gt;"",OR(조회_주기="전체",$R122=조회_주기),$J122&gt;=조회_최소,$J122&lt;=조회_최대),1,0)</f>
        <v/>
      </c>
      <c r="V122">
        <f>IF($U122=1,$V121+1,$V121)</f>
        <v/>
      </c>
      <c r="W122">
        <f>IF(검색어="",1,IF(ISNUMBER(SEARCH(검색어,$A122)),1,0))</f>
        <v/>
      </c>
      <c r="X122">
        <f>IF($W122=1,$X121+1,$X121)</f>
        <v/>
      </c>
      <c r="Y122">
        <f>IFERROR(INDEX($A$4:$A$253,MATCH(119,$X$4:$X$253,0)),"")</f>
        <v/>
      </c>
    </row>
    <row r="123">
      <c r="A123" s="93" t="inlineStr">
        <is>
          <t>TIGER KRX금현물</t>
        </is>
      </c>
      <c r="B123" s="93" t="inlineStr">
        <is>
          <t>0072R0</t>
        </is>
      </c>
      <c r="C123" s="93" t="inlineStr">
        <is>
          <t>미래에셋자산운용</t>
        </is>
      </c>
      <c r="D123" s="94" t="n">
        <v>12935</v>
      </c>
      <c r="E123" s="94" t="n">
        <v>1207482250000</v>
      </c>
      <c r="F123" s="94" t="n">
        <v>9620314648</v>
      </c>
      <c r="G123" s="74" t="n">
        <v>0.0015</v>
      </c>
      <c r="H123" s="74" t="n">
        <v>0.3192</v>
      </c>
      <c r="I123" s="74" t="n">
        <v>0.0001</v>
      </c>
      <c r="J123" s="74" t="n">
        <v>7.7e-05</v>
      </c>
      <c r="K123" s="94" t="n">
        <v>1</v>
      </c>
      <c r="L123" s="95" t="inlineStr">
        <is>
          <t>20251229</t>
        </is>
      </c>
      <c r="M123" s="93" t="inlineStr">
        <is>
          <t>채택</t>
        </is>
      </c>
      <c r="N123" s="93" t="inlineStr"/>
      <c r="O123" s="93" t="inlineStr">
        <is>
          <t>KRX 금현물지수</t>
        </is>
      </c>
      <c r="P123" s="93" t="inlineStr">
        <is>
          <t>일반</t>
        </is>
      </c>
      <c r="Q123" s="93" t="inlineStr">
        <is>
          <t>원자재</t>
        </is>
      </c>
      <c r="R123" s="93" t="inlineStr">
        <is>
          <t>연배당</t>
        </is>
      </c>
      <c r="S123" s="94" t="n">
        <v>1</v>
      </c>
      <c r="T123" s="74" t="n">
        <v>1</v>
      </c>
      <c r="U123">
        <f>IF(AND($J123&lt;&gt;"",OR(조회_주기="전체",$R123=조회_주기),$J123&gt;=조회_최소,$J123&lt;=조회_최대),1,0)</f>
        <v/>
      </c>
      <c r="V123">
        <f>IF($U123=1,$V122+1,$V122)</f>
        <v/>
      </c>
      <c r="W123">
        <f>IF(검색어="",1,IF(ISNUMBER(SEARCH(검색어,$A123)),1,0))</f>
        <v/>
      </c>
      <c r="X123">
        <f>IF($W123=1,$X122+1,$X122)</f>
        <v/>
      </c>
      <c r="Y123">
        <f>IFERROR(INDEX($A$4:$A$253,MATCH(120,$X$4:$X$253,0)),"")</f>
        <v/>
      </c>
    </row>
    <row r="124">
      <c r="A124" s="93" t="inlineStr">
        <is>
          <t>ACE KRX금현물</t>
        </is>
      </c>
      <c r="B124" s="93" t="inlineStr">
        <is>
          <t>411060</t>
        </is>
      </c>
      <c r="C124" s="93" t="inlineStr">
        <is>
          <t>한국투자신탁운용</t>
        </is>
      </c>
      <c r="D124" s="94" t="n">
        <v>27100</v>
      </c>
      <c r="E124" s="94" t="n">
        <v>4054160000000</v>
      </c>
      <c r="F124" s="94" t="n">
        <v>24935992954</v>
      </c>
      <c r="G124" s="74" t="n">
        <v>0.0019</v>
      </c>
      <c r="H124" s="74" t="n">
        <v>0.3191</v>
      </c>
      <c r="I124" s="74" t="n">
        <v>0</v>
      </c>
      <c r="J124" s="74" t="n">
        <v>3.7e-05</v>
      </c>
      <c r="K124" s="94" t="n">
        <v>1</v>
      </c>
      <c r="L124" s="95" t="inlineStr">
        <is>
          <t>20251229</t>
        </is>
      </c>
      <c r="M124" s="93" t="inlineStr">
        <is>
          <t>채택</t>
        </is>
      </c>
      <c r="N124" s="93" t="inlineStr"/>
      <c r="O124" s="93" t="inlineStr">
        <is>
          <t>KRX 금현물지수</t>
        </is>
      </c>
      <c r="P124" s="93" t="inlineStr">
        <is>
          <t>일반</t>
        </is>
      </c>
      <c r="Q124" s="93" t="inlineStr">
        <is>
          <t>원자재</t>
        </is>
      </c>
      <c r="R124" s="93" t="inlineStr">
        <is>
          <t>연배당</t>
        </is>
      </c>
      <c r="S124" s="94" t="n">
        <v>1</v>
      </c>
      <c r="T124" s="74" t="n">
        <v>1</v>
      </c>
      <c r="U124">
        <f>IF(AND($J124&lt;&gt;"",OR(조회_주기="전체",$R124=조회_주기),$J124&gt;=조회_최소,$J124&lt;=조회_최대),1,0)</f>
        <v/>
      </c>
      <c r="V124">
        <f>IF($U124=1,$V123+1,$V123)</f>
        <v/>
      </c>
      <c r="W124">
        <f>IF(검색어="",1,IF(ISNUMBER(SEARCH(검색어,$A124)),1,0))</f>
        <v/>
      </c>
      <c r="X124">
        <f>IF($W124=1,$X123+1,$X123)</f>
        <v/>
      </c>
      <c r="Y124">
        <f>IFERROR(INDEX($A$4:$A$253,MATCH(121,$X$4:$X$253,0)),"")</f>
        <v/>
      </c>
    </row>
    <row r="125">
      <c r="A125" s="96" t="inlineStr">
        <is>
          <t>ACE 미국반도체데일리타겟커버드콜(합성)</t>
        </is>
      </c>
      <c r="B125" s="96" t="inlineStr">
        <is>
          <t>480040</t>
        </is>
      </c>
      <c r="C125" s="96" t="inlineStr">
        <is>
          <t>한국투신운용(ETF)</t>
        </is>
      </c>
      <c r="D125" s="97" t="n">
        <v>14007</v>
      </c>
      <c r="E125" s="97" t="n">
        <v>190495200000</v>
      </c>
      <c r="F125" s="97" t="n">
        <v>3359327976</v>
      </c>
      <c r="G125" s="98" t="n">
        <v>0.004500000000000001</v>
      </c>
      <c r="H125" s="98" t="n">
        <v>0.4421</v>
      </c>
      <c r="I125" s="98" t="n">
        <v>0.0303</v>
      </c>
      <c r="J125" s="98" t="n">
        <v>0.24859</v>
      </c>
      <c r="K125" s="97" t="n">
        <v>29</v>
      </c>
      <c r="L125" s="99" t="inlineStr">
        <is>
          <t>20260914</t>
        </is>
      </c>
      <c r="M125" s="96" t="inlineStr">
        <is>
          <t>제외</t>
        </is>
      </c>
      <c r="N125" s="96" t="inlineStr">
        <is>
          <t>변동성 44.2%(1년 기준, 기준 35% 초과)</t>
        </is>
      </c>
      <c r="O125" s="96" t="inlineStr">
        <is>
          <t>Bloomberg US Listed Semiconductor Premium(QQQ) Decrement 15%</t>
        </is>
      </c>
      <c r="P125" s="96" t="inlineStr">
        <is>
          <t>커버드콜</t>
        </is>
      </c>
      <c r="Q125" s="96" t="inlineStr">
        <is>
          <t>주식</t>
        </is>
      </c>
      <c r="R125" s="96" t="inlineStr">
        <is>
          <t>월배당</t>
        </is>
      </c>
      <c r="S125" s="97" t="n">
        <v>12</v>
      </c>
      <c r="T125" s="98" t="n">
        <v>1</v>
      </c>
      <c r="U125">
        <f>IF(AND($J125&lt;&gt;"",OR(조회_주기="전체",$R125=조회_주기),$J125&gt;=조회_최소,$J125&lt;=조회_최대),1,0)</f>
        <v/>
      </c>
      <c r="V125">
        <f>IF($U125=1,$V124+1,$V124)</f>
        <v/>
      </c>
      <c r="W125">
        <f>IF(검색어="",1,IF(ISNUMBER(SEARCH(검색어,$A125)),1,0))</f>
        <v/>
      </c>
      <c r="X125">
        <f>IF($W125=1,$X124+1,$X124)</f>
        <v/>
      </c>
      <c r="Y125">
        <f>IFERROR(INDEX($A$4:$A$253,MATCH(122,$X$4:$X$253,0)),"")</f>
        <v/>
      </c>
    </row>
    <row r="126">
      <c r="A126" s="96" t="inlineStr">
        <is>
          <t>RISE 코리아밸류업위클리고정커버드콜</t>
        </is>
      </c>
      <c r="B126" s="96" t="inlineStr">
        <is>
          <t>0094M0</t>
        </is>
      </c>
      <c r="C126" s="96" t="inlineStr">
        <is>
          <t>KB자산운용</t>
        </is>
      </c>
      <c r="D126" s="97" t="n">
        <v>17265</v>
      </c>
      <c r="E126" s="97" t="n">
        <v>347026500000</v>
      </c>
      <c r="F126" s="97" t="n">
        <v>9642948699</v>
      </c>
      <c r="G126" s="98" t="n">
        <v>0.003</v>
      </c>
      <c r="H126" s="98" t="n">
        <v>0.458</v>
      </c>
      <c r="I126" s="98" t="n">
        <v>0.0299</v>
      </c>
      <c r="J126" s="98" t="n">
        <v>0.243267</v>
      </c>
      <c r="K126" s="97" t="n">
        <v>12</v>
      </c>
      <c r="L126" s="99" t="inlineStr">
        <is>
          <t>20260914</t>
        </is>
      </c>
      <c r="M126" s="96" t="inlineStr">
        <is>
          <t>제외</t>
        </is>
      </c>
      <c r="N126" s="96" t="inlineStr">
        <is>
          <t>변동성 45.8%(1년 기준, 기준 35% 초과)</t>
        </is>
      </c>
      <c r="O126" s="96" t="inlineStr">
        <is>
          <t>코리아 밸류업 위클리 커버드콜 30% 지수</t>
        </is>
      </c>
      <c r="P126" s="96" t="inlineStr">
        <is>
          <t>커버드콜</t>
        </is>
      </c>
      <c r="Q126" s="96" t="inlineStr">
        <is>
          <t>주식</t>
        </is>
      </c>
      <c r="R126" s="96" t="inlineStr">
        <is>
          <t>월배당</t>
        </is>
      </c>
      <c r="S126" s="97" t="n">
        <v>12</v>
      </c>
      <c r="T126" s="98" t="n">
        <v>0.0445</v>
      </c>
      <c r="U126">
        <f>IF(AND($J126&lt;&gt;"",OR(조회_주기="전체",$R126=조회_주기),$J126&gt;=조회_최소,$J126&lt;=조회_최대),1,0)</f>
        <v/>
      </c>
      <c r="V126">
        <f>IF($U126=1,$V125+1,$V125)</f>
        <v/>
      </c>
      <c r="W126">
        <f>IF(검색어="",1,IF(ISNUMBER(SEARCH(검색어,$A126)),1,0))</f>
        <v/>
      </c>
      <c r="X126">
        <f>IF($W126=1,$X125+1,$X125)</f>
        <v/>
      </c>
      <c r="Y126">
        <f>IFERROR(INDEX($A$4:$A$253,MATCH(123,$X$4:$X$253,0)),"")</f>
        <v/>
      </c>
    </row>
    <row r="127">
      <c r="A127" s="96" t="inlineStr">
        <is>
          <t>TIGER 배당커버드콜액티브</t>
        </is>
      </c>
      <c r="B127" s="96" t="inlineStr">
        <is>
          <t>472150</t>
        </is>
      </c>
      <c r="C127" s="96" t="inlineStr">
        <is>
          <t>미래에셋자산운용</t>
        </is>
      </c>
      <c r="D127" s="97" t="n">
        <v>20440</v>
      </c>
      <c r="E127" s="97" t="n">
        <v>2562562800000</v>
      </c>
      <c r="F127" s="97" t="n">
        <v>97745585779</v>
      </c>
      <c r="G127" s="98" t="n">
        <v>0.005</v>
      </c>
      <c r="H127" s="98" t="n">
        <v>0.5735</v>
      </c>
      <c r="I127" s="98" t="n">
        <v>0.0197</v>
      </c>
      <c r="J127" s="98" t="n">
        <v>0.21453</v>
      </c>
      <c r="K127" s="97" t="n">
        <v>33</v>
      </c>
      <c r="L127" s="99" t="inlineStr">
        <is>
          <t>20260828</t>
        </is>
      </c>
      <c r="M127" s="96" t="inlineStr">
        <is>
          <t>제외</t>
        </is>
      </c>
      <c r="N127" s="96" t="inlineStr">
        <is>
          <t>변동성 57.3%(1년 기준, 기준 35% 초과)</t>
        </is>
      </c>
      <c r="O127" s="96" t="inlineStr">
        <is>
          <t>코스피 200 커버드콜 5% OTM</t>
        </is>
      </c>
      <c r="P127" s="96" t="inlineStr">
        <is>
          <t>커버드콜</t>
        </is>
      </c>
      <c r="Q127" s="96" t="inlineStr">
        <is>
          <t>주식</t>
        </is>
      </c>
      <c r="R127" s="96" t="inlineStr">
        <is>
          <t>월배당</t>
        </is>
      </c>
      <c r="S127" s="97" t="n">
        <v>11</v>
      </c>
      <c r="T127" s="98" t="n">
        <v>0.0315</v>
      </c>
      <c r="U127">
        <f>IF(AND($J127&lt;&gt;"",OR(조회_주기="전체",$R127=조회_주기),$J127&gt;=조회_최소,$J127&lt;=조회_최대),1,0)</f>
        <v/>
      </c>
      <c r="V127">
        <f>IF($U127=1,$V126+1,$V126)</f>
        <v/>
      </c>
      <c r="W127">
        <f>IF(검색어="",1,IF(ISNUMBER(SEARCH(검색어,$A127)),1,0))</f>
        <v/>
      </c>
      <c r="X127">
        <f>IF($W127=1,$X126+1,$X126)</f>
        <v/>
      </c>
      <c r="Y127">
        <f>IFERROR(INDEX($A$4:$A$253,MATCH(124,$X$4:$X$253,0)),"")</f>
        <v/>
      </c>
    </row>
    <row r="128">
      <c r="A128" s="96" t="inlineStr">
        <is>
          <t>RISE 200위클리커버드콜</t>
        </is>
      </c>
      <c r="B128" s="96" t="inlineStr">
        <is>
          <t>475720</t>
        </is>
      </c>
      <c r="C128" s="96" t="inlineStr">
        <is>
          <t>KB자산운용</t>
        </is>
      </c>
      <c r="D128" s="97" t="n">
        <v>12680</v>
      </c>
      <c r="E128" s="97" t="n">
        <v>844488000000</v>
      </c>
      <c r="F128" s="97" t="n">
        <v>12023526455</v>
      </c>
      <c r="G128" s="98" t="n">
        <v>0.003</v>
      </c>
      <c r="H128" s="98" t="n">
        <v>0.4328</v>
      </c>
      <c r="I128" s="98" t="n">
        <v>0.0185</v>
      </c>
      <c r="J128" s="98" t="n">
        <v>0.194795</v>
      </c>
      <c r="K128" s="97" t="n">
        <v>30</v>
      </c>
      <c r="L128" s="99" t="inlineStr">
        <is>
          <t>20260828</t>
        </is>
      </c>
      <c r="M128" s="96" t="inlineStr">
        <is>
          <t>제외</t>
        </is>
      </c>
      <c r="N128" s="96" t="inlineStr">
        <is>
          <t>변동성 43.3%(1년 기준, 기준 35% 초과)</t>
        </is>
      </c>
      <c r="O128" s="96" t="inlineStr">
        <is>
          <t>코스피 200 위클리 커버드콜 ATM 지수</t>
        </is>
      </c>
      <c r="P128" s="96" t="inlineStr">
        <is>
          <t>커버드콜</t>
        </is>
      </c>
      <c r="Q128" s="96" t="inlineStr">
        <is>
          <t>주식</t>
        </is>
      </c>
      <c r="R128" s="96" t="inlineStr">
        <is>
          <t>월배당</t>
        </is>
      </c>
      <c r="S128" s="97" t="n">
        <v>11</v>
      </c>
      <c r="T128" s="98" t="n">
        <v>0.0445</v>
      </c>
      <c r="U128">
        <f>IF(AND($J128&lt;&gt;"",OR(조회_주기="전체",$R128=조회_주기),$J128&gt;=조회_최소,$J128&lt;=조회_최대),1,0)</f>
        <v/>
      </c>
      <c r="V128">
        <f>IF($U128=1,$V127+1,$V127)</f>
        <v/>
      </c>
      <c r="W128">
        <f>IF(검색어="",1,IF(ISNUMBER(SEARCH(검색어,$A128)),1,0))</f>
        <v/>
      </c>
      <c r="X128">
        <f>IF($W128=1,$X127+1,$X127)</f>
        <v/>
      </c>
      <c r="Y128">
        <f>IFERROR(INDEX($A$4:$A$253,MATCH(125,$X$4:$X$253,0)),"")</f>
        <v/>
      </c>
    </row>
    <row r="129">
      <c r="A129" s="96" t="inlineStr">
        <is>
          <t>RISE 미국배당100데일리고정커버드콜</t>
        </is>
      </c>
      <c r="B129" s="96" t="inlineStr">
        <is>
          <t>490600</t>
        </is>
      </c>
      <c r="C129" s="96" t="inlineStr">
        <is>
          <t>KB자산운용</t>
        </is>
      </c>
      <c r="D129" s="97" t="n">
        <v>8840</v>
      </c>
      <c r="E129" s="97" t="n">
        <v>169286000000</v>
      </c>
      <c r="F129" s="97" t="n">
        <v>2313567290</v>
      </c>
      <c r="G129" s="98" t="n">
        <v>0.0025</v>
      </c>
      <c r="H129" s="98" t="n">
        <v>0.1458</v>
      </c>
      <c r="I129" s="98" t="n">
        <v>0.01</v>
      </c>
      <c r="J129" s="98" t="n">
        <v>0.178394</v>
      </c>
      <c r="K129" s="97" t="n">
        <v>24</v>
      </c>
      <c r="L129" s="99" t="inlineStr">
        <is>
          <t>20260914</t>
        </is>
      </c>
      <c r="M129" s="96" t="inlineStr">
        <is>
          <t>제외</t>
        </is>
      </c>
      <c r="N129" s="96" t="inlineStr">
        <is>
          <t>분배율 대조 불일치(연분배율 계산 17.8394% vs ETFCHECK 16.4819%)</t>
        </is>
      </c>
      <c r="O129" s="96" t="inlineStr">
        <is>
          <t>KEDI U.S. Dividend100 90% Participation + Daily Options Prem</t>
        </is>
      </c>
      <c r="P129" s="96" t="inlineStr">
        <is>
          <t>커버드콜</t>
        </is>
      </c>
      <c r="Q129" s="96" t="inlineStr">
        <is>
          <t>주식</t>
        </is>
      </c>
      <c r="R129" s="96" t="inlineStr">
        <is>
          <t>월배당</t>
        </is>
      </c>
      <c r="S129" s="97" t="n">
        <v>12</v>
      </c>
      <c r="T129" s="98" t="n">
        <v>0.6367</v>
      </c>
      <c r="U129">
        <f>IF(AND($J129&lt;&gt;"",OR(조회_주기="전체",$R129=조회_주기),$J129&gt;=조회_최소,$J129&lt;=조회_최대),1,0)</f>
        <v/>
      </c>
      <c r="V129">
        <f>IF($U129=1,$V128+1,$V128)</f>
        <v/>
      </c>
      <c r="W129">
        <f>IF(검색어="",1,IF(ISNUMBER(SEARCH(검색어,$A129)),1,0))</f>
        <v/>
      </c>
      <c r="X129">
        <f>IF($W129=1,$X128+1,$X128)</f>
        <v/>
      </c>
      <c r="Y129">
        <f>IFERROR(INDEX($A$4:$A$253,MATCH(126,$X$4:$X$253,0)),"")</f>
        <v/>
      </c>
    </row>
    <row r="130">
      <c r="A130" s="96" t="inlineStr">
        <is>
          <t>RISE 테슬라미국채타겟커버드콜혼합(합성)</t>
        </is>
      </c>
      <c r="B130" s="96" t="inlineStr">
        <is>
          <t>0013R0</t>
        </is>
      </c>
      <c r="C130" s="96" t="inlineStr">
        <is>
          <t>KB자산운용</t>
        </is>
      </c>
      <c r="D130" s="97" t="n">
        <v>7900</v>
      </c>
      <c r="E130" s="97" t="n">
        <v>28440000000</v>
      </c>
      <c r="F130" s="97" t="n">
        <v>153541462</v>
      </c>
      <c r="G130" s="98" t="n">
        <v>0.0025</v>
      </c>
      <c r="H130" s="98" t="n">
        <v>0.1865</v>
      </c>
      <c r="I130" s="98" t="n">
        <v>0.0129</v>
      </c>
      <c r="J130" s="98" t="n">
        <v>0.177215</v>
      </c>
      <c r="K130" s="97" t="n">
        <v>18</v>
      </c>
      <c r="L130" s="99" t="inlineStr">
        <is>
          <t>20260828</t>
        </is>
      </c>
      <c r="M130" s="96" t="inlineStr">
        <is>
          <t>제외</t>
        </is>
      </c>
      <c r="N130" s="96" t="inlineStr">
        <is>
          <t>순자산 284억(기준 300억 미만), 60일 거래대금 1.5억(기준 5억 미만)</t>
        </is>
      </c>
      <c r="O130" s="96" t="inlineStr">
        <is>
          <t>KEDI Tesla U.S. 30Y Treasury 15% Target Premium Balanced Ind</t>
        </is>
      </c>
      <c r="P130" s="96" t="inlineStr">
        <is>
          <t>커버드콜</t>
        </is>
      </c>
      <c r="Q130" s="96" t="inlineStr">
        <is>
          <t>멀티에셋</t>
        </is>
      </c>
      <c r="R130" s="96" t="inlineStr">
        <is>
          <t>월배당</t>
        </is>
      </c>
      <c r="S130" s="97" t="n">
        <v>11</v>
      </c>
      <c r="T130" s="98" t="n">
        <v>0.7736</v>
      </c>
      <c r="U130">
        <f>IF(AND($J130&lt;&gt;"",OR(조회_주기="전체",$R130=조회_주기),$J130&gt;=조회_최소,$J130&lt;=조회_최대),1,0)</f>
        <v/>
      </c>
      <c r="V130">
        <f>IF($U130=1,$V129+1,$V129)</f>
        <v/>
      </c>
      <c r="W130">
        <f>IF(검색어="",1,IF(ISNUMBER(SEARCH(검색어,$A130)),1,0))</f>
        <v/>
      </c>
      <c r="X130">
        <f>IF($W130=1,$X129+1,$X129)</f>
        <v/>
      </c>
      <c r="Y130">
        <f>IFERROR(INDEX($A$4:$A$253,MATCH(127,$X$4:$X$253,0)),"")</f>
        <v/>
      </c>
    </row>
    <row r="131">
      <c r="A131" s="96" t="inlineStr">
        <is>
          <t>KODEX 200타겟위클리커버드콜</t>
        </is>
      </c>
      <c r="B131" s="96" t="inlineStr">
        <is>
          <t>498400</t>
        </is>
      </c>
      <c r="C131" s="96" t="inlineStr">
        <is>
          <t>삼성자산운용(ETF)</t>
        </is>
      </c>
      <c r="D131" s="97" t="n">
        <v>20275</v>
      </c>
      <c r="E131" s="97" t="n">
        <v>5989235000000</v>
      </c>
      <c r="F131" s="97" t="n">
        <v>169439998636</v>
      </c>
      <c r="G131" s="98" t="n">
        <v>0.0039</v>
      </c>
      <c r="H131" s="98" t="n">
        <v>0.5659000000000001</v>
      </c>
      <c r="I131" s="98" t="n">
        <v>0.0145</v>
      </c>
      <c r="J131" s="98" t="n">
        <v>0.15418</v>
      </c>
      <c r="K131" s="97" t="n">
        <v>21</v>
      </c>
      <c r="L131" s="99" t="inlineStr">
        <is>
          <t>20260914</t>
        </is>
      </c>
      <c r="M131" s="96" t="inlineStr">
        <is>
          <t>제외</t>
        </is>
      </c>
      <c r="N131" s="96" t="inlineStr">
        <is>
          <t>변동성 56.6%(1년 기준, 기준 35% 초과)</t>
        </is>
      </c>
      <c r="O131" s="96" t="inlineStr">
        <is>
          <t>코스피 200 타겟 15% 위클리 커버드콜 지수</t>
        </is>
      </c>
      <c r="P131" s="96" t="inlineStr">
        <is>
          <t>커버드콜</t>
        </is>
      </c>
      <c r="Q131" s="96" t="inlineStr">
        <is>
          <t>주식</t>
        </is>
      </c>
      <c r="R131" s="96" t="inlineStr">
        <is>
          <t>월배당</t>
        </is>
      </c>
      <c r="S131" s="97" t="n">
        <v>12</v>
      </c>
      <c r="T131" s="98" t="n">
        <v>0.0384</v>
      </c>
      <c r="U131">
        <f>IF(AND($J131&lt;&gt;"",OR(조회_주기="전체",$R131=조회_주기),$J131&gt;=조회_최소,$J131&lt;=조회_최대),1,0)</f>
        <v/>
      </c>
      <c r="V131">
        <f>IF($U131=1,$V130+1,$V130)</f>
        <v/>
      </c>
      <c r="W131">
        <f>IF(검색어="",1,IF(ISNUMBER(SEARCH(검색어,$A131)),1,0))</f>
        <v/>
      </c>
      <c r="X131">
        <f>IF($W131=1,$X130+1,$X130)</f>
        <v/>
      </c>
      <c r="Y131">
        <f>IFERROR(INDEX($A$4:$A$253,MATCH(128,$X$4:$X$253,0)),"")</f>
        <v/>
      </c>
    </row>
    <row r="132">
      <c r="A132" s="96" t="inlineStr">
        <is>
          <t>RISE 차이나테크TOP10위클리타겟커버드콜</t>
        </is>
      </c>
      <c r="B132" s="96" t="inlineStr">
        <is>
          <t>0094L0</t>
        </is>
      </c>
      <c r="C132" s="96" t="inlineStr">
        <is>
          <t>KB자산운용</t>
        </is>
      </c>
      <c r="D132" s="97" t="n">
        <v>7070</v>
      </c>
      <c r="E132" s="97" t="n">
        <v>9898000000</v>
      </c>
      <c r="F132" s="97" t="n">
        <v>58835397</v>
      </c>
      <c r="G132" s="98" t="n">
        <v>0.003</v>
      </c>
      <c r="H132" s="98" t="n">
        <v>0.2782</v>
      </c>
      <c r="I132" s="98" t="n">
        <v>0.0097</v>
      </c>
      <c r="J132" s="98" t="n">
        <v>0.154173</v>
      </c>
      <c r="K132" s="97" t="n">
        <v>12</v>
      </c>
      <c r="L132" s="99" t="inlineStr">
        <is>
          <t>20260828</t>
        </is>
      </c>
      <c r="M132" s="96" t="inlineStr">
        <is>
          <t>제외</t>
        </is>
      </c>
      <c r="N132" s="96" t="inlineStr">
        <is>
          <t>순자산 99억(기준 300억 미만), 60일 거래대금 0.6억(기준 5억 미만)</t>
        </is>
      </c>
      <c r="O132" s="96" t="inlineStr">
        <is>
          <t>Bloomberg China Tech Select Top 10 + 12% Target Premium Week</t>
        </is>
      </c>
      <c r="P132" s="96" t="inlineStr">
        <is>
          <t>커버드콜</t>
        </is>
      </c>
      <c r="Q132" s="96" t="inlineStr">
        <is>
          <t>주식</t>
        </is>
      </c>
      <c r="R132" s="96" t="inlineStr">
        <is>
          <t>월배당</t>
        </is>
      </c>
      <c r="S132" s="97" t="n">
        <v>11</v>
      </c>
      <c r="T132" s="98" t="n">
        <v>0.367</v>
      </c>
      <c r="U132">
        <f>IF(AND($J132&lt;&gt;"",OR(조회_주기="전체",$R132=조회_주기),$J132&gt;=조회_최소,$J132&lt;=조회_최대),1,0)</f>
        <v/>
      </c>
      <c r="V132">
        <f>IF($U132=1,$V131+1,$V131)</f>
        <v/>
      </c>
      <c r="W132">
        <f>IF(검색어="",1,IF(ISNUMBER(SEARCH(검색어,$A132)),1,0))</f>
        <v/>
      </c>
      <c r="X132">
        <f>IF($W132=1,$X131+1,$X131)</f>
        <v/>
      </c>
      <c r="Y132">
        <f>IFERROR(INDEX($A$4:$A$253,MATCH(129,$X$4:$X$253,0)),"")</f>
        <v/>
      </c>
    </row>
    <row r="133">
      <c r="A133" s="96" t="inlineStr">
        <is>
          <t>PLUS 미국배당증가성장주데일리커버드콜</t>
        </is>
      </c>
      <c r="B133" s="96" t="inlineStr">
        <is>
          <t>494420</t>
        </is>
      </c>
      <c r="C133" s="96" t="inlineStr">
        <is>
          <t>한화자산운용</t>
        </is>
      </c>
      <c r="D133" s="97" t="n">
        <v>8740</v>
      </c>
      <c r="E133" s="97" t="n">
        <v>15732000000</v>
      </c>
      <c r="F133" s="97" t="n">
        <v>113423922</v>
      </c>
      <c r="G133" s="98" t="n">
        <v>0.0039</v>
      </c>
      <c r="H133" s="98" t="n">
        <v>0.144</v>
      </c>
      <c r="I133" s="98" t="n">
        <v>0.0119</v>
      </c>
      <c r="J133" s="98" t="n">
        <v>0.148055</v>
      </c>
      <c r="K133" s="97" t="n">
        <v>23</v>
      </c>
      <c r="L133" s="99" t="inlineStr">
        <is>
          <t>20260914</t>
        </is>
      </c>
      <c r="M133" s="96" t="inlineStr">
        <is>
          <t>제외</t>
        </is>
      </c>
      <c r="N133" s="96" t="inlineStr">
        <is>
          <t>순자산 157억(기준 300억 미만), 60일 거래대금 1.1억(기준 5억 미만)</t>
        </is>
      </c>
      <c r="O133" s="96" t="inlineStr">
        <is>
          <t>Bloomberg U.S. Dividend Growth Partial Covered Call Index</t>
        </is>
      </c>
      <c r="P133" s="96" t="inlineStr">
        <is>
          <t>커버드콜</t>
        </is>
      </c>
      <c r="Q133" s="96" t="inlineStr">
        <is>
          <t>주식</t>
        </is>
      </c>
      <c r="R133" s="96" t="inlineStr">
        <is>
          <t>월배당</t>
        </is>
      </c>
      <c r="S133" s="97" t="n">
        <v>12</v>
      </c>
      <c r="T133" s="98" t="n">
        <v>0.9196</v>
      </c>
      <c r="U133">
        <f>IF(AND($J133&lt;&gt;"",OR(조회_주기="전체",$R133=조회_주기),$J133&gt;=조회_최소,$J133&lt;=조회_최대),1,0)</f>
        <v/>
      </c>
      <c r="V133">
        <f>IF($U133=1,$V132+1,$V132)</f>
        <v/>
      </c>
      <c r="W133">
        <f>IF(검색어="",1,IF(ISNUMBER(SEARCH(검색어,$A133)),1,0))</f>
        <v/>
      </c>
      <c r="X133">
        <f>IF($W133=1,$X132+1,$X132)</f>
        <v/>
      </c>
      <c r="Y133">
        <f>IFERROR(INDEX($A$4:$A$253,MATCH(130,$X$4:$X$253,0)),"")</f>
        <v/>
      </c>
    </row>
    <row r="134">
      <c r="A134" s="96" t="inlineStr">
        <is>
          <t>FOCUS 알리바바미국채커버드콜혼합</t>
        </is>
      </c>
      <c r="B134" s="96" t="inlineStr">
        <is>
          <t>0073X0</t>
        </is>
      </c>
      <c r="C134" s="96" t="inlineStr">
        <is>
          <t>브이아이자산운용</t>
        </is>
      </c>
      <c r="D134" s="97" t="n">
        <v>8800</v>
      </c>
      <c r="E134" s="97" t="n">
        <v>4840000000</v>
      </c>
      <c r="F134" s="97" t="n">
        <v>30172718</v>
      </c>
      <c r="G134" s="98" t="n">
        <v>0.0036</v>
      </c>
      <c r="H134" s="98" t="n">
        <v>0.1645</v>
      </c>
      <c r="I134" s="98" t="n">
        <v>0.0091</v>
      </c>
      <c r="J134" s="98" t="n">
        <v>0.146023</v>
      </c>
      <c r="K134" s="97" t="n">
        <v>14</v>
      </c>
      <c r="L134" s="99" t="inlineStr">
        <is>
          <t>20260828</t>
        </is>
      </c>
      <c r="M134" s="96" t="inlineStr">
        <is>
          <t>제외</t>
        </is>
      </c>
      <c r="N134" s="96" t="inlineStr">
        <is>
          <t>순자산 48억(기준 300억 미만), 60일 거래대금 0.3억(기준 5억 미만)</t>
        </is>
      </c>
      <c r="O134" s="96" t="inlineStr">
        <is>
          <t>KEDI 알리바바 미국채커버드콜혼합지수(TR)</t>
        </is>
      </c>
      <c r="P134" s="96" t="inlineStr">
        <is>
          <t>커버드콜</t>
        </is>
      </c>
      <c r="Q134" s="96" t="inlineStr">
        <is>
          <t>멀티에셋</t>
        </is>
      </c>
      <c r="R134" s="96" t="inlineStr">
        <is>
          <t>월배당</t>
        </is>
      </c>
      <c r="S134" s="97" t="n">
        <v>11</v>
      </c>
      <c r="T134" s="98" t="n">
        <v>0.8615</v>
      </c>
      <c r="U134">
        <f>IF(AND($J134&lt;&gt;"",OR(조회_주기="전체",$R134=조회_주기),$J134&gt;=조회_최소,$J134&lt;=조회_최대),1,0)</f>
        <v/>
      </c>
      <c r="V134">
        <f>IF($U134=1,$V133+1,$V133)</f>
        <v/>
      </c>
      <c r="W134">
        <f>IF(검색어="",1,IF(ISNUMBER(SEARCH(검색어,$A134)),1,0))</f>
        <v/>
      </c>
      <c r="X134">
        <f>IF($W134=1,$X133+1,$X133)</f>
        <v/>
      </c>
      <c r="Y134">
        <f>IFERROR(INDEX($A$4:$A$253,MATCH(131,$X$4:$X$253,0)),"")</f>
        <v/>
      </c>
    </row>
    <row r="135">
      <c r="A135" s="96" t="inlineStr">
        <is>
          <t>TIGER 엔비디아미국채커버드콜밸런스(합성)</t>
        </is>
      </c>
      <c r="B135" s="96" t="inlineStr">
        <is>
          <t>0000D0</t>
        </is>
      </c>
      <c r="C135" s="96" t="inlineStr">
        <is>
          <t>미래에셋자산운용</t>
        </is>
      </c>
      <c r="D135" s="97" t="n">
        <v>9010</v>
      </c>
      <c r="E135" s="97" t="n">
        <v>62169000000</v>
      </c>
      <c r="F135" s="97" t="n">
        <v>347016407</v>
      </c>
      <c r="G135" s="98" t="n">
        <v>0.0039</v>
      </c>
      <c r="H135" s="98" t="n">
        <v>0.1692</v>
      </c>
      <c r="I135" s="98" t="n">
        <v>0.009899999999999999</v>
      </c>
      <c r="J135" s="98" t="n">
        <v>0.133518</v>
      </c>
      <c r="K135" s="97" t="n">
        <v>21</v>
      </c>
      <c r="L135" s="99" t="inlineStr">
        <is>
          <t>20260828</t>
        </is>
      </c>
      <c r="M135" s="96" t="inlineStr">
        <is>
          <t>제외</t>
        </is>
      </c>
      <c r="N135" s="96" t="inlineStr">
        <is>
          <t>60일 거래대금 3.5억(기준 5억 미만)</t>
        </is>
      </c>
      <c r="O135" s="96" t="inlineStr">
        <is>
          <t>KEDI Nvidia U.S. 30Y Treasury Target Covered Call Balanced I</t>
        </is>
      </c>
      <c r="P135" s="96" t="inlineStr">
        <is>
          <t>커버드콜</t>
        </is>
      </c>
      <c r="Q135" s="96" t="inlineStr">
        <is>
          <t>멀티에셋</t>
        </is>
      </c>
      <c r="R135" s="96" t="inlineStr">
        <is>
          <t>월배당</t>
        </is>
      </c>
      <c r="S135" s="97" t="n">
        <v>11</v>
      </c>
      <c r="T135" s="98" t="n">
        <v>0.8454</v>
      </c>
      <c r="U135">
        <f>IF(AND($J135&lt;&gt;"",OR(조회_주기="전체",$R135=조회_주기),$J135&gt;=조회_최소,$J135&lt;=조회_최대),1,0)</f>
        <v/>
      </c>
      <c r="V135">
        <f>IF($U135=1,$V134+1,$V134)</f>
        <v/>
      </c>
      <c r="W135">
        <f>IF(검색어="",1,IF(ISNUMBER(SEARCH(검색어,$A135)),1,0))</f>
        <v/>
      </c>
      <c r="X135">
        <f>IF($W135=1,$X134+1,$X134)</f>
        <v/>
      </c>
      <c r="Y135">
        <f>IFERROR(INDEX($A$4:$A$253,MATCH(132,$X$4:$X$253,0)),"")</f>
        <v/>
      </c>
    </row>
    <row r="136">
      <c r="A136" s="96" t="inlineStr">
        <is>
          <t>SOL 미국500타겟데일리커버드콜액티브</t>
        </is>
      </c>
      <c r="B136" s="96" t="inlineStr">
        <is>
          <t>494210</t>
        </is>
      </c>
      <c r="C136" s="96" t="inlineStr">
        <is>
          <t>신한자산운용</t>
        </is>
      </c>
      <c r="D136" s="97" t="n">
        <v>10810</v>
      </c>
      <c r="E136" s="97" t="n">
        <v>7567000000</v>
      </c>
      <c r="F136" s="97" t="n">
        <v>67275011</v>
      </c>
      <c r="G136" s="98" t="n">
        <v>0.0035</v>
      </c>
      <c r="H136" s="98" t="n">
        <v>0.1578</v>
      </c>
      <c r="I136" s="98" t="n">
        <v>0.01</v>
      </c>
      <c r="J136" s="98" t="n">
        <v>0.124237</v>
      </c>
      <c r="K136" s="97" t="n">
        <v>22</v>
      </c>
      <c r="L136" s="99" t="inlineStr">
        <is>
          <t>20260828</t>
        </is>
      </c>
      <c r="M136" s="96" t="inlineStr">
        <is>
          <t>제외</t>
        </is>
      </c>
      <c r="N136" s="96" t="inlineStr">
        <is>
          <t>순자산 76억(기준 300억 미만), 60일 거래대금 0.7억(기준 5억 미만)</t>
        </is>
      </c>
      <c r="O136" s="96" t="inlineStr">
        <is>
          <t>KEDI U.S. Quality500 + Monthly 1% Premium Index NTR</t>
        </is>
      </c>
      <c r="P136" s="96" t="inlineStr">
        <is>
          <t>커버드콜</t>
        </is>
      </c>
      <c r="Q136" s="96" t="inlineStr">
        <is>
          <t>주식</t>
        </is>
      </c>
      <c r="R136" s="96" t="inlineStr">
        <is>
          <t>월배당</t>
        </is>
      </c>
      <c r="S136" s="97" t="n">
        <v>11</v>
      </c>
      <c r="T136" s="98" t="n">
        <v>1</v>
      </c>
      <c r="U136">
        <f>IF(AND($J136&lt;&gt;"",OR(조회_주기="전체",$R136=조회_주기),$J136&gt;=조회_최소,$J136&lt;=조회_최대),1,0)</f>
        <v/>
      </c>
      <c r="V136">
        <f>IF($U136=1,$V135+1,$V135)</f>
        <v/>
      </c>
      <c r="W136">
        <f>IF(검색어="",1,IF(ISNUMBER(SEARCH(검색어,$A136)),1,0))</f>
        <v/>
      </c>
      <c r="X136">
        <f>IF($W136=1,$X135+1,$X135)</f>
        <v/>
      </c>
      <c r="Y136">
        <f>IFERROR(INDEX($A$4:$A$253,MATCH(133,$X$4:$X$253,0)),"")</f>
        <v/>
      </c>
    </row>
    <row r="137">
      <c r="A137" s="96" t="inlineStr">
        <is>
          <t>TIGER 미국S&amp;P500타겟데일리커버드콜</t>
        </is>
      </c>
      <c r="B137" s="96" t="inlineStr">
        <is>
          <t>482730</t>
        </is>
      </c>
      <c r="C137" s="96" t="inlineStr">
        <is>
          <t>미래에셋자산운용</t>
        </is>
      </c>
      <c r="D137" s="97" t="n">
        <v>11625</v>
      </c>
      <c r="E137" s="97" t="n">
        <v>668437500000</v>
      </c>
      <c r="F137" s="97" t="n">
        <v>4836916759</v>
      </c>
      <c r="G137" s="98" t="n">
        <v>0.0025</v>
      </c>
      <c r="H137" s="98" t="n">
        <v>0.1486</v>
      </c>
      <c r="I137" s="98" t="n">
        <v>0.01</v>
      </c>
      <c r="J137" s="98" t="n">
        <v>0.113548</v>
      </c>
      <c r="K137" s="97" t="n">
        <v>28</v>
      </c>
      <c r="L137" s="99" t="inlineStr">
        <is>
          <t>20260914</t>
        </is>
      </c>
      <c r="M137" s="96" t="inlineStr">
        <is>
          <t>제외</t>
        </is>
      </c>
      <c r="N137" s="96" t="inlineStr">
        <is>
          <t>분배율 대조 불일치(연분배율 계산 11.3548% vs ETFCHECK 10.5331%)</t>
        </is>
      </c>
      <c r="O137" s="96" t="inlineStr">
        <is>
          <t>S&amp;P 500 10% Daily Premium Covered Call Index (USD) PR</t>
        </is>
      </c>
      <c r="P137" s="96" t="inlineStr">
        <is>
          <t>커버드콜</t>
        </is>
      </c>
      <c r="Q137" s="96" t="inlineStr">
        <is>
          <t>주식</t>
        </is>
      </c>
      <c r="R137" s="96" t="inlineStr">
        <is>
          <t>월배당</t>
        </is>
      </c>
      <c r="S137" s="97" t="n">
        <v>12</v>
      </c>
      <c r="T137" s="98" t="n">
        <v>1</v>
      </c>
      <c r="U137">
        <f>IF(AND($J137&lt;&gt;"",OR(조회_주기="전체",$R137=조회_주기),$J137&gt;=조회_최소,$J137&lt;=조회_최대),1,0)</f>
        <v/>
      </c>
      <c r="V137">
        <f>IF($U137=1,$V136+1,$V136)</f>
        <v/>
      </c>
      <c r="W137">
        <f>IF(검색어="",1,IF(ISNUMBER(SEARCH(검색어,$A137)),1,0))</f>
        <v/>
      </c>
      <c r="X137">
        <f>IF($W137=1,$X136+1,$X136)</f>
        <v/>
      </c>
      <c r="Y137">
        <f>IFERROR(INDEX($A$4:$A$253,MATCH(134,$X$4:$X$253,0)),"")</f>
        <v/>
      </c>
    </row>
    <row r="138">
      <c r="A138" s="96" t="inlineStr">
        <is>
          <t>RISE 미국30년국채커버드콜(합성)</t>
        </is>
      </c>
      <c r="B138" s="96" t="inlineStr">
        <is>
          <t>472830</t>
        </is>
      </c>
      <c r="C138" s="96" t="inlineStr">
        <is>
          <t>KB자산운용</t>
        </is>
      </c>
      <c r="D138" s="97" t="n">
        <v>7880</v>
      </c>
      <c r="E138" s="97" t="n">
        <v>43734000000</v>
      </c>
      <c r="F138" s="97" t="n">
        <v>280434337</v>
      </c>
      <c r="G138" s="98" t="n">
        <v>0.0025</v>
      </c>
      <c r="H138" s="98" t="n">
        <v>0.142</v>
      </c>
      <c r="I138" s="98" t="n">
        <v>0.0067</v>
      </c>
      <c r="J138" s="98" t="n">
        <v>0.112437</v>
      </c>
      <c r="K138" s="97" t="n">
        <v>32</v>
      </c>
      <c r="L138" s="99" t="inlineStr">
        <is>
          <t>20260828</t>
        </is>
      </c>
      <c r="M138" s="96" t="inlineStr">
        <is>
          <t>제외</t>
        </is>
      </c>
      <c r="N138" s="96" t="inlineStr">
        <is>
          <t>60일 거래대금 2.8억(기준 5억 미만)</t>
        </is>
      </c>
      <c r="O138" s="96" t="inlineStr">
        <is>
          <t>Bloomberg U.S. Treasury 20+ Year(TLT) 2% OTM Covered Call In</t>
        </is>
      </c>
      <c r="P138" s="96" t="inlineStr">
        <is>
          <t>커버드콜</t>
        </is>
      </c>
      <c r="Q138" s="96" t="inlineStr">
        <is>
          <t>채권</t>
        </is>
      </c>
      <c r="R138" s="96" t="inlineStr">
        <is>
          <t>월배당</t>
        </is>
      </c>
      <c r="S138" s="97" t="n">
        <v>11</v>
      </c>
      <c r="T138" s="98" t="n">
        <v>0.7765</v>
      </c>
      <c r="U138">
        <f>IF(AND($J138&lt;&gt;"",OR(조회_주기="전체",$R138=조회_주기),$J138&gt;=조회_최소,$J138&lt;=조회_최대),1,0)</f>
        <v/>
      </c>
      <c r="V138">
        <f>IF($U138=1,$V137+1,$V137)</f>
        <v/>
      </c>
      <c r="W138">
        <f>IF(검색어="",1,IF(ISNUMBER(SEARCH(검색어,$A138)),1,0))</f>
        <v/>
      </c>
      <c r="X138">
        <f>IF($W138=1,$X137+1,$X137)</f>
        <v/>
      </c>
      <c r="Y138">
        <f>IFERROR(INDEX($A$4:$A$253,MATCH(135,$X$4:$X$253,0)),"")</f>
        <v/>
      </c>
    </row>
    <row r="139">
      <c r="A139" s="96" t="inlineStr">
        <is>
          <t>RISE 200고배당커버드콜ATM</t>
        </is>
      </c>
      <c r="B139" s="96" t="inlineStr">
        <is>
          <t>290080</t>
        </is>
      </c>
      <c r="C139" s="96" t="inlineStr">
        <is>
          <t>KB자산운용</t>
        </is>
      </c>
      <c r="D139" s="97" t="n">
        <v>7405</v>
      </c>
      <c r="E139" s="97" t="n">
        <v>12588500000</v>
      </c>
      <c r="F139" s="97" t="n">
        <v>169419586</v>
      </c>
      <c r="G139" s="98" t="n">
        <v>0.004</v>
      </c>
      <c r="H139" s="98" t="n">
        <v>0.3097</v>
      </c>
      <c r="I139" s="98" t="n">
        <v>0.008100000000000001</v>
      </c>
      <c r="J139" s="98" t="n">
        <v>0.106955</v>
      </c>
      <c r="K139" s="97" t="n">
        <v>49</v>
      </c>
      <c r="L139" s="99" t="inlineStr">
        <is>
          <t>20260828</t>
        </is>
      </c>
      <c r="M139" s="96" t="inlineStr">
        <is>
          <t>제외</t>
        </is>
      </c>
      <c r="N139" s="96" t="inlineStr">
        <is>
          <t>순자산 126억(기준 300억 미만), 60일 거래대금 1.7억(기준 5억 미만)</t>
        </is>
      </c>
      <c r="O139" s="96" t="inlineStr">
        <is>
          <t>코스피 200 고배당 커버드콜 ATM</t>
        </is>
      </c>
      <c r="P139" s="96" t="inlineStr">
        <is>
          <t>커버드콜</t>
        </is>
      </c>
      <c r="Q139" s="96" t="inlineStr">
        <is>
          <t>주식</t>
        </is>
      </c>
      <c r="R139" s="96" t="inlineStr">
        <is>
          <t>월배당</t>
        </is>
      </c>
      <c r="S139" s="97" t="n">
        <v>11</v>
      </c>
      <c r="T139" s="98" t="n">
        <v>0.3674</v>
      </c>
      <c r="U139">
        <f>IF(AND($J139&lt;&gt;"",OR(조회_주기="전체",$R139=조회_주기),$J139&gt;=조회_최소,$J139&lt;=조회_최대),1,0)</f>
        <v/>
      </c>
      <c r="V139">
        <f>IF($U139=1,$V138+1,$V138)</f>
        <v/>
      </c>
      <c r="W139">
        <f>IF(검색어="",1,IF(ISNUMBER(SEARCH(검색어,$A139)),1,0))</f>
        <v/>
      </c>
      <c r="X139">
        <f>IF($W139=1,$X138+1,$X138)</f>
        <v/>
      </c>
      <c r="Y139">
        <f>IFERROR(INDEX($A$4:$A$253,MATCH(136,$X$4:$X$253,0)),"")</f>
        <v/>
      </c>
    </row>
    <row r="140">
      <c r="A140" s="96" t="inlineStr">
        <is>
          <t>ACE 미국배당퀄리티+커버드콜액티브</t>
        </is>
      </c>
      <c r="B140" s="96" t="inlineStr">
        <is>
          <t>0049M0</t>
        </is>
      </c>
      <c r="C140" s="96" t="inlineStr">
        <is>
          <t>한국투신운용(ETF)</t>
        </is>
      </c>
      <c r="D140" s="97" t="n">
        <v>11185</v>
      </c>
      <c r="E140" s="97" t="n">
        <v>78854250000</v>
      </c>
      <c r="F140" s="97" t="n">
        <v>365439875</v>
      </c>
      <c r="G140" s="98" t="n">
        <v>0.0015</v>
      </c>
      <c r="H140" s="98" t="n">
        <v>0.1292</v>
      </c>
      <c r="I140" s="98" t="n">
        <v>0.006</v>
      </c>
      <c r="J140" s="98" t="n">
        <v>0.074475</v>
      </c>
      <c r="K140" s="97" t="n">
        <v>15</v>
      </c>
      <c r="L140" s="99" t="inlineStr">
        <is>
          <t>20260828</t>
        </is>
      </c>
      <c r="M140" s="96" t="inlineStr">
        <is>
          <t>제외</t>
        </is>
      </c>
      <c r="N140" s="96" t="inlineStr">
        <is>
          <t>60일 거래대금 3.7억(기준 5억 미만)</t>
        </is>
      </c>
      <c r="O140" s="96" t="inlineStr">
        <is>
          <t>Bloomberg WisdomTree U.S. Quality Dividend &amp; B500 Premium De</t>
        </is>
      </c>
      <c r="P140" s="96" t="inlineStr">
        <is>
          <t>커버드콜</t>
        </is>
      </c>
      <c r="Q140" s="96" t="inlineStr">
        <is>
          <t>주식</t>
        </is>
      </c>
      <c r="R140" s="96" t="inlineStr">
        <is>
          <t>월배당</t>
        </is>
      </c>
      <c r="S140" s="97" t="n">
        <v>11</v>
      </c>
      <c r="T140" s="98" t="n">
        <v>1</v>
      </c>
      <c r="U140">
        <f>IF(AND($J140&lt;&gt;"",OR(조회_주기="전체",$R140=조회_주기),$J140&gt;=조회_최소,$J140&lt;=조회_최대),1,0)</f>
        <v/>
      </c>
      <c r="V140">
        <f>IF($U140=1,$V139+1,$V139)</f>
        <v/>
      </c>
      <c r="W140">
        <f>IF(검색어="",1,IF(ISNUMBER(SEARCH(검색어,$A140)),1,0))</f>
        <v/>
      </c>
      <c r="X140">
        <f>IF($W140=1,$X139+1,$X139)</f>
        <v/>
      </c>
      <c r="Y140">
        <f>IFERROR(INDEX($A$4:$A$253,MATCH(137,$X$4:$X$253,0)),"")</f>
        <v/>
      </c>
    </row>
    <row r="141">
      <c r="A141" s="96" t="inlineStr">
        <is>
          <t>TIME Korea플러스배당액티브</t>
        </is>
      </c>
      <c r="B141" s="96" t="inlineStr">
        <is>
          <t>441800</t>
        </is>
      </c>
      <c r="C141" s="96" t="inlineStr">
        <is>
          <t>타임폴리오자산운용</t>
        </is>
      </c>
      <c r="D141" s="97" t="n">
        <v>28690</v>
      </c>
      <c r="E141" s="97" t="n">
        <v>786679800000</v>
      </c>
      <c r="F141" s="97" t="n">
        <v>11022021819</v>
      </c>
      <c r="G141" s="98" t="n">
        <v>0.008</v>
      </c>
      <c r="H141" s="98" t="n">
        <v>0.4891</v>
      </c>
      <c r="I141" s="98" t="n">
        <v>0.005</v>
      </c>
      <c r="J141" s="98" t="n">
        <v>0.07249900000000001</v>
      </c>
      <c r="K141" s="97" t="n">
        <v>47</v>
      </c>
      <c r="L141" s="99" t="inlineStr">
        <is>
          <t>20260828</t>
        </is>
      </c>
      <c r="M141" s="96" t="inlineStr">
        <is>
          <t>제외</t>
        </is>
      </c>
      <c r="N141" s="96" t="inlineStr">
        <is>
          <t>변동성 48.9%(1년 기준, 기준 35% 초과)</t>
        </is>
      </c>
      <c r="O141" s="96" t="inlineStr">
        <is>
          <t>KOSPI 200</t>
        </is>
      </c>
      <c r="P141" s="96" t="inlineStr">
        <is>
          <t>일반</t>
        </is>
      </c>
      <c r="Q141" s="96" t="inlineStr">
        <is>
          <t>주식</t>
        </is>
      </c>
      <c r="R141" s="96" t="inlineStr">
        <is>
          <t>월배당</t>
        </is>
      </c>
      <c r="S141" s="97" t="n">
        <v>11</v>
      </c>
      <c r="T141" s="98" t="n">
        <v>0.1534</v>
      </c>
      <c r="U141">
        <f>IF(AND($J141&lt;&gt;"",OR(조회_주기="전체",$R141=조회_주기),$J141&gt;=조회_최소,$J141&lt;=조회_최대),1,0)</f>
        <v/>
      </c>
      <c r="V141">
        <f>IF($U141=1,$V140+1,$V140)</f>
        <v/>
      </c>
      <c r="W141">
        <f>IF(검색어="",1,IF(ISNUMBER(SEARCH(검색어,$A141)),1,0))</f>
        <v/>
      </c>
      <c r="X141">
        <f>IF($W141=1,$X140+1,$X140)</f>
        <v/>
      </c>
      <c r="Y141">
        <f>IFERROR(INDEX($A$4:$A$253,MATCH(138,$X$4:$X$253,0)),"")</f>
        <v/>
      </c>
    </row>
    <row r="142">
      <c r="A142" s="96" t="inlineStr">
        <is>
          <t>TIGER 리츠부동산인프라TOP10액티브</t>
        </is>
      </c>
      <c r="B142" s="96" t="inlineStr">
        <is>
          <t>0086B0</t>
        </is>
      </c>
      <c r="C142" s="96" t="inlineStr">
        <is>
          <t>미래에셋자산운용</t>
        </is>
      </c>
      <c r="D142" s="97" t="n">
        <v>9380</v>
      </c>
      <c r="E142" s="97" t="n">
        <v>45962000000</v>
      </c>
      <c r="F142" s="97" t="n">
        <v>219243998</v>
      </c>
      <c r="G142" s="98" t="n">
        <v>0.0005999999999999999</v>
      </c>
      <c r="H142" s="98" t="n">
        <v>0.1717</v>
      </c>
      <c r="I142" s="98" t="n">
        <v>0.005699999999999999</v>
      </c>
      <c r="J142" s="98" t="n">
        <v>0.06908299999999999</v>
      </c>
      <c r="K142" s="97" t="n">
        <v>13</v>
      </c>
      <c r="L142" s="99" t="inlineStr">
        <is>
          <t>20260914</t>
        </is>
      </c>
      <c r="M142" s="96" t="inlineStr">
        <is>
          <t>제외</t>
        </is>
      </c>
      <c r="N142" s="96" t="inlineStr">
        <is>
          <t>60일 거래대금 2.2억(기준 5억 미만)</t>
        </is>
      </c>
      <c r="O142" s="96" t="inlineStr">
        <is>
          <t>KEDI 리츠부동산인프라TOP10 지수</t>
        </is>
      </c>
      <c r="P142" s="96" t="inlineStr">
        <is>
          <t>일반</t>
        </is>
      </c>
      <c r="Q142" s="96" t="inlineStr">
        <is>
          <t>부동산</t>
        </is>
      </c>
      <c r="R142" s="96" t="inlineStr">
        <is>
          <t>월배당</t>
        </is>
      </c>
      <c r="S142" s="97" t="n">
        <v>12</v>
      </c>
      <c r="T142" s="98" t="n">
        <v>0.8889</v>
      </c>
      <c r="U142">
        <f>IF(AND($J142&lt;&gt;"",OR(조회_주기="전체",$R142=조회_주기),$J142&gt;=조회_최소,$J142&lt;=조회_최대),1,0)</f>
        <v/>
      </c>
      <c r="V142">
        <f>IF($U142=1,$V141+1,$V141)</f>
        <v/>
      </c>
      <c r="W142">
        <f>IF(검색어="",1,IF(ISNUMBER(SEARCH(검색어,$A142)),1,0))</f>
        <v/>
      </c>
      <c r="X142">
        <f>IF($W142=1,$X141+1,$X141)</f>
        <v/>
      </c>
      <c r="Y142">
        <f>IFERROR(INDEX($A$4:$A$253,MATCH(139,$X$4:$X$253,0)),"")</f>
        <v/>
      </c>
    </row>
    <row r="143">
      <c r="A143" s="96" t="inlineStr">
        <is>
          <t>TIGER 200커버드콜</t>
        </is>
      </c>
      <c r="B143" s="96" t="inlineStr">
        <is>
          <t>289480</t>
        </is>
      </c>
      <c r="C143" s="96" t="inlineStr">
        <is>
          <t>미래에셋자산운용</t>
        </is>
      </c>
      <c r="D143" s="97" t="n">
        <v>12955</v>
      </c>
      <c r="E143" s="97" t="n">
        <v>27205500000</v>
      </c>
      <c r="F143" s="97" t="n">
        <v>431927731</v>
      </c>
      <c r="G143" s="98" t="n">
        <v>0.0038</v>
      </c>
      <c r="H143" s="98" t="n">
        <v>0.3836</v>
      </c>
      <c r="I143" s="98" t="n">
        <v>0.0069</v>
      </c>
      <c r="J143" s="98" t="n">
        <v>0.068854</v>
      </c>
      <c r="K143" s="97" t="n">
        <v>51</v>
      </c>
      <c r="L143" s="99" t="inlineStr">
        <is>
          <t>20260828</t>
        </is>
      </c>
      <c r="M143" s="96" t="inlineStr">
        <is>
          <t>제외</t>
        </is>
      </c>
      <c r="N143" s="96" t="inlineStr">
        <is>
          <t>순자산 272억(기준 300억 미만), 60일 거래대금 4.3억(기준 5억 미만), 변동성 38.4%(1년 기준, 기준 35% 초과)</t>
        </is>
      </c>
      <c r="O143" s="96" t="inlineStr">
        <is>
          <t>코스피 200 커버드콜 ATM</t>
        </is>
      </c>
      <c r="P143" s="96" t="inlineStr">
        <is>
          <t>커버드콜</t>
        </is>
      </c>
      <c r="Q143" s="96" t="inlineStr">
        <is>
          <t>주식</t>
        </is>
      </c>
      <c r="R143" s="96" t="inlineStr">
        <is>
          <t>월배당</t>
        </is>
      </c>
      <c r="S143" s="97" t="n">
        <v>11</v>
      </c>
      <c r="T143" s="98" t="n">
        <v>0.1054</v>
      </c>
      <c r="U143">
        <f>IF(AND($J143&lt;&gt;"",OR(조회_주기="전체",$R143=조회_주기),$J143&gt;=조회_최소,$J143&lt;=조회_최대),1,0)</f>
        <v/>
      </c>
      <c r="V143">
        <f>IF($U143=1,$V142+1,$V142)</f>
        <v/>
      </c>
      <c r="W143">
        <f>IF(검색어="",1,IF(ISNUMBER(SEARCH(검색어,$A143)),1,0))</f>
        <v/>
      </c>
      <c r="X143">
        <f>IF($W143=1,$X142+1,$X142)</f>
        <v/>
      </c>
      <c r="Y143">
        <f>IFERROR(INDEX($A$4:$A$253,MATCH(140,$X$4:$X$253,0)),"")</f>
        <v/>
      </c>
    </row>
    <row r="144">
      <c r="A144" s="96" t="inlineStr">
        <is>
          <t>ACE 미국하이일드액티브(H)</t>
        </is>
      </c>
      <c r="B144" s="96" t="inlineStr">
        <is>
          <t>455660</t>
        </is>
      </c>
      <c r="C144" s="96" t="inlineStr">
        <is>
          <t>한국투자신탁운용</t>
        </is>
      </c>
      <c r="D144" s="97" t="n">
        <v>9370</v>
      </c>
      <c r="E144" s="97" t="n">
        <v>61842000000</v>
      </c>
      <c r="F144" s="97" t="n">
        <v>203928531</v>
      </c>
      <c r="G144" s="98" t="n">
        <v>0.0024</v>
      </c>
      <c r="H144" s="98" t="n">
        <v>0.0395</v>
      </c>
      <c r="I144" s="98" t="n">
        <v>0.005500000000000001</v>
      </c>
      <c r="J144" s="98" t="n">
        <v>0.06851699999999999</v>
      </c>
      <c r="K144" s="97" t="n">
        <v>40</v>
      </c>
      <c r="L144" s="99" t="inlineStr">
        <is>
          <t>20260828</t>
        </is>
      </c>
      <c r="M144" s="96" t="inlineStr">
        <is>
          <t>제외</t>
        </is>
      </c>
      <c r="N144" s="96" t="inlineStr">
        <is>
          <t>60일 거래대금 2.0억(기준 5억 미만)</t>
        </is>
      </c>
      <c r="O144" s="96" t="inlineStr">
        <is>
          <t>iBoxx USD Liquid High Yield Total Return Index</t>
        </is>
      </c>
      <c r="P144" s="96" t="inlineStr">
        <is>
          <t>일반</t>
        </is>
      </c>
      <c r="Q144" s="96" t="inlineStr">
        <is>
          <t>채권</t>
        </is>
      </c>
      <c r="R144" s="96" t="inlineStr">
        <is>
          <t>월배당</t>
        </is>
      </c>
      <c r="S144" s="97" t="n">
        <v>11</v>
      </c>
      <c r="T144" s="98" t="n">
        <v>0.5343</v>
      </c>
      <c r="U144">
        <f>IF(AND($J144&lt;&gt;"",OR(조회_주기="전체",$R144=조회_주기),$J144&gt;=조회_최소,$J144&lt;=조회_최대),1,0)</f>
        <v/>
      </c>
      <c r="V144">
        <f>IF($U144=1,$V143+1,$V143)</f>
        <v/>
      </c>
      <c r="W144">
        <f>IF(검색어="",1,IF(ISNUMBER(SEARCH(검색어,$A144)),1,0))</f>
        <v/>
      </c>
      <c r="X144">
        <f>IF($W144=1,$X143+1,$X143)</f>
        <v/>
      </c>
      <c r="Y144">
        <f>IFERROR(INDEX($A$4:$A$253,MATCH(141,$X$4:$X$253,0)),"")</f>
        <v/>
      </c>
    </row>
    <row r="145">
      <c r="A145" s="96" t="inlineStr">
        <is>
          <t>KoAct 배당성장액티브</t>
        </is>
      </c>
      <c r="B145" s="96" t="inlineStr">
        <is>
          <t>476850</t>
        </is>
      </c>
      <c r="C145" s="96" t="inlineStr">
        <is>
          <t>삼성액티브자산(ETF)</t>
        </is>
      </c>
      <c r="D145" s="97" t="n">
        <v>21730</v>
      </c>
      <c r="E145" s="97" t="n">
        <v>104304000000</v>
      </c>
      <c r="F145" s="97" t="n">
        <v>2107954135</v>
      </c>
      <c r="G145" s="98" t="n">
        <v>0.005</v>
      </c>
      <c r="H145" s="98" t="n">
        <v>0.5002</v>
      </c>
      <c r="I145" s="98" t="n">
        <v>0.005</v>
      </c>
      <c r="J145" s="98" t="n">
        <v>0.068385</v>
      </c>
      <c r="K145" s="97" t="n">
        <v>15</v>
      </c>
      <c r="L145" s="99" t="inlineStr">
        <is>
          <t>20260828</t>
        </is>
      </c>
      <c r="M145" s="96" t="inlineStr">
        <is>
          <t>제외</t>
        </is>
      </c>
      <c r="N145" s="96" t="inlineStr">
        <is>
          <t>변동성 50.0%(1년 기준, 기준 35% 초과)</t>
        </is>
      </c>
      <c r="O145" s="96" t="inlineStr">
        <is>
          <t>코스피</t>
        </is>
      </c>
      <c r="P145" s="96" t="inlineStr">
        <is>
          <t>일반</t>
        </is>
      </c>
      <c r="Q145" s="96" t="inlineStr">
        <is>
          <t>주식</t>
        </is>
      </c>
      <c r="R145" s="96" t="inlineStr">
        <is>
          <t>비정기</t>
        </is>
      </c>
      <c r="S145" s="97" t="n">
        <v>8</v>
      </c>
      <c r="T145" s="98" t="n">
        <v>0.1073</v>
      </c>
      <c r="U145">
        <f>IF(AND($J145&lt;&gt;"",OR(조회_주기="전체",$R145=조회_주기),$J145&gt;=조회_최소,$J145&lt;=조회_최대),1,0)</f>
        <v/>
      </c>
      <c r="V145">
        <f>IF($U145=1,$V144+1,$V144)</f>
        <v/>
      </c>
      <c r="W145">
        <f>IF(검색어="",1,IF(ISNUMBER(SEARCH(검색어,$A145)),1,0))</f>
        <v/>
      </c>
      <c r="X145">
        <f>IF($W145=1,$X144+1,$X144)</f>
        <v/>
      </c>
      <c r="Y145">
        <f>IFERROR(INDEX($A$4:$A$253,MATCH(142,$X$4:$X$253,0)),"")</f>
        <v/>
      </c>
    </row>
    <row r="146">
      <c r="A146" s="96" t="inlineStr">
        <is>
          <t>WON 한국부동산TOP3플러스</t>
        </is>
      </c>
      <c r="B146" s="96" t="inlineStr">
        <is>
          <t>480460</t>
        </is>
      </c>
      <c r="C146" s="96" t="inlineStr">
        <is>
          <t>우리자산운용</t>
        </is>
      </c>
      <c r="D146" s="97" t="n">
        <v>9115</v>
      </c>
      <c r="E146" s="97" t="n">
        <v>7747750000</v>
      </c>
      <c r="F146" s="97" t="n">
        <v>26163055</v>
      </c>
      <c r="G146" s="98" t="n">
        <v>0.0025</v>
      </c>
      <c r="H146" s="98" t="n">
        <v>0.17</v>
      </c>
      <c r="I146" s="98" t="n">
        <v>0.0053</v>
      </c>
      <c r="J146" s="98" t="n">
        <v>0.065826</v>
      </c>
      <c r="K146" s="97" t="n">
        <v>27</v>
      </c>
      <c r="L146" s="99" t="inlineStr">
        <is>
          <t>20260828</t>
        </is>
      </c>
      <c r="M146" s="96" t="inlineStr">
        <is>
          <t>제외</t>
        </is>
      </c>
      <c r="N146" s="96" t="inlineStr">
        <is>
          <t>순자산 77억(기준 300억 미만), 60일 거래대금 0.3억(기준 5억 미만)</t>
        </is>
      </c>
      <c r="O146" s="96" t="inlineStr">
        <is>
          <t>DeepSearch 한국부동산 Top3 플러스 지수</t>
        </is>
      </c>
      <c r="P146" s="96" t="inlineStr">
        <is>
          <t>일반</t>
        </is>
      </c>
      <c r="Q146" s="96" t="inlineStr">
        <is>
          <t>부동산</t>
        </is>
      </c>
      <c r="R146" s="96" t="inlineStr">
        <is>
          <t>월배당</t>
        </is>
      </c>
      <c r="S146" s="97" t="n">
        <v>11</v>
      </c>
      <c r="T146" s="98" t="n">
        <v>1</v>
      </c>
      <c r="U146">
        <f>IF(AND($J146&lt;&gt;"",OR(조회_주기="전체",$R146=조회_주기),$J146&gt;=조회_최소,$J146&lt;=조회_최대),1,0)</f>
        <v/>
      </c>
      <c r="V146">
        <f>IF($U146=1,$V145+1,$V145)</f>
        <v/>
      </c>
      <c r="W146">
        <f>IF(검색어="",1,IF(ISNUMBER(SEARCH(검색어,$A146)),1,0))</f>
        <v/>
      </c>
      <c r="X146">
        <f>IF($W146=1,$X145+1,$X145)</f>
        <v/>
      </c>
      <c r="Y146">
        <f>IFERROR(INDEX($A$4:$A$253,MATCH(143,$X$4:$X$253,0)),"")</f>
        <v/>
      </c>
    </row>
    <row r="147">
      <c r="A147" s="96" t="inlineStr">
        <is>
          <t>TIGER 리츠부동산인프라채권</t>
        </is>
      </c>
      <c r="B147" s="96" t="inlineStr">
        <is>
          <t>341850</t>
        </is>
      </c>
      <c r="C147" s="96" t="inlineStr">
        <is>
          <t>미래에셋자산운용</t>
        </is>
      </c>
      <c r="D147" s="97" t="n">
        <v>4575</v>
      </c>
      <c r="E147" s="97" t="n">
        <v>9150000000</v>
      </c>
      <c r="F147" s="97" t="n">
        <v>33465619</v>
      </c>
      <c r="G147" s="98" t="n">
        <v>0.0022</v>
      </c>
      <c r="H147" s="98" t="n">
        <v>0.1326</v>
      </c>
      <c r="I147" s="98" t="n">
        <v>0.0052</v>
      </c>
      <c r="J147" s="98" t="n">
        <v>0.06295099999999999</v>
      </c>
      <c r="K147" s="97" t="n">
        <v>51</v>
      </c>
      <c r="L147" s="99" t="inlineStr">
        <is>
          <t>20260828</t>
        </is>
      </c>
      <c r="M147" s="96" t="inlineStr">
        <is>
          <t>제외</t>
        </is>
      </c>
      <c r="N147" s="96" t="inlineStr">
        <is>
          <t>순자산 92억(기준 300억 미만), 60일 거래대금 0.3억(기준 5억 미만)</t>
        </is>
      </c>
      <c r="O147" s="96" t="inlineStr">
        <is>
          <t>KIS 리츠부동산인프라채권 지수</t>
        </is>
      </c>
      <c r="P147" s="96" t="inlineStr">
        <is>
          <t>일반</t>
        </is>
      </c>
      <c r="Q147" s="96" t="inlineStr">
        <is>
          <t>멀티에셋</t>
        </is>
      </c>
      <c r="R147" s="96" t="inlineStr">
        <is>
          <t>월배당</t>
        </is>
      </c>
      <c r="S147" s="97" t="n">
        <v>11</v>
      </c>
      <c r="T147" s="98" t="n">
        <v>1</v>
      </c>
      <c r="U147">
        <f>IF(AND($J147&lt;&gt;"",OR(조회_주기="전체",$R147=조회_주기),$J147&gt;=조회_최소,$J147&lt;=조회_최대),1,0)</f>
        <v/>
      </c>
      <c r="V147">
        <f>IF($U147=1,$V146+1,$V146)</f>
        <v/>
      </c>
      <c r="W147">
        <f>IF(검색어="",1,IF(ISNUMBER(SEARCH(검색어,$A147)),1,0))</f>
        <v/>
      </c>
      <c r="X147">
        <f>IF($W147=1,$X146+1,$X146)</f>
        <v/>
      </c>
      <c r="Y147">
        <f>IFERROR(INDEX($A$4:$A$253,MATCH(144,$X$4:$X$253,0)),"")</f>
        <v/>
      </c>
    </row>
    <row r="148">
      <c r="A148" s="96" t="inlineStr">
        <is>
          <t>ACE 싱가포르리츠</t>
        </is>
      </c>
      <c r="B148" s="96" t="inlineStr">
        <is>
          <t>316300</t>
        </is>
      </c>
      <c r="C148" s="96" t="inlineStr">
        <is>
          <t>한국투신운용(ETF)</t>
        </is>
      </c>
      <c r="D148" s="97" t="n">
        <v>12482</v>
      </c>
      <c r="E148" s="97" t="n">
        <v>6241000000</v>
      </c>
      <c r="F148" s="97" t="n">
        <v>13131648</v>
      </c>
      <c r="G148" s="98" t="n">
        <v>0.004</v>
      </c>
      <c r="H148" s="98" t="n">
        <v>0.1327</v>
      </c>
      <c r="I148" s="98" t="n">
        <v>0.004</v>
      </c>
      <c r="J148" s="98" t="n">
        <v>0.061448</v>
      </c>
      <c r="K148" s="97" t="n">
        <v>25</v>
      </c>
      <c r="L148" s="99" t="inlineStr">
        <is>
          <t>20260828</t>
        </is>
      </c>
      <c r="M148" s="96" t="inlineStr">
        <is>
          <t>제외</t>
        </is>
      </c>
      <c r="N148" s="96" t="inlineStr">
        <is>
          <t>순자산 62억(기준 300억 미만), 60일 거래대금 0.1억(기준 5억 미만)</t>
        </is>
      </c>
      <c r="O148" s="96" t="inlineStr">
        <is>
          <t>Morningstar Singapore REIT Yield Focus Index</t>
        </is>
      </c>
      <c r="P148" s="96" t="inlineStr">
        <is>
          <t>일반</t>
        </is>
      </c>
      <c r="Q148" s="96" t="inlineStr">
        <is>
          <t>부동산</t>
        </is>
      </c>
      <c r="R148" s="96" t="inlineStr">
        <is>
          <t>월배당</t>
        </is>
      </c>
      <c r="S148" s="97" t="n">
        <v>11</v>
      </c>
      <c r="T148" s="98" t="n">
        <v>1</v>
      </c>
      <c r="U148">
        <f>IF(AND($J148&lt;&gt;"",OR(조회_주기="전체",$R148=조회_주기),$J148&gt;=조회_최소,$J148&lt;=조회_최대),1,0)</f>
        <v/>
      </c>
      <c r="V148">
        <f>IF($U148=1,$V147+1,$V147)</f>
        <v/>
      </c>
      <c r="W148">
        <f>IF(검색어="",1,IF(ISNUMBER(SEARCH(검색어,$A148)),1,0))</f>
        <v/>
      </c>
      <c r="X148">
        <f>IF($W148=1,$X147+1,$X147)</f>
        <v/>
      </c>
      <c r="Y148">
        <f>IFERROR(INDEX($A$4:$A$253,MATCH(145,$X$4:$X$253,0)),"")</f>
        <v/>
      </c>
    </row>
    <row r="149">
      <c r="A149" s="96" t="inlineStr">
        <is>
          <t>TIGER 미국배당다우존스타겟커버드콜1호</t>
        </is>
      </c>
      <c r="B149" s="96" t="inlineStr">
        <is>
          <t>458750</t>
        </is>
      </c>
      <c r="C149" s="96" t="inlineStr">
        <is>
          <t>미래에셋자산운용</t>
        </is>
      </c>
      <c r="D149" s="97" t="n">
        <v>12805</v>
      </c>
      <c r="E149" s="97" t="n">
        <v>66586000000</v>
      </c>
      <c r="F149" s="97" t="n">
        <v>404842183</v>
      </c>
      <c r="G149" s="98" t="n">
        <v>0.0039</v>
      </c>
      <c r="H149" s="98" t="n">
        <v>0.1446</v>
      </c>
      <c r="I149" s="98" t="n">
        <v>0.0052</v>
      </c>
      <c r="J149" s="98" t="n">
        <v>0.059898</v>
      </c>
      <c r="K149" s="97" t="n">
        <v>39</v>
      </c>
      <c r="L149" s="99" t="inlineStr">
        <is>
          <t>20260914</t>
        </is>
      </c>
      <c r="M149" s="96" t="inlineStr">
        <is>
          <t>제외</t>
        </is>
      </c>
      <c r="N149" s="96" t="inlineStr">
        <is>
          <t>60일 거래대금 4.0억(기준 5억 미만)</t>
        </is>
      </c>
      <c r="O149" s="96" t="inlineStr">
        <is>
          <t>Dow Jones U.S. Dividend 100 3% Premium Covered Call Index</t>
        </is>
      </c>
      <c r="P149" s="96" t="inlineStr">
        <is>
          <t>커버드콜</t>
        </is>
      </c>
      <c r="Q149" s="96" t="inlineStr">
        <is>
          <t>주식</t>
        </is>
      </c>
      <c r="R149" s="96" t="inlineStr">
        <is>
          <t>월배당</t>
        </is>
      </c>
      <c r="S149" s="97" t="n">
        <v>12</v>
      </c>
      <c r="T149" s="98" t="n">
        <v>1</v>
      </c>
      <c r="U149">
        <f>IF(AND($J149&lt;&gt;"",OR(조회_주기="전체",$R149=조회_주기),$J149&gt;=조회_최소,$J149&lt;=조회_최대),1,0)</f>
        <v/>
      </c>
      <c r="V149">
        <f>IF($U149=1,$V148+1,$V148)</f>
        <v/>
      </c>
      <c r="W149">
        <f>IF(검색어="",1,IF(ISNUMBER(SEARCH(검색어,$A149)),1,0))</f>
        <v/>
      </c>
      <c r="X149">
        <f>IF($W149=1,$X148+1,$X148)</f>
        <v/>
      </c>
      <c r="Y149">
        <f>IFERROR(INDEX($A$4:$A$253,MATCH(146,$X$4:$X$253,0)),"")</f>
        <v/>
      </c>
    </row>
    <row r="150">
      <c r="A150" s="96" t="inlineStr">
        <is>
          <t>RISE 미국30년국채액티브</t>
        </is>
      </c>
      <c r="B150" s="96" t="inlineStr">
        <is>
          <t>481340</t>
        </is>
      </c>
      <c r="C150" s="96" t="inlineStr">
        <is>
          <t>KB자산운용</t>
        </is>
      </c>
      <c r="D150" s="97" t="n">
        <v>8540</v>
      </c>
      <c r="E150" s="97" t="n">
        <v>25193000000</v>
      </c>
      <c r="F150" s="97" t="n">
        <v>346714839</v>
      </c>
      <c r="G150" s="98" t="n">
        <v>0.0005</v>
      </c>
      <c r="H150" s="98" t="n">
        <v>0.1318</v>
      </c>
      <c r="I150" s="98" t="n">
        <v>0.0036</v>
      </c>
      <c r="J150" s="98" t="n">
        <v>0.050351</v>
      </c>
      <c r="K150" s="97" t="n">
        <v>27</v>
      </c>
      <c r="L150" s="99" t="inlineStr">
        <is>
          <t>20260828</t>
        </is>
      </c>
      <c r="M150" s="96" t="inlineStr">
        <is>
          <t>제외</t>
        </is>
      </c>
      <c r="N150" s="96" t="inlineStr">
        <is>
          <t>순자산 252억(기준 300억 미만), 60일 거래대금 3.5억(기준 5억 미만)</t>
        </is>
      </c>
      <c r="O150" s="96" t="inlineStr">
        <is>
          <t>Bloomberg US Treasury 20+ Year Total Return Index</t>
        </is>
      </c>
      <c r="P150" s="96" t="inlineStr">
        <is>
          <t>일반</t>
        </is>
      </c>
      <c r="Q150" s="96" t="inlineStr">
        <is>
          <t>채권</t>
        </is>
      </c>
      <c r="R150" s="96" t="inlineStr">
        <is>
          <t>월배당</t>
        </is>
      </c>
      <c r="S150" s="97" t="n">
        <v>11</v>
      </c>
      <c r="T150" s="98" t="n">
        <v>0.5209</v>
      </c>
      <c r="U150">
        <f>IF(AND($J150&lt;&gt;"",OR(조회_주기="전체",$R150=조회_주기),$J150&gt;=조회_최소,$J150&lt;=조회_최대),1,0)</f>
        <v/>
      </c>
      <c r="V150">
        <f>IF($U150=1,$V149+1,$V149)</f>
        <v/>
      </c>
      <c r="W150">
        <f>IF(검색어="",1,IF(ISNUMBER(SEARCH(검색어,$A150)),1,0))</f>
        <v/>
      </c>
      <c r="X150">
        <f>IF($W150=1,$X149+1,$X149)</f>
        <v/>
      </c>
      <c r="Y150">
        <f>IFERROR(INDEX($A$4:$A$253,MATCH(147,$X$4:$X$253,0)),"")</f>
        <v/>
      </c>
    </row>
    <row r="151">
      <c r="A151" s="96" t="inlineStr">
        <is>
          <t>KODEX 아시아달러채권ESG플러스액티브</t>
        </is>
      </c>
      <c r="B151" s="96" t="inlineStr">
        <is>
          <t>437070</t>
        </is>
      </c>
      <c r="C151" s="96" t="inlineStr">
        <is>
          <t>삼성자산운용(ETF)</t>
        </is>
      </c>
      <c r="D151" s="97" t="n">
        <v>58620</v>
      </c>
      <c r="E151" s="97" t="n">
        <v>20282520000</v>
      </c>
      <c r="F151" s="97" t="n">
        <v>55948476</v>
      </c>
      <c r="G151" s="98" t="n">
        <v>0.0018</v>
      </c>
      <c r="H151" s="98" t="n">
        <v>0.1033</v>
      </c>
      <c r="I151" s="98" t="n">
        <v>0.0042</v>
      </c>
      <c r="J151" s="98" t="n">
        <v>0.049659</v>
      </c>
      <c r="K151" s="97" t="n">
        <v>14</v>
      </c>
      <c r="L151" s="99" t="inlineStr">
        <is>
          <t>20260828</t>
        </is>
      </c>
      <c r="M151" s="96" t="inlineStr">
        <is>
          <t>제외</t>
        </is>
      </c>
      <c r="N151" s="96" t="inlineStr">
        <is>
          <t>순자산 203억(기준 300억 미만), 60일 거래대금 0.6억(기준 5억 미만)</t>
        </is>
      </c>
      <c r="O151" s="96" t="inlineStr">
        <is>
          <t>Bloomberg MSCI EM Asia Investment Grade Credit SRI Index TR</t>
        </is>
      </c>
      <c r="P151" s="96" t="inlineStr">
        <is>
          <t>일반</t>
        </is>
      </c>
      <c r="Q151" s="96" t="inlineStr">
        <is>
          <t>채권</t>
        </is>
      </c>
      <c r="R151" s="96" t="inlineStr">
        <is>
          <t>월배당</t>
        </is>
      </c>
      <c r="S151" s="97" t="n">
        <v>11</v>
      </c>
      <c r="T151" s="98" t="n">
        <v>1</v>
      </c>
      <c r="U151">
        <f>IF(AND($J151&lt;&gt;"",OR(조회_주기="전체",$R151=조회_주기),$J151&gt;=조회_최소,$J151&lt;=조회_최대),1,0)</f>
        <v/>
      </c>
      <c r="V151">
        <f>IF($U151=1,$V150+1,$V150)</f>
        <v/>
      </c>
      <c r="W151">
        <f>IF(검색어="",1,IF(ISNUMBER(SEARCH(검색어,$A151)),1,0))</f>
        <v/>
      </c>
      <c r="X151">
        <f>IF($W151=1,$X150+1,$X150)</f>
        <v/>
      </c>
      <c r="Y151">
        <f>IFERROR(INDEX($A$4:$A$253,MATCH(148,$X$4:$X$253,0)),"")</f>
        <v/>
      </c>
    </row>
    <row r="152">
      <c r="A152" s="96" t="inlineStr">
        <is>
          <t>TIGER 미국투자등급회사채액티브(H)</t>
        </is>
      </c>
      <c r="B152" s="96" t="inlineStr">
        <is>
          <t>458260</t>
        </is>
      </c>
      <c r="C152" s="96" t="inlineStr">
        <is>
          <t>미래에셋자산운용</t>
        </is>
      </c>
      <c r="D152" s="97" t="n">
        <v>45960</v>
      </c>
      <c r="E152" s="97" t="n">
        <v>220608000000</v>
      </c>
      <c r="F152" s="97" t="n">
        <v>399730197</v>
      </c>
      <c r="G152" s="98" t="n">
        <v>0.0014</v>
      </c>
      <c r="H152" s="98" t="n">
        <v>0.0532</v>
      </c>
      <c r="I152" s="98" t="n">
        <v>0.0037</v>
      </c>
      <c r="J152" s="98" t="n">
        <v>0.04963</v>
      </c>
      <c r="K152" s="97" t="n">
        <v>39</v>
      </c>
      <c r="L152" s="99" t="inlineStr">
        <is>
          <t>20260828</t>
        </is>
      </c>
      <c r="M152" s="96" t="inlineStr">
        <is>
          <t>제외</t>
        </is>
      </c>
      <c r="N152" s="96" t="inlineStr">
        <is>
          <t>60일 거래대금 4.0억(기준 5억 미만)</t>
        </is>
      </c>
      <c r="O152" s="96" t="inlineStr">
        <is>
          <t>iBoxx USD Liquid Investment Grade PR Index</t>
        </is>
      </c>
      <c r="P152" s="96" t="inlineStr">
        <is>
          <t>일반</t>
        </is>
      </c>
      <c r="Q152" s="96" t="inlineStr">
        <is>
          <t>채권</t>
        </is>
      </c>
      <c r="R152" s="96" t="inlineStr">
        <is>
          <t>월배당</t>
        </is>
      </c>
      <c r="S152" s="97" t="n">
        <v>11</v>
      </c>
      <c r="T152" s="98" t="n">
        <v>0.6107</v>
      </c>
      <c r="U152">
        <f>IF(AND($J152&lt;&gt;"",OR(조회_주기="전체",$R152=조회_주기),$J152&gt;=조회_최소,$J152&lt;=조회_최대),1,0)</f>
        <v/>
      </c>
      <c r="V152">
        <f>IF($U152=1,$V151+1,$V151)</f>
        <v/>
      </c>
      <c r="W152">
        <f>IF(검색어="",1,IF(ISNUMBER(SEARCH(검색어,$A152)),1,0))</f>
        <v/>
      </c>
      <c r="X152">
        <f>IF($W152=1,$X151+1,$X151)</f>
        <v/>
      </c>
      <c r="Y152">
        <f>IFERROR(INDEX($A$4:$A$253,MATCH(149,$X$4:$X$253,0)),"")</f>
        <v/>
      </c>
    </row>
    <row r="153">
      <c r="A153" s="96" t="inlineStr">
        <is>
          <t>KoAct 미국천연가스인프라액티브</t>
        </is>
      </c>
      <c r="B153" s="96" t="inlineStr">
        <is>
          <t>497780</t>
        </is>
      </c>
      <c r="C153" s="96" t="inlineStr">
        <is>
          <t>삼성액티브자산(ETF)</t>
        </is>
      </c>
      <c r="D153" s="97" t="n">
        <v>10475</v>
      </c>
      <c r="E153" s="97" t="n">
        <v>19378750000</v>
      </c>
      <c r="F153" s="97" t="n">
        <v>197410783</v>
      </c>
      <c r="G153" s="98" t="n">
        <v>0.005</v>
      </c>
      <c r="H153" s="98" t="n">
        <v>0.1791</v>
      </c>
      <c r="I153" s="98" t="n">
        <v>0.0039</v>
      </c>
      <c r="J153" s="98" t="n">
        <v>0.048974</v>
      </c>
      <c r="K153" s="97" t="n">
        <v>20</v>
      </c>
      <c r="L153" s="99" t="inlineStr">
        <is>
          <t>20260828</t>
        </is>
      </c>
      <c r="M153" s="96" t="inlineStr">
        <is>
          <t>제외</t>
        </is>
      </c>
      <c r="N153" s="96" t="inlineStr">
        <is>
          <t>순자산 194억(기준 300억 미만), 60일 거래대금 2.0억(기준 5억 미만)</t>
        </is>
      </c>
      <c r="O153" s="96" t="inlineStr">
        <is>
          <t>Solactive US Natural Gas Infrastructure Index PR</t>
        </is>
      </c>
      <c r="P153" s="96" t="inlineStr">
        <is>
          <t>일반</t>
        </is>
      </c>
      <c r="Q153" s="96" t="inlineStr">
        <is>
          <t>주식</t>
        </is>
      </c>
      <c r="R153" s="96" t="inlineStr">
        <is>
          <t>월배당</t>
        </is>
      </c>
      <c r="S153" s="97" t="n">
        <v>11</v>
      </c>
      <c r="T153" s="98" t="n">
        <v>0.7758</v>
      </c>
      <c r="U153">
        <f>IF(AND($J153&lt;&gt;"",OR(조회_주기="전체",$R153=조회_주기),$J153&gt;=조회_최소,$J153&lt;=조회_최대),1,0)</f>
        <v/>
      </c>
      <c r="V153">
        <f>IF($U153=1,$V152+1,$V152)</f>
        <v/>
      </c>
      <c r="W153">
        <f>IF(검색어="",1,IF(ISNUMBER(SEARCH(검색어,$A153)),1,0))</f>
        <v/>
      </c>
      <c r="X153">
        <f>IF($W153=1,$X152+1,$X152)</f>
        <v/>
      </c>
      <c r="Y153">
        <f>IFERROR(INDEX($A$4:$A$253,MATCH(150,$X$4:$X$253,0)),"")</f>
        <v/>
      </c>
    </row>
    <row r="154">
      <c r="A154" s="96" t="inlineStr">
        <is>
          <t>KIWOOM 코리아고배당</t>
        </is>
      </c>
      <c r="B154" s="96" t="inlineStr">
        <is>
          <t>104530</t>
        </is>
      </c>
      <c r="C154" s="96" t="inlineStr">
        <is>
          <t>키움투자자산운용</t>
        </is>
      </c>
      <c r="D154" s="97" t="n">
        <v>17245</v>
      </c>
      <c r="E154" s="97" t="n">
        <v>35352250000</v>
      </c>
      <c r="F154" s="97" t="n">
        <v>184071872</v>
      </c>
      <c r="G154" s="98" t="n">
        <v>0.0019</v>
      </c>
      <c r="H154" s="98" t="n">
        <v>0.3074</v>
      </c>
      <c r="I154" s="98" t="n">
        <v>0.004500000000000001</v>
      </c>
      <c r="J154" s="98" t="n">
        <v>0.04726</v>
      </c>
      <c r="K154" s="97" t="n">
        <v>30</v>
      </c>
      <c r="L154" s="99" t="inlineStr">
        <is>
          <t>20260914</t>
        </is>
      </c>
      <c r="M154" s="96" t="inlineStr">
        <is>
          <t>제외</t>
        </is>
      </c>
      <c r="N154" s="96" t="inlineStr">
        <is>
          <t>60일 거래대금 1.8억(기준 5억 미만)</t>
        </is>
      </c>
      <c r="O154" s="96" t="inlineStr">
        <is>
          <t>FnGuide Wealth 고배당20</t>
        </is>
      </c>
      <c r="P154" s="96" t="inlineStr">
        <is>
          <t>일반</t>
        </is>
      </c>
      <c r="Q154" s="96" t="inlineStr">
        <is>
          <t>주식</t>
        </is>
      </c>
      <c r="R154" s="96" t="inlineStr">
        <is>
          <t>월배당</t>
        </is>
      </c>
      <c r="S154" s="97" t="n">
        <v>12</v>
      </c>
      <c r="T154" s="98" t="n">
        <v>0.8908</v>
      </c>
      <c r="U154">
        <f>IF(AND($J154&lt;&gt;"",OR(조회_주기="전체",$R154=조회_주기),$J154&gt;=조회_최소,$J154&lt;=조회_최대),1,0)</f>
        <v/>
      </c>
      <c r="V154">
        <f>IF($U154=1,$V153+1,$V153)</f>
        <v/>
      </c>
      <c r="W154">
        <f>IF(검색어="",1,IF(ISNUMBER(SEARCH(검색어,$A154)),1,0))</f>
        <v/>
      </c>
      <c r="X154">
        <f>IF($W154=1,$X153+1,$X153)</f>
        <v/>
      </c>
      <c r="Y154">
        <f>IFERROR(INDEX($A$4:$A$253,MATCH(151,$X$4:$X$253,0)),"")</f>
        <v/>
      </c>
    </row>
    <row r="155">
      <c r="A155" s="96" t="inlineStr">
        <is>
          <t>PLUS 미국장기우량회사채</t>
        </is>
      </c>
      <c r="B155" s="96" t="inlineStr">
        <is>
          <t>332620</t>
        </is>
      </c>
      <c r="C155" s="96" t="inlineStr">
        <is>
          <t>한화자산운용</t>
        </is>
      </c>
      <c r="D155" s="97" t="n">
        <v>88180</v>
      </c>
      <c r="E155" s="97" t="n">
        <v>16489660000</v>
      </c>
      <c r="F155" s="97" t="n">
        <v>56941105</v>
      </c>
      <c r="G155" s="98" t="n">
        <v>0.00315</v>
      </c>
      <c r="H155" s="98" t="n">
        <v>0.12</v>
      </c>
      <c r="I155" s="98" t="n">
        <v>0.0035</v>
      </c>
      <c r="J155" s="98" t="n">
        <v>0.047131</v>
      </c>
      <c r="K155" s="97" t="n">
        <v>18</v>
      </c>
      <c r="L155" s="99" t="inlineStr">
        <is>
          <t>20260828</t>
        </is>
      </c>
      <c r="M155" s="96" t="inlineStr">
        <is>
          <t>제외</t>
        </is>
      </c>
      <c r="N155" s="96" t="inlineStr">
        <is>
          <t>순자산 165억(기준 300억 미만), 60일 거래대금 0.6억(기준 5억 미만)</t>
        </is>
      </c>
      <c r="O155" s="96" t="inlineStr">
        <is>
          <t>ICE BOFAML 15+ YEAR AAA-A US CORPORATE INDEX</t>
        </is>
      </c>
      <c r="P155" s="96" t="inlineStr">
        <is>
          <t>일반</t>
        </is>
      </c>
      <c r="Q155" s="96" t="inlineStr">
        <is>
          <t>채권</t>
        </is>
      </c>
      <c r="R155" s="96" t="inlineStr">
        <is>
          <t>월배당</t>
        </is>
      </c>
      <c r="S155" s="97" t="n">
        <v>11</v>
      </c>
      <c r="T155" s="98" t="n">
        <v>0.6735</v>
      </c>
      <c r="U155">
        <f>IF(AND($J155&lt;&gt;"",OR(조회_주기="전체",$R155=조회_주기),$J155&gt;=조회_최소,$J155&lt;=조회_최대),1,0)</f>
        <v/>
      </c>
      <c r="V155">
        <f>IF($U155=1,$V154+1,$V154)</f>
        <v/>
      </c>
      <c r="W155">
        <f>IF(검색어="",1,IF(ISNUMBER(SEARCH(검색어,$A155)),1,0))</f>
        <v/>
      </c>
      <c r="X155">
        <f>IF($W155=1,$X154+1,$X154)</f>
        <v/>
      </c>
      <c r="Y155">
        <f>IFERROR(INDEX($A$4:$A$253,MATCH(152,$X$4:$X$253,0)),"")</f>
        <v/>
      </c>
    </row>
    <row r="156">
      <c r="A156" s="96" t="inlineStr">
        <is>
          <t>KODEX iShares미국투자등급회사채액티브</t>
        </is>
      </c>
      <c r="B156" s="96" t="inlineStr">
        <is>
          <t>468630</t>
        </is>
      </c>
      <c r="C156" s="96" t="inlineStr">
        <is>
          <t>삼성자산운용(ETF)</t>
        </is>
      </c>
      <c r="D156" s="97" t="n">
        <v>10790</v>
      </c>
      <c r="E156" s="97" t="n">
        <v>30319900000</v>
      </c>
      <c r="F156" s="97" t="n">
        <v>460625885</v>
      </c>
      <c r="G156" s="98" t="n">
        <v>0.001</v>
      </c>
      <c r="H156" s="98" t="n">
        <v>0.1094</v>
      </c>
      <c r="I156" s="98" t="n">
        <v>0.004</v>
      </c>
      <c r="J156" s="98" t="n">
        <v>0.046154</v>
      </c>
      <c r="K156" s="97" t="n">
        <v>34</v>
      </c>
      <c r="L156" s="99" t="inlineStr">
        <is>
          <t>20260828</t>
        </is>
      </c>
      <c r="M156" s="96" t="inlineStr">
        <is>
          <t>제외</t>
        </is>
      </c>
      <c r="N156" s="96" t="inlineStr">
        <is>
          <t>60일 거래대금 4.6억(기준 5억 미만)</t>
        </is>
      </c>
      <c r="O156" s="96" t="inlineStr">
        <is>
          <t>iBoxx USD Liquid IG Index</t>
        </is>
      </c>
      <c r="P156" s="96" t="inlineStr">
        <is>
          <t>일반</t>
        </is>
      </c>
      <c r="Q156" s="96" t="inlineStr">
        <is>
          <t>채권</t>
        </is>
      </c>
      <c r="R156" s="96" t="inlineStr">
        <is>
          <t>월배당</t>
        </is>
      </c>
      <c r="S156" s="97" t="n">
        <v>11</v>
      </c>
      <c r="T156" s="98" t="n">
        <v>1</v>
      </c>
      <c r="U156">
        <f>IF(AND($J156&lt;&gt;"",OR(조회_주기="전체",$R156=조회_주기),$J156&gt;=조회_최소,$J156&lt;=조회_최대),1,0)</f>
        <v/>
      </c>
      <c r="V156">
        <f>IF($U156=1,$V155+1,$V155)</f>
        <v/>
      </c>
      <c r="W156">
        <f>IF(검색어="",1,IF(ISNUMBER(SEARCH(검색어,$A156)),1,0))</f>
        <v/>
      </c>
      <c r="X156">
        <f>IF($W156=1,$X155+1,$X155)</f>
        <v/>
      </c>
      <c r="Y156">
        <f>IFERROR(INDEX($A$4:$A$253,MATCH(153,$X$4:$X$253,0)),"")</f>
        <v/>
      </c>
    </row>
    <row r="157">
      <c r="A157" s="96" t="inlineStr">
        <is>
          <t>TIGER 글로벌멀티에셋TIF액티브</t>
        </is>
      </c>
      <c r="B157" s="96" t="inlineStr">
        <is>
          <t>440340</t>
        </is>
      </c>
      <c r="C157" s="96" t="inlineStr">
        <is>
          <t>미래에셋자산운용</t>
        </is>
      </c>
      <c r="D157" s="97" t="n">
        <v>11840</v>
      </c>
      <c r="E157" s="97" t="n">
        <v>26640000000</v>
      </c>
      <c r="F157" s="97" t="n">
        <v>142730942</v>
      </c>
      <c r="G157" s="98" t="n">
        <v>0.005500000000000001</v>
      </c>
      <c r="H157" s="98" t="n">
        <v>0.1065</v>
      </c>
      <c r="I157" s="98" t="n">
        <v>0.0038</v>
      </c>
      <c r="J157" s="98" t="n">
        <v>0.04037200000000001</v>
      </c>
      <c r="K157" s="97" t="n">
        <v>48</v>
      </c>
      <c r="L157" s="99" t="inlineStr">
        <is>
          <t>20260828</t>
        </is>
      </c>
      <c r="M157" s="96" t="inlineStr">
        <is>
          <t>제외</t>
        </is>
      </c>
      <c r="N157" s="96" t="inlineStr">
        <is>
          <t>순자산 266억(기준 300억 미만), 60일 거래대금 1.4억(기준 5억 미만)</t>
        </is>
      </c>
      <c r="O157" s="96" t="inlineStr">
        <is>
          <t>Indxx Multi Asset Income Index</t>
        </is>
      </c>
      <c r="P157" s="96" t="inlineStr">
        <is>
          <t>일반</t>
        </is>
      </c>
      <c r="Q157" s="96" t="inlineStr">
        <is>
          <t>멀티에셋</t>
        </is>
      </c>
      <c r="R157" s="96" t="inlineStr">
        <is>
          <t>월배당</t>
        </is>
      </c>
      <c r="S157" s="97" t="n">
        <v>11</v>
      </c>
      <c r="T157" s="98" t="n">
        <v>1</v>
      </c>
      <c r="U157">
        <f>IF(AND($J157&lt;&gt;"",OR(조회_주기="전체",$R157=조회_주기),$J157&gt;=조회_최소,$J157&lt;=조회_최대),1,0)</f>
        <v/>
      </c>
      <c r="V157">
        <f>IF($U157=1,$V156+1,$V156)</f>
        <v/>
      </c>
      <c r="W157">
        <f>IF(검색어="",1,IF(ISNUMBER(SEARCH(검색어,$A157)),1,0))</f>
        <v/>
      </c>
      <c r="X157">
        <f>IF($W157=1,$X156+1,$X156)</f>
        <v/>
      </c>
      <c r="Y157">
        <f>IFERROR(INDEX($A$4:$A$253,MATCH(154,$X$4:$X$253,0)),"")</f>
        <v/>
      </c>
    </row>
    <row r="158">
      <c r="A158" s="96" t="inlineStr">
        <is>
          <t>RISE 글로벌리얼티인컴</t>
        </is>
      </c>
      <c r="B158" s="96" t="inlineStr">
        <is>
          <t>475380</t>
        </is>
      </c>
      <c r="C158" s="96" t="inlineStr">
        <is>
          <t>KB자산운용</t>
        </is>
      </c>
      <c r="D158" s="97" t="n">
        <v>10090</v>
      </c>
      <c r="E158" s="97" t="n">
        <v>26738500000</v>
      </c>
      <c r="F158" s="97" t="n">
        <v>76440254</v>
      </c>
      <c r="G158" s="98" t="n">
        <v>0.0001</v>
      </c>
      <c r="H158" s="98" t="n">
        <v>0.1419</v>
      </c>
      <c r="I158" s="98" t="n">
        <v>0.003</v>
      </c>
      <c r="J158" s="98" t="n">
        <v>0.039643</v>
      </c>
      <c r="K158" s="97" t="n">
        <v>30</v>
      </c>
      <c r="L158" s="99" t="inlineStr">
        <is>
          <t>20260828</t>
        </is>
      </c>
      <c r="M158" s="96" t="inlineStr">
        <is>
          <t>제외</t>
        </is>
      </c>
      <c r="N158" s="96" t="inlineStr">
        <is>
          <t>순자산 267억(기준 300억 미만), 60일 거래대금 0.8억(기준 5억 미만)</t>
        </is>
      </c>
      <c r="O158" s="96" t="inlineStr">
        <is>
          <t>Solactive Global Realty Income Index PR</t>
        </is>
      </c>
      <c r="P158" s="96" t="inlineStr">
        <is>
          <t>일반</t>
        </is>
      </c>
      <c r="Q158" s="96" t="inlineStr">
        <is>
          <t>부동산</t>
        </is>
      </c>
      <c r="R158" s="96" t="inlineStr">
        <is>
          <t>월배당</t>
        </is>
      </c>
      <c r="S158" s="97" t="n">
        <v>11</v>
      </c>
      <c r="T158" s="98" t="n">
        <v>1</v>
      </c>
      <c r="U158">
        <f>IF(AND($J158&lt;&gt;"",OR(조회_주기="전체",$R158=조회_주기),$J158&gt;=조회_최소,$J158&lt;=조회_최대),1,0)</f>
        <v/>
      </c>
      <c r="V158">
        <f>IF($U158=1,$V157+1,$V157)</f>
        <v/>
      </c>
      <c r="W158">
        <f>IF(검색어="",1,IF(ISNUMBER(SEARCH(검색어,$A158)),1,0))</f>
        <v/>
      </c>
      <c r="X158">
        <f>IF($W158=1,$X157+1,$X157)</f>
        <v/>
      </c>
      <c r="Y158">
        <f>IFERROR(INDEX($A$4:$A$253,MATCH(155,$X$4:$X$253,0)),"")</f>
        <v/>
      </c>
    </row>
    <row r="159">
      <c r="A159" s="96" t="inlineStr">
        <is>
          <t>TIGER 200커버드콜OTM</t>
        </is>
      </c>
      <c r="B159" s="96" t="inlineStr">
        <is>
          <t>166400</t>
        </is>
      </c>
      <c r="C159" s="96" t="inlineStr">
        <is>
          <t>미래에셋자산운용</t>
        </is>
      </c>
      <c r="D159" s="97" t="n">
        <v>24560</v>
      </c>
      <c r="E159" s="97" t="n">
        <v>12280000000</v>
      </c>
      <c r="F159" s="97" t="n">
        <v>46464648</v>
      </c>
      <c r="G159" s="98" t="n">
        <v>0.0038</v>
      </c>
      <c r="H159" s="98" t="n">
        <v>0.4264</v>
      </c>
      <c r="I159" s="98" t="n">
        <v>0.0039</v>
      </c>
      <c r="J159" s="98" t="n">
        <v>0.038721</v>
      </c>
      <c r="K159" s="97" t="n">
        <v>51</v>
      </c>
      <c r="L159" s="99" t="inlineStr">
        <is>
          <t>20260828</t>
        </is>
      </c>
      <c r="M159" s="96" t="inlineStr">
        <is>
          <t>제외</t>
        </is>
      </c>
      <c r="N159" s="96" t="inlineStr">
        <is>
          <t>순자산 123억(기준 300억 미만), 60일 거래대금 0.5억(기준 5억 미만), 변동성 42.6%(1년 기준, 기준 35% 초과)</t>
        </is>
      </c>
      <c r="O159" s="96" t="inlineStr">
        <is>
          <t>코스피 200 커버드콜 5% OTM</t>
        </is>
      </c>
      <c r="P159" s="96" t="inlineStr">
        <is>
          <t>커버드콜</t>
        </is>
      </c>
      <c r="Q159" s="96" t="inlineStr">
        <is>
          <t>주식</t>
        </is>
      </c>
      <c r="R159" s="96" t="inlineStr">
        <is>
          <t>월배당</t>
        </is>
      </c>
      <c r="S159" s="97" t="n">
        <v>11</v>
      </c>
      <c r="T159" s="98" t="n">
        <v>0.9758</v>
      </c>
      <c r="U159">
        <f>IF(AND($J159&lt;&gt;"",OR(조회_주기="전체",$R159=조회_주기),$J159&gt;=조회_최소,$J159&lt;=조회_최대),1,0)</f>
        <v/>
      </c>
      <c r="V159">
        <f>IF($U159=1,$V158+1,$V158)</f>
        <v/>
      </c>
      <c r="W159">
        <f>IF(검색어="",1,IF(ISNUMBER(SEARCH(검색어,$A159)),1,0))</f>
        <v/>
      </c>
      <c r="X159">
        <f>IF($W159=1,$X158+1,$X158)</f>
        <v/>
      </c>
      <c r="Y159">
        <f>IFERROR(INDEX($A$4:$A$253,MATCH(156,$X$4:$X$253,0)),"")</f>
        <v/>
      </c>
    </row>
    <row r="160">
      <c r="A160" s="96" t="inlineStr">
        <is>
          <t>KIWOOM 한국고배당&amp;미국AI테크</t>
        </is>
      </c>
      <c r="B160" s="96" t="inlineStr">
        <is>
          <t>0097L0</t>
        </is>
      </c>
      <c r="C160" s="96" t="inlineStr">
        <is>
          <t>키움투자자산운용</t>
        </is>
      </c>
      <c r="D160" s="97" t="n">
        <v>12470</v>
      </c>
      <c r="E160" s="97" t="n">
        <v>24316500000</v>
      </c>
      <c r="F160" s="97" t="n">
        <v>110179665</v>
      </c>
      <c r="G160" s="98" t="n">
        <v>0.004500000000000001</v>
      </c>
      <c r="H160" s="98" t="n">
        <v>0.2603</v>
      </c>
      <c r="I160" s="98" t="n">
        <v>0.0043</v>
      </c>
      <c r="J160" s="98" t="n">
        <v>0.038091</v>
      </c>
      <c r="K160" s="97" t="n">
        <v>12</v>
      </c>
      <c r="L160" s="99" t="inlineStr">
        <is>
          <t>20260828</t>
        </is>
      </c>
      <c r="M160" s="96" t="inlineStr">
        <is>
          <t>제외</t>
        </is>
      </c>
      <c r="N160" s="96" t="inlineStr">
        <is>
          <t>순자산 243억(기준 300억 미만), 60일 거래대금 1.1억(기준 5억 미만)</t>
        </is>
      </c>
      <c r="O160" s="96" t="inlineStr">
        <is>
          <t>Akros 미국AI테크Top10&amp;한국고배당 3070 지수</t>
        </is>
      </c>
      <c r="P160" s="96" t="inlineStr">
        <is>
          <t>일반</t>
        </is>
      </c>
      <c r="Q160" s="96" t="inlineStr">
        <is>
          <t>주식</t>
        </is>
      </c>
      <c r="R160" s="96" t="inlineStr">
        <is>
          <t>월배당</t>
        </is>
      </c>
      <c r="S160" s="97" t="n">
        <v>11</v>
      </c>
      <c r="T160" s="98" t="n">
        <v>1</v>
      </c>
      <c r="U160">
        <f>IF(AND($J160&lt;&gt;"",OR(조회_주기="전체",$R160=조회_주기),$J160&gt;=조회_최소,$J160&lt;=조회_최대),1,0)</f>
        <v/>
      </c>
      <c r="V160">
        <f>IF($U160=1,$V159+1,$V159)</f>
        <v/>
      </c>
      <c r="W160">
        <f>IF(검색어="",1,IF(ISNUMBER(SEARCH(검색어,$A160)),1,0))</f>
        <v/>
      </c>
      <c r="X160">
        <f>IF($W160=1,$X159+1,$X159)</f>
        <v/>
      </c>
      <c r="Y160">
        <f>IFERROR(INDEX($A$4:$A$253,MATCH(157,$X$4:$X$253,0)),"")</f>
        <v/>
      </c>
    </row>
    <row r="161">
      <c r="A161" s="96" t="inlineStr">
        <is>
          <t>ACE 미국10년국채액티브(H)</t>
        </is>
      </c>
      <c r="B161" s="96" t="inlineStr">
        <is>
          <t>0085N0</t>
        </is>
      </c>
      <c r="C161" s="96" t="inlineStr">
        <is>
          <t>한국투신운용(ETF)</t>
        </is>
      </c>
      <c r="D161" s="97" t="n">
        <v>9640</v>
      </c>
      <c r="E161" s="97" t="n">
        <v>34704000000</v>
      </c>
      <c r="F161" s="97" t="n">
        <v>286535215</v>
      </c>
      <c r="G161" s="98" t="n">
        <v>0.0015</v>
      </c>
      <c r="H161" s="98" t="n">
        <v>0.0441</v>
      </c>
      <c r="I161" s="98" t="n">
        <v>0.0033</v>
      </c>
      <c r="J161" s="98" t="n">
        <v>0.037967</v>
      </c>
      <c r="K161" s="97" t="n">
        <v>13</v>
      </c>
      <c r="L161" s="99" t="inlineStr">
        <is>
          <t>20260828</t>
        </is>
      </c>
      <c r="M161" s="96" t="inlineStr">
        <is>
          <t>제외</t>
        </is>
      </c>
      <c r="N161" s="96" t="inlineStr">
        <is>
          <t>60일 거래대금 2.9억(기준 5억 미만)</t>
        </is>
      </c>
      <c r="O161" s="96" t="inlineStr">
        <is>
          <t>ICE U.S.Treasury 7-10 Year Bond Index</t>
        </is>
      </c>
      <c r="P161" s="96" t="inlineStr">
        <is>
          <t>일반</t>
        </is>
      </c>
      <c r="Q161" s="96" t="inlineStr">
        <is>
          <t>채권</t>
        </is>
      </c>
      <c r="R161" s="96" t="inlineStr">
        <is>
          <t>월배당</t>
        </is>
      </c>
      <c r="S161" s="97" t="n">
        <v>11</v>
      </c>
      <c r="T161" s="98" t="n">
        <v>0.6667</v>
      </c>
      <c r="U161">
        <f>IF(AND($J161&lt;&gt;"",OR(조회_주기="전체",$R161=조회_주기),$J161&gt;=조회_최소,$J161&lt;=조회_최대),1,0)</f>
        <v/>
      </c>
      <c r="V161">
        <f>IF($U161=1,$V160+1,$V160)</f>
        <v/>
      </c>
      <c r="W161">
        <f>IF(검색어="",1,IF(ISNUMBER(SEARCH(검색어,$A161)),1,0))</f>
        <v/>
      </c>
      <c r="X161">
        <f>IF($W161=1,$X160+1,$X160)</f>
        <v/>
      </c>
      <c r="Y161">
        <f>IFERROR(INDEX($A$4:$A$253,MATCH(158,$X$4:$X$253,0)),"")</f>
        <v/>
      </c>
    </row>
    <row r="162">
      <c r="A162" s="96" t="inlineStr">
        <is>
          <t>PLUS 미국단기회사채(AAA~A)</t>
        </is>
      </c>
      <c r="B162" s="96" t="inlineStr">
        <is>
          <t>332610</t>
        </is>
      </c>
      <c r="C162" s="96" t="inlineStr">
        <is>
          <t>한화자산운용</t>
        </is>
      </c>
      <c r="D162" s="97" t="n">
        <v>125640</v>
      </c>
      <c r="E162" s="97" t="n">
        <v>12061440000</v>
      </c>
      <c r="F162" s="97" t="n">
        <v>3951660390</v>
      </c>
      <c r="G162" s="98" t="n">
        <v>0.00315</v>
      </c>
      <c r="H162" s="98" t="n">
        <v>0.1039</v>
      </c>
      <c r="I162" s="98" t="n">
        <v>0.003</v>
      </c>
      <c r="J162" s="98" t="n">
        <v>0.037806</v>
      </c>
      <c r="K162" s="97" t="n">
        <v>18</v>
      </c>
      <c r="L162" s="99" t="inlineStr">
        <is>
          <t>20260828</t>
        </is>
      </c>
      <c r="M162" s="96" t="inlineStr">
        <is>
          <t>제외</t>
        </is>
      </c>
      <c r="N162" s="96" t="inlineStr">
        <is>
          <t>순자산 121억(기준 300억 미만)</t>
        </is>
      </c>
      <c r="O162" s="96" t="inlineStr">
        <is>
          <t>ICE BOFAML 1-3 YEAR AAA-A US CORPORATE INDEX</t>
        </is>
      </c>
      <c r="P162" s="96" t="inlineStr">
        <is>
          <t>일반</t>
        </is>
      </c>
      <c r="Q162" s="96" t="inlineStr">
        <is>
          <t>채권</t>
        </is>
      </c>
      <c r="R162" s="96" t="inlineStr">
        <is>
          <t>월배당</t>
        </is>
      </c>
      <c r="S162" s="97" t="n">
        <v>11</v>
      </c>
      <c r="T162" s="98" t="n">
        <v>1</v>
      </c>
      <c r="U162">
        <f>IF(AND($J162&lt;&gt;"",OR(조회_주기="전체",$R162=조회_주기),$J162&gt;=조회_최소,$J162&lt;=조회_최대),1,0)</f>
        <v/>
      </c>
      <c r="V162">
        <f>IF($U162=1,$V161+1,$V161)</f>
        <v/>
      </c>
      <c r="W162">
        <f>IF(검색어="",1,IF(ISNUMBER(SEARCH(검색어,$A162)),1,0))</f>
        <v/>
      </c>
      <c r="X162">
        <f>IF($W162=1,$X161+1,$X161)</f>
        <v/>
      </c>
      <c r="Y162">
        <f>IFERROR(INDEX($A$4:$A$253,MATCH(159,$X$4:$X$253,0)),"")</f>
        <v/>
      </c>
    </row>
    <row r="163">
      <c r="A163" s="96" t="inlineStr">
        <is>
          <t>RISE 코리아금융고배당</t>
        </is>
      </c>
      <c r="B163" s="96" t="inlineStr">
        <is>
          <t>498860</t>
        </is>
      </c>
      <c r="C163" s="96" t="inlineStr">
        <is>
          <t>KB자산운용</t>
        </is>
      </c>
      <c r="D163" s="97" t="n">
        <v>16465</v>
      </c>
      <c r="E163" s="97" t="n">
        <v>32930000000</v>
      </c>
      <c r="F163" s="97" t="n">
        <v>426406815</v>
      </c>
      <c r="G163" s="98" t="n">
        <v>0.001</v>
      </c>
      <c r="H163" s="98" t="n">
        <v>0.4189</v>
      </c>
      <c r="I163" s="98" t="n">
        <v>0.0024</v>
      </c>
      <c r="J163" s="98" t="n">
        <v>0.036077</v>
      </c>
      <c r="K163" s="97" t="n">
        <v>21</v>
      </c>
      <c r="L163" s="99" t="inlineStr">
        <is>
          <t>20260914</t>
        </is>
      </c>
      <c r="M163" s="96" t="inlineStr">
        <is>
          <t>제외</t>
        </is>
      </c>
      <c r="N163" s="96" t="inlineStr">
        <is>
          <t>60일 거래대금 4.3억(기준 5억 미만), 변동성 41.9%(1년 기준, 기준 35% 초과)</t>
        </is>
      </c>
      <c r="O163" s="96" t="inlineStr">
        <is>
          <t>iSelect 코리아 금융 고배당 지수</t>
        </is>
      </c>
      <c r="P163" s="96" t="inlineStr">
        <is>
          <t>일반</t>
        </is>
      </c>
      <c r="Q163" s="96" t="inlineStr">
        <is>
          <t>주식</t>
        </is>
      </c>
      <c r="R163" s="96" t="inlineStr">
        <is>
          <t>월배당</t>
        </is>
      </c>
      <c r="S163" s="97" t="n">
        <v>12</v>
      </c>
      <c r="T163" s="98" t="n">
        <v>0.9764</v>
      </c>
      <c r="U163">
        <f>IF(AND($J163&lt;&gt;"",OR(조회_주기="전체",$R163=조회_주기),$J163&gt;=조회_최소,$J163&lt;=조회_최대),1,0)</f>
        <v/>
      </c>
      <c r="V163">
        <f>IF($U163=1,$V162+1,$V162)</f>
        <v/>
      </c>
      <c r="W163">
        <f>IF(검색어="",1,IF(ISNUMBER(SEARCH(검색어,$A163)),1,0))</f>
        <v/>
      </c>
      <c r="X163">
        <f>IF($W163=1,$X162+1,$X162)</f>
        <v/>
      </c>
      <c r="Y163">
        <f>IFERROR(INDEX($A$4:$A$253,MATCH(160,$X$4:$X$253,0)),"")</f>
        <v/>
      </c>
    </row>
    <row r="164">
      <c r="A164" s="96" t="inlineStr">
        <is>
          <t>1Q 미국배당TOP30</t>
        </is>
      </c>
      <c r="B164" s="96" t="inlineStr">
        <is>
          <t>0004G0</t>
        </is>
      </c>
      <c r="C164" s="96" t="inlineStr">
        <is>
          <t>하나자산운용</t>
        </is>
      </c>
      <c r="D164" s="97" t="n">
        <v>8790</v>
      </c>
      <c r="E164" s="97" t="n">
        <v>13185000000</v>
      </c>
      <c r="F164" s="97" t="n">
        <v>90632482</v>
      </c>
      <c r="G164" s="98" t="n">
        <v>0.001</v>
      </c>
      <c r="H164" s="98" t="n">
        <v>0.1575</v>
      </c>
      <c r="I164" s="98" t="n">
        <v>0.0028</v>
      </c>
      <c r="J164" s="98" t="n">
        <v>0.03504</v>
      </c>
      <c r="K164" s="97" t="n">
        <v>18</v>
      </c>
      <c r="L164" s="99" t="inlineStr">
        <is>
          <t>20260828</t>
        </is>
      </c>
      <c r="M164" s="96" t="inlineStr">
        <is>
          <t>제외</t>
        </is>
      </c>
      <c r="N164" s="96" t="inlineStr">
        <is>
          <t>순자산 132억(기준 300억 미만), 60일 거래대금 0.9억(기준 5억 미만)</t>
        </is>
      </c>
      <c r="O164" s="96" t="inlineStr">
        <is>
          <t>Solactive U.S. Dividend 30 Index PR</t>
        </is>
      </c>
      <c r="P164" s="96" t="inlineStr">
        <is>
          <t>일반</t>
        </is>
      </c>
      <c r="Q164" s="96" t="inlineStr">
        <is>
          <t>주식</t>
        </is>
      </c>
      <c r="R164" s="96" t="inlineStr">
        <is>
          <t>월배당</t>
        </is>
      </c>
      <c r="S164" s="97" t="n">
        <v>11</v>
      </c>
      <c r="T164" s="98" t="n">
        <v>0.0844</v>
      </c>
      <c r="U164">
        <f>IF(AND($J164&lt;&gt;"",OR(조회_주기="전체",$R164=조회_주기),$J164&gt;=조회_최소,$J164&lt;=조회_최대),1,0)</f>
        <v/>
      </c>
      <c r="V164">
        <f>IF($U164=1,$V163+1,$V163)</f>
        <v/>
      </c>
      <c r="W164">
        <f>IF(검색어="",1,IF(ISNUMBER(SEARCH(검색어,$A164)),1,0))</f>
        <v/>
      </c>
      <c r="X164">
        <f>IF($W164=1,$X163+1,$X163)</f>
        <v/>
      </c>
      <c r="Y164">
        <f>IFERROR(INDEX($A$4:$A$253,MATCH(161,$X$4:$X$253,0)),"")</f>
        <v/>
      </c>
    </row>
    <row r="165">
      <c r="A165" s="96" t="inlineStr">
        <is>
          <t>SOL 금융지주플러스고배당</t>
        </is>
      </c>
      <c r="B165" s="96" t="inlineStr">
        <is>
          <t>484880</t>
        </is>
      </c>
      <c r="C165" s="96" t="inlineStr">
        <is>
          <t>신한자산운용</t>
        </is>
      </c>
      <c r="D165" s="97" t="n">
        <v>23170</v>
      </c>
      <c r="E165" s="97" t="n">
        <v>386939000000</v>
      </c>
      <c r="F165" s="97" t="n">
        <v>15626070088</v>
      </c>
      <c r="G165" s="98" t="n">
        <v>0.003</v>
      </c>
      <c r="H165" s="98" t="n">
        <v>0.3584000000000001</v>
      </c>
      <c r="I165" s="98" t="n">
        <v>0.0038</v>
      </c>
      <c r="J165" s="98" t="n">
        <v>0.034916</v>
      </c>
      <c r="K165" s="97" t="n">
        <v>26</v>
      </c>
      <c r="L165" s="99" t="inlineStr">
        <is>
          <t>20260828</t>
        </is>
      </c>
      <c r="M165" s="96" t="inlineStr">
        <is>
          <t>제외</t>
        </is>
      </c>
      <c r="N165" s="96" t="inlineStr">
        <is>
          <t>변동성 35.8%(1년 기준, 기준 35% 초과)</t>
        </is>
      </c>
      <c r="O165" s="96" t="inlineStr">
        <is>
          <t>FnGuide 금융지주플러스고배당 지수</t>
        </is>
      </c>
      <c r="P165" s="96" t="inlineStr">
        <is>
          <t>일반</t>
        </is>
      </c>
      <c r="Q165" s="96" t="inlineStr">
        <is>
          <t>주식</t>
        </is>
      </c>
      <c r="R165" s="96" t="inlineStr">
        <is>
          <t>월배당</t>
        </is>
      </c>
      <c r="S165" s="97" t="n">
        <v>11</v>
      </c>
      <c r="T165" s="98" t="n">
        <v>0.8146</v>
      </c>
      <c r="U165">
        <f>IF(AND($J165&lt;&gt;"",OR(조회_주기="전체",$R165=조회_주기),$J165&gt;=조회_최소,$J165&lt;=조회_최대),1,0)</f>
        <v/>
      </c>
      <c r="V165">
        <f>IF($U165=1,$V164+1,$V164)</f>
        <v/>
      </c>
      <c r="W165">
        <f>IF(검색어="",1,IF(ISNUMBER(SEARCH(검색어,$A165)),1,0))</f>
        <v/>
      </c>
      <c r="X165">
        <f>IF($W165=1,$X164+1,$X164)</f>
        <v/>
      </c>
      <c r="Y165">
        <f>IFERROR(INDEX($A$4:$A$253,MATCH(162,$X$4:$X$253,0)),"")</f>
        <v/>
      </c>
    </row>
    <row r="166">
      <c r="A166" s="96" t="inlineStr">
        <is>
          <t>ACE 미국부동산리츠(합성 H)</t>
        </is>
      </c>
      <c r="B166" s="96" t="inlineStr">
        <is>
          <t>181480</t>
        </is>
      </c>
      <c r="C166" s="96" t="inlineStr">
        <is>
          <t>한국투신운용(ETF)</t>
        </is>
      </c>
      <c r="D166" s="97" t="n">
        <v>82150</v>
      </c>
      <c r="E166" s="97" t="n">
        <v>9858000000</v>
      </c>
      <c r="F166" s="97" t="n">
        <v>85507078</v>
      </c>
      <c r="G166" s="98" t="n">
        <v>0.003</v>
      </c>
      <c r="H166" s="98" t="n">
        <v>0.1411</v>
      </c>
      <c r="I166" s="98" t="n">
        <v>0.0025</v>
      </c>
      <c r="J166" s="98" t="n">
        <v>0.03479</v>
      </c>
      <c r="K166" s="97" t="n">
        <v>25</v>
      </c>
      <c r="L166" s="99" t="inlineStr">
        <is>
          <t>20260828</t>
        </is>
      </c>
      <c r="M166" s="96" t="inlineStr">
        <is>
          <t>제외</t>
        </is>
      </c>
      <c r="N166" s="96" t="inlineStr">
        <is>
          <t>순자산 99억(기준 300억 미만), 60일 거래대금 0.9억(기준 5억 미만)</t>
        </is>
      </c>
      <c r="O166" s="96" t="inlineStr">
        <is>
          <t>DowJones US Real Estate Index</t>
        </is>
      </c>
      <c r="P166" s="96" t="inlineStr">
        <is>
          <t>일반</t>
        </is>
      </c>
      <c r="Q166" s="96" t="inlineStr">
        <is>
          <t>부동산</t>
        </is>
      </c>
      <c r="R166" s="96" t="inlineStr">
        <is>
          <t>월배당</t>
        </is>
      </c>
      <c r="S166" s="97" t="n">
        <v>11</v>
      </c>
      <c r="T166" s="98" t="n">
        <v>1</v>
      </c>
      <c r="U166">
        <f>IF(AND($J166&lt;&gt;"",OR(조회_주기="전체",$R166=조회_주기),$J166&gt;=조회_최소,$J166&lt;=조회_최대),1,0)</f>
        <v/>
      </c>
      <c r="V166">
        <f>IF($U166=1,$V165+1,$V165)</f>
        <v/>
      </c>
      <c r="W166">
        <f>IF(검색어="",1,IF(ISNUMBER(SEARCH(검색어,$A166)),1,0))</f>
        <v/>
      </c>
      <c r="X166">
        <f>IF($W166=1,$X165+1,$X165)</f>
        <v/>
      </c>
      <c r="Y166">
        <f>IFERROR(INDEX($A$4:$A$253,MATCH(163,$X$4:$X$253,0)),"")</f>
        <v/>
      </c>
    </row>
    <row r="167">
      <c r="A167" s="96" t="inlineStr">
        <is>
          <t>KODEX 미국부동산리츠(H)</t>
        </is>
      </c>
      <c r="B167" s="96" t="inlineStr">
        <is>
          <t>352560</t>
        </is>
      </c>
      <c r="C167" s="96" t="inlineStr">
        <is>
          <t>삼성자산운용(ETF)</t>
        </is>
      </c>
      <c r="D167" s="97" t="n">
        <v>11810</v>
      </c>
      <c r="E167" s="97" t="n">
        <v>31296500000</v>
      </c>
      <c r="F167" s="97" t="n">
        <v>426978149</v>
      </c>
      <c r="G167" s="98" t="n">
        <v>0.0009</v>
      </c>
      <c r="H167" s="98" t="n">
        <v>0.1371</v>
      </c>
      <c r="I167" s="98" t="n">
        <v>0.0021</v>
      </c>
      <c r="J167" s="98" t="n">
        <v>0.034547</v>
      </c>
      <c r="K167" s="97" t="n">
        <v>47</v>
      </c>
      <c r="L167" s="99" t="inlineStr">
        <is>
          <t>20260828</t>
        </is>
      </c>
      <c r="M167" s="96" t="inlineStr">
        <is>
          <t>제외</t>
        </is>
      </c>
      <c r="N167" s="96" t="inlineStr">
        <is>
          <t>60일 거래대금 4.3억(기준 5억 미만)</t>
        </is>
      </c>
      <c r="O167" s="96" t="inlineStr">
        <is>
          <t>Dow Jones U.S. Real Estate Index</t>
        </is>
      </c>
      <c r="P167" s="96" t="inlineStr">
        <is>
          <t>일반</t>
        </is>
      </c>
      <c r="Q167" s="96" t="inlineStr">
        <is>
          <t>부동산</t>
        </is>
      </c>
      <c r="R167" s="96" t="inlineStr">
        <is>
          <t>월배당</t>
        </is>
      </c>
      <c r="S167" s="97" t="n">
        <v>10</v>
      </c>
      <c r="T167" s="98" t="n">
        <v>1</v>
      </c>
      <c r="U167">
        <f>IF(AND($J167&lt;&gt;"",OR(조회_주기="전체",$R167=조회_주기),$J167&gt;=조회_최소,$J167&lt;=조회_최대),1,0)</f>
        <v/>
      </c>
      <c r="V167">
        <f>IF($U167=1,$V166+1,$V166)</f>
        <v/>
      </c>
      <c r="W167">
        <f>IF(검색어="",1,IF(ISNUMBER(SEARCH(검색어,$A167)),1,0))</f>
        <v/>
      </c>
      <c r="X167">
        <f>IF($W167=1,$X166+1,$X166)</f>
        <v/>
      </c>
      <c r="Y167">
        <f>IFERROR(INDEX($A$4:$A$253,MATCH(164,$X$4:$X$253,0)),"")</f>
        <v/>
      </c>
    </row>
    <row r="168">
      <c r="A168" s="96" t="inlineStr">
        <is>
          <t>TIGER 리츠부동산인프라10채권혼합액티브</t>
        </is>
      </c>
      <c r="B168" s="96" t="inlineStr">
        <is>
          <t>0086C0</t>
        </is>
      </c>
      <c r="C168" s="96" t="inlineStr">
        <is>
          <t>미래에셋자산운용</t>
        </is>
      </c>
      <c r="D168" s="97" t="n">
        <v>9745</v>
      </c>
      <c r="E168" s="97" t="n">
        <v>17053750000</v>
      </c>
      <c r="F168" s="97" t="n">
        <v>93029826</v>
      </c>
      <c r="G168" s="98" t="n">
        <v>0.0015</v>
      </c>
      <c r="H168" s="98" t="n">
        <v>0.0764</v>
      </c>
      <c r="I168" s="98" t="n">
        <v>0.0029</v>
      </c>
      <c r="J168" s="98" t="n">
        <v>0.034479</v>
      </c>
      <c r="K168" s="97" t="n">
        <v>13</v>
      </c>
      <c r="L168" s="99" t="inlineStr">
        <is>
          <t>20260914</t>
        </is>
      </c>
      <c r="M168" s="96" t="inlineStr">
        <is>
          <t>제외</t>
        </is>
      </c>
      <c r="N168" s="96" t="inlineStr">
        <is>
          <t>순자산 171억(기준 300억 미만), 60일 거래대금 0.9억(기준 5억 미만)</t>
        </is>
      </c>
      <c r="O168" s="96" t="inlineStr">
        <is>
          <t>KEDI 리츠부동산인프라TOP10 채권혼합 지수</t>
        </is>
      </c>
      <c r="P168" s="96" t="inlineStr">
        <is>
          <t>일반</t>
        </is>
      </c>
      <c r="Q168" s="96" t="inlineStr">
        <is>
          <t>멀티에셋</t>
        </is>
      </c>
      <c r="R168" s="96" t="inlineStr">
        <is>
          <t>월배당</t>
        </is>
      </c>
      <c r="S168" s="97" t="n">
        <v>12</v>
      </c>
      <c r="T168" s="98" t="n">
        <v>0.9048</v>
      </c>
      <c r="U168">
        <f>IF(AND($J168&lt;&gt;"",OR(조회_주기="전체",$R168=조회_주기),$J168&gt;=조회_최소,$J168&lt;=조회_최대),1,0)</f>
        <v/>
      </c>
      <c r="V168">
        <f>IF($U168=1,$V167+1,$V167)</f>
        <v/>
      </c>
      <c r="W168">
        <f>IF(검색어="",1,IF(ISNUMBER(SEARCH(검색어,$A168)),1,0))</f>
        <v/>
      </c>
      <c r="X168">
        <f>IF($W168=1,$X167+1,$X167)</f>
        <v/>
      </c>
      <c r="Y168">
        <f>IFERROR(INDEX($A$4:$A$253,MATCH(165,$X$4:$X$253,0)),"")</f>
        <v/>
      </c>
    </row>
    <row r="169">
      <c r="A169" s="96" t="inlineStr">
        <is>
          <t>TIGER 미국MSCI리츠(합성 H)</t>
        </is>
      </c>
      <c r="B169" s="96" t="inlineStr">
        <is>
          <t>182480</t>
        </is>
      </c>
      <c r="C169" s="96" t="inlineStr">
        <is>
          <t>미래에셋자산운용</t>
        </is>
      </c>
      <c r="D169" s="97" t="n">
        <v>13205</v>
      </c>
      <c r="E169" s="97" t="n">
        <v>116204000000</v>
      </c>
      <c r="F169" s="97" t="n">
        <v>249024515</v>
      </c>
      <c r="G169" s="98" t="n">
        <v>0.0024</v>
      </c>
      <c r="H169" s="98" t="n">
        <v>0.1396</v>
      </c>
      <c r="I169" s="98" t="n">
        <v>0.0014</v>
      </c>
      <c r="J169" s="98" t="n">
        <v>0.033624</v>
      </c>
      <c r="K169" s="97" t="n">
        <v>53</v>
      </c>
      <c r="L169" s="99" t="inlineStr">
        <is>
          <t>20260828</t>
        </is>
      </c>
      <c r="M169" s="96" t="inlineStr">
        <is>
          <t>제외</t>
        </is>
      </c>
      <c r="N169" s="96" t="inlineStr">
        <is>
          <t>60일 거래대금 2.5억(기준 5억 미만)</t>
        </is>
      </c>
      <c r="O169" s="96" t="inlineStr">
        <is>
          <t>MSCI US REIT Index</t>
        </is>
      </c>
      <c r="P169" s="96" t="inlineStr">
        <is>
          <t>일반</t>
        </is>
      </c>
      <c r="Q169" s="96" t="inlineStr">
        <is>
          <t>부동산</t>
        </is>
      </c>
      <c r="R169" s="96" t="inlineStr">
        <is>
          <t>월배당</t>
        </is>
      </c>
      <c r="S169" s="97" t="n">
        <v>11</v>
      </c>
      <c r="T169" s="98" t="n">
        <v>1</v>
      </c>
      <c r="U169">
        <f>IF(AND($J169&lt;&gt;"",OR(조회_주기="전체",$R169=조회_주기),$J169&gt;=조회_최소,$J169&lt;=조회_최대),1,0)</f>
        <v/>
      </c>
      <c r="V169">
        <f>IF($U169=1,$V168+1,$V168)</f>
        <v/>
      </c>
      <c r="W169">
        <f>IF(검색어="",1,IF(ISNUMBER(SEARCH(검색어,$A169)),1,0))</f>
        <v/>
      </c>
      <c r="X169">
        <f>IF($W169=1,$X168+1,$X168)</f>
        <v/>
      </c>
      <c r="Y169">
        <f>IFERROR(INDEX($A$4:$A$253,MATCH(166,$X$4:$X$253,0)),"")</f>
        <v/>
      </c>
    </row>
    <row r="170">
      <c r="A170" s="96" t="inlineStr">
        <is>
          <t>RISE 금융채액티브</t>
        </is>
      </c>
      <c r="B170" s="96" t="inlineStr">
        <is>
          <t>336160</t>
        </is>
      </c>
      <c r="C170" s="96" t="inlineStr">
        <is>
          <t>KB자산운용</t>
        </is>
      </c>
      <c r="D170" s="97" t="n">
        <v>99995</v>
      </c>
      <c r="E170" s="97" t="n">
        <v>46897655000</v>
      </c>
      <c r="F170" s="97" t="n">
        <v>27896188</v>
      </c>
      <c r="G170" s="98" t="n">
        <v>0.0007000000000000001</v>
      </c>
      <c r="H170" s="98" t="n">
        <v>0.0203</v>
      </c>
      <c r="I170" s="98" t="n">
        <v>0.002</v>
      </c>
      <c r="J170" s="98" t="n">
        <v>0.032342</v>
      </c>
      <c r="K170" s="97" t="n">
        <v>44</v>
      </c>
      <c r="L170" s="99" t="inlineStr">
        <is>
          <t>20260828</t>
        </is>
      </c>
      <c r="M170" s="96" t="inlineStr">
        <is>
          <t>제외</t>
        </is>
      </c>
      <c r="N170" s="96" t="inlineStr">
        <is>
          <t>60일 거래대금 0.3억(기준 5억 미만)</t>
        </is>
      </c>
      <c r="O170" s="96" t="inlineStr">
        <is>
          <t>KIS 종합채권 금융채 2.5-3Y</t>
        </is>
      </c>
      <c r="P170" s="96" t="inlineStr">
        <is>
          <t>일반</t>
        </is>
      </c>
      <c r="Q170" s="96" t="inlineStr">
        <is>
          <t>채권</t>
        </is>
      </c>
      <c r="R170" s="96" t="inlineStr">
        <is>
          <t>월배당</t>
        </is>
      </c>
      <c r="S170" s="97" t="n">
        <v>11</v>
      </c>
      <c r="T170" s="98" t="n">
        <v>1</v>
      </c>
      <c r="U170">
        <f>IF(AND($J170&lt;&gt;"",OR(조회_주기="전체",$R170=조회_주기),$J170&gt;=조회_최소,$J170&lt;=조회_최대),1,0)</f>
        <v/>
      </c>
      <c r="V170">
        <f>IF($U170=1,$V169+1,$V169)</f>
        <v/>
      </c>
      <c r="W170">
        <f>IF(검색어="",1,IF(ISNUMBER(SEARCH(검색어,$A170)),1,0))</f>
        <v/>
      </c>
      <c r="X170">
        <f>IF($W170=1,$X169+1,$X169)</f>
        <v/>
      </c>
      <c r="Y170">
        <f>IFERROR(INDEX($A$4:$A$253,MATCH(167,$X$4:$X$253,0)),"")</f>
        <v/>
      </c>
    </row>
    <row r="171">
      <c r="A171" s="96" t="inlineStr">
        <is>
          <t>KIWOOM 국고채30년액티브</t>
        </is>
      </c>
      <c r="B171" s="96" t="inlineStr">
        <is>
          <t>471460</t>
        </is>
      </c>
      <c r="C171" s="96" t="inlineStr">
        <is>
          <t>키움투자자산운용</t>
        </is>
      </c>
      <c r="D171" s="97" t="n">
        <v>45540</v>
      </c>
      <c r="E171" s="97" t="n">
        <v>20948400000</v>
      </c>
      <c r="F171" s="97" t="n">
        <v>80502815</v>
      </c>
      <c r="G171" s="98" t="n">
        <v>0.0003500000000000001</v>
      </c>
      <c r="H171" s="98" t="n">
        <v>0.1409</v>
      </c>
      <c r="I171" s="98" t="n">
        <v>0.0028</v>
      </c>
      <c r="J171" s="98" t="n">
        <v>0.031094</v>
      </c>
      <c r="K171" s="97" t="n">
        <v>25</v>
      </c>
      <c r="L171" s="99" t="inlineStr">
        <is>
          <t>20260828</t>
        </is>
      </c>
      <c r="M171" s="96" t="inlineStr">
        <is>
          <t>제외</t>
        </is>
      </c>
      <c r="N171" s="96" t="inlineStr">
        <is>
          <t>순자산 209억(기준 300억 미만), 60일 거래대금 0.8억(기준 5억 미만)</t>
        </is>
      </c>
      <c r="O171" s="96" t="inlineStr">
        <is>
          <t>KIS-키움 국고채30년 지수</t>
        </is>
      </c>
      <c r="P171" s="96" t="inlineStr">
        <is>
          <t>일반</t>
        </is>
      </c>
      <c r="Q171" s="96" t="inlineStr">
        <is>
          <t>채권</t>
        </is>
      </c>
      <c r="R171" s="96" t="inlineStr">
        <is>
          <t>월배당</t>
        </is>
      </c>
      <c r="S171" s="97" t="n">
        <v>11</v>
      </c>
      <c r="T171" s="98" t="n">
        <v>1</v>
      </c>
      <c r="U171">
        <f>IF(AND($J171&lt;&gt;"",OR(조회_주기="전체",$R171=조회_주기),$J171&gt;=조회_최소,$J171&lt;=조회_최대),1,0)</f>
        <v/>
      </c>
      <c r="V171">
        <f>IF($U171=1,$V170+1,$V170)</f>
        <v/>
      </c>
      <c r="W171">
        <f>IF(검색어="",1,IF(ISNUMBER(SEARCH(검색어,$A171)),1,0))</f>
        <v/>
      </c>
      <c r="X171">
        <f>IF($W171=1,$X170+1,$X170)</f>
        <v/>
      </c>
      <c r="Y171">
        <f>IFERROR(INDEX($A$4:$A$253,MATCH(168,$X$4:$X$253,0)),"")</f>
        <v/>
      </c>
    </row>
    <row r="172">
      <c r="A172" s="96" t="inlineStr">
        <is>
          <t>RISE 미국S&amp;P배당킹</t>
        </is>
      </c>
      <c r="B172" s="96" t="inlineStr">
        <is>
          <t>460660</t>
        </is>
      </c>
      <c r="C172" s="96" t="inlineStr">
        <is>
          <t>KB자산운용</t>
        </is>
      </c>
      <c r="D172" s="97" t="n">
        <v>11580</v>
      </c>
      <c r="E172" s="97" t="n">
        <v>17370000000</v>
      </c>
      <c r="F172" s="97" t="n">
        <v>94868595</v>
      </c>
      <c r="G172" s="98" t="n">
        <v>0.0001</v>
      </c>
      <c r="H172" s="98" t="n">
        <v>0.1558</v>
      </c>
      <c r="I172" s="98" t="n">
        <v>0.0024</v>
      </c>
      <c r="J172" s="98" t="n">
        <v>0.029879</v>
      </c>
      <c r="K172" s="97" t="n">
        <v>38</v>
      </c>
      <c r="L172" s="99" t="inlineStr">
        <is>
          <t>20260828</t>
        </is>
      </c>
      <c r="M172" s="96" t="inlineStr">
        <is>
          <t>제외</t>
        </is>
      </c>
      <c r="N172" s="96" t="inlineStr">
        <is>
          <t>순자산 174억(기준 300억 미만), 60일 거래대금 0.9억(기준 5억 미만)</t>
        </is>
      </c>
      <c r="O172" s="96" t="inlineStr">
        <is>
          <t>S&amp;P Dividend Monarchs Index (USD)</t>
        </is>
      </c>
      <c r="P172" s="96" t="inlineStr">
        <is>
          <t>일반</t>
        </is>
      </c>
      <c r="Q172" s="96" t="inlineStr">
        <is>
          <t>주식</t>
        </is>
      </c>
      <c r="R172" s="96" t="inlineStr">
        <is>
          <t>월배당</t>
        </is>
      </c>
      <c r="S172" s="97" t="n">
        <v>11</v>
      </c>
      <c r="T172" s="98" t="n">
        <v>1</v>
      </c>
      <c r="U172">
        <f>IF(AND($J172&lt;&gt;"",OR(조회_주기="전체",$R172=조회_주기),$J172&gt;=조회_최소,$J172&lt;=조회_최대),1,0)</f>
        <v/>
      </c>
      <c r="V172">
        <f>IF($U172=1,$V171+1,$V171)</f>
        <v/>
      </c>
      <c r="W172">
        <f>IF(검색어="",1,IF(ISNUMBER(SEARCH(검색어,$A172)),1,0))</f>
        <v/>
      </c>
      <c r="X172">
        <f>IF($W172=1,$X171+1,$X171)</f>
        <v/>
      </c>
      <c r="Y172">
        <f>IFERROR(INDEX($A$4:$A$253,MATCH(169,$X$4:$X$253,0)),"")</f>
        <v/>
      </c>
    </row>
    <row r="173">
      <c r="A173" s="96" t="inlineStr">
        <is>
          <t>SOL 미국배당다우존스2호</t>
        </is>
      </c>
      <c r="B173" s="96" t="inlineStr">
        <is>
          <t>493420</t>
        </is>
      </c>
      <c r="C173" s="96" t="inlineStr">
        <is>
          <t>신한자산운용</t>
        </is>
      </c>
      <c r="D173" s="97" t="n">
        <v>12545</v>
      </c>
      <c r="E173" s="97" t="n">
        <v>26344500000</v>
      </c>
      <c r="F173" s="97" t="n">
        <v>137350523</v>
      </c>
      <c r="G173" s="98" t="n">
        <v>0.0001</v>
      </c>
      <c r="H173" s="98" t="n">
        <v>0.1407</v>
      </c>
      <c r="I173" s="98" t="n">
        <v>0.0037</v>
      </c>
      <c r="J173" s="98" t="n">
        <v>0.029653</v>
      </c>
      <c r="K173" s="97" t="n">
        <v>16</v>
      </c>
      <c r="L173" s="99" t="inlineStr">
        <is>
          <t>20260914</t>
        </is>
      </c>
      <c r="M173" s="96" t="inlineStr">
        <is>
          <t>제외</t>
        </is>
      </c>
      <c r="N173" s="96" t="inlineStr">
        <is>
          <t>순자산 263억(기준 300억 미만), 60일 거래대금 1.4억(기준 5억 미만)</t>
        </is>
      </c>
      <c r="O173" s="96" t="inlineStr">
        <is>
          <t>Dow Jones U.S. Dividend 100 Total Return Index</t>
        </is>
      </c>
      <c r="P173" s="96" t="inlineStr">
        <is>
          <t>일반</t>
        </is>
      </c>
      <c r="Q173" s="96" t="inlineStr">
        <is>
          <t>주식</t>
        </is>
      </c>
      <c r="R173" s="96" t="inlineStr">
        <is>
          <t>월배당</t>
        </is>
      </c>
      <c r="S173" s="97" t="n">
        <v>12</v>
      </c>
      <c r="T173" s="98" t="n">
        <v>1</v>
      </c>
      <c r="U173">
        <f>IF(AND($J173&lt;&gt;"",OR(조회_주기="전체",$R173=조회_주기),$J173&gt;=조회_최소,$J173&lt;=조회_최대),1,0)</f>
        <v/>
      </c>
      <c r="V173">
        <f>IF($U173=1,$V172+1,$V172)</f>
        <v/>
      </c>
      <c r="W173">
        <f>IF(검색어="",1,IF(ISNUMBER(SEARCH(검색어,$A173)),1,0))</f>
        <v/>
      </c>
      <c r="X173">
        <f>IF($W173=1,$X172+1,$X172)</f>
        <v/>
      </c>
      <c r="Y173">
        <f>IFERROR(INDEX($A$4:$A$253,MATCH(170,$X$4:$X$253,0)),"")</f>
        <v/>
      </c>
    </row>
    <row r="174">
      <c r="A174" s="96" t="inlineStr">
        <is>
          <t>KODEX 증권</t>
        </is>
      </c>
      <c r="B174" s="96" t="inlineStr">
        <is>
          <t>102970</t>
        </is>
      </c>
      <c r="C174" s="96" t="inlineStr">
        <is>
          <t>삼성자산운용(ETF)</t>
        </is>
      </c>
      <c r="D174" s="97" t="n">
        <v>17555</v>
      </c>
      <c r="E174" s="97" t="n">
        <v>656557000000</v>
      </c>
      <c r="F174" s="97" t="n">
        <v>21570730136</v>
      </c>
      <c r="G174" s="98" t="n">
        <v>0.004500000000000001</v>
      </c>
      <c r="H174" s="98" t="n">
        <v>0.6304</v>
      </c>
      <c r="I174" s="98" t="n">
        <v>0.008699999999999999</v>
      </c>
      <c r="J174" s="98" t="n">
        <v>0.027855</v>
      </c>
      <c r="K174" s="97" t="n">
        <v>6</v>
      </c>
      <c r="L174" s="99" t="inlineStr">
        <is>
          <t>20260730</t>
        </is>
      </c>
      <c r="M174" s="96" t="inlineStr">
        <is>
          <t>제외</t>
        </is>
      </c>
      <c r="N174" s="96" t="inlineStr">
        <is>
          <t>변동성 63.0%(1년 기준, 기준 35% 초과)</t>
        </is>
      </c>
      <c r="O174" s="96" t="inlineStr">
        <is>
          <t>KRX 증권</t>
        </is>
      </c>
      <c r="P174" s="96" t="inlineStr">
        <is>
          <t>일반</t>
        </is>
      </c>
      <c r="Q174" s="96" t="inlineStr">
        <is>
          <t>주식</t>
        </is>
      </c>
      <c r="R174" s="96" t="inlineStr">
        <is>
          <t>연배당</t>
        </is>
      </c>
      <c r="S174" s="97" t="n">
        <v>2</v>
      </c>
      <c r="T174" s="98" t="n">
        <v>1</v>
      </c>
      <c r="U174">
        <f>IF(AND($J174&lt;&gt;"",OR(조회_주기="전체",$R174=조회_주기),$J174&gt;=조회_최소,$J174&lt;=조회_최대),1,0)</f>
        <v/>
      </c>
      <c r="V174">
        <f>IF($U174=1,$V173+1,$V173)</f>
        <v/>
      </c>
      <c r="W174">
        <f>IF(검색어="",1,IF(ISNUMBER(SEARCH(검색어,$A174)),1,0))</f>
        <v/>
      </c>
      <c r="X174">
        <f>IF($W174=1,$X173+1,$X173)</f>
        <v/>
      </c>
      <c r="Y174">
        <f>IFERROR(INDEX($A$4:$A$253,MATCH(171,$X$4:$X$253,0)),"")</f>
        <v/>
      </c>
    </row>
    <row r="175">
      <c r="A175" s="96" t="inlineStr">
        <is>
          <t>KIWOOM 엔비디아미국30년국채혼합액티브(H)</t>
        </is>
      </c>
      <c r="B175" s="96" t="inlineStr">
        <is>
          <t>0015E0</t>
        </is>
      </c>
      <c r="C175" s="96" t="inlineStr">
        <is>
          <t>키움투자자산운용</t>
        </is>
      </c>
      <c r="D175" s="97" t="n">
        <v>10440</v>
      </c>
      <c r="E175" s="97" t="n">
        <v>5220000000</v>
      </c>
      <c r="F175" s="97" t="n">
        <v>32110146</v>
      </c>
      <c r="G175" s="98" t="n">
        <v>0.0019</v>
      </c>
      <c r="H175" s="98" t="n">
        <v>0.1083</v>
      </c>
      <c r="I175" s="98" t="n">
        <v>0.0019</v>
      </c>
      <c r="J175" s="98" t="n">
        <v>0.022989</v>
      </c>
      <c r="K175" s="97" t="n">
        <v>18</v>
      </c>
      <c r="L175" s="99" t="inlineStr">
        <is>
          <t>20260828</t>
        </is>
      </c>
      <c r="M175" s="96" t="inlineStr">
        <is>
          <t>제외</t>
        </is>
      </c>
      <c r="N175" s="96" t="inlineStr">
        <is>
          <t>순자산 52억(기준 300억 미만), 60일 거래대금 0.3억(기준 5억 미만)</t>
        </is>
      </c>
      <c r="O175" s="96" t="inlineStr">
        <is>
          <t>Bloomberg BlendedNVDIAand USLong Treasury Bond Index</t>
        </is>
      </c>
      <c r="P175" s="96" t="inlineStr">
        <is>
          <t>일반</t>
        </is>
      </c>
      <c r="Q175" s="96" t="inlineStr">
        <is>
          <t>멀티에셋</t>
        </is>
      </c>
      <c r="R175" s="96" t="inlineStr">
        <is>
          <t>월배당</t>
        </is>
      </c>
      <c r="S175" s="97" t="n">
        <v>11</v>
      </c>
      <c r="T175" s="98" t="n">
        <v>1</v>
      </c>
      <c r="U175">
        <f>IF(AND($J175&lt;&gt;"",OR(조회_주기="전체",$R175=조회_주기),$J175&gt;=조회_최소,$J175&lt;=조회_최대),1,0)</f>
        <v/>
      </c>
      <c r="V175">
        <f>IF($U175=1,$V174+1,$V174)</f>
        <v/>
      </c>
      <c r="W175">
        <f>IF(검색어="",1,IF(ISNUMBER(SEARCH(검색어,$A175)),1,0))</f>
        <v/>
      </c>
      <c r="X175">
        <f>IF($W175=1,$X174+1,$X174)</f>
        <v/>
      </c>
      <c r="Y175">
        <f>IFERROR(INDEX($A$4:$A$253,MATCH(172,$X$4:$X$253,0)),"")</f>
        <v/>
      </c>
    </row>
    <row r="176">
      <c r="A176" s="96" t="inlineStr">
        <is>
          <t>KIWOOM 팔란티어미국30년국채혼합액티브(H)</t>
        </is>
      </c>
      <c r="B176" s="96" t="inlineStr">
        <is>
          <t>0015F0</t>
        </is>
      </c>
      <c r="C176" s="96" t="inlineStr">
        <is>
          <t>키움투자자산운용</t>
        </is>
      </c>
      <c r="D176" s="97" t="n">
        <v>10490</v>
      </c>
      <c r="E176" s="97" t="n">
        <v>12588000000</v>
      </c>
      <c r="F176" s="97" t="n">
        <v>86857806</v>
      </c>
      <c r="G176" s="98" t="n">
        <v>0.0019</v>
      </c>
      <c r="H176" s="98" t="n">
        <v>0.1565</v>
      </c>
      <c r="I176" s="98" t="n">
        <v>0.0019</v>
      </c>
      <c r="J176" s="98" t="n">
        <v>0.022879</v>
      </c>
      <c r="K176" s="97" t="n">
        <v>18</v>
      </c>
      <c r="L176" s="99" t="inlineStr">
        <is>
          <t>20260828</t>
        </is>
      </c>
      <c r="M176" s="96" t="inlineStr">
        <is>
          <t>제외</t>
        </is>
      </c>
      <c r="N176" s="96" t="inlineStr">
        <is>
          <t>순자산 126억(기준 300억 미만), 60일 거래대금 0.9억(기준 5억 미만)</t>
        </is>
      </c>
      <c r="O176" s="96" t="inlineStr">
        <is>
          <t>Bloomberg Blended PALANTIR and USLong Treasury Bond Index</t>
        </is>
      </c>
      <c r="P176" s="96" t="inlineStr">
        <is>
          <t>일반</t>
        </is>
      </c>
      <c r="Q176" s="96" t="inlineStr">
        <is>
          <t>멀티에셋</t>
        </is>
      </c>
      <c r="R176" s="96" t="inlineStr">
        <is>
          <t>월배당</t>
        </is>
      </c>
      <c r="S176" s="97" t="n">
        <v>11</v>
      </c>
      <c r="T176" s="98" t="n">
        <v>0.8333</v>
      </c>
      <c r="U176">
        <f>IF(AND($J176&lt;&gt;"",OR(조회_주기="전체",$R176=조회_주기),$J176&gt;=조회_최소,$J176&lt;=조회_최대),1,0)</f>
        <v/>
      </c>
      <c r="V176">
        <f>IF($U176=1,$V175+1,$V175)</f>
        <v/>
      </c>
      <c r="W176">
        <f>IF(검색어="",1,IF(ISNUMBER(SEARCH(검색어,$A176)),1,0))</f>
        <v/>
      </c>
      <c r="X176">
        <f>IF($W176=1,$X175+1,$X175)</f>
        <v/>
      </c>
      <c r="Y176">
        <f>IFERROR(INDEX($A$4:$A$253,MATCH(173,$X$4:$X$253,0)),"")</f>
        <v/>
      </c>
    </row>
    <row r="177">
      <c r="A177" s="96" t="inlineStr">
        <is>
          <t>TIGER 현대차그룹플러스</t>
        </is>
      </c>
      <c r="B177" s="96" t="inlineStr">
        <is>
          <t>138540</t>
        </is>
      </c>
      <c r="C177" s="96" t="inlineStr">
        <is>
          <t>미래에셋자산운용</t>
        </is>
      </c>
      <c r="D177" s="97" t="n">
        <v>49090</v>
      </c>
      <c r="E177" s="97" t="n">
        <v>638170000000</v>
      </c>
      <c r="F177" s="97" t="n">
        <v>15347236306</v>
      </c>
      <c r="G177" s="98" t="n">
        <v>0.0015</v>
      </c>
      <c r="H177" s="98" t="n">
        <v>0.5296</v>
      </c>
      <c r="I177" s="98" t="n">
        <v>0.0148</v>
      </c>
      <c r="J177" s="98" t="n">
        <v>0.022204</v>
      </c>
      <c r="K177" s="97" t="n">
        <v>9</v>
      </c>
      <c r="L177" s="99" t="inlineStr">
        <is>
          <t>20260429</t>
        </is>
      </c>
      <c r="M177" s="96" t="inlineStr">
        <is>
          <t>제외</t>
        </is>
      </c>
      <c r="N177" s="96" t="inlineStr">
        <is>
          <t>변동성 53.0%(1년 기준, 기준 35% 초과)</t>
        </is>
      </c>
      <c r="O177" s="96" t="inlineStr">
        <is>
          <t>FnGuide 현대차그룹+ FW</t>
        </is>
      </c>
      <c r="P177" s="96" t="inlineStr">
        <is>
          <t>일반</t>
        </is>
      </c>
      <c r="Q177" s="96" t="inlineStr">
        <is>
          <t>주식</t>
        </is>
      </c>
      <c r="R177" s="96" t="inlineStr">
        <is>
          <t>반기배당</t>
        </is>
      </c>
      <c r="S177" s="97" t="n">
        <v>2</v>
      </c>
      <c r="T177" s="98" t="n">
        <v>1</v>
      </c>
      <c r="U177">
        <f>IF(AND($J177&lt;&gt;"",OR(조회_주기="전체",$R177=조회_주기),$J177&gt;=조회_최소,$J177&lt;=조회_최대),1,0)</f>
        <v/>
      </c>
      <c r="V177">
        <f>IF($U177=1,$V176+1,$V176)</f>
        <v/>
      </c>
      <c r="W177">
        <f>IF(검색어="",1,IF(ISNUMBER(SEARCH(검색어,$A177)),1,0))</f>
        <v/>
      </c>
      <c r="X177">
        <f>IF($W177=1,$X176+1,$X176)</f>
        <v/>
      </c>
      <c r="Y177">
        <f>IFERROR(INDEX($A$4:$A$253,MATCH(174,$X$4:$X$253,0)),"")</f>
        <v/>
      </c>
    </row>
    <row r="178">
      <c r="A178" s="96" t="inlineStr">
        <is>
          <t>KODEX 미국S&amp;P500변동성확대시커버드콜</t>
        </is>
      </c>
      <c r="B178" s="96" t="inlineStr">
        <is>
          <t>0089C0</t>
        </is>
      </c>
      <c r="C178" s="96" t="inlineStr">
        <is>
          <t>삼성자산운용(ETF)</t>
        </is>
      </c>
      <c r="D178" s="97" t="n">
        <v>11390</v>
      </c>
      <c r="E178" s="97" t="n">
        <v>43282000000</v>
      </c>
      <c r="F178" s="97" t="n">
        <v>368575913</v>
      </c>
      <c r="G178" s="98" t="n">
        <v>0.0039</v>
      </c>
      <c r="H178" s="98" t="n">
        <v>0.1404</v>
      </c>
      <c r="I178" s="98" t="n">
        <v>0.0009</v>
      </c>
      <c r="J178" s="98" t="n">
        <v>0.021861</v>
      </c>
      <c r="K178" s="97" t="n">
        <v>12</v>
      </c>
      <c r="L178" s="99" t="inlineStr">
        <is>
          <t>20260828</t>
        </is>
      </c>
      <c r="M178" s="96" t="inlineStr">
        <is>
          <t>제외</t>
        </is>
      </c>
      <c r="N178" s="96" t="inlineStr">
        <is>
          <t>60일 거래대금 3.7억(기준 5억 미만)</t>
        </is>
      </c>
      <c r="O178" s="96" t="inlineStr">
        <is>
          <t>Cboe S&amp;P 500 Volatility Contingent Daily Covered Call Index</t>
        </is>
      </c>
      <c r="P178" s="96" t="inlineStr">
        <is>
          <t>커버드콜</t>
        </is>
      </c>
      <c r="Q178" s="96" t="inlineStr">
        <is>
          <t>주식</t>
        </is>
      </c>
      <c r="R178" s="96" t="inlineStr">
        <is>
          <t>월배당</t>
        </is>
      </c>
      <c r="S178" s="97" t="n">
        <v>11</v>
      </c>
      <c r="T178" s="98" t="n">
        <v>1</v>
      </c>
      <c r="U178">
        <f>IF(AND($J178&lt;&gt;"",OR(조회_주기="전체",$R178=조회_주기),$J178&gt;=조회_최소,$J178&lt;=조회_최대),1,0)</f>
        <v/>
      </c>
      <c r="V178">
        <f>IF($U178=1,$V177+1,$V177)</f>
        <v/>
      </c>
      <c r="W178">
        <f>IF(검색어="",1,IF(ISNUMBER(SEARCH(검색어,$A178)),1,0))</f>
        <v/>
      </c>
      <c r="X178">
        <f>IF($W178=1,$X177+1,$X177)</f>
        <v/>
      </c>
      <c r="Y178">
        <f>IFERROR(INDEX($A$4:$A$253,MATCH(175,$X$4:$X$253,0)),"")</f>
        <v/>
      </c>
    </row>
    <row r="179">
      <c r="A179" s="96" t="inlineStr">
        <is>
          <t>ACE 미국배당퀄리티채권혼합50</t>
        </is>
      </c>
      <c r="B179" s="96" t="inlineStr">
        <is>
          <t>0049K0</t>
        </is>
      </c>
      <c r="C179" s="96" t="inlineStr">
        <is>
          <t>한국투신운용(ETF)</t>
        </is>
      </c>
      <c r="D179" s="97" t="n">
        <v>11040</v>
      </c>
      <c r="E179" s="97" t="n">
        <v>27048000000</v>
      </c>
      <c r="F179" s="97" t="n">
        <v>176438060</v>
      </c>
      <c r="G179" s="98" t="n">
        <v>0.0015</v>
      </c>
      <c r="H179" s="98" t="n">
        <v>0.0669</v>
      </c>
      <c r="I179" s="98" t="n">
        <v>0.0018</v>
      </c>
      <c r="J179" s="98" t="n">
        <v>0.02183</v>
      </c>
      <c r="K179" s="97" t="n">
        <v>15</v>
      </c>
      <c r="L179" s="99" t="inlineStr">
        <is>
          <t>20260828</t>
        </is>
      </c>
      <c r="M179" s="96" t="inlineStr">
        <is>
          <t>제외</t>
        </is>
      </c>
      <c r="N179" s="96" t="inlineStr">
        <is>
          <t>순자산 270억(기준 300억 미만), 60일 거래대금 1.8억(기준 5억 미만)</t>
        </is>
      </c>
      <c r="O179" s="96" t="inlineStr">
        <is>
          <t>Bloomberg WisdomTree U.S. Quality Dividend &amp; Short Term KRW</t>
        </is>
      </c>
      <c r="P179" s="96" t="inlineStr">
        <is>
          <t>일반</t>
        </is>
      </c>
      <c r="Q179" s="96" t="inlineStr">
        <is>
          <t>멀티에셋</t>
        </is>
      </c>
      <c r="R179" s="96" t="inlineStr">
        <is>
          <t>월배당</t>
        </is>
      </c>
      <c r="S179" s="97" t="n">
        <v>11</v>
      </c>
      <c r="T179" s="98" t="n">
        <v>1</v>
      </c>
      <c r="U179">
        <f>IF(AND($J179&lt;&gt;"",OR(조회_주기="전체",$R179=조회_주기),$J179&gt;=조회_최소,$J179&lt;=조회_최대),1,0)</f>
        <v/>
      </c>
      <c r="V179">
        <f>IF($U179=1,$V178+1,$V178)</f>
        <v/>
      </c>
      <c r="W179">
        <f>IF(검색어="",1,IF(ISNUMBER(SEARCH(검색어,$A179)),1,0))</f>
        <v/>
      </c>
      <c r="X179">
        <f>IF($W179=1,$X178+1,$X178)</f>
        <v/>
      </c>
      <c r="Y179">
        <f>IFERROR(INDEX($A$4:$A$253,MATCH(176,$X$4:$X$253,0)),"")</f>
        <v/>
      </c>
    </row>
    <row r="180">
      <c r="A180" s="96" t="inlineStr">
        <is>
          <t>KODEX TRF5050</t>
        </is>
      </c>
      <c r="B180" s="96" t="inlineStr">
        <is>
          <t>329660</t>
        </is>
      </c>
      <c r="C180" s="96" t="inlineStr">
        <is>
          <t>삼성자산운용(ETF)</t>
        </is>
      </c>
      <c r="D180" s="97" t="n">
        <v>17740</v>
      </c>
      <c r="E180" s="97" t="n">
        <v>83378000000</v>
      </c>
      <c r="F180" s="97" t="n">
        <v>280416445</v>
      </c>
      <c r="G180" s="98" t="n">
        <v>0.0017</v>
      </c>
      <c r="H180" s="98" t="n">
        <v>0.073</v>
      </c>
      <c r="I180" s="98" t="n">
        <v>0.0018</v>
      </c>
      <c r="J180" s="98" t="n">
        <v>0.021421</v>
      </c>
      <c r="K180" s="97" t="n">
        <v>14</v>
      </c>
      <c r="L180" s="99" t="inlineStr">
        <is>
          <t>20260914</t>
        </is>
      </c>
      <c r="M180" s="96" t="inlineStr">
        <is>
          <t>제외</t>
        </is>
      </c>
      <c r="N180" s="96" t="inlineStr">
        <is>
          <t>60일 거래대금 2.8억(기준 5억 미만)</t>
        </is>
      </c>
      <c r="O180" s="96" t="inlineStr">
        <is>
          <t>FnGuide TRF 5050 지수</t>
        </is>
      </c>
      <c r="P180" s="96" t="inlineStr">
        <is>
          <t>일반</t>
        </is>
      </c>
      <c r="Q180" s="96" t="inlineStr">
        <is>
          <t>멀티에셋</t>
        </is>
      </c>
      <c r="R180" s="96" t="inlineStr">
        <is>
          <t>월배당</t>
        </is>
      </c>
      <c r="S180" s="97" t="n">
        <v>12</v>
      </c>
      <c r="T180" s="98" t="n">
        <v>1</v>
      </c>
      <c r="U180">
        <f>IF(AND($J180&lt;&gt;"",OR(조회_주기="전체",$R180=조회_주기),$J180&gt;=조회_최소,$J180&lt;=조회_최대),1,0)</f>
        <v/>
      </c>
      <c r="V180">
        <f>IF($U180=1,$V179+1,$V179)</f>
        <v/>
      </c>
      <c r="W180">
        <f>IF(검색어="",1,IF(ISNUMBER(SEARCH(검색어,$A180)),1,0))</f>
        <v/>
      </c>
      <c r="X180">
        <f>IF($W180=1,$X179+1,$X179)</f>
        <v/>
      </c>
      <c r="Y180">
        <f>IFERROR(INDEX($A$4:$A$253,MATCH(177,$X$4:$X$253,0)),"")</f>
        <v/>
      </c>
    </row>
    <row r="181">
      <c r="A181" s="96" t="inlineStr">
        <is>
          <t>ACE 테슬라밸류체인액티브</t>
        </is>
      </c>
      <c r="B181" s="96" t="inlineStr">
        <is>
          <t>457480</t>
        </is>
      </c>
      <c r="C181" s="96" t="inlineStr">
        <is>
          <t>한국투자신탁운용</t>
        </is>
      </c>
      <c r="D181" s="97" t="n">
        <v>18430</v>
      </c>
      <c r="E181" s="97" t="n">
        <v>763002000000</v>
      </c>
      <c r="F181" s="97" t="n">
        <v>10704790351</v>
      </c>
      <c r="G181" s="98" t="n">
        <v>0.0029</v>
      </c>
      <c r="H181" s="98" t="n">
        <v>0.3855</v>
      </c>
      <c r="I181" s="98" t="n">
        <v>0.0157</v>
      </c>
      <c r="J181" s="98" t="n">
        <v>0.019805</v>
      </c>
      <c r="K181" s="97" t="n">
        <v>1</v>
      </c>
      <c r="L181" s="99" t="inlineStr">
        <is>
          <t>20251229</t>
        </is>
      </c>
      <c r="M181" s="96" t="inlineStr">
        <is>
          <t>제외</t>
        </is>
      </c>
      <c r="N181" s="96" t="inlineStr">
        <is>
          <t>변동성 38.6%(1년 기준, 기준 35% 초과)</t>
        </is>
      </c>
      <c r="O181" s="96" t="inlineStr">
        <is>
          <t>Bloomberg EV Supporters Plus Tesla Index</t>
        </is>
      </c>
      <c r="P181" s="96" t="inlineStr">
        <is>
          <t>일반</t>
        </is>
      </c>
      <c r="Q181" s="96" t="inlineStr">
        <is>
          <t>주식</t>
        </is>
      </c>
      <c r="R181" s="96" t="inlineStr">
        <is>
          <t>연배당</t>
        </is>
      </c>
      <c r="S181" s="97" t="n">
        <v>1</v>
      </c>
      <c r="T181" s="98" t="n">
        <v>1</v>
      </c>
      <c r="U181">
        <f>IF(AND($J181&lt;&gt;"",OR(조회_주기="전체",$R181=조회_주기),$J181&gt;=조회_최소,$J181&lt;=조회_최대),1,0)</f>
        <v/>
      </c>
      <c r="V181">
        <f>IF($U181=1,$V180+1,$V180)</f>
        <v/>
      </c>
      <c r="W181">
        <f>IF(검색어="",1,IF(ISNUMBER(SEARCH(검색어,$A181)),1,0))</f>
        <v/>
      </c>
      <c r="X181">
        <f>IF($W181=1,$X180+1,$X180)</f>
        <v/>
      </c>
      <c r="Y181">
        <f>IFERROR(INDEX($A$4:$A$253,MATCH(178,$X$4:$X$253,0)),"")</f>
        <v/>
      </c>
    </row>
    <row r="182">
      <c r="A182" s="96" t="inlineStr">
        <is>
          <t>KIWOOM 미국방어배당성장나스닥</t>
        </is>
      </c>
      <c r="B182" s="96" t="inlineStr">
        <is>
          <t>373790</t>
        </is>
      </c>
      <c r="C182" s="96" t="inlineStr">
        <is>
          <t>키움투자자산운용</t>
        </is>
      </c>
      <c r="D182" s="97" t="n">
        <v>15400</v>
      </c>
      <c r="E182" s="97" t="n">
        <v>4312000000</v>
      </c>
      <c r="F182" s="97" t="n">
        <v>10819554</v>
      </c>
      <c r="G182" s="98" t="n">
        <v>0.004</v>
      </c>
      <c r="H182" s="98" t="n">
        <v>0.1427</v>
      </c>
      <c r="I182" s="98" t="n">
        <v>0.0019</v>
      </c>
      <c r="J182" s="98" t="n">
        <v>0.01961</v>
      </c>
      <c r="K182" s="97" t="n">
        <v>33</v>
      </c>
      <c r="L182" s="99" t="inlineStr">
        <is>
          <t>20260828</t>
        </is>
      </c>
      <c r="M182" s="96" t="inlineStr">
        <is>
          <t>제외</t>
        </is>
      </c>
      <c r="N182" s="96" t="inlineStr">
        <is>
          <t>순자산 43억(기준 300억 미만), 60일 거래대금 0.1억(기준 5억 미만)</t>
        </is>
      </c>
      <c r="O182" s="96" t="inlineStr">
        <is>
          <t>Nasdaq US Low Volatility Dividend Achievers Index</t>
        </is>
      </c>
      <c r="P182" s="96" t="inlineStr">
        <is>
          <t>일반</t>
        </is>
      </c>
      <c r="Q182" s="96" t="inlineStr">
        <is>
          <t>주식</t>
        </is>
      </c>
      <c r="R182" s="96" t="inlineStr">
        <is>
          <t>월배당</t>
        </is>
      </c>
      <c r="S182" s="97" t="n">
        <v>11</v>
      </c>
      <c r="T182" s="98" t="n">
        <v>1</v>
      </c>
      <c r="U182">
        <f>IF(AND($J182&lt;&gt;"",OR(조회_주기="전체",$R182=조회_주기),$J182&gt;=조회_최소,$J182&lt;=조회_최대),1,0)</f>
        <v/>
      </c>
      <c r="V182">
        <f>IF($U182=1,$V181+1,$V181)</f>
        <v/>
      </c>
      <c r="W182">
        <f>IF(검색어="",1,IF(ISNUMBER(SEARCH(검색어,$A182)),1,0))</f>
        <v/>
      </c>
      <c r="X182">
        <f>IF($W182=1,$X181+1,$X181)</f>
        <v/>
      </c>
      <c r="Y182">
        <f>IFERROR(INDEX($A$4:$A$253,MATCH(179,$X$4:$X$253,0)),"")</f>
        <v/>
      </c>
    </row>
    <row r="183">
      <c r="A183" s="96" t="inlineStr">
        <is>
          <t>RISE 미국은행TOP10</t>
        </is>
      </c>
      <c r="B183" s="96" t="inlineStr">
        <is>
          <t>0013P0</t>
        </is>
      </c>
      <c r="C183" s="96" t="inlineStr">
        <is>
          <t>KB자산운용</t>
        </is>
      </c>
      <c r="D183" s="97" t="n">
        <v>12430</v>
      </c>
      <c r="E183" s="97" t="n">
        <v>13673000000</v>
      </c>
      <c r="F183" s="97" t="n">
        <v>285989654</v>
      </c>
      <c r="G183" s="98" t="n">
        <v>0.002</v>
      </c>
      <c r="H183" s="98" t="n">
        <v>0.2222</v>
      </c>
      <c r="I183" s="98" t="n">
        <v>0.0018</v>
      </c>
      <c r="J183" s="98" t="n">
        <v>0.019469</v>
      </c>
      <c r="K183" s="97" t="n">
        <v>17</v>
      </c>
      <c r="L183" s="99" t="inlineStr">
        <is>
          <t>20260828</t>
        </is>
      </c>
      <c r="M183" s="96" t="inlineStr">
        <is>
          <t>제외</t>
        </is>
      </c>
      <c r="N183" s="96" t="inlineStr">
        <is>
          <t>순자산 137억(기준 300억 미만), 60일 거래대금 2.9억(기준 5억 미만)</t>
        </is>
      </c>
      <c r="O183" s="96" t="inlineStr">
        <is>
          <t>KEDI U.S. Bank TOP10 Index (Price Return)</t>
        </is>
      </c>
      <c r="P183" s="96" t="inlineStr">
        <is>
          <t>일반</t>
        </is>
      </c>
      <c r="Q183" s="96" t="inlineStr">
        <is>
          <t>주식</t>
        </is>
      </c>
      <c r="R183" s="96" t="inlineStr">
        <is>
          <t>월배당</t>
        </is>
      </c>
      <c r="S183" s="97" t="n">
        <v>11</v>
      </c>
      <c r="T183" s="98" t="n">
        <v>1</v>
      </c>
      <c r="U183">
        <f>IF(AND($J183&lt;&gt;"",OR(조회_주기="전체",$R183=조회_주기),$J183&gt;=조회_최소,$J183&lt;=조회_최대),1,0)</f>
        <v/>
      </c>
      <c r="V183">
        <f>IF($U183=1,$V182+1,$V182)</f>
        <v/>
      </c>
      <c r="W183">
        <f>IF(검색어="",1,IF(ISNUMBER(SEARCH(검색어,$A183)),1,0))</f>
        <v/>
      </c>
      <c r="X183">
        <f>IF($W183=1,$X182+1,$X182)</f>
        <v/>
      </c>
      <c r="Y183">
        <f>IFERROR(INDEX($A$4:$A$253,MATCH(180,$X$4:$X$253,0)),"")</f>
        <v/>
      </c>
    </row>
    <row r="184">
      <c r="A184" s="96" t="inlineStr">
        <is>
          <t>KoAct 코리아밸류업액티브</t>
        </is>
      </c>
      <c r="B184" s="96" t="inlineStr">
        <is>
          <t>495230</t>
        </is>
      </c>
      <c r="C184" s="96" t="inlineStr">
        <is>
          <t>삼성액티브자산(ETF)</t>
        </is>
      </c>
      <c r="D184" s="97" t="n">
        <v>31185</v>
      </c>
      <c r="E184" s="97" t="n">
        <v>246361500000</v>
      </c>
      <c r="F184" s="97" t="n">
        <v>3347580937</v>
      </c>
      <c r="G184" s="98" t="n">
        <v>0.005</v>
      </c>
      <c r="H184" s="98" t="n">
        <v>0.5503</v>
      </c>
      <c r="I184" s="98" t="n">
        <v>0.002</v>
      </c>
      <c r="J184" s="98" t="n">
        <v>0.019368</v>
      </c>
      <c r="K184" s="97" t="n">
        <v>21</v>
      </c>
      <c r="L184" s="99" t="inlineStr">
        <is>
          <t>20260828</t>
        </is>
      </c>
      <c r="M184" s="96" t="inlineStr">
        <is>
          <t>제외</t>
        </is>
      </c>
      <c r="N184" s="96" t="inlineStr">
        <is>
          <t>변동성 55.0%(1년 기준, 기준 35% 초과)</t>
        </is>
      </c>
      <c r="O184" s="96" t="inlineStr">
        <is>
          <t>코리아 밸류업 지수</t>
        </is>
      </c>
      <c r="P184" s="96" t="inlineStr">
        <is>
          <t>일반</t>
        </is>
      </c>
      <c r="Q184" s="96" t="inlineStr">
        <is>
          <t>주식</t>
        </is>
      </c>
      <c r="R184" s="96" t="inlineStr">
        <is>
          <t>월배당</t>
        </is>
      </c>
      <c r="S184" s="97" t="n">
        <v>11</v>
      </c>
      <c r="T184" s="98" t="n">
        <v>0.4106</v>
      </c>
      <c r="U184">
        <f>IF(AND($J184&lt;&gt;"",OR(조회_주기="전체",$R184=조회_주기),$J184&gt;=조회_최소,$J184&lt;=조회_최대),1,0)</f>
        <v/>
      </c>
      <c r="V184">
        <f>IF($U184=1,$V183+1,$V183)</f>
        <v/>
      </c>
      <c r="W184">
        <f>IF(검색어="",1,IF(ISNUMBER(SEARCH(검색어,$A184)),1,0))</f>
        <v/>
      </c>
      <c r="X184">
        <f>IF($W184=1,$X183+1,$X183)</f>
        <v/>
      </c>
      <c r="Y184">
        <f>IFERROR(INDEX($A$4:$A$253,MATCH(181,$X$4:$X$253,0)),"")</f>
        <v/>
      </c>
    </row>
    <row r="185">
      <c r="A185" s="96" t="inlineStr">
        <is>
          <t>KODEX TRF7030</t>
        </is>
      </c>
      <c r="B185" s="96" t="inlineStr">
        <is>
          <t>329670</t>
        </is>
      </c>
      <c r="C185" s="96" t="inlineStr">
        <is>
          <t>삼성자산운용(ETF)</t>
        </is>
      </c>
      <c r="D185" s="97" t="n">
        <v>21850</v>
      </c>
      <c r="E185" s="97" t="n">
        <v>87400000000</v>
      </c>
      <c r="F185" s="97" t="n">
        <v>338397731</v>
      </c>
      <c r="G185" s="98" t="n">
        <v>0.001</v>
      </c>
      <c r="H185" s="98" t="n">
        <v>0.1028</v>
      </c>
      <c r="I185" s="98" t="n">
        <v>0.0015</v>
      </c>
      <c r="J185" s="98" t="n">
        <v>0.018444</v>
      </c>
      <c r="K185" s="97" t="n">
        <v>14</v>
      </c>
      <c r="L185" s="99" t="inlineStr">
        <is>
          <t>20260914</t>
        </is>
      </c>
      <c r="M185" s="96" t="inlineStr">
        <is>
          <t>제외</t>
        </is>
      </c>
      <c r="N185" s="96" t="inlineStr">
        <is>
          <t>60일 거래대금 3.4억(기준 5억 미만)</t>
        </is>
      </c>
      <c r="O185" s="96" t="inlineStr">
        <is>
          <t>FnGuide TRF 7030 지수</t>
        </is>
      </c>
      <c r="P185" s="96" t="inlineStr">
        <is>
          <t>일반</t>
        </is>
      </c>
      <c r="Q185" s="96" t="inlineStr">
        <is>
          <t>멀티에셋</t>
        </is>
      </c>
      <c r="R185" s="96" t="inlineStr">
        <is>
          <t>월배당</t>
        </is>
      </c>
      <c r="S185" s="97" t="n">
        <v>12</v>
      </c>
      <c r="T185" s="98" t="n">
        <v>1</v>
      </c>
      <c r="U185">
        <f>IF(AND($J185&lt;&gt;"",OR(조회_주기="전체",$R185=조회_주기),$J185&gt;=조회_최소,$J185&lt;=조회_최대),1,0)</f>
        <v/>
      </c>
      <c r="V185">
        <f>IF($U185=1,$V184+1,$V184)</f>
        <v/>
      </c>
      <c r="W185">
        <f>IF(검색어="",1,IF(ISNUMBER(SEARCH(검색어,$A185)),1,0))</f>
        <v/>
      </c>
      <c r="X185">
        <f>IF($W185=1,$X184+1,$X184)</f>
        <v/>
      </c>
      <c r="Y185">
        <f>IFERROR(INDEX($A$4:$A$253,MATCH(182,$X$4:$X$253,0)),"")</f>
        <v/>
      </c>
    </row>
    <row r="186">
      <c r="A186" s="96" t="inlineStr">
        <is>
          <t>TIGER 글로벌비만치료제TOP2Plus</t>
        </is>
      </c>
      <c r="B186" s="96" t="inlineStr">
        <is>
          <t>476690</t>
        </is>
      </c>
      <c r="C186" s="96" t="inlineStr">
        <is>
          <t>미래에셋자산운용</t>
        </is>
      </c>
      <c r="D186" s="97" t="n">
        <v>10400</v>
      </c>
      <c r="E186" s="97" t="n">
        <v>31200000000</v>
      </c>
      <c r="F186" s="97" t="n">
        <v>217083448</v>
      </c>
      <c r="G186" s="98" t="n">
        <v>0.004500000000000001</v>
      </c>
      <c r="H186" s="98" t="n">
        <v>0.2433</v>
      </c>
      <c r="I186" s="98" t="n">
        <v>0.001</v>
      </c>
      <c r="J186" s="98" t="n">
        <v>0.015769</v>
      </c>
      <c r="K186" s="97" t="n">
        <v>30</v>
      </c>
      <c r="L186" s="99" t="inlineStr">
        <is>
          <t>20260828</t>
        </is>
      </c>
      <c r="M186" s="96" t="inlineStr">
        <is>
          <t>제외</t>
        </is>
      </c>
      <c r="N186" s="96" t="inlineStr">
        <is>
          <t>60일 거래대금 2.2억(기준 5억 미만)</t>
        </is>
      </c>
      <c r="O186" s="96" t="inlineStr">
        <is>
          <t>Indxx Global Obesity Treatment Top 2 Plus Index</t>
        </is>
      </c>
      <c r="P186" s="96" t="inlineStr">
        <is>
          <t>일반</t>
        </is>
      </c>
      <c r="Q186" s="96" t="inlineStr">
        <is>
          <t>주식</t>
        </is>
      </c>
      <c r="R186" s="96" t="inlineStr">
        <is>
          <t>월배당</t>
        </is>
      </c>
      <c r="S186" s="97" t="n">
        <v>11</v>
      </c>
      <c r="T186" s="98" t="n">
        <v>0.7927</v>
      </c>
      <c r="U186">
        <f>IF(AND($J186&lt;&gt;"",OR(조회_주기="전체",$R186=조회_주기),$J186&gt;=조회_최소,$J186&lt;=조회_최대),1,0)</f>
        <v/>
      </c>
      <c r="V186">
        <f>IF($U186=1,$V185+1,$V185)</f>
        <v/>
      </c>
      <c r="W186">
        <f>IF(검색어="",1,IF(ISNUMBER(SEARCH(검색어,$A186)),1,0))</f>
        <v/>
      </c>
      <c r="X186">
        <f>IF($W186=1,$X185+1,$X185)</f>
        <v/>
      </c>
      <c r="Y186">
        <f>IFERROR(INDEX($A$4:$A$253,MATCH(183,$X$4:$X$253,0)),"")</f>
        <v/>
      </c>
    </row>
    <row r="187">
      <c r="A187" s="96" t="inlineStr">
        <is>
          <t>KODEX 27-12 회사채(AA-이상)액티브</t>
        </is>
      </c>
      <c r="B187" s="96" t="inlineStr">
        <is>
          <t>0007F0</t>
        </is>
      </c>
      <c r="C187" s="96" t="inlineStr">
        <is>
          <t>삼성자산운용(ETF)</t>
        </is>
      </c>
      <c r="D187" s="97" t="n">
        <v>10195</v>
      </c>
      <c r="E187" s="97" t="n">
        <v>650950750000</v>
      </c>
      <c r="F187" s="97" t="n">
        <v>378390760</v>
      </c>
      <c r="G187" s="98" t="n">
        <v>0.0009</v>
      </c>
      <c r="H187" s="98" t="n">
        <v>0.0188</v>
      </c>
      <c r="I187" s="98" t="n">
        <v>0.0154</v>
      </c>
      <c r="J187" s="98" t="n">
        <v>0.0154</v>
      </c>
      <c r="K187" s="97" t="n">
        <v>1</v>
      </c>
      <c r="L187" s="99" t="inlineStr">
        <is>
          <t>20251212</t>
        </is>
      </c>
      <c r="M187" s="96" t="inlineStr">
        <is>
          <t>제외</t>
        </is>
      </c>
      <c r="N187" s="96" t="inlineStr">
        <is>
          <t>60일 거래대금 3.8억(기준 5억 미만)</t>
        </is>
      </c>
      <c r="O187" s="96" t="inlineStr">
        <is>
          <t>KAP 27-12 회사채 총수익 지수(AA-이상)</t>
        </is>
      </c>
      <c r="P187" s="96" t="inlineStr">
        <is>
          <t>일반</t>
        </is>
      </c>
      <c r="Q187" s="96" t="inlineStr">
        <is>
          <t>채권</t>
        </is>
      </c>
      <c r="R187" s="96" t="inlineStr">
        <is>
          <t>연배당</t>
        </is>
      </c>
      <c r="S187" s="97" t="n">
        <v>1</v>
      </c>
      <c r="T187" s="98" t="n">
        <v>1</v>
      </c>
      <c r="U187">
        <f>IF(AND($J187&lt;&gt;"",OR(조회_주기="전체",$R187=조회_주기),$J187&gt;=조회_최소,$J187&lt;=조회_최대),1,0)</f>
        <v/>
      </c>
      <c r="V187">
        <f>IF($U187=1,$V186+1,$V186)</f>
        <v/>
      </c>
      <c r="W187">
        <f>IF(검색어="",1,IF(ISNUMBER(SEARCH(검색어,$A187)),1,0))</f>
        <v/>
      </c>
      <c r="X187">
        <f>IF($W187=1,$X186+1,$X186)</f>
        <v/>
      </c>
      <c r="Y187">
        <f>IFERROR(INDEX($A$4:$A$253,MATCH(184,$X$4:$X$253,0)),"")</f>
        <v/>
      </c>
    </row>
    <row r="188">
      <c r="A188" s="96" t="inlineStr">
        <is>
          <t>TIGER 미국캐시카우100</t>
        </is>
      </c>
      <c r="B188" s="96" t="inlineStr">
        <is>
          <t>465670</t>
        </is>
      </c>
      <c r="C188" s="96" t="inlineStr">
        <is>
          <t>미래에셋자산운용</t>
        </is>
      </c>
      <c r="D188" s="97" t="n">
        <v>16635</v>
      </c>
      <c r="E188" s="97" t="n">
        <v>22457250000</v>
      </c>
      <c r="F188" s="97" t="n">
        <v>312867508</v>
      </c>
      <c r="G188" s="98" t="n">
        <v>0.0025</v>
      </c>
      <c r="H188" s="98" t="n">
        <v>0.1718</v>
      </c>
      <c r="I188" s="98" t="n">
        <v>0.001</v>
      </c>
      <c r="J188" s="98" t="n">
        <v>0.014908</v>
      </c>
      <c r="K188" s="97" t="n">
        <v>35</v>
      </c>
      <c r="L188" s="99" t="inlineStr">
        <is>
          <t>20260828</t>
        </is>
      </c>
      <c r="M188" s="96" t="inlineStr">
        <is>
          <t>제외</t>
        </is>
      </c>
      <c r="N188" s="96" t="inlineStr">
        <is>
          <t>순자산 225억(기준 300억 미만), 60일 거래대금 3.1억(기준 5억 미만)</t>
        </is>
      </c>
      <c r="O188" s="96" t="inlineStr">
        <is>
          <t>Global X U.S. Cash Flow Kings 100 Index PR</t>
        </is>
      </c>
      <c r="P188" s="96" t="inlineStr">
        <is>
          <t>일반</t>
        </is>
      </c>
      <c r="Q188" s="96" t="inlineStr">
        <is>
          <t>주식</t>
        </is>
      </c>
      <c r="R188" s="96" t="inlineStr">
        <is>
          <t>월배당</t>
        </is>
      </c>
      <c r="S188" s="97" t="n">
        <v>11</v>
      </c>
      <c r="T188" s="98" t="n">
        <v>1</v>
      </c>
      <c r="U188">
        <f>IF(AND($J188&lt;&gt;"",OR(조회_주기="전체",$R188=조회_주기),$J188&gt;=조회_최소,$J188&lt;=조회_최대),1,0)</f>
        <v/>
      </c>
      <c r="V188">
        <f>IF($U188=1,$V187+1,$V187)</f>
        <v/>
      </c>
      <c r="W188">
        <f>IF(검색어="",1,IF(ISNUMBER(SEARCH(검색어,$A188)),1,0))</f>
        <v/>
      </c>
      <c r="X188">
        <f>IF($W188=1,$X187+1,$X187)</f>
        <v/>
      </c>
      <c r="Y188">
        <f>IFERROR(INDEX($A$4:$A$253,MATCH(185,$X$4:$X$253,0)),"")</f>
        <v/>
      </c>
    </row>
    <row r="189">
      <c r="A189" s="96" t="inlineStr">
        <is>
          <t>ACE 미국배당퀄리티</t>
        </is>
      </c>
      <c r="B189" s="96" t="inlineStr">
        <is>
          <t>0046Y0</t>
        </is>
      </c>
      <c r="C189" s="96" t="inlineStr">
        <is>
          <t>한국투신운용(ETF)</t>
        </is>
      </c>
      <c r="D189" s="97" t="n">
        <v>12450</v>
      </c>
      <c r="E189" s="97" t="n">
        <v>53535000000</v>
      </c>
      <c r="F189" s="97" t="n">
        <v>181535421</v>
      </c>
      <c r="G189" s="98" t="n">
        <v>0.0015</v>
      </c>
      <c r="H189" s="98" t="n">
        <v>0.1298</v>
      </c>
      <c r="I189" s="98" t="n">
        <v>0.001</v>
      </c>
      <c r="J189" s="98" t="n">
        <v>0.014056</v>
      </c>
      <c r="K189" s="97" t="n">
        <v>15</v>
      </c>
      <c r="L189" s="99" t="inlineStr">
        <is>
          <t>20260828</t>
        </is>
      </c>
      <c r="M189" s="96" t="inlineStr">
        <is>
          <t>제외</t>
        </is>
      </c>
      <c r="N189" s="96" t="inlineStr">
        <is>
          <t>60일 거래대금 1.8억(기준 5억 미만)</t>
        </is>
      </c>
      <c r="O189" s="96" t="inlineStr">
        <is>
          <t>Wisdom Tree U.S. Quality Dividend Growth Index</t>
        </is>
      </c>
      <c r="P189" s="96" t="inlineStr">
        <is>
          <t>일반</t>
        </is>
      </c>
      <c r="Q189" s="96" t="inlineStr">
        <is>
          <t>주식</t>
        </is>
      </c>
      <c r="R189" s="96" t="inlineStr">
        <is>
          <t>월배당</t>
        </is>
      </c>
      <c r="S189" s="97" t="n">
        <v>11</v>
      </c>
      <c r="T189" s="98" t="n">
        <v>1</v>
      </c>
      <c r="U189">
        <f>IF(AND($J189&lt;&gt;"",OR(조회_주기="전체",$R189=조회_주기),$J189&gt;=조회_최소,$J189&lt;=조회_최대),1,0)</f>
        <v/>
      </c>
      <c r="V189">
        <f>IF($U189=1,$V188+1,$V188)</f>
        <v/>
      </c>
      <c r="W189">
        <f>IF(검색어="",1,IF(ISNUMBER(SEARCH(검색어,$A189)),1,0))</f>
        <v/>
      </c>
      <c r="X189">
        <f>IF($W189=1,$X188+1,$X188)</f>
        <v/>
      </c>
      <c r="Y189">
        <f>IFERROR(INDEX($A$4:$A$253,MATCH(186,$X$4:$X$253,0)),"")</f>
        <v/>
      </c>
    </row>
    <row r="190">
      <c r="A190" s="96" t="inlineStr">
        <is>
          <t>KIWOOM 미국테크100월간목표헤지액티브</t>
        </is>
      </c>
      <c r="B190" s="96" t="inlineStr">
        <is>
          <t>0084D0</t>
        </is>
      </c>
      <c r="C190" s="96" t="inlineStr">
        <is>
          <t>키움투자자산운용</t>
        </is>
      </c>
      <c r="D190" s="97" t="n">
        <v>11280</v>
      </c>
      <c r="E190" s="97" t="n">
        <v>9024000000</v>
      </c>
      <c r="F190" s="97" t="n">
        <v>56856300</v>
      </c>
      <c r="G190" s="98" t="n">
        <v>0.0049</v>
      </c>
      <c r="H190" s="98" t="n">
        <v>0.1356</v>
      </c>
      <c r="I190" s="98" t="n">
        <v>0.0012</v>
      </c>
      <c r="J190" s="98" t="n">
        <v>0.014007</v>
      </c>
      <c r="K190" s="97" t="n">
        <v>13</v>
      </c>
      <c r="L190" s="99" t="inlineStr">
        <is>
          <t>20260828</t>
        </is>
      </c>
      <c r="M190" s="96" t="inlineStr">
        <is>
          <t>제외</t>
        </is>
      </c>
      <c r="N190" s="96" t="inlineStr">
        <is>
          <t>순자산 90억(기준 300억 미만), 60일 거래대금 0.6억(기준 5억 미만)</t>
        </is>
      </c>
      <c r="O190" s="96" t="inlineStr">
        <is>
          <t>Akros U.S. Tech 100 Protective Allocation Monthly Index TR</t>
        </is>
      </c>
      <c r="P190" s="96" t="inlineStr">
        <is>
          <t>일반</t>
        </is>
      </c>
      <c r="Q190" s="96" t="inlineStr">
        <is>
          <t>멀티에셋</t>
        </is>
      </c>
      <c r="R190" s="96" t="inlineStr">
        <is>
          <t>월배당</t>
        </is>
      </c>
      <c r="S190" s="97" t="n">
        <v>11</v>
      </c>
      <c r="T190" s="98" t="n">
        <v>1</v>
      </c>
      <c r="U190">
        <f>IF(AND($J190&lt;&gt;"",OR(조회_주기="전체",$R190=조회_주기),$J190&gt;=조회_최소,$J190&lt;=조회_최대),1,0)</f>
        <v/>
      </c>
      <c r="V190">
        <f>IF($U190=1,$V189+1,$V189)</f>
        <v/>
      </c>
      <c r="W190">
        <f>IF(검색어="",1,IF(ISNUMBER(SEARCH(검색어,$A190)),1,0))</f>
        <v/>
      </c>
      <c r="X190">
        <f>IF($W190=1,$X189+1,$X189)</f>
        <v/>
      </c>
      <c r="Y190">
        <f>IFERROR(INDEX($A$4:$A$253,MATCH(187,$X$4:$X$253,0)),"")</f>
        <v/>
      </c>
    </row>
    <row r="191">
      <c r="A191" s="96" t="inlineStr">
        <is>
          <t>WON 전단채플러스액티브</t>
        </is>
      </c>
      <c r="B191" s="96" t="inlineStr">
        <is>
          <t>496020</t>
        </is>
      </c>
      <c r="C191" s="96" t="inlineStr">
        <is>
          <t>우리자산운용</t>
        </is>
      </c>
      <c r="D191" s="97" t="n">
        <v>52545</v>
      </c>
      <c r="E191" s="97" t="n">
        <v>506008350000</v>
      </c>
      <c r="F191" s="97" t="n">
        <v>225210211</v>
      </c>
      <c r="G191" s="98" t="n">
        <v>0.0005</v>
      </c>
      <c r="H191" s="98" t="n">
        <v>0.0143</v>
      </c>
      <c r="I191" s="98" t="n">
        <v>0.0142</v>
      </c>
      <c r="J191" s="98" t="n">
        <v>0.014007</v>
      </c>
      <c r="K191" s="97" t="n">
        <v>1</v>
      </c>
      <c r="L191" s="99" t="inlineStr">
        <is>
          <t>20251229</t>
        </is>
      </c>
      <c r="M191" s="96" t="inlineStr">
        <is>
          <t>제외</t>
        </is>
      </c>
      <c r="N191" s="96" t="inlineStr">
        <is>
          <t>60일 거래대금 2.3억(기준 5억 미만)</t>
        </is>
      </c>
      <c r="O191" s="96" t="inlineStr">
        <is>
          <t>KIS 전단채플러스 TR 지수</t>
        </is>
      </c>
      <c r="P191" s="96" t="inlineStr">
        <is>
          <t>일반</t>
        </is>
      </c>
      <c r="Q191" s="96" t="inlineStr">
        <is>
          <t>단기자금(파킹형)</t>
        </is>
      </c>
      <c r="R191" s="96" t="inlineStr">
        <is>
          <t>연배당</t>
        </is>
      </c>
      <c r="S191" s="97" t="n">
        <v>1</v>
      </c>
      <c r="T191" s="98" t="n">
        <v>1</v>
      </c>
      <c r="U191">
        <f>IF(AND($J191&lt;&gt;"",OR(조회_주기="전체",$R191=조회_주기),$J191&gt;=조회_최소,$J191&lt;=조회_최대),1,0)</f>
        <v/>
      </c>
      <c r="V191">
        <f>IF($U191=1,$V190+1,$V190)</f>
        <v/>
      </c>
      <c r="W191">
        <f>IF(검색어="",1,IF(ISNUMBER(SEARCH(검색어,$A191)),1,0))</f>
        <v/>
      </c>
      <c r="X191">
        <f>IF($W191=1,$X190+1,$X190)</f>
        <v/>
      </c>
      <c r="Y191">
        <f>IFERROR(INDEX($A$4:$A$253,MATCH(188,$X$4:$X$253,0)),"")</f>
        <v/>
      </c>
    </row>
    <row r="192">
      <c r="A192" s="96" t="inlineStr">
        <is>
          <t>PLUS 종합채권(AA-이상)액티브</t>
        </is>
      </c>
      <c r="B192" s="96" t="inlineStr">
        <is>
          <t>451000</t>
        </is>
      </c>
      <c r="C192" s="96" t="inlineStr">
        <is>
          <t>한화자산운용</t>
        </is>
      </c>
      <c r="D192" s="97" t="n">
        <v>107270</v>
      </c>
      <c r="E192" s="97" t="n">
        <v>558125810000</v>
      </c>
      <c r="F192" s="97" t="n">
        <v>37535282</v>
      </c>
      <c r="G192" s="98" t="n">
        <v>0.00045</v>
      </c>
      <c r="H192" s="98" t="n">
        <v>0.043</v>
      </c>
      <c r="I192" s="98" t="n">
        <v>0.013</v>
      </c>
      <c r="J192" s="98" t="n">
        <v>0.013657</v>
      </c>
      <c r="K192" s="97" t="n">
        <v>1</v>
      </c>
      <c r="L192" s="99" t="inlineStr">
        <is>
          <t>20251212</t>
        </is>
      </c>
      <c r="M192" s="96" t="inlineStr">
        <is>
          <t>제외</t>
        </is>
      </c>
      <c r="N192" s="96" t="inlineStr">
        <is>
          <t>60일 거래대금 0.4억(기준 5억 미만)</t>
        </is>
      </c>
      <c r="O192" s="96" t="inlineStr">
        <is>
          <t>KAP 종합채권지수(AA-이상, 총수익)</t>
        </is>
      </c>
      <c r="P192" s="96" t="inlineStr">
        <is>
          <t>일반</t>
        </is>
      </c>
      <c r="Q192" s="96" t="inlineStr">
        <is>
          <t>채권</t>
        </is>
      </c>
      <c r="R192" s="96" t="inlineStr">
        <is>
          <t>연배당</t>
        </is>
      </c>
      <c r="S192" s="97" t="n">
        <v>1</v>
      </c>
      <c r="T192" s="98" t="n">
        <v>1</v>
      </c>
      <c r="U192">
        <f>IF(AND($J192&lt;&gt;"",OR(조회_주기="전체",$R192=조회_주기),$J192&gt;=조회_최소,$J192&lt;=조회_최대),1,0)</f>
        <v/>
      </c>
      <c r="V192">
        <f>IF($U192=1,$V191+1,$V191)</f>
        <v/>
      </c>
      <c r="W192">
        <f>IF(검색어="",1,IF(ISNUMBER(SEARCH(검색어,$A192)),1,0))</f>
        <v/>
      </c>
      <c r="X192">
        <f>IF($W192=1,$X191+1,$X191)</f>
        <v/>
      </c>
      <c r="Y192">
        <f>IFERROR(INDEX($A$4:$A$253,MATCH(189,$X$4:$X$253,0)),"")</f>
        <v/>
      </c>
    </row>
    <row r="193">
      <c r="A193" s="96" t="inlineStr">
        <is>
          <t>RISE 단기특수은행채액티브</t>
        </is>
      </c>
      <c r="B193" s="96" t="inlineStr">
        <is>
          <t>0061Z0</t>
        </is>
      </c>
      <c r="C193" s="96" t="inlineStr">
        <is>
          <t>KB자산운용</t>
        </is>
      </c>
      <c r="D193" s="97" t="n">
        <v>51070</v>
      </c>
      <c r="E193" s="97" t="n">
        <v>723355480000</v>
      </c>
      <c r="F193" s="97" t="n">
        <v>356182870</v>
      </c>
      <c r="G193" s="98" t="n">
        <v>0.0001</v>
      </c>
      <c r="H193" s="98" t="n">
        <v>0.0123</v>
      </c>
      <c r="I193" s="98" t="n">
        <v>0.0121</v>
      </c>
      <c r="J193" s="98" t="n">
        <v>0.011984</v>
      </c>
      <c r="K193" s="97" t="n">
        <v>1</v>
      </c>
      <c r="L193" s="99" t="inlineStr">
        <is>
          <t>20251212</t>
        </is>
      </c>
      <c r="M193" s="96" t="inlineStr">
        <is>
          <t>제외</t>
        </is>
      </c>
      <c r="N193" s="96" t="inlineStr">
        <is>
          <t>60일 거래대금 3.6억(기준 5억 미만)</t>
        </is>
      </c>
      <c r="O193" s="96" t="inlineStr">
        <is>
          <t>KAP 단기 특수은행채 지수</t>
        </is>
      </c>
      <c r="P193" s="96" t="inlineStr">
        <is>
          <t>일반</t>
        </is>
      </c>
      <c r="Q193" s="96" t="inlineStr">
        <is>
          <t>단기자금(파킹형)</t>
        </is>
      </c>
      <c r="R193" s="96" t="inlineStr">
        <is>
          <t>연배당</t>
        </is>
      </c>
      <c r="S193" s="97" t="n">
        <v>1</v>
      </c>
      <c r="T193" s="98" t="n">
        <v>0.9477</v>
      </c>
      <c r="U193">
        <f>IF(AND($J193&lt;&gt;"",OR(조회_주기="전체",$R193=조회_주기),$J193&gt;=조회_최소,$J193&lt;=조회_최대),1,0)</f>
        <v/>
      </c>
      <c r="V193">
        <f>IF($U193=1,$V192+1,$V192)</f>
        <v/>
      </c>
      <c r="W193">
        <f>IF(검색어="",1,IF(ISNUMBER(SEARCH(검색어,$A193)),1,0))</f>
        <v/>
      </c>
      <c r="X193">
        <f>IF($W193=1,$X192+1,$X192)</f>
        <v/>
      </c>
      <c r="Y193">
        <f>IFERROR(INDEX($A$4:$A$253,MATCH(190,$X$4:$X$253,0)),"")</f>
        <v/>
      </c>
    </row>
    <row r="194">
      <c r="A194" s="96" t="inlineStr">
        <is>
          <t>KODEX 코리아밸류업</t>
        </is>
      </c>
      <c r="B194" s="96" t="inlineStr">
        <is>
          <t>495850</t>
        </is>
      </c>
      <c r="C194" s="96" t="inlineStr">
        <is>
          <t>삼성자산운용(ETF)</t>
        </is>
      </c>
      <c r="D194" s="97" t="n">
        <v>32090</v>
      </c>
      <c r="E194" s="97" t="n">
        <v>665867500000</v>
      </c>
      <c r="F194" s="97" t="n">
        <v>10007784689</v>
      </c>
      <c r="G194" s="98" t="n">
        <v>8.000000000000001e-05</v>
      </c>
      <c r="H194" s="98" t="n">
        <v>0.5244</v>
      </c>
      <c r="I194" s="98" t="n">
        <v>0.0012</v>
      </c>
      <c r="J194" s="98" t="n">
        <v>0.011343</v>
      </c>
      <c r="K194" s="97" t="n">
        <v>21</v>
      </c>
      <c r="L194" s="99" t="inlineStr">
        <is>
          <t>20260828</t>
        </is>
      </c>
      <c r="M194" s="96" t="inlineStr">
        <is>
          <t>제외</t>
        </is>
      </c>
      <c r="N194" s="96" t="inlineStr">
        <is>
          <t>변동성 52.4%(1년 기준, 기준 35% 초과)</t>
        </is>
      </c>
      <c r="O194" s="96" t="inlineStr">
        <is>
          <t>코리아 밸류업 지수</t>
        </is>
      </c>
      <c r="P194" s="96" t="inlineStr">
        <is>
          <t>일반</t>
        </is>
      </c>
      <c r="Q194" s="96" t="inlineStr">
        <is>
          <t>주식</t>
        </is>
      </c>
      <c r="R194" s="96" t="inlineStr">
        <is>
          <t>월배당</t>
        </is>
      </c>
      <c r="S194" s="97" t="n">
        <v>11</v>
      </c>
      <c r="T194" s="98" t="n">
        <v>1</v>
      </c>
      <c r="U194">
        <f>IF(AND($J194&lt;&gt;"",OR(조회_주기="전체",$R194=조회_주기),$J194&gt;=조회_최소,$J194&lt;=조회_최대),1,0)</f>
        <v/>
      </c>
      <c r="V194">
        <f>IF($U194=1,$V193+1,$V193)</f>
        <v/>
      </c>
      <c r="W194">
        <f>IF(검색어="",1,IF(ISNUMBER(SEARCH(검색어,$A194)),1,0))</f>
        <v/>
      </c>
      <c r="X194">
        <f>IF($W194=1,$X193+1,$X193)</f>
        <v/>
      </c>
      <c r="Y194">
        <f>IFERROR(INDEX($A$4:$A$253,MATCH(191,$X$4:$X$253,0)),"")</f>
        <v/>
      </c>
    </row>
    <row r="195">
      <c r="A195" s="96" t="inlineStr">
        <is>
          <t>RISE 종합채권(A-이상)액티브</t>
        </is>
      </c>
      <c r="B195" s="96" t="inlineStr">
        <is>
          <t>385540</t>
        </is>
      </c>
      <c r="C195" s="96" t="inlineStr">
        <is>
          <t>KB자산운용</t>
        </is>
      </c>
      <c r="D195" s="97" t="n">
        <v>102940</v>
      </c>
      <c r="E195" s="97" t="n">
        <v>2183254460000</v>
      </c>
      <c r="F195" s="97" t="n">
        <v>462261777</v>
      </c>
      <c r="G195" s="98" t="n">
        <v>0.00012</v>
      </c>
      <c r="H195" s="98" t="n">
        <v>0.04190000000000001</v>
      </c>
      <c r="I195" s="98" t="n">
        <v>0.0106</v>
      </c>
      <c r="J195" s="98" t="n">
        <v>0.011142</v>
      </c>
      <c r="K195" s="97" t="n">
        <v>1</v>
      </c>
      <c r="L195" s="99" t="inlineStr">
        <is>
          <t>20251212</t>
        </is>
      </c>
      <c r="M195" s="96" t="inlineStr">
        <is>
          <t>제외</t>
        </is>
      </c>
      <c r="N195" s="96" t="inlineStr">
        <is>
          <t>60일 거래대금 4.6억(기준 5억 미만)</t>
        </is>
      </c>
      <c r="O195" s="96" t="inlineStr">
        <is>
          <t>KIS 종합채권 지수(A-이상)</t>
        </is>
      </c>
      <c r="P195" s="96" t="inlineStr">
        <is>
          <t>일반</t>
        </is>
      </c>
      <c r="Q195" s="96" t="inlineStr">
        <is>
          <t>채권</t>
        </is>
      </c>
      <c r="R195" s="96" t="inlineStr">
        <is>
          <t>연배당</t>
        </is>
      </c>
      <c r="S195" s="97" t="n">
        <v>1</v>
      </c>
      <c r="T195" s="98" t="n">
        <v>1</v>
      </c>
      <c r="U195">
        <f>IF(AND($J195&lt;&gt;"",OR(조회_주기="전체",$R195=조회_주기),$J195&gt;=조회_최소,$J195&lt;=조회_최대),1,0)</f>
        <v/>
      </c>
      <c r="V195">
        <f>IF($U195=1,$V194+1,$V194)</f>
        <v/>
      </c>
      <c r="W195">
        <f>IF(검색어="",1,IF(ISNUMBER(SEARCH(검색어,$A195)),1,0))</f>
        <v/>
      </c>
      <c r="X195">
        <f>IF($W195=1,$X194+1,$X194)</f>
        <v/>
      </c>
      <c r="Y195">
        <f>IFERROR(INDEX($A$4:$A$253,MATCH(192,$X$4:$X$253,0)),"")</f>
        <v/>
      </c>
    </row>
    <row r="196">
      <c r="A196" s="96" t="inlineStr">
        <is>
          <t>1Q 코리아밸류업</t>
        </is>
      </c>
      <c r="B196" s="96" t="inlineStr">
        <is>
          <t>495330</t>
        </is>
      </c>
      <c r="C196" s="96" t="inlineStr">
        <is>
          <t>하나자산운용</t>
        </is>
      </c>
      <c r="D196" s="97" t="n">
        <v>31970</v>
      </c>
      <c r="E196" s="97" t="n">
        <v>137471000000</v>
      </c>
      <c r="F196" s="97" t="n">
        <v>482477732</v>
      </c>
      <c r="G196" s="98" t="n">
        <v>0.0002</v>
      </c>
      <c r="H196" s="98" t="n">
        <v>0.5246999999999999</v>
      </c>
      <c r="I196" s="98" t="n">
        <v>0.0012</v>
      </c>
      <c r="J196" s="98" t="n">
        <v>0.011042</v>
      </c>
      <c r="K196" s="97" t="n">
        <v>20</v>
      </c>
      <c r="L196" s="99" t="inlineStr">
        <is>
          <t>20260828</t>
        </is>
      </c>
      <c r="M196" s="96" t="inlineStr">
        <is>
          <t>제외</t>
        </is>
      </c>
      <c r="N196" s="96" t="inlineStr">
        <is>
          <t>60일 거래대금 4.8억(기준 5억 미만), 변동성 52.5%(1년 기준, 기준 35% 초과)</t>
        </is>
      </c>
      <c r="O196" s="96" t="inlineStr">
        <is>
          <t>코리아 밸류업 지수</t>
        </is>
      </c>
      <c r="P196" s="96" t="inlineStr">
        <is>
          <t>일반</t>
        </is>
      </c>
      <c r="Q196" s="96" t="inlineStr">
        <is>
          <t>주식</t>
        </is>
      </c>
      <c r="R196" s="96" t="inlineStr">
        <is>
          <t>월배당</t>
        </is>
      </c>
      <c r="S196" s="97" t="n">
        <v>10</v>
      </c>
      <c r="T196" s="98" t="n">
        <v>1</v>
      </c>
      <c r="U196">
        <f>IF(AND($J196&lt;&gt;"",OR(조회_주기="전체",$R196=조회_주기),$J196&gt;=조회_최소,$J196&lt;=조회_최대),1,0)</f>
        <v/>
      </c>
      <c r="V196">
        <f>IF($U196=1,$V195+1,$V195)</f>
        <v/>
      </c>
      <c r="W196">
        <f>IF(검색어="",1,IF(ISNUMBER(SEARCH(검색어,$A196)),1,0))</f>
        <v/>
      </c>
      <c r="X196">
        <f>IF($W196=1,$X195+1,$X195)</f>
        <v/>
      </c>
      <c r="Y196">
        <f>IFERROR(INDEX($A$4:$A$253,MATCH(193,$X$4:$X$253,0)),"")</f>
        <v/>
      </c>
    </row>
    <row r="197">
      <c r="A197" s="96" t="inlineStr">
        <is>
          <t>RISE 코리아밸류업</t>
        </is>
      </c>
      <c r="B197" s="96" t="inlineStr">
        <is>
          <t>495050</t>
        </is>
      </c>
      <c r="C197" s="96" t="inlineStr">
        <is>
          <t>KB자산운용</t>
        </is>
      </c>
      <c r="D197" s="97" t="n">
        <v>32310</v>
      </c>
      <c r="E197" s="97" t="n">
        <v>954760500000</v>
      </c>
      <c r="F197" s="97" t="n">
        <v>13639079209</v>
      </c>
      <c r="G197" s="98" t="n">
        <v>8.000000000000001e-05</v>
      </c>
      <c r="H197" s="98" t="n">
        <v>0.5247999999999999</v>
      </c>
      <c r="I197" s="98" t="n">
        <v>0.0011</v>
      </c>
      <c r="J197" s="98" t="n">
        <v>0.010771</v>
      </c>
      <c r="K197" s="97" t="n">
        <v>19</v>
      </c>
      <c r="L197" s="99" t="inlineStr">
        <is>
          <t>20260914</t>
        </is>
      </c>
      <c r="M197" s="96" t="inlineStr">
        <is>
          <t>제외</t>
        </is>
      </c>
      <c r="N197" s="96" t="inlineStr">
        <is>
          <t>변동성 52.5%(1년 기준, 기준 35% 초과)</t>
        </is>
      </c>
      <c r="O197" s="96" t="inlineStr">
        <is>
          <t>코리아 밸류업 지수</t>
        </is>
      </c>
      <c r="P197" s="96" t="inlineStr">
        <is>
          <t>일반</t>
        </is>
      </c>
      <c r="Q197" s="96" t="inlineStr">
        <is>
          <t>주식</t>
        </is>
      </c>
      <c r="R197" s="96" t="inlineStr">
        <is>
          <t>월배당</t>
        </is>
      </c>
      <c r="S197" s="97" t="n">
        <v>11</v>
      </c>
      <c r="T197" s="98" t="n">
        <v>1</v>
      </c>
      <c r="U197">
        <f>IF(AND($J197&lt;&gt;"",OR(조회_주기="전체",$R197=조회_주기),$J197&gt;=조회_최소,$J197&lt;=조회_최대),1,0)</f>
        <v/>
      </c>
      <c r="V197">
        <f>IF($U197=1,$V196+1,$V196)</f>
        <v/>
      </c>
      <c r="W197">
        <f>IF(검색어="",1,IF(ISNUMBER(SEARCH(검색어,$A197)),1,0))</f>
        <v/>
      </c>
      <c r="X197">
        <f>IF($W197=1,$X196+1,$X196)</f>
        <v/>
      </c>
      <c r="Y197">
        <f>IFERROR(INDEX($A$4:$A$253,MATCH(194,$X$4:$X$253,0)),"")</f>
        <v/>
      </c>
    </row>
    <row r="198">
      <c r="A198" s="96" t="inlineStr">
        <is>
          <t>PLUS 미국나스닥100미국채혼합50</t>
        </is>
      </c>
      <c r="B198" s="96" t="inlineStr">
        <is>
          <t>0089B0</t>
        </is>
      </c>
      <c r="C198" s="96" t="inlineStr">
        <is>
          <t>한화자산운용</t>
        </is>
      </c>
      <c r="D198" s="97" t="n">
        <v>11215</v>
      </c>
      <c r="E198" s="97" t="n">
        <v>33645000000</v>
      </c>
      <c r="F198" s="97" t="n">
        <v>431300155</v>
      </c>
      <c r="G198" s="98" t="n">
        <v>0.0015</v>
      </c>
      <c r="H198" s="98" t="n">
        <v>0.1302</v>
      </c>
      <c r="I198" s="98" t="n">
        <v>0.0009</v>
      </c>
      <c r="J198" s="98" t="n">
        <v>0.010522</v>
      </c>
      <c r="K198" s="97" t="n">
        <v>9</v>
      </c>
      <c r="L198" s="99" t="inlineStr">
        <is>
          <t>20260828</t>
        </is>
      </c>
      <c r="M198" s="96" t="inlineStr">
        <is>
          <t>제외</t>
        </is>
      </c>
      <c r="N198" s="96" t="inlineStr">
        <is>
          <t>60일 거래대금 4.3억(기준 5억 미만)</t>
        </is>
      </c>
      <c r="O198" s="96" t="inlineStr">
        <is>
          <t>Nasdaq-100 US T-Bills 1-3 Month 50/50 Index</t>
        </is>
      </c>
      <c r="P198" s="96" t="inlineStr">
        <is>
          <t>일반</t>
        </is>
      </c>
      <c r="Q198" s="96" t="inlineStr">
        <is>
          <t>멀티에셋</t>
        </is>
      </c>
      <c r="R198" s="96" t="inlineStr">
        <is>
          <t>비정기</t>
        </is>
      </c>
      <c r="S198" s="97" t="n">
        <v>9</v>
      </c>
      <c r="T198" s="98" t="n">
        <v>1</v>
      </c>
      <c r="U198">
        <f>IF(AND($J198&lt;&gt;"",OR(조회_주기="전체",$R198=조회_주기),$J198&gt;=조회_최소,$J198&lt;=조회_최대),1,0)</f>
        <v/>
      </c>
      <c r="V198">
        <f>IF($U198=1,$V197+1,$V197)</f>
        <v/>
      </c>
      <c r="W198">
        <f>IF(검색어="",1,IF(ISNUMBER(SEARCH(검색어,$A198)),1,0))</f>
        <v/>
      </c>
      <c r="X198">
        <f>IF($W198=1,$X197+1,$X197)</f>
        <v/>
      </c>
      <c r="Y198">
        <f>IFERROR(INDEX($A$4:$A$253,MATCH(195,$X$4:$X$253,0)),"")</f>
        <v/>
      </c>
    </row>
    <row r="199">
      <c r="A199" s="96" t="inlineStr">
        <is>
          <t>RISE 미국S&amp;P500(H)</t>
        </is>
      </c>
      <c r="B199" s="96" t="inlineStr">
        <is>
          <t>453330</t>
        </is>
      </c>
      <c r="C199" s="96" t="inlineStr">
        <is>
          <t>KB자산운용</t>
        </is>
      </c>
      <c r="D199" s="97" t="n">
        <v>18050</v>
      </c>
      <c r="E199" s="97" t="n">
        <v>83030000000</v>
      </c>
      <c r="F199" s="97" t="n">
        <v>463618921</v>
      </c>
      <c r="G199" s="98" t="n">
        <v>4.7e-05</v>
      </c>
      <c r="H199" s="98" t="n">
        <v>0.1309</v>
      </c>
      <c r="I199" s="98" t="n">
        <v>0.0008</v>
      </c>
      <c r="J199" s="98" t="n">
        <v>0.010139</v>
      </c>
      <c r="K199" s="97" t="n">
        <v>41</v>
      </c>
      <c r="L199" s="99" t="inlineStr">
        <is>
          <t>20260828</t>
        </is>
      </c>
      <c r="M199" s="96" t="inlineStr">
        <is>
          <t>제외</t>
        </is>
      </c>
      <c r="N199" s="96" t="inlineStr">
        <is>
          <t>60일 거래대금 4.6억(기준 5억 미만)</t>
        </is>
      </c>
      <c r="O199" s="96" t="inlineStr">
        <is>
          <t>S&amp;P 500</t>
        </is>
      </c>
      <c r="P199" s="96" t="inlineStr">
        <is>
          <t>일반</t>
        </is>
      </c>
      <c r="Q199" s="96" t="inlineStr">
        <is>
          <t>주식</t>
        </is>
      </c>
      <c r="R199" s="96" t="inlineStr">
        <is>
          <t>월배당</t>
        </is>
      </c>
      <c r="S199" s="97" t="n">
        <v>11</v>
      </c>
      <c r="T199" s="98" t="n">
        <v>1</v>
      </c>
      <c r="U199">
        <f>IF(AND($J199&lt;&gt;"",OR(조회_주기="전체",$R199=조회_주기),$J199&gt;=조회_최소,$J199&lt;=조회_최대),1,0)</f>
        <v/>
      </c>
      <c r="V199">
        <f>IF($U199=1,$V198+1,$V198)</f>
        <v/>
      </c>
      <c r="W199">
        <f>IF(검색어="",1,IF(ISNUMBER(SEARCH(검색어,$A199)),1,0))</f>
        <v/>
      </c>
      <c r="X199">
        <f>IF($W199=1,$X198+1,$X198)</f>
        <v/>
      </c>
      <c r="Y199">
        <f>IFERROR(INDEX($A$4:$A$253,MATCH(196,$X$4:$X$253,0)),"")</f>
        <v/>
      </c>
    </row>
    <row r="200">
      <c r="A200" s="96" t="inlineStr">
        <is>
          <t>PLUS 코리아밸류업</t>
        </is>
      </c>
      <c r="B200" s="96" t="inlineStr">
        <is>
          <t>495040</t>
        </is>
      </c>
      <c r="C200" s="96" t="inlineStr">
        <is>
          <t>한화자산운용</t>
        </is>
      </c>
      <c r="D200" s="97" t="n">
        <v>31865</v>
      </c>
      <c r="E200" s="97" t="n">
        <v>86035500000</v>
      </c>
      <c r="F200" s="97" t="n">
        <v>182422781</v>
      </c>
      <c r="G200" s="98" t="n">
        <v>8.999999999999999e-05</v>
      </c>
      <c r="H200" s="98" t="n">
        <v>0.5233</v>
      </c>
      <c r="I200" s="98" t="n">
        <v>0.0014</v>
      </c>
      <c r="J200" s="98" t="n">
        <v>0.009885</v>
      </c>
      <c r="K200" s="97" t="n">
        <v>21</v>
      </c>
      <c r="L200" s="99" t="inlineStr">
        <is>
          <t>20260914</t>
        </is>
      </c>
      <c r="M200" s="96" t="inlineStr">
        <is>
          <t>제외</t>
        </is>
      </c>
      <c r="N200" s="96" t="inlineStr">
        <is>
          <t>60일 거래대금 1.8억(기준 5억 미만), 변동성 52.3%(1년 기준, 기준 35% 초과)</t>
        </is>
      </c>
      <c r="O200" s="96" t="inlineStr">
        <is>
          <t>코리아 밸류업 지수</t>
        </is>
      </c>
      <c r="P200" s="96" t="inlineStr">
        <is>
          <t>일반</t>
        </is>
      </c>
      <c r="Q200" s="96" t="inlineStr">
        <is>
          <t>주식</t>
        </is>
      </c>
      <c r="R200" s="96" t="inlineStr">
        <is>
          <t>월배당</t>
        </is>
      </c>
      <c r="S200" s="97" t="n">
        <v>12</v>
      </c>
      <c r="T200" s="98" t="n">
        <v>0.9143</v>
      </c>
      <c r="U200">
        <f>IF(AND($J200&lt;&gt;"",OR(조회_주기="전체",$R200=조회_주기),$J200&gt;=조회_최소,$J200&lt;=조회_최대),1,0)</f>
        <v/>
      </c>
      <c r="V200">
        <f>IF($U200=1,$V199+1,$V199)</f>
        <v/>
      </c>
      <c r="W200">
        <f>IF(검색어="",1,IF(ISNUMBER(SEARCH(검색어,$A200)),1,0))</f>
        <v/>
      </c>
      <c r="X200">
        <f>IF($W200=1,$X199+1,$X199)</f>
        <v/>
      </c>
      <c r="Y200">
        <f>IFERROR(INDEX($A$4:$A$253,MATCH(197,$X$4:$X$253,0)),"")</f>
        <v/>
      </c>
    </row>
    <row r="201">
      <c r="A201" s="96" t="inlineStr">
        <is>
          <t>KIWOOM 200</t>
        </is>
      </c>
      <c r="B201" s="96" t="inlineStr">
        <is>
          <t>069660</t>
        </is>
      </c>
      <c r="C201" s="96" t="inlineStr">
        <is>
          <t>키움투자자산운용</t>
        </is>
      </c>
      <c r="D201" s="97" t="n">
        <v>108915</v>
      </c>
      <c r="E201" s="97" t="n">
        <v>751513500000</v>
      </c>
      <c r="F201" s="97" t="n">
        <v>19408945225</v>
      </c>
      <c r="G201" s="98" t="n">
        <v>0.0005</v>
      </c>
      <c r="H201" s="98" t="n">
        <v>0.5832999999999999</v>
      </c>
      <c r="I201" s="98" t="n">
        <v>0.0015</v>
      </c>
      <c r="J201" s="98" t="n">
        <v>0.009824000000000001</v>
      </c>
      <c r="K201" s="97" t="n">
        <v>12</v>
      </c>
      <c r="L201" s="99" t="inlineStr">
        <is>
          <t>20260730</t>
        </is>
      </c>
      <c r="M201" s="96" t="inlineStr">
        <is>
          <t>제외</t>
        </is>
      </c>
      <c r="N201" s="96" t="inlineStr">
        <is>
          <t>변동성 58.3%(1년 기준, 기준 35% 초과)</t>
        </is>
      </c>
      <c r="O201" s="96" t="inlineStr">
        <is>
          <t>KOSPI 200</t>
        </is>
      </c>
      <c r="P201" s="96" t="inlineStr">
        <is>
          <t>일반</t>
        </is>
      </c>
      <c r="Q201" s="96" t="inlineStr">
        <is>
          <t>주식</t>
        </is>
      </c>
      <c r="R201" s="96" t="inlineStr">
        <is>
          <t>분기배당</t>
        </is>
      </c>
      <c r="S201" s="97" t="n">
        <v>4</v>
      </c>
      <c r="T201" s="98" t="n">
        <v>0.9748</v>
      </c>
      <c r="U201">
        <f>IF(AND($J201&lt;&gt;"",OR(조회_주기="전체",$R201=조회_주기),$J201&gt;=조회_최소,$J201&lt;=조회_최대),1,0)</f>
        <v/>
      </c>
      <c r="V201">
        <f>IF($U201=1,$V200+1,$V200)</f>
        <v/>
      </c>
      <c r="W201">
        <f>IF(검색어="",1,IF(ISNUMBER(SEARCH(검색어,$A201)),1,0))</f>
        <v/>
      </c>
      <c r="X201">
        <f>IF($W201=1,$X200+1,$X200)</f>
        <v/>
      </c>
      <c r="Y201">
        <f>IFERROR(INDEX($A$4:$A$253,MATCH(198,$X$4:$X$253,0)),"")</f>
        <v/>
      </c>
    </row>
    <row r="202">
      <c r="A202" s="96" t="inlineStr">
        <is>
          <t>TIGER 미국나스닥100레버리지(합성)</t>
        </is>
      </c>
      <c r="B202" s="96" t="inlineStr">
        <is>
          <t>418660</t>
        </is>
      </c>
      <c r="C202" s="96" t="inlineStr">
        <is>
          <t>미래에셋자산운용</t>
        </is>
      </c>
      <c r="D202" s="97" t="n">
        <v>39660</v>
      </c>
      <c r="E202" s="97" t="n">
        <v>701982000000</v>
      </c>
      <c r="F202" s="97" t="n">
        <v>12611115028</v>
      </c>
      <c r="G202" s="98" t="n">
        <v>0.0025</v>
      </c>
      <c r="H202" s="98" t="n">
        <v>0.4135</v>
      </c>
      <c r="I202" s="98" t="n">
        <v>0.0107</v>
      </c>
      <c r="J202" s="98" t="n">
        <v>0.009580999999999999</v>
      </c>
      <c r="K202" s="97" t="n">
        <v>1</v>
      </c>
      <c r="L202" s="99" t="inlineStr">
        <is>
          <t>20251229</t>
        </is>
      </c>
      <c r="M202" s="96" t="inlineStr">
        <is>
          <t>제외</t>
        </is>
      </c>
      <c r="N202" s="96" t="inlineStr">
        <is>
          <t>변동성 41.3%(1년 기준, 기준 35% 초과)</t>
        </is>
      </c>
      <c r="O202" s="96" t="inlineStr">
        <is>
          <t>나스닥 100</t>
        </is>
      </c>
      <c r="P202" s="96" t="inlineStr">
        <is>
          <t>일반</t>
        </is>
      </c>
      <c r="Q202" s="96" t="inlineStr">
        <is>
          <t>주식</t>
        </is>
      </c>
      <c r="R202" s="96" t="inlineStr">
        <is>
          <t>연배당</t>
        </is>
      </c>
      <c r="S202" s="97" t="n">
        <v>1</v>
      </c>
      <c r="T202" s="98" t="n">
        <v>1</v>
      </c>
      <c r="U202">
        <f>IF(AND($J202&lt;&gt;"",OR(조회_주기="전체",$R202=조회_주기),$J202&gt;=조회_최소,$J202&lt;=조회_최대),1,0)</f>
        <v/>
      </c>
      <c r="V202">
        <f>IF($U202=1,$V201+1,$V201)</f>
        <v/>
      </c>
      <c r="W202">
        <f>IF(검색어="",1,IF(ISNUMBER(SEARCH(검색어,$A202)),1,0))</f>
        <v/>
      </c>
      <c r="X202">
        <f>IF($W202=1,$X201+1,$X201)</f>
        <v/>
      </c>
      <c r="Y202">
        <f>IFERROR(INDEX($A$4:$A$253,MATCH(199,$X$4:$X$253,0)),"")</f>
        <v/>
      </c>
    </row>
    <row r="203">
      <c r="A203" s="96" t="inlineStr">
        <is>
          <t>TIGER 코리아밸류업</t>
        </is>
      </c>
      <c r="B203" s="96" t="inlineStr">
        <is>
          <t>496080</t>
        </is>
      </c>
      <c r="C203" s="96" t="inlineStr">
        <is>
          <t>미래에셋자산운용</t>
        </is>
      </c>
      <c r="D203" s="97" t="n">
        <v>32160</v>
      </c>
      <c r="E203" s="97" t="n">
        <v>503304000000</v>
      </c>
      <c r="F203" s="97" t="n">
        <v>11933689215</v>
      </c>
      <c r="G203" s="98" t="n">
        <v>8.000000000000001e-05</v>
      </c>
      <c r="H203" s="98" t="n">
        <v>0.5224</v>
      </c>
      <c r="I203" s="98" t="n">
        <v>0.0009</v>
      </c>
      <c r="J203" s="98" t="n">
        <v>0.009327999999999999</v>
      </c>
      <c r="K203" s="97" t="n">
        <v>20</v>
      </c>
      <c r="L203" s="99" t="inlineStr">
        <is>
          <t>20260828</t>
        </is>
      </c>
      <c r="M203" s="96" t="inlineStr">
        <is>
          <t>제외</t>
        </is>
      </c>
      <c r="N203" s="96" t="inlineStr">
        <is>
          <t>변동성 52.2%(1년 기준, 기준 35% 초과)</t>
        </is>
      </c>
      <c r="O203" s="96" t="inlineStr">
        <is>
          <t>코리아 밸류업 지수</t>
        </is>
      </c>
      <c r="P203" s="96" t="inlineStr">
        <is>
          <t>일반</t>
        </is>
      </c>
      <c r="Q203" s="96" t="inlineStr">
        <is>
          <t>주식</t>
        </is>
      </c>
      <c r="R203" s="96" t="inlineStr">
        <is>
          <t>월배당</t>
        </is>
      </c>
      <c r="S203" s="97" t="n">
        <v>11</v>
      </c>
      <c r="T203" s="98" t="n">
        <v>1</v>
      </c>
      <c r="U203">
        <f>IF(AND($J203&lt;&gt;"",OR(조회_주기="전체",$R203=조회_주기),$J203&gt;=조회_최소,$J203&lt;=조회_최대),1,0)</f>
        <v/>
      </c>
      <c r="V203">
        <f>IF($U203=1,$V202+1,$V202)</f>
        <v/>
      </c>
      <c r="W203">
        <f>IF(검색어="",1,IF(ISNUMBER(SEARCH(검색어,$A203)),1,0))</f>
        <v/>
      </c>
      <c r="X203">
        <f>IF($W203=1,$X202+1,$X202)</f>
        <v/>
      </c>
      <c r="Y203">
        <f>IFERROR(INDEX($A$4:$A$253,MATCH(200,$X$4:$X$253,0)),"")</f>
        <v/>
      </c>
    </row>
    <row r="204">
      <c r="A204" s="96" t="inlineStr">
        <is>
          <t>RISE 200</t>
        </is>
      </c>
      <c r="B204" s="96" t="inlineStr">
        <is>
          <t>148020</t>
        </is>
      </c>
      <c r="C204" s="96" t="inlineStr">
        <is>
          <t>KB자산운용</t>
        </is>
      </c>
      <c r="D204" s="97" t="n">
        <v>109740</v>
      </c>
      <c r="E204" s="97" t="n">
        <v>4449957000000</v>
      </c>
      <c r="F204" s="97" t="n">
        <v>134074784456</v>
      </c>
      <c r="G204" s="98" t="n">
        <v>0.00017</v>
      </c>
      <c r="H204" s="98" t="n">
        <v>0.5845</v>
      </c>
      <c r="I204" s="98" t="n">
        <v>0.0013</v>
      </c>
      <c r="J204" s="98" t="n">
        <v>0.009204</v>
      </c>
      <c r="K204" s="97" t="n">
        <v>20</v>
      </c>
      <c r="L204" s="99" t="inlineStr">
        <is>
          <t>20260730</t>
        </is>
      </c>
      <c r="M204" s="96" t="inlineStr">
        <is>
          <t>제외</t>
        </is>
      </c>
      <c r="N204" s="96" t="inlineStr">
        <is>
          <t>변동성 58.5%(1년 기준, 기준 35% 초과)</t>
        </is>
      </c>
      <c r="O204" s="96" t="inlineStr">
        <is>
          <t>KOSPI 200</t>
        </is>
      </c>
      <c r="P204" s="96" t="inlineStr">
        <is>
          <t>일반</t>
        </is>
      </c>
      <c r="Q204" s="96" t="inlineStr">
        <is>
          <t>주식</t>
        </is>
      </c>
      <c r="R204" s="96" t="inlineStr">
        <is>
          <t>분기배당</t>
        </is>
      </c>
      <c r="S204" s="97" t="n">
        <v>4</v>
      </c>
      <c r="T204" s="98" t="n">
        <v>1</v>
      </c>
      <c r="U204">
        <f>IF(AND($J204&lt;&gt;"",OR(조회_주기="전체",$R204=조회_주기),$J204&gt;=조회_최소,$J204&lt;=조회_최대),1,0)</f>
        <v/>
      </c>
      <c r="V204">
        <f>IF($U204=1,$V203+1,$V203)</f>
        <v/>
      </c>
      <c r="W204">
        <f>IF(검색어="",1,IF(ISNUMBER(SEARCH(검색어,$A204)),1,0))</f>
        <v/>
      </c>
      <c r="X204">
        <f>IF($W204=1,$X203+1,$X203)</f>
        <v/>
      </c>
      <c r="Y204">
        <f>IFERROR(INDEX($A$4:$A$253,MATCH(201,$X$4:$X$253,0)),"")</f>
        <v/>
      </c>
    </row>
    <row r="205">
      <c r="A205" s="96" t="inlineStr">
        <is>
          <t>ACE 200</t>
        </is>
      </c>
      <c r="B205" s="96" t="inlineStr">
        <is>
          <t>105190</t>
        </is>
      </c>
      <c r="C205" s="96" t="inlineStr">
        <is>
          <t>한국투신운용(ETF)</t>
        </is>
      </c>
      <c r="D205" s="97" t="n">
        <v>109185</v>
      </c>
      <c r="E205" s="97" t="n">
        <v>1681449000000</v>
      </c>
      <c r="F205" s="97" t="n">
        <v>41054665299</v>
      </c>
      <c r="G205" s="98" t="n">
        <v>0.00017</v>
      </c>
      <c r="H205" s="98" t="n">
        <v>0.585</v>
      </c>
      <c r="I205" s="98" t="n">
        <v>0.0017</v>
      </c>
      <c r="J205" s="98" t="n">
        <v>0.008884</v>
      </c>
      <c r="K205" s="97" t="n">
        <v>9</v>
      </c>
      <c r="L205" s="99" t="inlineStr">
        <is>
          <t>20260730</t>
        </is>
      </c>
      <c r="M205" s="96" t="inlineStr">
        <is>
          <t>제외</t>
        </is>
      </c>
      <c r="N205" s="96" t="inlineStr">
        <is>
          <t>변동성 58.5%(1년 기준, 기준 35% 초과)</t>
        </is>
      </c>
      <c r="O205" s="96" t="inlineStr">
        <is>
          <t>KOSPI 200</t>
        </is>
      </c>
      <c r="P205" s="96" t="inlineStr">
        <is>
          <t>일반</t>
        </is>
      </c>
      <c r="Q205" s="96" t="inlineStr">
        <is>
          <t>주식</t>
        </is>
      </c>
      <c r="R205" s="96" t="inlineStr">
        <is>
          <t>분기배당</t>
        </is>
      </c>
      <c r="S205" s="97" t="n">
        <v>4</v>
      </c>
      <c r="T205" s="98" t="n">
        <v>1</v>
      </c>
      <c r="U205">
        <f>IF(AND($J205&lt;&gt;"",OR(조회_주기="전체",$R205=조회_주기),$J205&gt;=조회_최소,$J205&lt;=조회_최대),1,0)</f>
        <v/>
      </c>
      <c r="V205">
        <f>IF($U205=1,$V204+1,$V204)</f>
        <v/>
      </c>
      <c r="W205">
        <f>IF(검색어="",1,IF(ISNUMBER(SEARCH(검색어,$A205)),1,0))</f>
        <v/>
      </c>
      <c r="X205">
        <f>IF($W205=1,$X204+1,$X204)</f>
        <v/>
      </c>
      <c r="Y205">
        <f>IFERROR(INDEX($A$4:$A$253,MATCH(202,$X$4:$X$253,0)),"")</f>
        <v/>
      </c>
    </row>
    <row r="206">
      <c r="A206" s="96" t="inlineStr">
        <is>
          <t>PLUS 200</t>
        </is>
      </c>
      <c r="B206" s="96" t="inlineStr">
        <is>
          <t>152100</t>
        </is>
      </c>
      <c r="C206" s="96" t="inlineStr">
        <is>
          <t>한화자산운용</t>
        </is>
      </c>
      <c r="D206" s="97" t="n">
        <v>110570</v>
      </c>
      <c r="E206" s="97" t="n">
        <v>1487166500000</v>
      </c>
      <c r="F206" s="97" t="n">
        <v>41094240803</v>
      </c>
      <c r="G206" s="98" t="n">
        <v>0.00017</v>
      </c>
      <c r="H206" s="98" t="n">
        <v>0.585</v>
      </c>
      <c r="I206" s="98" t="n">
        <v>0.0017</v>
      </c>
      <c r="J206" s="98" t="n">
        <v>0.008773</v>
      </c>
      <c r="K206" s="97" t="n">
        <v>14</v>
      </c>
      <c r="L206" s="99" t="inlineStr">
        <is>
          <t>20260730</t>
        </is>
      </c>
      <c r="M206" s="96" t="inlineStr">
        <is>
          <t>제외</t>
        </is>
      </c>
      <c r="N206" s="96" t="inlineStr">
        <is>
          <t>변동성 58.5%(1년 기준, 기준 35% 초과)</t>
        </is>
      </c>
      <c r="O206" s="96" t="inlineStr">
        <is>
          <t>KOSPI 200</t>
        </is>
      </c>
      <c r="P206" s="96" t="inlineStr">
        <is>
          <t>일반</t>
        </is>
      </c>
      <c r="Q206" s="96" t="inlineStr">
        <is>
          <t>주식</t>
        </is>
      </c>
      <c r="R206" s="96" t="inlineStr">
        <is>
          <t>분기배당</t>
        </is>
      </c>
      <c r="S206" s="97" t="n">
        <v>4</v>
      </c>
      <c r="T206" s="98" t="n">
        <v>1</v>
      </c>
      <c r="U206">
        <f>IF(AND($J206&lt;&gt;"",OR(조회_주기="전체",$R206=조회_주기),$J206&gt;=조회_최소,$J206&lt;=조회_최대),1,0)</f>
        <v/>
      </c>
      <c r="V206">
        <f>IF($U206=1,$V205+1,$V205)</f>
        <v/>
      </c>
      <c r="W206">
        <f>IF(검색어="",1,IF(ISNUMBER(SEARCH(검색어,$A206)),1,0))</f>
        <v/>
      </c>
      <c r="X206">
        <f>IF($W206=1,$X205+1,$X205)</f>
        <v/>
      </c>
      <c r="Y206">
        <f>IFERROR(INDEX($A$4:$A$253,MATCH(203,$X$4:$X$253,0)),"")</f>
        <v/>
      </c>
    </row>
    <row r="207">
      <c r="A207" s="96" t="inlineStr">
        <is>
          <t>TIGER 200</t>
        </is>
      </c>
      <c r="B207" s="96" t="inlineStr">
        <is>
          <t>102110</t>
        </is>
      </c>
      <c r="C207" s="96" t="inlineStr">
        <is>
          <t>미래에셋자산운용</t>
        </is>
      </c>
      <c r="D207" s="97" t="n">
        <v>109160</v>
      </c>
      <c r="E207" s="97" t="n">
        <v>10075468000000</v>
      </c>
      <c r="F207" s="97" t="n">
        <v>842702897176</v>
      </c>
      <c r="G207" s="98" t="n">
        <v>0.0005</v>
      </c>
      <c r="H207" s="98" t="n">
        <v>0.5853</v>
      </c>
      <c r="I207" s="98" t="n">
        <v>0.0015</v>
      </c>
      <c r="J207" s="98" t="n">
        <v>0.008501</v>
      </c>
      <c r="K207" s="97" t="n">
        <v>20</v>
      </c>
      <c r="L207" s="99" t="inlineStr">
        <is>
          <t>20260730</t>
        </is>
      </c>
      <c r="M207" s="96" t="inlineStr">
        <is>
          <t>제외</t>
        </is>
      </c>
      <c r="N207" s="96" t="inlineStr">
        <is>
          <t>변동성 58.5%(1년 기준, 기준 35% 초과)</t>
        </is>
      </c>
      <c r="O207" s="96" t="inlineStr">
        <is>
          <t>KOSPI 200</t>
        </is>
      </c>
      <c r="P207" s="96" t="inlineStr">
        <is>
          <t>일반</t>
        </is>
      </c>
      <c r="Q207" s="96" t="inlineStr">
        <is>
          <t>주식</t>
        </is>
      </c>
      <c r="R207" s="96" t="inlineStr">
        <is>
          <t>분기배당</t>
        </is>
      </c>
      <c r="S207" s="97" t="n">
        <v>4</v>
      </c>
      <c r="T207" s="98" t="n">
        <v>0.9623</v>
      </c>
      <c r="U207">
        <f>IF(AND($J207&lt;&gt;"",OR(조회_주기="전체",$R207=조회_주기),$J207&gt;=조회_최소,$J207&lt;=조회_최대),1,0)</f>
        <v/>
      </c>
      <c r="V207">
        <f>IF($U207=1,$V206+1,$V206)</f>
        <v/>
      </c>
      <c r="W207">
        <f>IF(검색어="",1,IF(ISNUMBER(SEARCH(검색어,$A207)),1,0))</f>
        <v/>
      </c>
      <c r="X207">
        <f>IF($W207=1,$X206+1,$X206)</f>
        <v/>
      </c>
      <c r="Y207">
        <f>IFERROR(INDEX($A$4:$A$253,MATCH(204,$X$4:$X$253,0)),"")</f>
        <v/>
      </c>
    </row>
    <row r="208">
      <c r="A208" s="96" t="inlineStr">
        <is>
          <t>TIGER 코리아TOP10</t>
        </is>
      </c>
      <c r="B208" s="96" t="inlineStr">
        <is>
          <t>292150</t>
        </is>
      </c>
      <c r="C208" s="96" t="inlineStr">
        <is>
          <t>미래에셋자산운용</t>
        </is>
      </c>
      <c r="D208" s="97" t="n">
        <v>38440</v>
      </c>
      <c r="E208" s="97" t="n">
        <v>1923922000000</v>
      </c>
      <c r="F208" s="97" t="n">
        <v>47254071158</v>
      </c>
      <c r="G208" s="98" t="n">
        <v>0.0015</v>
      </c>
      <c r="H208" s="98" t="n">
        <v>0.5932999999999999</v>
      </c>
      <c r="I208" s="98" t="n">
        <v>0.0027</v>
      </c>
      <c r="J208" s="98" t="n">
        <v>0.008377000000000001</v>
      </c>
      <c r="K208" s="97" t="n">
        <v>16</v>
      </c>
      <c r="L208" s="99" t="inlineStr">
        <is>
          <t>20260730</t>
        </is>
      </c>
      <c r="M208" s="96" t="inlineStr">
        <is>
          <t>제외</t>
        </is>
      </c>
      <c r="N208" s="96" t="inlineStr">
        <is>
          <t>변동성 59.3%(1년 기준, 기준 35% 초과)</t>
        </is>
      </c>
      <c r="O208" s="96" t="inlineStr">
        <is>
          <t>FnGuide TOP10 지수</t>
        </is>
      </c>
      <c r="P208" s="96" t="inlineStr">
        <is>
          <t>일반</t>
        </is>
      </c>
      <c r="Q208" s="96" t="inlineStr">
        <is>
          <t>주식</t>
        </is>
      </c>
      <c r="R208" s="96" t="inlineStr">
        <is>
          <t>분기배당</t>
        </is>
      </c>
      <c r="S208" s="97" t="n">
        <v>4</v>
      </c>
      <c r="T208" s="98" t="n">
        <v>1</v>
      </c>
      <c r="U208">
        <f>IF(AND($J208&lt;&gt;"",OR(조회_주기="전체",$R208=조회_주기),$J208&gt;=조회_최소,$J208&lt;=조회_최대),1,0)</f>
        <v/>
      </c>
      <c r="V208">
        <f>IF($U208=1,$V207+1,$V207)</f>
        <v/>
      </c>
      <c r="W208">
        <f>IF(검색어="",1,IF(ISNUMBER(SEARCH(검색어,$A208)),1,0))</f>
        <v/>
      </c>
      <c r="X208">
        <f>IF($W208=1,$X207+1,$X207)</f>
        <v/>
      </c>
      <c r="Y208">
        <f>IFERROR(INDEX($A$4:$A$253,MATCH(205,$X$4:$X$253,0)),"")</f>
        <v/>
      </c>
    </row>
    <row r="209">
      <c r="A209" s="96" t="inlineStr">
        <is>
          <t>TIGER 조선TOP10</t>
        </is>
      </c>
      <c r="B209" s="96" t="inlineStr">
        <is>
          <t>494670</t>
        </is>
      </c>
      <c r="C209" s="96" t="inlineStr">
        <is>
          <t>미래에셋자산운용</t>
        </is>
      </c>
      <c r="D209" s="97" t="n">
        <v>22165</v>
      </c>
      <c r="E209" s="97" t="n">
        <v>565207500000</v>
      </c>
      <c r="F209" s="97" t="n">
        <v>19208177578</v>
      </c>
      <c r="G209" s="98" t="n">
        <v>0.0035</v>
      </c>
      <c r="H209" s="98" t="n">
        <v>0.5433</v>
      </c>
      <c r="I209" s="98" t="n">
        <v>0.004</v>
      </c>
      <c r="J209" s="98" t="n">
        <v>0.008345999999999999</v>
      </c>
      <c r="K209" s="97" t="n">
        <v>3</v>
      </c>
      <c r="L209" s="99" t="inlineStr">
        <is>
          <t>20260429</t>
        </is>
      </c>
      <c r="M209" s="96" t="inlineStr">
        <is>
          <t>제외</t>
        </is>
      </c>
      <c r="N209" s="96" t="inlineStr">
        <is>
          <t>변동성 54.3%(1년 기준, 기준 35% 초과)</t>
        </is>
      </c>
      <c r="O209" s="96" t="inlineStr">
        <is>
          <t>iSelect 조선 TOP10 지수</t>
        </is>
      </c>
      <c r="P209" s="96" t="inlineStr">
        <is>
          <t>일반</t>
        </is>
      </c>
      <c r="Q209" s="96" t="inlineStr">
        <is>
          <t>주식</t>
        </is>
      </c>
      <c r="R209" s="96" t="inlineStr">
        <is>
          <t>반기배당</t>
        </is>
      </c>
      <c r="S209" s="97" t="n">
        <v>2</v>
      </c>
      <c r="T209" s="98" t="n">
        <v>0.3297</v>
      </c>
      <c r="U209">
        <f>IF(AND($J209&lt;&gt;"",OR(조회_주기="전체",$R209=조회_주기),$J209&gt;=조회_최소,$J209&lt;=조회_최대),1,0)</f>
        <v/>
      </c>
      <c r="V209">
        <f>IF($U209=1,$V208+1,$V208)</f>
        <v/>
      </c>
      <c r="W209">
        <f>IF(검색어="",1,IF(ISNUMBER(SEARCH(검색어,$A209)),1,0))</f>
        <v/>
      </c>
      <c r="X209">
        <f>IF($W209=1,$X208+1,$X208)</f>
        <v/>
      </c>
      <c r="Y209">
        <f>IFERROR(INDEX($A$4:$A$253,MATCH(206,$X$4:$X$253,0)),"")</f>
        <v/>
      </c>
    </row>
    <row r="210">
      <c r="A210" s="96" t="inlineStr">
        <is>
          <t>KODEX 200액티브</t>
        </is>
      </c>
      <c r="B210" s="96" t="inlineStr">
        <is>
          <t>494890</t>
        </is>
      </c>
      <c r="C210" s="96" t="inlineStr">
        <is>
          <t>삼성자산운용(ETF)</t>
        </is>
      </c>
      <c r="D210" s="97" t="n">
        <v>31380</v>
      </c>
      <c r="E210" s="97" t="n">
        <v>1057506000000</v>
      </c>
      <c r="F210" s="97" t="n">
        <v>17499590036</v>
      </c>
      <c r="G210" s="98" t="n">
        <v>0.0015</v>
      </c>
      <c r="H210" s="98" t="n">
        <v>0.589</v>
      </c>
      <c r="I210" s="98" t="n">
        <v>0.0021</v>
      </c>
      <c r="J210" s="98" t="n">
        <v>0.008222</v>
      </c>
      <c r="K210" s="97" t="n">
        <v>6</v>
      </c>
      <c r="L210" s="99" t="inlineStr">
        <is>
          <t>20260730</t>
        </is>
      </c>
      <c r="M210" s="96" t="inlineStr">
        <is>
          <t>제외</t>
        </is>
      </c>
      <c r="N210" s="96" t="inlineStr">
        <is>
          <t>변동성 58.9%(1년 기준, 기준 35% 초과)</t>
        </is>
      </c>
      <c r="O210" s="96" t="inlineStr">
        <is>
          <t>KOSPI 200</t>
        </is>
      </c>
      <c r="P210" s="96" t="inlineStr">
        <is>
          <t>일반</t>
        </is>
      </c>
      <c r="Q210" s="96" t="inlineStr">
        <is>
          <t>주식</t>
        </is>
      </c>
      <c r="R210" s="96" t="inlineStr">
        <is>
          <t>분기배당</t>
        </is>
      </c>
      <c r="S210" s="97" t="n">
        <v>4</v>
      </c>
      <c r="T210" s="98" t="n">
        <v>0.9883999999999999</v>
      </c>
      <c r="U210">
        <f>IF(AND($J210&lt;&gt;"",OR(조회_주기="전체",$R210=조회_주기),$J210&gt;=조회_최소,$J210&lt;=조회_최대),1,0)</f>
        <v/>
      </c>
      <c r="V210">
        <f>IF($U210=1,$V209+1,$V209)</f>
        <v/>
      </c>
      <c r="W210">
        <f>IF(검색어="",1,IF(ISNUMBER(SEARCH(검색어,$A210)),1,0))</f>
        <v/>
      </c>
      <c r="X210">
        <f>IF($W210=1,$X209+1,$X209)</f>
        <v/>
      </c>
      <c r="Y210">
        <f>IFERROR(INDEX($A$4:$A$253,MATCH(207,$X$4:$X$253,0)),"")</f>
        <v/>
      </c>
    </row>
    <row r="211">
      <c r="A211" s="96" t="inlineStr">
        <is>
          <t>KODEX 코스피100</t>
        </is>
      </c>
      <c r="B211" s="96" t="inlineStr">
        <is>
          <t>237350</t>
        </is>
      </c>
      <c r="C211" s="96" t="inlineStr">
        <is>
          <t>삼성자산운용(ETF)</t>
        </is>
      </c>
      <c r="D211" s="97" t="n">
        <v>86950</v>
      </c>
      <c r="E211" s="97" t="n">
        <v>943407500000</v>
      </c>
      <c r="F211" s="97" t="n">
        <v>34564734236</v>
      </c>
      <c r="G211" s="98" t="n">
        <v>0.0015</v>
      </c>
      <c r="H211" s="98" t="n">
        <v>0.5943000000000001</v>
      </c>
      <c r="I211" s="98" t="n">
        <v>0.0019</v>
      </c>
      <c r="J211" s="98" t="n">
        <v>0.008074</v>
      </c>
      <c r="K211" s="97" t="n">
        <v>6</v>
      </c>
      <c r="L211" s="99" t="inlineStr">
        <is>
          <t>20260730</t>
        </is>
      </c>
      <c r="M211" s="96" t="inlineStr">
        <is>
          <t>제외</t>
        </is>
      </c>
      <c r="N211" s="96" t="inlineStr">
        <is>
          <t>변동성 59.4%(1년 기준, 기준 35% 초과)</t>
        </is>
      </c>
      <c r="O211" s="96" t="inlineStr">
        <is>
          <t>KOSPI 100</t>
        </is>
      </c>
      <c r="P211" s="96" t="inlineStr">
        <is>
          <t>일반</t>
        </is>
      </c>
      <c r="Q211" s="96" t="inlineStr">
        <is>
          <t>주식</t>
        </is>
      </c>
      <c r="R211" s="96" t="inlineStr">
        <is>
          <t>연배당</t>
        </is>
      </c>
      <c r="S211" s="97" t="n">
        <v>2</v>
      </c>
      <c r="T211" s="98" t="n">
        <v>1</v>
      </c>
      <c r="U211">
        <f>IF(AND($J211&lt;&gt;"",OR(조회_주기="전체",$R211=조회_주기),$J211&gt;=조회_최소,$J211&lt;=조회_최대),1,0)</f>
        <v/>
      </c>
      <c r="V211">
        <f>IF($U211=1,$V210+1,$V210)</f>
        <v/>
      </c>
      <c r="W211">
        <f>IF(검색어="",1,IF(ISNUMBER(SEARCH(검색어,$A211)),1,0))</f>
        <v/>
      </c>
      <c r="X211">
        <f>IF($W211=1,$X210+1,$X210)</f>
        <v/>
      </c>
      <c r="Y211">
        <f>IFERROR(INDEX($A$4:$A$253,MATCH(208,$X$4:$X$253,0)),"")</f>
        <v/>
      </c>
    </row>
    <row r="212">
      <c r="A212" s="96" t="inlineStr">
        <is>
          <t>KODEX 200</t>
        </is>
      </c>
      <c r="B212" s="96" t="inlineStr">
        <is>
          <t>069500</t>
        </is>
      </c>
      <c r="C212" s="96" t="inlineStr">
        <is>
          <t>삼성자산운용(ETF)</t>
        </is>
      </c>
      <c r="D212" s="97" t="n">
        <v>108890</v>
      </c>
      <c r="E212" s="97" t="n">
        <v>25224368500000</v>
      </c>
      <c r="F212" s="97" t="n">
        <v>2453332826197</v>
      </c>
      <c r="G212" s="98" t="n">
        <v>0.0015</v>
      </c>
      <c r="H212" s="98" t="n">
        <v>0.5845</v>
      </c>
      <c r="I212" s="98" t="n">
        <v>0.002</v>
      </c>
      <c r="J212" s="98" t="n">
        <v>0.007796999999999999</v>
      </c>
      <c r="K212" s="97" t="n">
        <v>20</v>
      </c>
      <c r="L212" s="99" t="inlineStr">
        <is>
          <t>20260730</t>
        </is>
      </c>
      <c r="M212" s="96" t="inlineStr">
        <is>
          <t>제외</t>
        </is>
      </c>
      <c r="N212" s="96" t="inlineStr">
        <is>
          <t>변동성 58.4%(1년 기준, 기준 35% 초과)</t>
        </is>
      </c>
      <c r="O212" s="96" t="inlineStr">
        <is>
          <t>KOSPI 200</t>
        </is>
      </c>
      <c r="P212" s="96" t="inlineStr">
        <is>
          <t>일반</t>
        </is>
      </c>
      <c r="Q212" s="96" t="inlineStr">
        <is>
          <t>주식</t>
        </is>
      </c>
      <c r="R212" s="96" t="inlineStr">
        <is>
          <t>분기배당</t>
        </is>
      </c>
      <c r="S212" s="97" t="n">
        <v>4</v>
      </c>
      <c r="T212" s="98" t="n">
        <v>0.9611</v>
      </c>
      <c r="U212">
        <f>IF(AND($J212&lt;&gt;"",OR(조회_주기="전체",$R212=조회_주기),$J212&gt;=조회_최소,$J212&lt;=조회_최대),1,0)</f>
        <v/>
      </c>
      <c r="V212">
        <f>IF($U212=1,$V211+1,$V211)</f>
        <v/>
      </c>
      <c r="W212">
        <f>IF(검색어="",1,IF(ISNUMBER(SEARCH(검색어,$A212)),1,0))</f>
        <v/>
      </c>
      <c r="X212">
        <f>IF($W212=1,$X211+1,$X211)</f>
        <v/>
      </c>
      <c r="Y212">
        <f>IFERROR(INDEX($A$4:$A$253,MATCH(209,$X$4:$X$253,0)),"")</f>
        <v/>
      </c>
    </row>
    <row r="213">
      <c r="A213" s="96" t="inlineStr">
        <is>
          <t>TIGER 코스피</t>
        </is>
      </c>
      <c r="B213" s="96" t="inlineStr">
        <is>
          <t>277630</t>
        </is>
      </c>
      <c r="C213" s="96" t="inlineStr">
        <is>
          <t>미래에셋자산운용</t>
        </is>
      </c>
      <c r="D213" s="97" t="n">
        <v>71435</v>
      </c>
      <c r="E213" s="97" t="n">
        <v>589338750000</v>
      </c>
      <c r="F213" s="97" t="n">
        <v>9781792745</v>
      </c>
      <c r="G213" s="98" t="n">
        <v>0.0015</v>
      </c>
      <c r="H213" s="98" t="n">
        <v>0.5379</v>
      </c>
      <c r="I213" s="98" t="n">
        <v>0.001</v>
      </c>
      <c r="J213" s="98" t="n">
        <v>0.007489</v>
      </c>
      <c r="K213" s="97" t="n">
        <v>15</v>
      </c>
      <c r="L213" s="99" t="inlineStr">
        <is>
          <t>20260730</t>
        </is>
      </c>
      <c r="M213" s="96" t="inlineStr">
        <is>
          <t>제외</t>
        </is>
      </c>
      <c r="N213" s="96" t="inlineStr">
        <is>
          <t>변동성 53.8%(1년 기준, 기준 35% 초과)</t>
        </is>
      </c>
      <c r="O213" s="96" t="inlineStr">
        <is>
          <t>코스피</t>
        </is>
      </c>
      <c r="P213" s="96" t="inlineStr">
        <is>
          <t>일반</t>
        </is>
      </c>
      <c r="Q213" s="96" t="inlineStr">
        <is>
          <t>주식</t>
        </is>
      </c>
      <c r="R213" s="96" t="inlineStr">
        <is>
          <t>분기배당</t>
        </is>
      </c>
      <c r="S213" s="97" t="n">
        <v>4</v>
      </c>
      <c r="T213" s="98" t="n">
        <v>1</v>
      </c>
      <c r="U213">
        <f>IF(AND($J213&lt;&gt;"",OR(조회_주기="전체",$R213=조회_주기),$J213&gt;=조회_최소,$J213&lt;=조회_최대),1,0)</f>
        <v/>
      </c>
      <c r="V213">
        <f>IF($U213=1,$V212+1,$V212)</f>
        <v/>
      </c>
      <c r="W213">
        <f>IF(검색어="",1,IF(ISNUMBER(SEARCH(검색어,$A213)),1,0))</f>
        <v/>
      </c>
      <c r="X213">
        <f>IF($W213=1,$X212+1,$X212)</f>
        <v/>
      </c>
      <c r="Y213">
        <f>IFERROR(INDEX($A$4:$A$253,MATCH(210,$X$4:$X$253,0)),"")</f>
        <v/>
      </c>
    </row>
    <row r="214">
      <c r="A214" s="96" t="inlineStr">
        <is>
          <t>HANARO 미국S&amp;P500</t>
        </is>
      </c>
      <c r="B214" s="96" t="inlineStr">
        <is>
          <t>432840</t>
        </is>
      </c>
      <c r="C214" s="96" t="inlineStr">
        <is>
          <t>NH-Amundi자산운용</t>
        </is>
      </c>
      <c r="D214" s="97" t="n">
        <v>19690</v>
      </c>
      <c r="E214" s="97" t="n">
        <v>15752000000</v>
      </c>
      <c r="F214" s="97" t="n">
        <v>61363053</v>
      </c>
      <c r="G214" s="98" t="n">
        <v>0.00045</v>
      </c>
      <c r="H214" s="98" t="n">
        <v>0.1454</v>
      </c>
      <c r="I214" s="98" t="n">
        <v>0.0005</v>
      </c>
      <c r="J214" s="98" t="n">
        <v>0.007058999999999999</v>
      </c>
      <c r="K214" s="97" t="n">
        <v>40</v>
      </c>
      <c r="L214" s="99" t="inlineStr">
        <is>
          <t>20260828</t>
        </is>
      </c>
      <c r="M214" s="96" t="inlineStr">
        <is>
          <t>제외</t>
        </is>
      </c>
      <c r="N214" s="96" t="inlineStr">
        <is>
          <t>순자산 158억(기준 300억 미만), 60일 거래대금 0.6억(기준 5억 미만)</t>
        </is>
      </c>
      <c r="O214" s="96" t="inlineStr">
        <is>
          <t>S&amp;P 500</t>
        </is>
      </c>
      <c r="P214" s="96" t="inlineStr">
        <is>
          <t>일반</t>
        </is>
      </c>
      <c r="Q214" s="96" t="inlineStr">
        <is>
          <t>주식</t>
        </is>
      </c>
      <c r="R214" s="96" t="inlineStr">
        <is>
          <t>월배당</t>
        </is>
      </c>
      <c r="S214" s="97" t="n">
        <v>11</v>
      </c>
      <c r="T214" s="98" t="n">
        <v>1</v>
      </c>
      <c r="U214">
        <f>IF(AND($J214&lt;&gt;"",OR(조회_주기="전체",$R214=조회_주기),$J214&gt;=조회_최소,$J214&lt;=조회_최대),1,0)</f>
        <v/>
      </c>
      <c r="V214">
        <f>IF($U214=1,$V213+1,$V213)</f>
        <v/>
      </c>
      <c r="W214">
        <f>IF(검색어="",1,IF(ISNUMBER(SEARCH(검색어,$A214)),1,0))</f>
        <v/>
      </c>
      <c r="X214">
        <f>IF($W214=1,$X213+1,$X213)</f>
        <v/>
      </c>
      <c r="Y214">
        <f>IFERROR(INDEX($A$4:$A$253,MATCH(211,$X$4:$X$253,0)),"")</f>
        <v/>
      </c>
    </row>
    <row r="215">
      <c r="A215" s="96" t="inlineStr">
        <is>
          <t>WON 200</t>
        </is>
      </c>
      <c r="B215" s="96" t="inlineStr">
        <is>
          <t>448100</t>
        </is>
      </c>
      <c r="C215" s="96" t="inlineStr">
        <is>
          <t>우리자산운용</t>
        </is>
      </c>
      <c r="D215" s="97" t="n">
        <v>111865</v>
      </c>
      <c r="E215" s="97" t="n">
        <v>123051500000</v>
      </c>
      <c r="F215" s="97" t="n">
        <v>3457483573</v>
      </c>
      <c r="G215" s="98" t="n">
        <v>0.0005</v>
      </c>
      <c r="H215" s="98" t="n">
        <v>0.586</v>
      </c>
      <c r="I215" s="98" t="n">
        <v>0.0005999999999999999</v>
      </c>
      <c r="J215" s="98" t="n">
        <v>0.006526</v>
      </c>
      <c r="K215" s="97" t="n">
        <v>40</v>
      </c>
      <c r="L215" s="99" t="inlineStr">
        <is>
          <t>20260828</t>
        </is>
      </c>
      <c r="M215" s="96" t="inlineStr">
        <is>
          <t>제외</t>
        </is>
      </c>
      <c r="N215" s="96" t="inlineStr">
        <is>
          <t>변동성 58.6%(1년 기준, 기준 35% 초과)</t>
        </is>
      </c>
      <c r="O215" s="96" t="inlineStr">
        <is>
          <t>KOSPI 200</t>
        </is>
      </c>
      <c r="P215" s="96" t="inlineStr">
        <is>
          <t>일반</t>
        </is>
      </c>
      <c r="Q215" s="96" t="inlineStr">
        <is>
          <t>주식</t>
        </is>
      </c>
      <c r="R215" s="96" t="inlineStr">
        <is>
          <t>월배당</t>
        </is>
      </c>
      <c r="S215" s="97" t="n">
        <v>11</v>
      </c>
      <c r="T215" s="98" t="n">
        <v>1</v>
      </c>
      <c r="U215">
        <f>IF(AND($J215&lt;&gt;"",OR(조회_주기="전체",$R215=조회_주기),$J215&gt;=조회_최소,$J215&lt;=조회_최대),1,0)</f>
        <v/>
      </c>
      <c r="V215">
        <f>IF($U215=1,$V214+1,$V214)</f>
        <v/>
      </c>
      <c r="W215">
        <f>IF(검색어="",1,IF(ISNUMBER(SEARCH(검색어,$A215)),1,0))</f>
        <v/>
      </c>
      <c r="X215">
        <f>IF($W215=1,$X214+1,$X214)</f>
        <v/>
      </c>
      <c r="Y215">
        <f>IFERROR(INDEX($A$4:$A$253,MATCH(212,$X$4:$X$253,0)),"")</f>
        <v/>
      </c>
    </row>
    <row r="216">
      <c r="A216" s="96" t="inlineStr">
        <is>
          <t>ACE 글로벌반도체TOP4 Plus</t>
        </is>
      </c>
      <c r="B216" s="96" t="inlineStr">
        <is>
          <t>446770</t>
        </is>
      </c>
      <c r="C216" s="96" t="inlineStr">
        <is>
          <t>한국투신운용(ETF)</t>
        </is>
      </c>
      <c r="D216" s="97" t="n">
        <v>77390</v>
      </c>
      <c r="E216" s="97" t="n">
        <v>1563278000000</v>
      </c>
      <c r="F216" s="97" t="n">
        <v>18997062226</v>
      </c>
      <c r="G216" s="98" t="n">
        <v>0.004500000000000001</v>
      </c>
      <c r="H216" s="98" t="n">
        <v>0.4124</v>
      </c>
      <c r="I216" s="98" t="n">
        <v>0.0018</v>
      </c>
      <c r="J216" s="98" t="n">
        <v>0.005504999999999999</v>
      </c>
      <c r="K216" s="97" t="n">
        <v>14</v>
      </c>
      <c r="L216" s="99" t="inlineStr">
        <is>
          <t>20260730</t>
        </is>
      </c>
      <c r="M216" s="96" t="inlineStr">
        <is>
          <t>제외</t>
        </is>
      </c>
      <c r="N216" s="96" t="inlineStr">
        <is>
          <t>변동성 41.2%(1년 기준, 기준 35% 초과)</t>
        </is>
      </c>
      <c r="O216" s="96" t="inlineStr">
        <is>
          <t>Solactive Global Semiconductor Top 4 Plus Index (PR) USD</t>
        </is>
      </c>
      <c r="P216" s="96" t="inlineStr">
        <is>
          <t>일반</t>
        </is>
      </c>
      <c r="Q216" s="96" t="inlineStr">
        <is>
          <t>주식</t>
        </is>
      </c>
      <c r="R216" s="96" t="inlineStr">
        <is>
          <t>분기배당</t>
        </is>
      </c>
      <c r="S216" s="97" t="n">
        <v>4</v>
      </c>
      <c r="T216" s="98" t="n">
        <v>1</v>
      </c>
      <c r="U216">
        <f>IF(AND($J216&lt;&gt;"",OR(조회_주기="전체",$R216=조회_주기),$J216&gt;=조회_최소,$J216&lt;=조회_최대),1,0)</f>
        <v/>
      </c>
      <c r="V216">
        <f>IF($U216=1,$V215+1,$V215)</f>
        <v/>
      </c>
      <c r="W216">
        <f>IF(검색어="",1,IF(ISNUMBER(SEARCH(검색어,$A216)),1,0))</f>
        <v/>
      </c>
      <c r="X216">
        <f>IF($W216=1,$X215+1,$X215)</f>
        <v/>
      </c>
      <c r="Y216">
        <f>IFERROR(INDEX($A$4:$A$253,MATCH(213,$X$4:$X$253,0)),"")</f>
        <v/>
      </c>
    </row>
    <row r="217">
      <c r="A217" s="96" t="inlineStr">
        <is>
          <t>RISE KOFR금리액티브(합성)</t>
        </is>
      </c>
      <c r="B217" s="96" t="inlineStr">
        <is>
          <t>479520</t>
        </is>
      </c>
      <c r="C217" s="96" t="inlineStr">
        <is>
          <t>KB자산운용</t>
        </is>
      </c>
      <c r="D217" s="97" t="n">
        <v>106530</v>
      </c>
      <c r="E217" s="97" t="n">
        <v>1034086710000</v>
      </c>
      <c r="F217" s="97" t="n">
        <v>380975009</v>
      </c>
      <c r="G217" s="98" t="n">
        <v>0.0002</v>
      </c>
      <c r="H217" s="98" t="n">
        <v>0.005699999999999999</v>
      </c>
      <c r="I217" s="98" t="n">
        <v>0.005600000000000001</v>
      </c>
      <c r="J217" s="98" t="n">
        <v>0.005501000000000001</v>
      </c>
      <c r="K217" s="97" t="n">
        <v>1</v>
      </c>
      <c r="L217" s="99" t="inlineStr">
        <is>
          <t>20251212</t>
        </is>
      </c>
      <c r="M217" s="96" t="inlineStr">
        <is>
          <t>제외</t>
        </is>
      </c>
      <c r="N217" s="96" t="inlineStr">
        <is>
          <t>60일 거래대금 3.8억(기준 5억 미만)</t>
        </is>
      </c>
      <c r="O217" s="96" t="inlineStr">
        <is>
          <t>KOFR 인덱스</t>
        </is>
      </c>
      <c r="P217" s="96" t="inlineStr">
        <is>
          <t>일반</t>
        </is>
      </c>
      <c r="Q217" s="96" t="inlineStr">
        <is>
          <t>단기자금(파킹형)</t>
        </is>
      </c>
      <c r="R217" s="96" t="inlineStr">
        <is>
          <t>연배당</t>
        </is>
      </c>
      <c r="S217" s="97" t="n">
        <v>1</v>
      </c>
      <c r="T217" s="98" t="n">
        <v>1</v>
      </c>
      <c r="U217">
        <f>IF(AND($J217&lt;&gt;"",OR(조회_주기="전체",$R217=조회_주기),$J217&gt;=조회_최소,$J217&lt;=조회_최대),1,0)</f>
        <v/>
      </c>
      <c r="V217">
        <f>IF($U217=1,$V216+1,$V216)</f>
        <v/>
      </c>
      <c r="W217">
        <f>IF(검색어="",1,IF(ISNUMBER(SEARCH(검색어,$A217)),1,0))</f>
        <v/>
      </c>
      <c r="X217">
        <f>IF($W217=1,$X216+1,$X216)</f>
        <v/>
      </c>
      <c r="Y217">
        <f>IFERROR(INDEX($A$4:$A$253,MATCH(214,$X$4:$X$253,0)),"")</f>
        <v/>
      </c>
    </row>
    <row r="218">
      <c r="A218" s="96" t="inlineStr">
        <is>
          <t>KODEX 삼성그룹</t>
        </is>
      </c>
      <c r="B218" s="96" t="inlineStr">
        <is>
          <t>102780</t>
        </is>
      </c>
      <c r="C218" s="96" t="inlineStr">
        <is>
          <t>삼성자산운용(ETF)</t>
        </is>
      </c>
      <c r="D218" s="97" t="n">
        <v>25805</v>
      </c>
      <c r="E218" s="97" t="n">
        <v>3303040000000</v>
      </c>
      <c r="F218" s="97" t="n">
        <v>24700440359</v>
      </c>
      <c r="G218" s="98" t="n">
        <v>0.0025</v>
      </c>
      <c r="H218" s="98" t="n">
        <v>0.537</v>
      </c>
      <c r="I218" s="98" t="n">
        <v>0.006</v>
      </c>
      <c r="J218" s="98" t="n">
        <v>0.005348</v>
      </c>
      <c r="K218" s="97" t="n">
        <v>5</v>
      </c>
      <c r="L218" s="99" t="inlineStr">
        <is>
          <t>20260429</t>
        </is>
      </c>
      <c r="M218" s="96" t="inlineStr">
        <is>
          <t>제외</t>
        </is>
      </c>
      <c r="N218" s="96" t="inlineStr">
        <is>
          <t>변동성 53.7%(1년 기준, 기준 35% 초과)</t>
        </is>
      </c>
      <c r="O218" s="96" t="inlineStr">
        <is>
          <t>FnGuide 삼성그룹</t>
        </is>
      </c>
      <c r="P218" s="96" t="inlineStr">
        <is>
          <t>일반</t>
        </is>
      </c>
      <c r="Q218" s="96" t="inlineStr">
        <is>
          <t>주식</t>
        </is>
      </c>
      <c r="R218" s="96" t="inlineStr">
        <is>
          <t>연배당</t>
        </is>
      </c>
      <c r="S218" s="97" t="n">
        <v>1</v>
      </c>
      <c r="T218" s="98" t="n">
        <v>1</v>
      </c>
      <c r="U218">
        <f>IF(AND($J218&lt;&gt;"",OR(조회_주기="전체",$R218=조회_주기),$J218&gt;=조회_최소,$J218&lt;=조회_최대),1,0)</f>
        <v/>
      </c>
      <c r="V218">
        <f>IF($U218=1,$V217+1,$V217)</f>
        <v/>
      </c>
      <c r="W218">
        <f>IF(검색어="",1,IF(ISNUMBER(SEARCH(검색어,$A218)),1,0))</f>
        <v/>
      </c>
      <c r="X218">
        <f>IF($W218=1,$X217+1,$X217)</f>
        <v/>
      </c>
      <c r="Y218">
        <f>IFERROR(INDEX($A$4:$A$253,MATCH(215,$X$4:$X$253,0)),"")</f>
        <v/>
      </c>
    </row>
    <row r="219">
      <c r="A219" s="96" t="inlineStr">
        <is>
          <t>TIGER 미국필라델피아반도체레버리지(합성)</t>
        </is>
      </c>
      <c r="B219" s="96" t="inlineStr">
        <is>
          <t>423920</t>
        </is>
      </c>
      <c r="C219" s="96" t="inlineStr">
        <is>
          <t>미래에셋자산운용</t>
        </is>
      </c>
      <c r="D219" s="97" t="n">
        <v>78300</v>
      </c>
      <c r="E219" s="97" t="n">
        <v>530874000000</v>
      </c>
      <c r="F219" s="97" t="n">
        <v>12804968056</v>
      </c>
      <c r="G219" s="98" t="n">
        <v>0.0058</v>
      </c>
      <c r="H219" s="98" t="n">
        <v>0.9279000000000001</v>
      </c>
      <c r="I219" s="98" t="n">
        <v>0.0019</v>
      </c>
      <c r="J219" s="98" t="n">
        <v>0.004547</v>
      </c>
      <c r="K219" s="97" t="n">
        <v>9</v>
      </c>
      <c r="L219" s="99" t="inlineStr">
        <is>
          <t>20260730</t>
        </is>
      </c>
      <c r="M219" s="96" t="inlineStr">
        <is>
          <t>제외</t>
        </is>
      </c>
      <c r="N219" s="96" t="inlineStr">
        <is>
          <t>변동성 92.8%(1년 기준, 기준 35% 초과)</t>
        </is>
      </c>
      <c r="O219" s="96" t="inlineStr">
        <is>
          <t>PHLX Semiconductor Sector Index</t>
        </is>
      </c>
      <c r="P219" s="96" t="inlineStr">
        <is>
          <t>일반</t>
        </is>
      </c>
      <c r="Q219" s="96" t="inlineStr">
        <is>
          <t>주식</t>
        </is>
      </c>
      <c r="R219" s="96" t="inlineStr">
        <is>
          <t>분기배당</t>
        </is>
      </c>
      <c r="S219" s="97" t="n">
        <v>4</v>
      </c>
      <c r="T219" s="98" t="n">
        <v>1</v>
      </c>
      <c r="U219">
        <f>IF(AND($J219&lt;&gt;"",OR(조회_주기="전체",$R219=조회_주기),$J219&gt;=조회_최소,$J219&lt;=조회_최대),1,0)</f>
        <v/>
      </c>
      <c r="V219">
        <f>IF($U219=1,$V218+1,$V218)</f>
        <v/>
      </c>
      <c r="W219">
        <f>IF(검색어="",1,IF(ISNUMBER(SEARCH(검색어,$A219)),1,0))</f>
        <v/>
      </c>
      <c r="X219">
        <f>IF($W219=1,$X218+1,$X218)</f>
        <v/>
      </c>
      <c r="Y219">
        <f>IFERROR(INDEX($A$4:$A$253,MATCH(216,$X$4:$X$253,0)),"")</f>
        <v/>
      </c>
    </row>
    <row r="220">
      <c r="A220" s="96" t="inlineStr">
        <is>
          <t>HANARO 원자력iSelect</t>
        </is>
      </c>
      <c r="B220" s="96" t="inlineStr">
        <is>
          <t>434730</t>
        </is>
      </c>
      <c r="C220" s="96" t="inlineStr">
        <is>
          <t>NH-Amundi자산운용</t>
        </is>
      </c>
      <c r="D220" s="97" t="n">
        <v>60385</v>
      </c>
      <c r="E220" s="97" t="n">
        <v>709523750000</v>
      </c>
      <c r="F220" s="97" t="n">
        <v>16205316976</v>
      </c>
      <c r="G220" s="98" t="n">
        <v>0.004500000000000001</v>
      </c>
      <c r="H220" s="98" t="n">
        <v>0.6045</v>
      </c>
      <c r="I220" s="98" t="n">
        <v>0.003</v>
      </c>
      <c r="J220" s="98" t="n">
        <v>0.004389000000000001</v>
      </c>
      <c r="K220" s="97" t="n">
        <v>4</v>
      </c>
      <c r="L220" s="99" t="inlineStr">
        <is>
          <t>20260429</t>
        </is>
      </c>
      <c r="M220" s="96" t="inlineStr">
        <is>
          <t>제외</t>
        </is>
      </c>
      <c r="N220" s="96" t="inlineStr">
        <is>
          <t>변동성 60.4%(1년 기준, 기준 35% 초과)</t>
        </is>
      </c>
      <c r="O220" s="96" t="inlineStr">
        <is>
          <t>iSelect 원자력 지수</t>
        </is>
      </c>
      <c r="P220" s="96" t="inlineStr">
        <is>
          <t>일반</t>
        </is>
      </c>
      <c r="Q220" s="96" t="inlineStr">
        <is>
          <t>주식</t>
        </is>
      </c>
      <c r="R220" s="96" t="inlineStr">
        <is>
          <t>연배당</t>
        </is>
      </c>
      <c r="S220" s="97" t="n">
        <v>1</v>
      </c>
      <c r="T220" s="98" t="n">
        <v>1</v>
      </c>
      <c r="U220">
        <f>IF(AND($J220&lt;&gt;"",OR(조회_주기="전체",$R220=조회_주기),$J220&gt;=조회_최소,$J220&lt;=조회_최대),1,0)</f>
        <v/>
      </c>
      <c r="V220">
        <f>IF($U220=1,$V219+1,$V219)</f>
        <v/>
      </c>
      <c r="W220">
        <f>IF(검색어="",1,IF(ISNUMBER(SEARCH(검색어,$A220)),1,0))</f>
        <v/>
      </c>
      <c r="X220">
        <f>IF($W220=1,$X219+1,$X219)</f>
        <v/>
      </c>
      <c r="Y220">
        <f>IFERROR(INDEX($A$4:$A$253,MATCH(217,$X$4:$X$253,0)),"")</f>
        <v/>
      </c>
    </row>
    <row r="221">
      <c r="A221" s="96" t="inlineStr">
        <is>
          <t>KODEX 미국반도체</t>
        </is>
      </c>
      <c r="B221" s="96" t="inlineStr">
        <is>
          <t>390390</t>
        </is>
      </c>
      <c r="C221" s="96" t="inlineStr">
        <is>
          <t>삼성자산운용(ETF)</t>
        </is>
      </c>
      <c r="D221" s="97" t="n">
        <v>52480</v>
      </c>
      <c r="E221" s="97" t="n">
        <v>1259520000000</v>
      </c>
      <c r="F221" s="97" t="n">
        <v>42944589579</v>
      </c>
      <c r="G221" s="98" t="n">
        <v>0.0009</v>
      </c>
      <c r="H221" s="98" t="n">
        <v>0.4042</v>
      </c>
      <c r="I221" s="98" t="n">
        <v>0.0011</v>
      </c>
      <c r="J221" s="98" t="n">
        <v>0.004306</v>
      </c>
      <c r="K221" s="97" t="n">
        <v>14</v>
      </c>
      <c r="L221" s="99" t="inlineStr">
        <is>
          <t>20260730</t>
        </is>
      </c>
      <c r="M221" s="96" t="inlineStr">
        <is>
          <t>제외</t>
        </is>
      </c>
      <c r="N221" s="96" t="inlineStr">
        <is>
          <t>변동성 40.4%(1년 기준, 기준 35% 초과)</t>
        </is>
      </c>
      <c r="O221" s="96" t="inlineStr">
        <is>
          <t>MVIS US Listed Semiconductor 25 Index</t>
        </is>
      </c>
      <c r="P221" s="96" t="inlineStr">
        <is>
          <t>일반</t>
        </is>
      </c>
      <c r="Q221" s="96" t="inlineStr">
        <is>
          <t>주식</t>
        </is>
      </c>
      <c r="R221" s="96" t="inlineStr">
        <is>
          <t>분기배당</t>
        </is>
      </c>
      <c r="S221" s="97" t="n">
        <v>4</v>
      </c>
      <c r="T221" s="98" t="n">
        <v>1</v>
      </c>
      <c r="U221">
        <f>IF(AND($J221&lt;&gt;"",OR(조회_주기="전체",$R221=조회_주기),$J221&gt;=조회_최소,$J221&lt;=조회_최대),1,0)</f>
        <v/>
      </c>
      <c r="V221">
        <f>IF($U221=1,$V220+1,$V220)</f>
        <v/>
      </c>
      <c r="W221">
        <f>IF(검색어="",1,IF(ISNUMBER(SEARCH(검색어,$A221)),1,0))</f>
        <v/>
      </c>
      <c r="X221">
        <f>IF($W221=1,$X220+1,$X220)</f>
        <v/>
      </c>
      <c r="Y221">
        <f>IFERROR(INDEX($A$4:$A$253,MATCH(218,$X$4:$X$253,0)),"")</f>
        <v/>
      </c>
    </row>
    <row r="222">
      <c r="A222" s="96" t="inlineStr">
        <is>
          <t>TIGER 미국필라델피아반도체나스닥</t>
        </is>
      </c>
      <c r="B222" s="96" t="inlineStr">
        <is>
          <t>381180</t>
        </is>
      </c>
      <c r="C222" s="96" t="inlineStr">
        <is>
          <t>미래에셋자산운용</t>
        </is>
      </c>
      <c r="D222" s="97" t="n">
        <v>41565</v>
      </c>
      <c r="E222" s="97" t="n">
        <v>5646605250000</v>
      </c>
      <c r="F222" s="97" t="n">
        <v>107901864532</v>
      </c>
      <c r="G222" s="98" t="n">
        <v>0.0049</v>
      </c>
      <c r="H222" s="98" t="n">
        <v>0.4533</v>
      </c>
      <c r="I222" s="98" t="n">
        <v>0.0012</v>
      </c>
      <c r="J222" s="98" t="n">
        <v>0.004066</v>
      </c>
      <c r="K222" s="97" t="n">
        <v>18</v>
      </c>
      <c r="L222" s="99" t="inlineStr">
        <is>
          <t>20260730</t>
        </is>
      </c>
      <c r="M222" s="96" t="inlineStr">
        <is>
          <t>제외</t>
        </is>
      </c>
      <c r="N222" s="96" t="inlineStr">
        <is>
          <t>변동성 45.3%(1년 기준, 기준 35% 초과)</t>
        </is>
      </c>
      <c r="O222" s="96" t="inlineStr">
        <is>
          <t>PHLX Semiconductor Sector Index</t>
        </is>
      </c>
      <c r="P222" s="96" t="inlineStr">
        <is>
          <t>일반</t>
        </is>
      </c>
      <c r="Q222" s="96" t="inlineStr">
        <is>
          <t>주식</t>
        </is>
      </c>
      <c r="R222" s="96" t="inlineStr">
        <is>
          <t>분기배당</t>
        </is>
      </c>
      <c r="S222" s="97" t="n">
        <v>4</v>
      </c>
      <c r="T222" s="98" t="n">
        <v>1</v>
      </c>
      <c r="U222">
        <f>IF(AND($J222&lt;&gt;"",OR(조회_주기="전체",$R222=조회_주기),$J222&gt;=조회_최소,$J222&lt;=조회_최대),1,0)</f>
        <v/>
      </c>
      <c r="V222">
        <f>IF($U222=1,$V221+1,$V221)</f>
        <v/>
      </c>
      <c r="W222">
        <f>IF(검색어="",1,IF(ISNUMBER(SEARCH(검색어,$A222)),1,0))</f>
        <v/>
      </c>
      <c r="X222">
        <f>IF($W222=1,$X221+1,$X221)</f>
        <v/>
      </c>
      <c r="Y222">
        <f>IFERROR(INDEX($A$4:$A$253,MATCH(219,$X$4:$X$253,0)),"")</f>
        <v/>
      </c>
    </row>
    <row r="223">
      <c r="A223" s="96" t="inlineStr">
        <is>
          <t>KODEX 은선물(H)</t>
        </is>
      </c>
      <c r="B223" s="96" t="inlineStr">
        <is>
          <t>144600</t>
        </is>
      </c>
      <c r="C223" s="96" t="inlineStr">
        <is>
          <t>삼성자산운용(ETF)</t>
        </is>
      </c>
      <c r="D223" s="97" t="n">
        <v>10645</v>
      </c>
      <c r="E223" s="97" t="n">
        <v>779214000000</v>
      </c>
      <c r="F223" s="97" t="n">
        <v>6811529844</v>
      </c>
      <c r="G223" s="98" t="n">
        <v>0.0068</v>
      </c>
      <c r="H223" s="98" t="n">
        <v>0.6709999999999999</v>
      </c>
      <c r="I223" s="98" t="n">
        <v>0.0031</v>
      </c>
      <c r="J223" s="98" t="n">
        <v>0.003758</v>
      </c>
      <c r="K223" s="97" t="n">
        <v>1</v>
      </c>
      <c r="L223" s="99" t="inlineStr">
        <is>
          <t>20251229</t>
        </is>
      </c>
      <c r="M223" s="96" t="inlineStr">
        <is>
          <t>제외</t>
        </is>
      </c>
      <c r="N223" s="96" t="inlineStr">
        <is>
          <t>변동성 67.1%(1년 기준, 기준 35% 초과)</t>
        </is>
      </c>
      <c r="O223" s="96" t="inlineStr">
        <is>
          <t>S&amp;P GSCI Silver</t>
        </is>
      </c>
      <c r="P223" s="96" t="inlineStr">
        <is>
          <t>일반</t>
        </is>
      </c>
      <c r="Q223" s="96" t="inlineStr">
        <is>
          <t>원자재</t>
        </is>
      </c>
      <c r="R223" s="96" t="inlineStr">
        <is>
          <t>연배당</t>
        </is>
      </c>
      <c r="S223" s="97" t="n">
        <v>1</v>
      </c>
      <c r="T223" s="98" t="n">
        <v>1</v>
      </c>
      <c r="U223">
        <f>IF(AND($J223&lt;&gt;"",OR(조회_주기="전체",$R223=조회_주기),$J223&gt;=조회_최소,$J223&lt;=조회_최대),1,0)</f>
        <v/>
      </c>
      <c r="V223">
        <f>IF($U223=1,$V222+1,$V222)</f>
        <v/>
      </c>
      <c r="W223">
        <f>IF(검색어="",1,IF(ISNUMBER(SEARCH(검색어,$A223)),1,0))</f>
        <v/>
      </c>
      <c r="X223">
        <f>IF($W223=1,$X222+1,$X222)</f>
        <v/>
      </c>
      <c r="Y223">
        <f>IFERROR(INDEX($A$4:$A$253,MATCH(220,$X$4:$X$253,0)),"")</f>
        <v/>
      </c>
    </row>
    <row r="224">
      <c r="A224" s="96" t="inlineStr">
        <is>
          <t>TIGER 반도체</t>
        </is>
      </c>
      <c r="B224" s="96" t="inlineStr">
        <is>
          <t>091230</t>
        </is>
      </c>
      <c r="C224" s="96" t="inlineStr">
        <is>
          <t>미래에셋자산운용</t>
        </is>
      </c>
      <c r="D224" s="97" t="n">
        <v>137755</v>
      </c>
      <c r="E224" s="97" t="n">
        <v>1361019400000</v>
      </c>
      <c r="F224" s="97" t="n">
        <v>58947284105</v>
      </c>
      <c r="G224" s="98" t="n">
        <v>0.0046</v>
      </c>
      <c r="H224" s="98" t="n">
        <v>0.7212000000000001</v>
      </c>
      <c r="I224" s="98" t="n">
        <v>0.0017</v>
      </c>
      <c r="J224" s="98" t="n">
        <v>0.003622</v>
      </c>
      <c r="K224" s="97" t="n">
        <v>11</v>
      </c>
      <c r="L224" s="99" t="inlineStr">
        <is>
          <t>20260730</t>
        </is>
      </c>
      <c r="M224" s="96" t="inlineStr">
        <is>
          <t>제외</t>
        </is>
      </c>
      <c r="N224" s="96" t="inlineStr">
        <is>
          <t>변동성 72.1%(1년 기준, 기준 35% 초과)</t>
        </is>
      </c>
      <c r="O224" s="96" t="inlineStr">
        <is>
          <t>KRX 반도체</t>
        </is>
      </c>
      <c r="P224" s="96" t="inlineStr">
        <is>
          <t>일반</t>
        </is>
      </c>
      <c r="Q224" s="96" t="inlineStr">
        <is>
          <t>주식</t>
        </is>
      </c>
      <c r="R224" s="96" t="inlineStr">
        <is>
          <t>분기배당</t>
        </is>
      </c>
      <c r="S224" s="97" t="n">
        <v>4</v>
      </c>
      <c r="T224" s="98" t="n">
        <v>0.3948</v>
      </c>
      <c r="U224">
        <f>IF(AND($J224&lt;&gt;"",OR(조회_주기="전체",$R224=조회_주기),$J224&gt;=조회_최소,$J224&lt;=조회_최대),1,0)</f>
        <v/>
      </c>
      <c r="V224">
        <f>IF($U224=1,$V223+1,$V223)</f>
        <v/>
      </c>
      <c r="W224">
        <f>IF(검색어="",1,IF(ISNUMBER(SEARCH(검색어,$A224)),1,0))</f>
        <v/>
      </c>
      <c r="X224">
        <f>IF($W224=1,$X223+1,$X223)</f>
        <v/>
      </c>
      <c r="Y224">
        <f>IFERROR(INDEX($A$4:$A$253,MATCH(221,$X$4:$X$253,0)),"")</f>
        <v/>
      </c>
    </row>
    <row r="225">
      <c r="A225" s="96" t="inlineStr">
        <is>
          <t>RISE ESG사회책임투자</t>
        </is>
      </c>
      <c r="B225" s="96" t="inlineStr">
        <is>
          <t>290130</t>
        </is>
      </c>
      <c r="C225" s="96" t="inlineStr">
        <is>
          <t>KB자산운용</t>
        </is>
      </c>
      <c r="D225" s="97" t="n">
        <v>47550</v>
      </c>
      <c r="E225" s="97" t="n">
        <v>675210000000</v>
      </c>
      <c r="F225" s="97" t="n">
        <v>20094856635</v>
      </c>
      <c r="G225" s="98" t="n">
        <v>0.003</v>
      </c>
      <c r="H225" s="98" t="n">
        <v>0.6229</v>
      </c>
      <c r="I225" s="98" t="n">
        <v>0.004099999999999999</v>
      </c>
      <c r="J225" s="98" t="n">
        <v>0.003575</v>
      </c>
      <c r="K225" s="97" t="n">
        <v>6</v>
      </c>
      <c r="L225" s="99" t="inlineStr">
        <is>
          <t>20260429</t>
        </is>
      </c>
      <c r="M225" s="96" t="inlineStr">
        <is>
          <t>제외</t>
        </is>
      </c>
      <c r="N225" s="96" t="inlineStr">
        <is>
          <t>변동성 62.3%(1년 기준, 기준 35% 초과)</t>
        </is>
      </c>
      <c r="O225" s="96" t="inlineStr">
        <is>
          <t>KRX 사회책임경영지수</t>
        </is>
      </c>
      <c r="P225" s="96" t="inlineStr">
        <is>
          <t>일반</t>
        </is>
      </c>
      <c r="Q225" s="96" t="inlineStr">
        <is>
          <t>주식</t>
        </is>
      </c>
      <c r="R225" s="96" t="inlineStr">
        <is>
          <t>연배당</t>
        </is>
      </c>
      <c r="S225" s="97" t="n">
        <v>1</v>
      </c>
      <c r="T225" s="98" t="n">
        <v>1</v>
      </c>
      <c r="U225">
        <f>IF(AND($J225&lt;&gt;"",OR(조회_주기="전체",$R225=조회_주기),$J225&gt;=조회_최소,$J225&lt;=조회_최대),1,0)</f>
        <v/>
      </c>
      <c r="V225">
        <f>IF($U225=1,$V224+1,$V224)</f>
        <v/>
      </c>
      <c r="W225">
        <f>IF(검색어="",1,IF(ISNUMBER(SEARCH(검색어,$A225)),1,0))</f>
        <v/>
      </c>
      <c r="X225">
        <f>IF($W225=1,$X224+1,$X224)</f>
        <v/>
      </c>
      <c r="Y225">
        <f>IFERROR(INDEX($A$4:$A$253,MATCH(222,$X$4:$X$253,0)),"")</f>
        <v/>
      </c>
    </row>
    <row r="226">
      <c r="A226" s="96" t="inlineStr">
        <is>
          <t>TIGER 미국필라델피아AI반도체나스닥</t>
        </is>
      </c>
      <c r="B226" s="96" t="inlineStr">
        <is>
          <t>497570</t>
        </is>
      </c>
      <c r="C226" s="96" t="inlineStr">
        <is>
          <t>미래에셋자산운용</t>
        </is>
      </c>
      <c r="D226" s="97" t="n">
        <v>21150</v>
      </c>
      <c r="E226" s="97" t="n">
        <v>1055385000000</v>
      </c>
      <c r="F226" s="97" t="n">
        <v>18347222536</v>
      </c>
      <c r="G226" s="98" t="n">
        <v>0.0049</v>
      </c>
      <c r="H226" s="98" t="n">
        <v>0.4052</v>
      </c>
      <c r="I226" s="98" t="n">
        <v>0.0011</v>
      </c>
      <c r="J226" s="98" t="n">
        <v>0.003546</v>
      </c>
      <c r="K226" s="97" t="n">
        <v>7</v>
      </c>
      <c r="L226" s="99" t="inlineStr">
        <is>
          <t>20260730</t>
        </is>
      </c>
      <c r="M226" s="96" t="inlineStr">
        <is>
          <t>제외</t>
        </is>
      </c>
      <c r="N226" s="96" t="inlineStr">
        <is>
          <t>변동성 40.5%(1년 기준, 기준 35% 초과)</t>
        </is>
      </c>
      <c r="O226" s="96" t="inlineStr">
        <is>
          <t>PHLX US AI Semiconductor Index (Price Return)</t>
        </is>
      </c>
      <c r="P226" s="96" t="inlineStr">
        <is>
          <t>일반</t>
        </is>
      </c>
      <c r="Q226" s="96" t="inlineStr">
        <is>
          <t>주식</t>
        </is>
      </c>
      <c r="R226" s="96" t="inlineStr">
        <is>
          <t>분기배당</t>
        </is>
      </c>
      <c r="S226" s="97" t="n">
        <v>4</v>
      </c>
      <c r="T226" s="98" t="n">
        <v>1</v>
      </c>
      <c r="U226">
        <f>IF(AND($J226&lt;&gt;"",OR(조회_주기="전체",$R226=조회_주기),$J226&gt;=조회_최소,$J226&lt;=조회_최대),1,0)</f>
        <v/>
      </c>
      <c r="V226">
        <f>IF($U226=1,$V225+1,$V225)</f>
        <v/>
      </c>
      <c r="W226">
        <f>IF(검색어="",1,IF(ISNUMBER(SEARCH(검색어,$A226)),1,0))</f>
        <v/>
      </c>
      <c r="X226">
        <f>IF($W226=1,$X225+1,$X225)</f>
        <v/>
      </c>
      <c r="Y226">
        <f>IFERROR(INDEX($A$4:$A$253,MATCH(223,$X$4:$X$253,0)),"")</f>
        <v/>
      </c>
    </row>
    <row r="227">
      <c r="A227" s="96" t="inlineStr">
        <is>
          <t>KODEX 미국AI전력핵심인프라</t>
        </is>
      </c>
      <c r="B227" s="96" t="inlineStr">
        <is>
          <t>487230</t>
        </is>
      </c>
      <c r="C227" s="96" t="inlineStr">
        <is>
          <t>삼성자산운용(ETF)</t>
        </is>
      </c>
      <c r="D227" s="97" t="n">
        <v>19575</v>
      </c>
      <c r="E227" s="97" t="n">
        <v>1470082500000</v>
      </c>
      <c r="F227" s="97" t="n">
        <v>16693296021</v>
      </c>
      <c r="G227" s="98" t="n">
        <v>0.004500000000000001</v>
      </c>
      <c r="H227" s="98" t="n">
        <v>0.5056</v>
      </c>
      <c r="I227" s="98" t="n">
        <v>0.0008</v>
      </c>
      <c r="J227" s="98" t="n">
        <v>0.003065</v>
      </c>
      <c r="K227" s="97" t="n">
        <v>7</v>
      </c>
      <c r="L227" s="99" t="inlineStr">
        <is>
          <t>20260730</t>
        </is>
      </c>
      <c r="M227" s="96" t="inlineStr">
        <is>
          <t>제외</t>
        </is>
      </c>
      <c r="N227" s="96" t="inlineStr">
        <is>
          <t>변동성 50.6%(1년 기준, 기준 35% 초과)</t>
        </is>
      </c>
      <c r="O227" s="96" t="inlineStr">
        <is>
          <t>iSelect U.S. AI Electric Core Infrastructure Index</t>
        </is>
      </c>
      <c r="P227" s="96" t="inlineStr">
        <is>
          <t>일반</t>
        </is>
      </c>
      <c r="Q227" s="96" t="inlineStr">
        <is>
          <t>주식</t>
        </is>
      </c>
      <c r="R227" s="96" t="inlineStr">
        <is>
          <t>분기배당</t>
        </is>
      </c>
      <c r="S227" s="97" t="n">
        <v>4</v>
      </c>
      <c r="T227" s="98" t="n">
        <v>1</v>
      </c>
      <c r="U227">
        <f>IF(AND($J227&lt;&gt;"",OR(조회_주기="전체",$R227=조회_주기),$J227&gt;=조회_최소,$J227&lt;=조회_최대),1,0)</f>
        <v/>
      </c>
      <c r="V227">
        <f>IF($U227=1,$V226+1,$V226)</f>
        <v/>
      </c>
      <c r="W227">
        <f>IF(검색어="",1,IF(ISNUMBER(SEARCH(검색어,$A227)),1,0))</f>
        <v/>
      </c>
      <c r="X227">
        <f>IF($W227=1,$X226+1,$X226)</f>
        <v/>
      </c>
      <c r="Y227">
        <f>IFERROR(INDEX($A$4:$A$253,MATCH(224,$X$4:$X$253,0)),"")</f>
        <v/>
      </c>
    </row>
    <row r="228">
      <c r="A228" s="96" t="inlineStr">
        <is>
          <t>TIGER 2차전지테마</t>
        </is>
      </c>
      <c r="B228" s="96" t="inlineStr">
        <is>
          <t>305540</t>
        </is>
      </c>
      <c r="C228" s="96" t="inlineStr">
        <is>
          <t>미래에셋자산운용</t>
        </is>
      </c>
      <c r="D228" s="97" t="n">
        <v>18690</v>
      </c>
      <c r="E228" s="97" t="n">
        <v>932631000000</v>
      </c>
      <c r="F228" s="97" t="n">
        <v>10437797002</v>
      </c>
      <c r="G228" s="98" t="n">
        <v>0.005</v>
      </c>
      <c r="H228" s="98" t="n">
        <v>0.5931999999999999</v>
      </c>
      <c r="I228" s="98" t="n">
        <v>0.0021</v>
      </c>
      <c r="J228" s="98" t="n">
        <v>0.002943</v>
      </c>
      <c r="K228" s="97" t="n">
        <v>5</v>
      </c>
      <c r="L228" s="99" t="inlineStr">
        <is>
          <t>20260429</t>
        </is>
      </c>
      <c r="M228" s="96" t="inlineStr">
        <is>
          <t>제외</t>
        </is>
      </c>
      <c r="N228" s="96" t="inlineStr">
        <is>
          <t>변동성 59.3%(1년 기준, 기준 35% 초과)</t>
        </is>
      </c>
      <c r="O228" s="96" t="inlineStr">
        <is>
          <t>WISE 2차전지 테마 지수</t>
        </is>
      </c>
      <c r="P228" s="96" t="inlineStr">
        <is>
          <t>일반</t>
        </is>
      </c>
      <c r="Q228" s="96" t="inlineStr">
        <is>
          <t>주식</t>
        </is>
      </c>
      <c r="R228" s="96" t="inlineStr">
        <is>
          <t>연배당</t>
        </is>
      </c>
      <c r="S228" s="97" t="n">
        <v>1</v>
      </c>
      <c r="T228" s="98" t="n">
        <v>0</v>
      </c>
      <c r="U228">
        <f>IF(AND($J228&lt;&gt;"",OR(조회_주기="전체",$R228=조회_주기),$J228&gt;=조회_최소,$J228&lt;=조회_최대),1,0)</f>
        <v/>
      </c>
      <c r="V228">
        <f>IF($U228=1,$V227+1,$V227)</f>
        <v/>
      </c>
      <c r="W228">
        <f>IF(검색어="",1,IF(ISNUMBER(SEARCH(검색어,$A228)),1,0))</f>
        <v/>
      </c>
      <c r="X228">
        <f>IF($W228=1,$X227+1,$X227)</f>
        <v/>
      </c>
      <c r="Y228">
        <f>IFERROR(INDEX($A$4:$A$253,MATCH(225,$X$4:$X$253,0)),"")</f>
        <v/>
      </c>
    </row>
    <row r="229">
      <c r="A229" s="96" t="inlineStr">
        <is>
          <t>TIGER 코스닥150</t>
        </is>
      </c>
      <c r="B229" s="96" t="inlineStr">
        <is>
          <t>232080</t>
        </is>
      </c>
      <c r="C229" s="96" t="inlineStr">
        <is>
          <t>미래에셋자산운용</t>
        </is>
      </c>
      <c r="D229" s="97" t="n">
        <v>14120</v>
      </c>
      <c r="E229" s="97" t="n">
        <v>1377829600000</v>
      </c>
      <c r="F229" s="97" t="n">
        <v>88931266327</v>
      </c>
      <c r="G229" s="98" t="n">
        <v>0.0019</v>
      </c>
      <c r="H229" s="98" t="n">
        <v>0.5477000000000001</v>
      </c>
      <c r="I229" s="98" t="n">
        <v>0.0019</v>
      </c>
      <c r="J229" s="98" t="n">
        <v>0.002833</v>
      </c>
      <c r="K229" s="97" t="n">
        <v>5</v>
      </c>
      <c r="L229" s="99" t="inlineStr">
        <is>
          <t>20260429</t>
        </is>
      </c>
      <c r="M229" s="96" t="inlineStr">
        <is>
          <t>제외</t>
        </is>
      </c>
      <c r="N229" s="96" t="inlineStr">
        <is>
          <t>변동성 54.8%(1년 기준, 기준 35% 초과)</t>
        </is>
      </c>
      <c r="O229" s="96" t="inlineStr">
        <is>
          <t>KOSDAQ 150</t>
        </is>
      </c>
      <c r="P229" s="96" t="inlineStr">
        <is>
          <t>일반</t>
        </is>
      </c>
      <c r="Q229" s="96" t="inlineStr">
        <is>
          <t>주식</t>
        </is>
      </c>
      <c r="R229" s="96" t="inlineStr">
        <is>
          <t>연배당</t>
        </is>
      </c>
      <c r="S229" s="97" t="n">
        <v>1</v>
      </c>
      <c r="T229" s="98" t="n">
        <v>1</v>
      </c>
      <c r="U229">
        <f>IF(AND($J229&lt;&gt;"",OR(조회_주기="전체",$R229=조회_주기),$J229&gt;=조회_최소,$J229&lt;=조회_최대),1,0)</f>
        <v/>
      </c>
      <c r="V229">
        <f>IF($U229=1,$V228+1,$V228)</f>
        <v/>
      </c>
      <c r="W229">
        <f>IF(검색어="",1,IF(ISNUMBER(SEARCH(검색어,$A229)),1,0))</f>
        <v/>
      </c>
      <c r="X229">
        <f>IF($W229=1,$X228+1,$X228)</f>
        <v/>
      </c>
      <c r="Y229">
        <f>IFERROR(INDEX($A$4:$A$253,MATCH(226,$X$4:$X$253,0)),"")</f>
        <v/>
      </c>
    </row>
    <row r="230">
      <c r="A230" s="96" t="inlineStr">
        <is>
          <t>SOL 코리아메가테크액티브</t>
        </is>
      </c>
      <c r="B230" s="96" t="inlineStr">
        <is>
          <t>444200</t>
        </is>
      </c>
      <c r="C230" s="96" t="inlineStr">
        <is>
          <t>신한자산운용</t>
        </is>
      </c>
      <c r="D230" s="97" t="n">
        <v>45175</v>
      </c>
      <c r="E230" s="97" t="n">
        <v>501442500000</v>
      </c>
      <c r="F230" s="97" t="n">
        <v>11274720303</v>
      </c>
      <c r="G230" s="98" t="n">
        <v>0.005500000000000001</v>
      </c>
      <c r="H230" s="98" t="n">
        <v>0.5386</v>
      </c>
      <c r="I230" s="98" t="n">
        <v>0.0025</v>
      </c>
      <c r="J230" s="98" t="n">
        <v>0.002833</v>
      </c>
      <c r="K230" s="97" t="n">
        <v>4</v>
      </c>
      <c r="L230" s="99" t="inlineStr">
        <is>
          <t>20260429</t>
        </is>
      </c>
      <c r="M230" s="96" t="inlineStr">
        <is>
          <t>제외</t>
        </is>
      </c>
      <c r="N230" s="96" t="inlineStr">
        <is>
          <t>변동성 53.9%(1년 기준, 기준 35% 초과)</t>
        </is>
      </c>
      <c r="O230" s="96" t="inlineStr">
        <is>
          <t>KEDI 메가테크 지수</t>
        </is>
      </c>
      <c r="P230" s="96" t="inlineStr">
        <is>
          <t>일반</t>
        </is>
      </c>
      <c r="Q230" s="96" t="inlineStr">
        <is>
          <t>주식</t>
        </is>
      </c>
      <c r="R230" s="96" t="inlineStr">
        <is>
          <t>연배당</t>
        </is>
      </c>
      <c r="S230" s="97" t="n">
        <v>1</v>
      </c>
      <c r="T230" s="98" t="n">
        <v>1</v>
      </c>
      <c r="U230">
        <f>IF(AND($J230&lt;&gt;"",OR(조회_주기="전체",$R230=조회_주기),$J230&gt;=조회_최소,$J230&lt;=조회_최대),1,0)</f>
        <v/>
      </c>
      <c r="V230">
        <f>IF($U230=1,$V229+1,$V229)</f>
        <v/>
      </c>
      <c r="W230">
        <f>IF(검색어="",1,IF(ISNUMBER(SEARCH(검색어,$A230)),1,0))</f>
        <v/>
      </c>
      <c r="X230">
        <f>IF($W230=1,$X229+1,$X229)</f>
        <v/>
      </c>
      <c r="Y230">
        <f>IFERROR(INDEX($A$4:$A$253,MATCH(227,$X$4:$X$253,0)),"")</f>
        <v/>
      </c>
    </row>
    <row r="231">
      <c r="A231" s="96" t="inlineStr">
        <is>
          <t>KODEX 로봇액티브</t>
        </is>
      </c>
      <c r="B231" s="96" t="inlineStr">
        <is>
          <t>445290</t>
        </is>
      </c>
      <c r="C231" s="96" t="inlineStr">
        <is>
          <t>삼성자산운용(ETF)</t>
        </is>
      </c>
      <c r="D231" s="97" t="n">
        <v>30550</v>
      </c>
      <c r="E231" s="97" t="n">
        <v>1060085000000</v>
      </c>
      <c r="F231" s="97" t="n">
        <v>19249909237</v>
      </c>
      <c r="G231" s="98" t="n">
        <v>0.005</v>
      </c>
      <c r="H231" s="98" t="n">
        <v>0.584</v>
      </c>
      <c r="I231" s="98" t="n">
        <v>0.0005</v>
      </c>
      <c r="J231" s="98" t="n">
        <v>0.002357</v>
      </c>
      <c r="K231" s="97" t="n">
        <v>5</v>
      </c>
      <c r="L231" s="99" t="inlineStr">
        <is>
          <t>20260730</t>
        </is>
      </c>
      <c r="M231" s="96" t="inlineStr">
        <is>
          <t>제외</t>
        </is>
      </c>
      <c r="N231" s="96" t="inlineStr">
        <is>
          <t>변동성 58.4%(1년 기준, 기준 35% 초과)</t>
        </is>
      </c>
      <c r="O231" s="96" t="inlineStr">
        <is>
          <t>iSelect K-Robotics Index</t>
        </is>
      </c>
      <c r="P231" s="96" t="inlineStr">
        <is>
          <t>일반</t>
        </is>
      </c>
      <c r="Q231" s="96" t="inlineStr">
        <is>
          <t>주식</t>
        </is>
      </c>
      <c r="R231" s="96" t="inlineStr">
        <is>
          <t>연배당</t>
        </is>
      </c>
      <c r="S231" s="97" t="n">
        <v>2</v>
      </c>
      <c r="T231" s="98" t="n">
        <v>1</v>
      </c>
      <c r="U231">
        <f>IF(AND($J231&lt;&gt;"",OR(조회_주기="전체",$R231=조회_주기),$J231&gt;=조회_최소,$J231&lt;=조회_최대),1,0)</f>
        <v/>
      </c>
      <c r="V231">
        <f>IF($U231=1,$V230+1,$V230)</f>
        <v/>
      </c>
      <c r="W231">
        <f>IF(검색어="",1,IF(ISNUMBER(SEARCH(검색어,$A231)),1,0))</f>
        <v/>
      </c>
      <c r="X231">
        <f>IF($W231=1,$X230+1,$X230)</f>
        <v/>
      </c>
      <c r="Y231">
        <f>IFERROR(INDEX($A$4:$A$253,MATCH(228,$X$4:$X$253,0)),"")</f>
        <v/>
      </c>
    </row>
    <row r="232">
      <c r="A232" s="96" t="inlineStr">
        <is>
          <t>TIGER 2차전지소재Fn</t>
        </is>
      </c>
      <c r="B232" s="96" t="inlineStr">
        <is>
          <t>462010</t>
        </is>
      </c>
      <c r="C232" s="96" t="inlineStr">
        <is>
          <t>미래에셋자산운용</t>
        </is>
      </c>
      <c r="D232" s="97" t="n">
        <v>4790</v>
      </c>
      <c r="E232" s="97" t="n">
        <v>523307500000</v>
      </c>
      <c r="F232" s="97" t="n">
        <v>16208481044</v>
      </c>
      <c r="G232" s="98" t="n">
        <v>0.0039</v>
      </c>
      <c r="H232" s="98" t="n">
        <v>0.6716</v>
      </c>
      <c r="I232" s="98" t="n">
        <v>0.0013</v>
      </c>
      <c r="J232" s="98" t="n">
        <v>0.002088</v>
      </c>
      <c r="K232" s="97" t="n">
        <v>3</v>
      </c>
      <c r="L232" s="99" t="inlineStr">
        <is>
          <t>20260429</t>
        </is>
      </c>
      <c r="M232" s="96" t="inlineStr">
        <is>
          <t>제외</t>
        </is>
      </c>
      <c r="N232" s="96" t="inlineStr">
        <is>
          <t>변동성 67.2%(1년 기준, 기준 35% 초과)</t>
        </is>
      </c>
      <c r="O232" s="96" t="inlineStr">
        <is>
          <t>FnGuide 2차전지소재 지수</t>
        </is>
      </c>
      <c r="P232" s="96" t="inlineStr">
        <is>
          <t>일반</t>
        </is>
      </c>
      <c r="Q232" s="96" t="inlineStr">
        <is>
          <t>주식</t>
        </is>
      </c>
      <c r="R232" s="96" t="inlineStr">
        <is>
          <t>연배당</t>
        </is>
      </c>
      <c r="S232" s="97" t="n">
        <v>1</v>
      </c>
      <c r="T232" s="98" t="n">
        <v>1</v>
      </c>
      <c r="U232">
        <f>IF(AND($J232&lt;&gt;"",OR(조회_주기="전체",$R232=조회_주기),$J232&gt;=조회_최소,$J232&lt;=조회_최대),1,0)</f>
        <v/>
      </c>
      <c r="V232">
        <f>IF($U232=1,$V231+1,$V231)</f>
        <v/>
      </c>
      <c r="W232">
        <f>IF(검색어="",1,IF(ISNUMBER(SEARCH(검색어,$A232)),1,0))</f>
        <v/>
      </c>
      <c r="X232">
        <f>IF($W232=1,$X231+1,$X231)</f>
        <v/>
      </c>
      <c r="Y232">
        <f>IFERROR(INDEX($A$4:$A$253,MATCH(229,$X$4:$X$253,0)),"")</f>
        <v/>
      </c>
    </row>
    <row r="233">
      <c r="A233" s="96" t="inlineStr">
        <is>
          <t>TIGER 반도체TOP10</t>
        </is>
      </c>
      <c r="B233" s="96" t="inlineStr">
        <is>
          <t>396500</t>
        </is>
      </c>
      <c r="C233" s="96" t="inlineStr">
        <is>
          <t>미래에셋자산운용</t>
        </is>
      </c>
      <c r="D233" s="97" t="n">
        <v>36575</v>
      </c>
      <c r="E233" s="97" t="n">
        <v>9714320000000</v>
      </c>
      <c r="F233" s="97" t="n">
        <v>469647550204</v>
      </c>
      <c r="G233" s="98" t="n">
        <v>0.004500000000000001</v>
      </c>
      <c r="H233" s="98" t="n">
        <v>0.7572</v>
      </c>
      <c r="I233" s="98" t="n">
        <v>0.0015</v>
      </c>
      <c r="J233" s="98" t="n">
        <v>0.002051</v>
      </c>
      <c r="K233" s="97" t="n">
        <v>9</v>
      </c>
      <c r="L233" s="99" t="inlineStr">
        <is>
          <t>20260429</t>
        </is>
      </c>
      <c r="M233" s="96" t="inlineStr">
        <is>
          <t>제외</t>
        </is>
      </c>
      <c r="N233" s="96" t="inlineStr">
        <is>
          <t>변동성 75.7%(1년 기준, 기준 35% 초과)</t>
        </is>
      </c>
      <c r="O233" s="96" t="inlineStr">
        <is>
          <t>FnGuide 반도체 TOP10 지수</t>
        </is>
      </c>
      <c r="P233" s="96" t="inlineStr">
        <is>
          <t>일반</t>
        </is>
      </c>
      <c r="Q233" s="96" t="inlineStr">
        <is>
          <t>주식</t>
        </is>
      </c>
      <c r="R233" s="96" t="inlineStr">
        <is>
          <t>반기배당</t>
        </is>
      </c>
      <c r="S233" s="97" t="n">
        <v>2</v>
      </c>
      <c r="T233" s="98" t="n">
        <v>1</v>
      </c>
      <c r="U233">
        <f>IF(AND($J233&lt;&gt;"",OR(조회_주기="전체",$R233=조회_주기),$J233&gt;=조회_최소,$J233&lt;=조회_최대),1,0)</f>
        <v/>
      </c>
      <c r="V233">
        <f>IF($U233=1,$V232+1,$V232)</f>
        <v/>
      </c>
      <c r="W233">
        <f>IF(검색어="",1,IF(ISNUMBER(SEARCH(검색어,$A233)),1,0))</f>
        <v/>
      </c>
      <c r="X233">
        <f>IF($W233=1,$X232+1,$X232)</f>
        <v/>
      </c>
      <c r="Y233">
        <f>IFERROR(INDEX($A$4:$A$253,MATCH(230,$X$4:$X$253,0)),"")</f>
        <v/>
      </c>
    </row>
    <row r="234">
      <c r="A234" s="96" t="inlineStr">
        <is>
          <t>KODEX 코스닥150</t>
        </is>
      </c>
      <c r="B234" s="96" t="inlineStr">
        <is>
          <t>229200</t>
        </is>
      </c>
      <c r="C234" s="96" t="inlineStr">
        <is>
          <t>삼성자산운용(ETF)</t>
        </is>
      </c>
      <c r="D234" s="97" t="n">
        <v>13885</v>
      </c>
      <c r="E234" s="97" t="n">
        <v>4643838250000</v>
      </c>
      <c r="F234" s="97" t="n">
        <v>497252614255</v>
      </c>
      <c r="G234" s="98" t="n">
        <v>0.0025</v>
      </c>
      <c r="H234" s="98" t="n">
        <v>0.5478999999999999</v>
      </c>
      <c r="I234" s="98" t="n">
        <v>0.0014</v>
      </c>
      <c r="J234" s="98" t="n">
        <v>0.002017</v>
      </c>
      <c r="K234" s="97" t="n">
        <v>5</v>
      </c>
      <c r="L234" s="99" t="inlineStr">
        <is>
          <t>20260429</t>
        </is>
      </c>
      <c r="M234" s="96" t="inlineStr">
        <is>
          <t>제외</t>
        </is>
      </c>
      <c r="N234" s="96" t="inlineStr">
        <is>
          <t>변동성 54.8%(1년 기준, 기준 35% 초과)</t>
        </is>
      </c>
      <c r="O234" s="96" t="inlineStr">
        <is>
          <t>KOSDAQ 150</t>
        </is>
      </c>
      <c r="P234" s="96" t="inlineStr">
        <is>
          <t>일반</t>
        </is>
      </c>
      <c r="Q234" s="96" t="inlineStr">
        <is>
          <t>주식</t>
        </is>
      </c>
      <c r="R234" s="96" t="inlineStr">
        <is>
          <t>연배당</t>
        </is>
      </c>
      <c r="S234" s="97" t="n">
        <v>1</v>
      </c>
      <c r="T234" s="98" t="n">
        <v>0.9643</v>
      </c>
      <c r="U234">
        <f>IF(AND($J234&lt;&gt;"",OR(조회_주기="전체",$R234=조회_주기),$J234&gt;=조회_최소,$J234&lt;=조회_최대),1,0)</f>
        <v/>
      </c>
      <c r="V234">
        <f>IF($U234=1,$V233+1,$V233)</f>
        <v/>
      </c>
      <c r="W234">
        <f>IF(검색어="",1,IF(ISNUMBER(SEARCH(검색어,$A234)),1,0))</f>
        <v/>
      </c>
      <c r="X234">
        <f>IF($W234=1,$X233+1,$X233)</f>
        <v/>
      </c>
      <c r="Y234">
        <f>IFERROR(INDEX($A$4:$A$253,MATCH(231,$X$4:$X$253,0)),"")</f>
        <v/>
      </c>
    </row>
    <row r="235">
      <c r="A235" s="96" t="inlineStr">
        <is>
          <t>ACE AI반도체TOP3+</t>
        </is>
      </c>
      <c r="B235" s="96" t="inlineStr">
        <is>
          <t>469150</t>
        </is>
      </c>
      <c r="C235" s="96" t="inlineStr">
        <is>
          <t>한국투신운용(ETF)</t>
        </is>
      </c>
      <c r="D235" s="97" t="n">
        <v>59555</v>
      </c>
      <c r="E235" s="97" t="n">
        <v>1098789750000</v>
      </c>
      <c r="F235" s="97" t="n">
        <v>53766950619</v>
      </c>
      <c r="G235" s="98" t="n">
        <v>0.003</v>
      </c>
      <c r="H235" s="98" t="n">
        <v>0.7515000000000001</v>
      </c>
      <c r="I235" s="98" t="n">
        <v>0.002</v>
      </c>
      <c r="J235" s="98" t="n">
        <v>0.002015</v>
      </c>
      <c r="K235" s="97" t="n">
        <v>3</v>
      </c>
      <c r="L235" s="99" t="inlineStr">
        <is>
          <t>20260429</t>
        </is>
      </c>
      <c r="M235" s="96" t="inlineStr">
        <is>
          <t>제외</t>
        </is>
      </c>
      <c r="N235" s="96" t="inlineStr">
        <is>
          <t>변동성 75.2%(1년 기준, 기준 35% 초과)</t>
        </is>
      </c>
      <c r="O235" s="96" t="inlineStr">
        <is>
          <t>FnGuide AI 반도체 TOP3+ 지수</t>
        </is>
      </c>
      <c r="P235" s="96" t="inlineStr">
        <is>
          <t>일반</t>
        </is>
      </c>
      <c r="Q235" s="96" t="inlineStr">
        <is>
          <t>주식</t>
        </is>
      </c>
      <c r="R235" s="96" t="inlineStr">
        <is>
          <t>연배당</t>
        </is>
      </c>
      <c r="S235" s="97" t="n">
        <v>1</v>
      </c>
      <c r="T235" s="98" t="n">
        <v>0.9833</v>
      </c>
      <c r="U235">
        <f>IF(AND($J235&lt;&gt;"",OR(조회_주기="전체",$R235=조회_주기),$J235&gt;=조회_최소,$J235&lt;=조회_최대),1,0)</f>
        <v/>
      </c>
      <c r="V235">
        <f>IF($U235=1,$V234+1,$V234)</f>
        <v/>
      </c>
      <c r="W235">
        <f>IF(검색어="",1,IF(ISNUMBER(SEARCH(검색어,$A235)),1,0))</f>
        <v/>
      </c>
      <c r="X235">
        <f>IF($W235=1,$X234+1,$X234)</f>
        <v/>
      </c>
      <c r="Y235">
        <f>IFERROR(INDEX($A$4:$A$253,MATCH(232,$X$4:$X$253,0)),"")</f>
        <v/>
      </c>
    </row>
    <row r="236">
      <c r="A236" s="96" t="inlineStr">
        <is>
          <t>TIGER 코리아원자력</t>
        </is>
      </c>
      <c r="B236" s="96" t="inlineStr">
        <is>
          <t>0091P0</t>
        </is>
      </c>
      <c r="C236" s="96" t="inlineStr">
        <is>
          <t>미래에셋자산운용</t>
        </is>
      </c>
      <c r="D236" s="97" t="n">
        <v>18455</v>
      </c>
      <c r="E236" s="97" t="n">
        <v>657920750000</v>
      </c>
      <c r="F236" s="97" t="n">
        <v>34963100154</v>
      </c>
      <c r="G236" s="98" t="n">
        <v>0.005</v>
      </c>
      <c r="H236" s="98" t="n">
        <v>0.6826000000000001</v>
      </c>
      <c r="I236" s="98" t="n">
        <v>0.0013</v>
      </c>
      <c r="J236" s="98" t="n">
        <v>0.001897</v>
      </c>
      <c r="K236" s="97" t="n">
        <v>1</v>
      </c>
      <c r="L236" s="99" t="inlineStr">
        <is>
          <t>20260429</t>
        </is>
      </c>
      <c r="M236" s="96" t="inlineStr">
        <is>
          <t>제외</t>
        </is>
      </c>
      <c r="N236" s="96" t="inlineStr">
        <is>
          <t>변동성 68.3%(1년 기준, 기준 35% 초과)</t>
        </is>
      </c>
      <c r="O236" s="96" t="inlineStr">
        <is>
          <t>iSelect 코리아 원자력 지수</t>
        </is>
      </c>
      <c r="P236" s="96" t="inlineStr">
        <is>
          <t>일반</t>
        </is>
      </c>
      <c r="Q236" s="96" t="inlineStr">
        <is>
          <t>주식</t>
        </is>
      </c>
      <c r="R236" s="96" t="inlineStr">
        <is>
          <t>연배당</t>
        </is>
      </c>
      <c r="S236" s="97" t="n">
        <v>1</v>
      </c>
      <c r="T236" s="98" t="n">
        <v>1</v>
      </c>
      <c r="U236">
        <f>IF(AND($J236&lt;&gt;"",OR(조회_주기="전체",$R236=조회_주기),$J236&gt;=조회_최소,$J236&lt;=조회_최대),1,0)</f>
        <v/>
      </c>
      <c r="V236">
        <f>IF($U236=1,$V235+1,$V235)</f>
        <v/>
      </c>
      <c r="W236">
        <f>IF(검색어="",1,IF(ISNUMBER(SEARCH(검색어,$A236)),1,0))</f>
        <v/>
      </c>
      <c r="X236">
        <f>IF($W236=1,$X235+1,$X235)</f>
        <v/>
      </c>
      <c r="Y236">
        <f>IFERROR(INDEX($A$4:$A$253,MATCH(233,$X$4:$X$253,0)),"")</f>
        <v/>
      </c>
    </row>
    <row r="237">
      <c r="A237" s="96" t="inlineStr">
        <is>
          <t>TIGER 차이나반도체FACTSET</t>
        </is>
      </c>
      <c r="B237" s="96" t="inlineStr">
        <is>
          <t>396520</t>
        </is>
      </c>
      <c r="C237" s="96" t="inlineStr">
        <is>
          <t>미래에셋자산운용</t>
        </is>
      </c>
      <c r="D237" s="97" t="n">
        <v>13285</v>
      </c>
      <c r="E237" s="97" t="n">
        <v>545216400000</v>
      </c>
      <c r="F237" s="97" t="n">
        <v>18604721539</v>
      </c>
      <c r="G237" s="98" t="n">
        <v>0.0049</v>
      </c>
      <c r="H237" s="98" t="n">
        <v>0.523</v>
      </c>
      <c r="I237" s="98" t="n">
        <v>0.0025</v>
      </c>
      <c r="J237" s="98" t="n">
        <v>0.001882</v>
      </c>
      <c r="K237" s="97" t="n">
        <v>1</v>
      </c>
      <c r="L237" s="99" t="inlineStr">
        <is>
          <t>20251229</t>
        </is>
      </c>
      <c r="M237" s="96" t="inlineStr">
        <is>
          <t>제외</t>
        </is>
      </c>
      <c r="N237" s="96" t="inlineStr">
        <is>
          <t>변동성 52.3%(1년 기준, 기준 35% 초과)</t>
        </is>
      </c>
      <c r="O237" s="96" t="inlineStr">
        <is>
          <t>FactSet China Semiconductor Index PR</t>
        </is>
      </c>
      <c r="P237" s="96" t="inlineStr">
        <is>
          <t>일반</t>
        </is>
      </c>
      <c r="Q237" s="96" t="inlineStr">
        <is>
          <t>주식</t>
        </is>
      </c>
      <c r="R237" s="96" t="inlineStr">
        <is>
          <t>연배당</t>
        </is>
      </c>
      <c r="S237" s="97" t="n">
        <v>1</v>
      </c>
      <c r="T237" s="98" t="n">
        <v>0</v>
      </c>
      <c r="U237">
        <f>IF(AND($J237&lt;&gt;"",OR(조회_주기="전체",$R237=조회_주기),$J237&gt;=조회_최소,$J237&lt;=조회_최대),1,0)</f>
        <v/>
      </c>
      <c r="V237">
        <f>IF($U237=1,$V236+1,$V236)</f>
        <v/>
      </c>
      <c r="W237">
        <f>IF(검색어="",1,IF(ISNUMBER(SEARCH(검색어,$A237)),1,0))</f>
        <v/>
      </c>
      <c r="X237">
        <f>IF($W237=1,$X236+1,$X236)</f>
        <v/>
      </c>
      <c r="Y237">
        <f>IFERROR(INDEX($A$4:$A$253,MATCH(234,$X$4:$X$253,0)),"")</f>
        <v/>
      </c>
    </row>
    <row r="238">
      <c r="A238" s="96" t="inlineStr">
        <is>
          <t>SOL 조선TOP3플러스</t>
        </is>
      </c>
      <c r="B238" s="96" t="inlineStr">
        <is>
          <t>466920</t>
        </is>
      </c>
      <c r="C238" s="96" t="inlineStr">
        <is>
          <t>신한자산운용</t>
        </is>
      </c>
      <c r="D238" s="97" t="n">
        <v>27930</v>
      </c>
      <c r="E238" s="97" t="n">
        <v>1477497000000</v>
      </c>
      <c r="F238" s="97" t="n">
        <v>51148016984</v>
      </c>
      <c r="G238" s="98" t="n">
        <v>0.004500000000000001</v>
      </c>
      <c r="H238" s="98" t="n">
        <v>0.5474</v>
      </c>
      <c r="I238" s="98" t="n">
        <v>0.0012</v>
      </c>
      <c r="J238" s="98" t="n">
        <v>0.001862</v>
      </c>
      <c r="K238" s="97" t="n">
        <v>2</v>
      </c>
      <c r="L238" s="99" t="inlineStr">
        <is>
          <t>20260429</t>
        </is>
      </c>
      <c r="M238" s="96" t="inlineStr">
        <is>
          <t>제외</t>
        </is>
      </c>
      <c r="N238" s="96" t="inlineStr">
        <is>
          <t>변동성 54.7%(1년 기준, 기준 35% 초과)</t>
        </is>
      </c>
      <c r="O238" s="96" t="inlineStr">
        <is>
          <t>FnGuide 조선 TOP3 플러스 지수</t>
        </is>
      </c>
      <c r="P238" s="96" t="inlineStr">
        <is>
          <t>일반</t>
        </is>
      </c>
      <c r="Q238" s="96" t="inlineStr">
        <is>
          <t>주식</t>
        </is>
      </c>
      <c r="R238" s="96" t="inlineStr">
        <is>
          <t>연배당</t>
        </is>
      </c>
      <c r="S238" s="97" t="n">
        <v>1</v>
      </c>
      <c r="T238" s="98" t="n">
        <v>1</v>
      </c>
      <c r="U238">
        <f>IF(AND($J238&lt;&gt;"",OR(조회_주기="전체",$R238=조회_주기),$J238&gt;=조회_최소,$J238&lt;=조회_최대),1,0)</f>
        <v/>
      </c>
      <c r="V238">
        <f>IF($U238=1,$V237+1,$V237)</f>
        <v/>
      </c>
      <c r="W238">
        <f>IF(검색어="",1,IF(ISNUMBER(SEARCH(검색어,$A238)),1,0))</f>
        <v/>
      </c>
      <c r="X238">
        <f>IF($W238=1,$X237+1,$X237)</f>
        <v/>
      </c>
      <c r="Y238">
        <f>IFERROR(INDEX($A$4:$A$253,MATCH(235,$X$4:$X$253,0)),"")</f>
        <v/>
      </c>
    </row>
    <row r="239">
      <c r="A239" s="96" t="inlineStr">
        <is>
          <t>TIGER 글로벌AI액티브</t>
        </is>
      </c>
      <c r="B239" s="96" t="inlineStr">
        <is>
          <t>466950</t>
        </is>
      </c>
      <c r="C239" s="96" t="inlineStr">
        <is>
          <t>미래에셋자산운용</t>
        </is>
      </c>
      <c r="D239" s="97" t="n">
        <v>30210</v>
      </c>
      <c r="E239" s="97" t="n">
        <v>564624900000</v>
      </c>
      <c r="F239" s="97" t="n">
        <v>9324641044</v>
      </c>
      <c r="G239" s="98" t="n">
        <v>0.007900000000000001</v>
      </c>
      <c r="H239" s="98" t="n">
        <v>0.454</v>
      </c>
      <c r="I239" s="98" t="n">
        <v>0.0022</v>
      </c>
      <c r="J239" s="98" t="n">
        <v>0.001655</v>
      </c>
      <c r="K239" s="97" t="n">
        <v>1</v>
      </c>
      <c r="L239" s="99" t="inlineStr">
        <is>
          <t>20251229</t>
        </is>
      </c>
      <c r="M239" s="96" t="inlineStr">
        <is>
          <t>제외</t>
        </is>
      </c>
      <c r="N239" s="96" t="inlineStr">
        <is>
          <t>변동성 45.4%(1년 기준, 기준 35% 초과)</t>
        </is>
      </c>
      <c r="O239" s="96" t="inlineStr">
        <is>
          <t>Indxx Artificial Intelligence and Big Data Index PR</t>
        </is>
      </c>
      <c r="P239" s="96" t="inlineStr">
        <is>
          <t>일반</t>
        </is>
      </c>
      <c r="Q239" s="96" t="inlineStr">
        <is>
          <t>주식</t>
        </is>
      </c>
      <c r="R239" s="96" t="inlineStr">
        <is>
          <t>연배당</t>
        </is>
      </c>
      <c r="S239" s="97" t="n">
        <v>1</v>
      </c>
      <c r="T239" s="98" t="n">
        <v>1</v>
      </c>
      <c r="U239">
        <f>IF(AND($J239&lt;&gt;"",OR(조회_주기="전체",$R239=조회_주기),$J239&gt;=조회_최소,$J239&lt;=조회_최대),1,0)</f>
        <v/>
      </c>
      <c r="V239">
        <f>IF($U239=1,$V238+1,$V238)</f>
        <v/>
      </c>
      <c r="W239">
        <f>IF(검색어="",1,IF(ISNUMBER(SEARCH(검색어,$A239)),1,0))</f>
        <v/>
      </c>
      <c r="X239">
        <f>IF($W239=1,$X238+1,$X238)</f>
        <v/>
      </c>
      <c r="Y239">
        <f>IFERROR(INDEX($A$4:$A$253,MATCH(236,$X$4:$X$253,0)),"")</f>
        <v/>
      </c>
    </row>
    <row r="240">
      <c r="A240" s="96" t="inlineStr">
        <is>
          <t>TIGER K방산&amp;우주</t>
        </is>
      </c>
      <c r="B240" s="96" t="inlineStr">
        <is>
          <t>463250</t>
        </is>
      </c>
      <c r="C240" s="96" t="inlineStr">
        <is>
          <t>미래에셋자산운용</t>
        </is>
      </c>
      <c r="D240" s="97" t="n">
        <v>34585</v>
      </c>
      <c r="E240" s="97" t="n">
        <v>518775000000</v>
      </c>
      <c r="F240" s="97" t="n">
        <v>21346463225</v>
      </c>
      <c r="G240" s="98" t="n">
        <v>0.004500000000000001</v>
      </c>
      <c r="H240" s="98" t="n">
        <v>0.6241</v>
      </c>
      <c r="I240" s="98" t="n">
        <v>0.0011</v>
      </c>
      <c r="J240" s="98" t="n">
        <v>0.00159</v>
      </c>
      <c r="K240" s="97" t="n">
        <v>3</v>
      </c>
      <c r="L240" s="99" t="inlineStr">
        <is>
          <t>20260429</t>
        </is>
      </c>
      <c r="M240" s="96" t="inlineStr">
        <is>
          <t>제외</t>
        </is>
      </c>
      <c r="N240" s="96" t="inlineStr">
        <is>
          <t>변동성 62.4%(1년 기준, 기준 35% 초과)</t>
        </is>
      </c>
      <c r="O240" s="96" t="inlineStr">
        <is>
          <t>iSelect K방산&amp;우주 지수</t>
        </is>
      </c>
      <c r="P240" s="96" t="inlineStr">
        <is>
          <t>일반</t>
        </is>
      </c>
      <c r="Q240" s="96" t="inlineStr">
        <is>
          <t>주식</t>
        </is>
      </c>
      <c r="R240" s="96" t="inlineStr">
        <is>
          <t>연배당</t>
        </is>
      </c>
      <c r="S240" s="97" t="n">
        <v>1</v>
      </c>
      <c r="T240" s="98" t="n">
        <v>1</v>
      </c>
      <c r="U240">
        <f>IF(AND($J240&lt;&gt;"",OR(조회_주기="전체",$R240=조회_주기),$J240&gt;=조회_최소,$J240&lt;=조회_최대),1,0)</f>
        <v/>
      </c>
      <c r="V240">
        <f>IF($U240=1,$V239+1,$V239)</f>
        <v/>
      </c>
      <c r="W240">
        <f>IF(검색어="",1,IF(ISNUMBER(SEARCH(검색어,$A240)),1,0))</f>
        <v/>
      </c>
      <c r="X240">
        <f>IF($W240=1,$X239+1,$X239)</f>
        <v/>
      </c>
      <c r="Y240">
        <f>IFERROR(INDEX($A$4:$A$253,MATCH(237,$X$4:$X$253,0)),"")</f>
        <v/>
      </c>
    </row>
    <row r="241">
      <c r="A241" s="96" t="inlineStr">
        <is>
          <t>PLUS K방산</t>
        </is>
      </c>
      <c r="B241" s="96" t="inlineStr">
        <is>
          <t>449450</t>
        </is>
      </c>
      <c r="C241" s="96" t="inlineStr">
        <is>
          <t>한화자산운용</t>
        </is>
      </c>
      <c r="D241" s="97" t="n">
        <v>52995</v>
      </c>
      <c r="E241" s="97" t="n">
        <v>1026513150000</v>
      </c>
      <c r="F241" s="97" t="n">
        <v>23096736144</v>
      </c>
      <c r="G241" s="98" t="n">
        <v>0.004500000000000001</v>
      </c>
      <c r="H241" s="98" t="n">
        <v>0.5993999999999999</v>
      </c>
      <c r="I241" s="98" t="n">
        <v>0.001</v>
      </c>
      <c r="J241" s="98" t="n">
        <v>0.001415</v>
      </c>
      <c r="K241" s="97" t="n">
        <v>3</v>
      </c>
      <c r="L241" s="99" t="inlineStr">
        <is>
          <t>20260429</t>
        </is>
      </c>
      <c r="M241" s="96" t="inlineStr">
        <is>
          <t>제외</t>
        </is>
      </c>
      <c r="N241" s="96" t="inlineStr">
        <is>
          <t>변동성 59.9%(1년 기준, 기준 35% 초과)</t>
        </is>
      </c>
      <c r="O241" s="96" t="inlineStr">
        <is>
          <t>FnGuide K-방위산업 지수</t>
        </is>
      </c>
      <c r="P241" s="96" t="inlineStr">
        <is>
          <t>일반</t>
        </is>
      </c>
      <c r="Q241" s="96" t="inlineStr">
        <is>
          <t>주식</t>
        </is>
      </c>
      <c r="R241" s="96" t="inlineStr">
        <is>
          <t>연배당</t>
        </is>
      </c>
      <c r="S241" s="97" t="n">
        <v>1</v>
      </c>
      <c r="T241" s="98" t="n">
        <v>0.6933</v>
      </c>
      <c r="U241">
        <f>IF(AND($J241&lt;&gt;"",OR(조회_주기="전체",$R241=조회_주기),$J241&gt;=조회_최소,$J241&lt;=조회_최대),1,0)</f>
        <v/>
      </c>
      <c r="V241">
        <f>IF($U241=1,$V240+1,$V240)</f>
        <v/>
      </c>
      <c r="W241">
        <f>IF(검색어="",1,IF(ISNUMBER(SEARCH(검색어,$A241)),1,0))</f>
        <v/>
      </c>
      <c r="X241">
        <f>IF($W241=1,$X240+1,$X240)</f>
        <v/>
      </c>
      <c r="Y241">
        <f>IFERROR(INDEX($A$4:$A$253,MATCH(238,$X$4:$X$253,0)),"")</f>
        <v/>
      </c>
    </row>
    <row r="242">
      <c r="A242" s="96" t="inlineStr">
        <is>
          <t>HANARO Fn K-반도체</t>
        </is>
      </c>
      <c r="B242" s="96" t="inlineStr">
        <is>
          <t>395270</t>
        </is>
      </c>
      <c r="C242" s="96" t="inlineStr">
        <is>
          <t>NH-Amundi자산운용</t>
        </is>
      </c>
      <c r="D242" s="97" t="n">
        <v>56785</v>
      </c>
      <c r="E242" s="97" t="n">
        <v>3563258750000</v>
      </c>
      <c r="F242" s="97" t="n">
        <v>146210511178</v>
      </c>
      <c r="G242" s="98" t="n">
        <v>0.004500000000000001</v>
      </c>
      <c r="H242" s="98" t="n">
        <v>0.7432</v>
      </c>
      <c r="I242" s="98" t="n">
        <v>0.0016</v>
      </c>
      <c r="J242" s="98" t="n">
        <v>0.001321</v>
      </c>
      <c r="K242" s="97" t="n">
        <v>9</v>
      </c>
      <c r="L242" s="99" t="inlineStr">
        <is>
          <t>20260429</t>
        </is>
      </c>
      <c r="M242" s="96" t="inlineStr">
        <is>
          <t>제외</t>
        </is>
      </c>
      <c r="N242" s="96" t="inlineStr">
        <is>
          <t>변동성 74.3%(1년 기준, 기준 35% 초과)</t>
        </is>
      </c>
      <c r="O242" s="96" t="inlineStr">
        <is>
          <t>FnGuide K-반도체 지수</t>
        </is>
      </c>
      <c r="P242" s="96" t="inlineStr">
        <is>
          <t>일반</t>
        </is>
      </c>
      <c r="Q242" s="96" t="inlineStr">
        <is>
          <t>주식</t>
        </is>
      </c>
      <c r="R242" s="96" t="inlineStr">
        <is>
          <t>연배당</t>
        </is>
      </c>
      <c r="S242" s="97" t="n">
        <v>1</v>
      </c>
      <c r="T242" s="98" t="n">
        <v>1</v>
      </c>
      <c r="U242">
        <f>IF(AND($J242&lt;&gt;"",OR(조회_주기="전체",$R242=조회_주기),$J242&gt;=조회_최소,$J242&lt;=조회_최대),1,0)</f>
        <v/>
      </c>
      <c r="V242">
        <f>IF($U242=1,$V241+1,$V241)</f>
        <v/>
      </c>
      <c r="W242">
        <f>IF(검색어="",1,IF(ISNUMBER(SEARCH(검색어,$A242)),1,0))</f>
        <v/>
      </c>
      <c r="X242">
        <f>IF($W242=1,$X241+1,$X241)</f>
        <v/>
      </c>
      <c r="Y242">
        <f>IFERROR(INDEX($A$4:$A$253,MATCH(239,$X$4:$X$253,0)),"")</f>
        <v/>
      </c>
    </row>
    <row r="243">
      <c r="A243" s="96" t="inlineStr">
        <is>
          <t>KODEX 2차전지산업</t>
        </is>
      </c>
      <c r="B243" s="96" t="inlineStr">
        <is>
          <t>305720</t>
        </is>
      </c>
      <c r="C243" s="96" t="inlineStr">
        <is>
          <t>삼성자산운용(ETF)</t>
        </is>
      </c>
      <c r="D243" s="97" t="n">
        <v>14720</v>
      </c>
      <c r="E243" s="97" t="n">
        <v>1736960000000</v>
      </c>
      <c r="F243" s="97" t="n">
        <v>54576784956</v>
      </c>
      <c r="G243" s="98" t="n">
        <v>0.004500000000000001</v>
      </c>
      <c r="H243" s="98" t="n">
        <v>0.6061</v>
      </c>
      <c r="I243" s="98" t="n">
        <v>0.0008</v>
      </c>
      <c r="J243" s="98" t="n">
        <v>0.001223</v>
      </c>
      <c r="K243" s="97" t="n">
        <v>5</v>
      </c>
      <c r="L243" s="99" t="inlineStr">
        <is>
          <t>20260429</t>
        </is>
      </c>
      <c r="M243" s="96" t="inlineStr">
        <is>
          <t>제외</t>
        </is>
      </c>
      <c r="N243" s="96" t="inlineStr">
        <is>
          <t>변동성 60.6%(1년 기준, 기준 35% 초과)</t>
        </is>
      </c>
      <c r="O243" s="96" t="inlineStr">
        <is>
          <t>FnGuide 2차전지 산업 지수</t>
        </is>
      </c>
      <c r="P243" s="96" t="inlineStr">
        <is>
          <t>일반</t>
        </is>
      </c>
      <c r="Q243" s="96" t="inlineStr">
        <is>
          <t>주식</t>
        </is>
      </c>
      <c r="R243" s="96" t="inlineStr">
        <is>
          <t>연배당</t>
        </is>
      </c>
      <c r="S243" s="97" t="n">
        <v>1</v>
      </c>
      <c r="T243" s="98" t="n">
        <v>0.9444</v>
      </c>
      <c r="U243">
        <f>IF(AND($J243&lt;&gt;"",OR(조회_주기="전체",$R243=조회_주기),$J243&gt;=조회_최소,$J243&lt;=조회_최대),1,0)</f>
        <v/>
      </c>
      <c r="V243">
        <f>IF($U243=1,$V242+1,$V242)</f>
        <v/>
      </c>
      <c r="W243">
        <f>IF(검색어="",1,IF(ISNUMBER(SEARCH(검색어,$A243)),1,0))</f>
        <v/>
      </c>
      <c r="X243">
        <f>IF($W243=1,$X242+1,$X242)</f>
        <v/>
      </c>
      <c r="Y243">
        <f>IFERROR(INDEX($A$4:$A$253,MATCH(240,$X$4:$X$253,0)),"")</f>
        <v/>
      </c>
    </row>
    <row r="244">
      <c r="A244" s="96" t="inlineStr">
        <is>
          <t>KODEX AI전력핵심설비</t>
        </is>
      </c>
      <c r="B244" s="96" t="inlineStr">
        <is>
          <t>487240</t>
        </is>
      </c>
      <c r="C244" s="96" t="inlineStr">
        <is>
          <t>삼성자산운용(ETF)</t>
        </is>
      </c>
      <c r="D244" s="97" t="n">
        <v>37580</v>
      </c>
      <c r="E244" s="97" t="n">
        <v>3295766000000</v>
      </c>
      <c r="F244" s="97" t="n">
        <v>130925155684</v>
      </c>
      <c r="G244" s="98" t="n">
        <v>0.0039</v>
      </c>
      <c r="H244" s="98" t="n">
        <v>0.7073999999999999</v>
      </c>
      <c r="I244" s="98" t="n">
        <v>0.0002</v>
      </c>
      <c r="J244" s="98" t="n">
        <v>0.001171</v>
      </c>
      <c r="K244" s="97" t="n">
        <v>3</v>
      </c>
      <c r="L244" s="99" t="inlineStr">
        <is>
          <t>20260730</t>
        </is>
      </c>
      <c r="M244" s="96" t="inlineStr">
        <is>
          <t>제외</t>
        </is>
      </c>
      <c r="N244" s="96" t="inlineStr">
        <is>
          <t>변동성 70.7%(1년 기준, 기준 35% 초과)</t>
        </is>
      </c>
      <c r="O244" s="96" t="inlineStr">
        <is>
          <t>iSelect AI전력핵심설비 지수</t>
        </is>
      </c>
      <c r="P244" s="96" t="inlineStr">
        <is>
          <t>일반</t>
        </is>
      </c>
      <c r="Q244" s="96" t="inlineStr">
        <is>
          <t>주식</t>
        </is>
      </c>
      <c r="R244" s="96" t="inlineStr">
        <is>
          <t>연배당</t>
        </is>
      </c>
      <c r="S244" s="97" t="n">
        <v>2</v>
      </c>
      <c r="T244" s="98" t="n">
        <v>0.8864</v>
      </c>
      <c r="U244">
        <f>IF(AND($J244&lt;&gt;"",OR(조회_주기="전체",$R244=조회_주기),$J244&gt;=조회_최소,$J244&lt;=조회_최대),1,0)</f>
        <v/>
      </c>
      <c r="V244">
        <f>IF($U244=1,$V243+1,$V243)</f>
        <v/>
      </c>
      <c r="W244">
        <f>IF(검색어="",1,IF(ISNUMBER(SEARCH(검색어,$A244)),1,0))</f>
        <v/>
      </c>
      <c r="X244">
        <f>IF($W244=1,$X243+1,$X243)</f>
        <v/>
      </c>
      <c r="Y244">
        <f>IFERROR(INDEX($A$4:$A$253,MATCH(241,$X$4:$X$253,0)),"")</f>
        <v/>
      </c>
    </row>
    <row r="245">
      <c r="A245" s="96" t="inlineStr">
        <is>
          <t>PLUS 글로벌HBM반도체</t>
        </is>
      </c>
      <c r="B245" s="96" t="inlineStr">
        <is>
          <t>442580</t>
        </is>
      </c>
      <c r="C245" s="96" t="inlineStr">
        <is>
          <t>한화자산운용</t>
        </is>
      </c>
      <c r="D245" s="97" t="n">
        <v>100005</v>
      </c>
      <c r="E245" s="97" t="n">
        <v>1691084550000</v>
      </c>
      <c r="F245" s="97" t="n">
        <v>110304344278</v>
      </c>
      <c r="G245" s="98" t="n">
        <v>0.005</v>
      </c>
      <c r="H245" s="98" t="n">
        <v>0.6257</v>
      </c>
      <c r="I245" s="98" t="n">
        <v>0.0013</v>
      </c>
      <c r="J245" s="98" t="n">
        <v>0.001</v>
      </c>
      <c r="K245" s="97" t="n">
        <v>3</v>
      </c>
      <c r="L245" s="99" t="inlineStr">
        <is>
          <t>20260429</t>
        </is>
      </c>
      <c r="M245" s="96" t="inlineStr">
        <is>
          <t>제외</t>
        </is>
      </c>
      <c r="N245" s="96" t="inlineStr">
        <is>
          <t>변동성 62.6%(1년 기준, 기준 35% 초과)</t>
        </is>
      </c>
      <c r="O245" s="96" t="inlineStr">
        <is>
          <t>iSelect Global HBM Semiconductor Index</t>
        </is>
      </c>
      <c r="P245" s="96" t="inlineStr">
        <is>
          <t>일반</t>
        </is>
      </c>
      <c r="Q245" s="96" t="inlineStr">
        <is>
          <t>주식</t>
        </is>
      </c>
      <c r="R245" s="96" t="inlineStr">
        <is>
          <t>연배당</t>
        </is>
      </c>
      <c r="S245" s="97" t="n">
        <v>1</v>
      </c>
      <c r="T245" s="98" t="n">
        <v>1</v>
      </c>
      <c r="U245">
        <f>IF(AND($J245&lt;&gt;"",OR(조회_주기="전체",$R245=조회_주기),$J245&gt;=조회_최소,$J245&lt;=조회_최대),1,0)</f>
        <v/>
      </c>
      <c r="V245">
        <f>IF($U245=1,$V244+1,$V244)</f>
        <v/>
      </c>
      <c r="W245">
        <f>IF(검색어="",1,IF(ISNUMBER(SEARCH(검색어,$A245)),1,0))</f>
        <v/>
      </c>
      <c r="X245">
        <f>IF($W245=1,$X244+1,$X244)</f>
        <v/>
      </c>
      <c r="Y245">
        <f>IFERROR(INDEX($A$4:$A$253,MATCH(242,$X$4:$X$253,0)),"")</f>
        <v/>
      </c>
    </row>
    <row r="246">
      <c r="A246" s="96" t="inlineStr">
        <is>
          <t>RISE 네트워크인프라</t>
        </is>
      </c>
      <c r="B246" s="96" t="inlineStr">
        <is>
          <t>367760</t>
        </is>
      </c>
      <c r="C246" s="96" t="inlineStr">
        <is>
          <t>KB자산운용</t>
        </is>
      </c>
      <c r="D246" s="97" t="n">
        <v>58555</v>
      </c>
      <c r="E246" s="97" t="n">
        <v>679238000000</v>
      </c>
      <c r="F246" s="97" t="n">
        <v>24542176351</v>
      </c>
      <c r="G246" s="98" t="n">
        <v>0.004500000000000001</v>
      </c>
      <c r="H246" s="98" t="n">
        <v>0.7077</v>
      </c>
      <c r="I246" s="98" t="n">
        <v>0.0011</v>
      </c>
      <c r="J246" s="98" t="n">
        <v>0.000956</v>
      </c>
      <c r="K246" s="97" t="n">
        <v>5</v>
      </c>
      <c r="L246" s="99" t="inlineStr">
        <is>
          <t>20260429</t>
        </is>
      </c>
      <c r="M246" s="96" t="inlineStr">
        <is>
          <t>제외</t>
        </is>
      </c>
      <c r="N246" s="96" t="inlineStr">
        <is>
          <t>변동성 70.8%(1년 기준, 기준 35% 초과)</t>
        </is>
      </c>
      <c r="O246" s="96" t="inlineStr">
        <is>
          <t>FnGuide 네트워크 인프라 지수</t>
        </is>
      </c>
      <c r="P246" s="96" t="inlineStr">
        <is>
          <t>일반</t>
        </is>
      </c>
      <c r="Q246" s="96" t="inlineStr">
        <is>
          <t>주식</t>
        </is>
      </c>
      <c r="R246" s="96" t="inlineStr">
        <is>
          <t>연배당</t>
        </is>
      </c>
      <c r="S246" s="97" t="n">
        <v>1</v>
      </c>
      <c r="T246" s="98" t="n">
        <v>1</v>
      </c>
      <c r="U246">
        <f>IF(AND($J246&lt;&gt;"",OR(조회_주기="전체",$R246=조회_주기),$J246&gt;=조회_최소,$J246&lt;=조회_최대),1,0)</f>
        <v/>
      </c>
      <c r="V246">
        <f>IF($U246=1,$V245+1,$V245)</f>
        <v/>
      </c>
      <c r="W246">
        <f>IF(검색어="",1,IF(ISNUMBER(SEARCH(검색어,$A246)),1,0))</f>
        <v/>
      </c>
      <c r="X246">
        <f>IF($W246=1,$X245+1,$X245)</f>
        <v/>
      </c>
      <c r="Y246">
        <f>IFERROR(INDEX($A$4:$A$253,MATCH(243,$X$4:$X$253,0)),"")</f>
        <v/>
      </c>
    </row>
    <row r="247">
      <c r="A247" s="96" t="inlineStr">
        <is>
          <t>KODEX 반도체</t>
        </is>
      </c>
      <c r="B247" s="96" t="inlineStr">
        <is>
          <t>091160</t>
        </is>
      </c>
      <c r="C247" s="96" t="inlineStr">
        <is>
          <t>삼성자산운용(ETF)</t>
        </is>
      </c>
      <c r="D247" s="97" t="n">
        <v>130210</v>
      </c>
      <c r="E247" s="97" t="n">
        <v>5670645500000</v>
      </c>
      <c r="F247" s="97" t="n">
        <v>274643572076</v>
      </c>
      <c r="G247" s="98" t="n">
        <v>0.004500000000000001</v>
      </c>
      <c r="H247" s="98" t="n">
        <v>0.7227</v>
      </c>
      <c r="I247" s="98" t="n">
        <v>0.0009</v>
      </c>
      <c r="J247" s="98" t="n">
        <v>0.000883</v>
      </c>
      <c r="K247" s="97" t="n">
        <v>5</v>
      </c>
      <c r="L247" s="99" t="inlineStr">
        <is>
          <t>20260429</t>
        </is>
      </c>
      <c r="M247" s="96" t="inlineStr">
        <is>
          <t>제외</t>
        </is>
      </c>
      <c r="N247" s="96" t="inlineStr">
        <is>
          <t>변동성 72.3%(1년 기준, 기준 35% 초과)</t>
        </is>
      </c>
      <c r="O247" s="96" t="inlineStr">
        <is>
          <t>KRX 반도체</t>
        </is>
      </c>
      <c r="P247" s="96" t="inlineStr">
        <is>
          <t>일반</t>
        </is>
      </c>
      <c r="Q247" s="96" t="inlineStr">
        <is>
          <t>주식</t>
        </is>
      </c>
      <c r="R247" s="96" t="inlineStr">
        <is>
          <t>연배당</t>
        </is>
      </c>
      <c r="S247" s="97" t="n">
        <v>1</v>
      </c>
      <c r="T247" s="98" t="n">
        <v>1</v>
      </c>
      <c r="U247">
        <f>IF(AND($J247&lt;&gt;"",OR(조회_주기="전체",$R247=조회_주기),$J247&gt;=조회_최소,$J247&lt;=조회_최대),1,0)</f>
        <v/>
      </c>
      <c r="V247">
        <f>IF($U247=1,$V246+1,$V246)</f>
        <v/>
      </c>
      <c r="W247">
        <f>IF(검색어="",1,IF(ISNUMBER(SEARCH(검색어,$A247)),1,0))</f>
        <v/>
      </c>
      <c r="X247">
        <f>IF($W247=1,$X246+1,$X246)</f>
        <v/>
      </c>
      <c r="Y247">
        <f>IFERROR(INDEX($A$4:$A$253,MATCH(244,$X$4:$X$253,0)),"")</f>
        <v/>
      </c>
    </row>
    <row r="248">
      <c r="A248" s="96" t="inlineStr">
        <is>
          <t>KODEX AI반도체TOP2플러스</t>
        </is>
      </c>
      <c r="B248" s="96" t="inlineStr">
        <is>
          <t>395160</t>
        </is>
      </c>
      <c r="C248" s="96" t="inlineStr">
        <is>
          <t>삼성자산운용(ETF)</t>
        </is>
      </c>
      <c r="D248" s="97" t="n">
        <v>39800</v>
      </c>
      <c r="E248" s="97" t="n">
        <v>3991940000000</v>
      </c>
      <c r="F248" s="97" t="n">
        <v>277091164142</v>
      </c>
      <c r="G248" s="98" t="n">
        <v>0.004500000000000001</v>
      </c>
      <c r="H248" s="98" t="n">
        <v>0.7552</v>
      </c>
      <c r="I248" s="98" t="n">
        <v>0.001</v>
      </c>
      <c r="J248" s="98" t="n">
        <v>0.000879</v>
      </c>
      <c r="K248" s="97" t="n">
        <v>5</v>
      </c>
      <c r="L248" s="99" t="inlineStr">
        <is>
          <t>20260429</t>
        </is>
      </c>
      <c r="M248" s="96" t="inlineStr">
        <is>
          <t>제외</t>
        </is>
      </c>
      <c r="N248" s="96" t="inlineStr">
        <is>
          <t>변동성 75.5%(1년 기준, 기준 35% 초과)</t>
        </is>
      </c>
      <c r="O248" s="96" t="inlineStr">
        <is>
          <t>FnGuide AI반도체 TOP2+ 지수</t>
        </is>
      </c>
      <c r="P248" s="96" t="inlineStr">
        <is>
          <t>일반</t>
        </is>
      </c>
      <c r="Q248" s="96" t="inlineStr">
        <is>
          <t>주식</t>
        </is>
      </c>
      <c r="R248" s="96" t="inlineStr">
        <is>
          <t>연배당</t>
        </is>
      </c>
      <c r="S248" s="97" t="n">
        <v>1</v>
      </c>
      <c r="T248" s="98" t="n">
        <v>1</v>
      </c>
      <c r="U248">
        <f>IF(AND($J248&lt;&gt;"",OR(조회_주기="전체",$R248=조회_주기),$J248&gt;=조회_최소,$J248&lt;=조회_최대),1,0)</f>
        <v/>
      </c>
      <c r="V248">
        <f>IF($U248=1,$V247+1,$V247)</f>
        <v/>
      </c>
      <c r="W248">
        <f>IF(검색어="",1,IF(ISNUMBER(SEARCH(검색어,$A248)),1,0))</f>
        <v/>
      </c>
      <c r="X248">
        <f>IF($W248=1,$X247+1,$X247)</f>
        <v/>
      </c>
      <c r="Y248">
        <f>IFERROR(INDEX($A$4:$A$253,MATCH(245,$X$4:$X$253,0)),"")</f>
        <v/>
      </c>
    </row>
    <row r="249">
      <c r="A249" s="96" t="inlineStr">
        <is>
          <t>TIGER 글로벌AI전력인프라액티브</t>
        </is>
      </c>
      <c r="B249" s="96" t="inlineStr">
        <is>
          <t>491010</t>
        </is>
      </c>
      <c r="C249" s="96" t="inlineStr">
        <is>
          <t>미래에셋자산운용</t>
        </is>
      </c>
      <c r="D249" s="97" t="n">
        <v>24575</v>
      </c>
      <c r="E249" s="97" t="n">
        <v>621010250000</v>
      </c>
      <c r="F249" s="97" t="n">
        <v>4487532009</v>
      </c>
      <c r="G249" s="98" t="n">
        <v>0.0049</v>
      </c>
      <c r="H249" s="98" t="n">
        <v>0.4962</v>
      </c>
      <c r="I249" s="98" t="n">
        <v>0.0011</v>
      </c>
      <c r="J249" s="98" t="n">
        <v>0.0008140000000000001</v>
      </c>
      <c r="K249" s="97" t="n">
        <v>1</v>
      </c>
      <c r="L249" s="99" t="inlineStr">
        <is>
          <t>20251229</t>
        </is>
      </c>
      <c r="M249" s="96" t="inlineStr">
        <is>
          <t>제외</t>
        </is>
      </c>
      <c r="N249" s="96" t="inlineStr">
        <is>
          <t>변동성 49.6%(1년 기준, 기준 35% 초과)</t>
        </is>
      </c>
      <c r="O249" s="96" t="inlineStr">
        <is>
          <t>Mirae Asset AI Infrastructure Index PR</t>
        </is>
      </c>
      <c r="P249" s="96" t="inlineStr">
        <is>
          <t>일반</t>
        </is>
      </c>
      <c r="Q249" s="96" t="inlineStr">
        <is>
          <t>주식</t>
        </is>
      </c>
      <c r="R249" s="96" t="inlineStr">
        <is>
          <t>연배당</t>
        </is>
      </c>
      <c r="S249" s="97" t="n">
        <v>1</v>
      </c>
      <c r="T249" s="98" t="n">
        <v>1</v>
      </c>
      <c r="U249">
        <f>IF(AND($J249&lt;&gt;"",OR(조회_주기="전체",$R249=조회_주기),$J249&gt;=조회_최소,$J249&lt;=조회_최대),1,0)</f>
        <v/>
      </c>
      <c r="V249">
        <f>IF($U249=1,$V248+1,$V248)</f>
        <v/>
      </c>
      <c r="W249">
        <f>IF(검색어="",1,IF(ISNUMBER(SEARCH(검색어,$A249)),1,0))</f>
        <v/>
      </c>
      <c r="X249">
        <f>IF($W249=1,$X248+1,$X248)</f>
        <v/>
      </c>
      <c r="Y249">
        <f>IFERROR(INDEX($A$4:$A$253,MATCH(246,$X$4:$X$253,0)),"")</f>
        <v/>
      </c>
    </row>
    <row r="250">
      <c r="A250" s="96" t="inlineStr">
        <is>
          <t>TIME 미국나스닥100액티브</t>
        </is>
      </c>
      <c r="B250" s="96" t="inlineStr">
        <is>
          <t>426030</t>
        </is>
      </c>
      <c r="C250" s="96" t="inlineStr">
        <is>
          <t>타임폴리오자산운용</t>
        </is>
      </c>
      <c r="D250" s="97" t="n">
        <v>46295</v>
      </c>
      <c r="E250" s="97" t="n">
        <v>2538817800000</v>
      </c>
      <c r="F250" s="97" t="n">
        <v>61806360201</v>
      </c>
      <c r="G250" s="98" t="n">
        <v>0.008</v>
      </c>
      <c r="H250" s="98" t="n">
        <v>0.4363</v>
      </c>
      <c r="I250" s="98" t="n">
        <v>0.0009</v>
      </c>
      <c r="J250" s="98" t="n">
        <v>0.0006479999999999999</v>
      </c>
      <c r="K250" s="97" t="n">
        <v>1</v>
      </c>
      <c r="L250" s="99" t="inlineStr">
        <is>
          <t>20251229</t>
        </is>
      </c>
      <c r="M250" s="96" t="inlineStr">
        <is>
          <t>제외</t>
        </is>
      </c>
      <c r="N250" s="96" t="inlineStr">
        <is>
          <t>변동성 43.6%(1년 기준, 기준 35% 초과)</t>
        </is>
      </c>
      <c r="O250" s="96" t="inlineStr">
        <is>
          <t>나스닥 100</t>
        </is>
      </c>
      <c r="P250" s="96" t="inlineStr">
        <is>
          <t>일반</t>
        </is>
      </c>
      <c r="Q250" s="96" t="inlineStr">
        <is>
          <t>주식</t>
        </is>
      </c>
      <c r="R250" s="96" t="inlineStr">
        <is>
          <t>연배당</t>
        </is>
      </c>
      <c r="S250" s="97" t="n">
        <v>1</v>
      </c>
      <c r="T250" s="98" t="n">
        <v>1</v>
      </c>
      <c r="U250">
        <f>IF(AND($J250&lt;&gt;"",OR(조회_주기="전체",$R250=조회_주기),$J250&gt;=조회_최소,$J250&lt;=조회_최대),1,0)</f>
        <v/>
      </c>
      <c r="V250">
        <f>IF($U250=1,$V249+1,$V249)</f>
        <v/>
      </c>
      <c r="W250">
        <f>IF(검색어="",1,IF(ISNUMBER(SEARCH(검색어,$A250)),1,0))</f>
        <v/>
      </c>
      <c r="X250">
        <f>IF($W250=1,$X249+1,$X249)</f>
        <v/>
      </c>
      <c r="Y250">
        <f>IFERROR(INDEX($A$4:$A$253,MATCH(247,$X$4:$X$253,0)),"")</f>
        <v/>
      </c>
    </row>
    <row r="251">
      <c r="A251" s="96" t="inlineStr">
        <is>
          <t>SOL AI반도체소부장</t>
        </is>
      </c>
      <c r="B251" s="96" t="inlineStr">
        <is>
          <t>455850</t>
        </is>
      </c>
      <c r="C251" s="96" t="inlineStr">
        <is>
          <t>신한자산운용</t>
        </is>
      </c>
      <c r="D251" s="97" t="n">
        <v>25145</v>
      </c>
      <c r="E251" s="97" t="n">
        <v>1049803750000</v>
      </c>
      <c r="F251" s="97" t="n">
        <v>58162046777</v>
      </c>
      <c r="G251" s="98" t="n">
        <v>0.004500000000000001</v>
      </c>
      <c r="H251" s="98" t="n">
        <v>0.7312000000000001</v>
      </c>
      <c r="I251" s="98" t="n">
        <v>0.0004</v>
      </c>
      <c r="J251" s="98" t="n">
        <v>0.000477</v>
      </c>
      <c r="K251" s="97" t="n">
        <v>3</v>
      </c>
      <c r="L251" s="99" t="inlineStr">
        <is>
          <t>20260429</t>
        </is>
      </c>
      <c r="M251" s="96" t="inlineStr">
        <is>
          <t>제외</t>
        </is>
      </c>
      <c r="N251" s="96" t="inlineStr">
        <is>
          <t>변동성 73.1%(1년 기준, 기준 35% 초과)</t>
        </is>
      </c>
      <c r="O251" s="96" t="inlineStr">
        <is>
          <t>FnGuide AI 반도체 소부장 지수</t>
        </is>
      </c>
      <c r="P251" s="96" t="inlineStr">
        <is>
          <t>일반</t>
        </is>
      </c>
      <c r="Q251" s="96" t="inlineStr">
        <is>
          <t>주식</t>
        </is>
      </c>
      <c r="R251" s="96" t="inlineStr">
        <is>
          <t>연배당</t>
        </is>
      </c>
      <c r="S251" s="97" t="n">
        <v>1</v>
      </c>
      <c r="T251" s="98" t="n">
        <v>0.8333</v>
      </c>
      <c r="U251">
        <f>IF(AND($J251&lt;&gt;"",OR(조회_주기="전체",$R251=조회_주기),$J251&gt;=조회_최소,$J251&lt;=조회_최대),1,0)</f>
        <v/>
      </c>
      <c r="V251">
        <f>IF($U251=1,$V250+1,$V250)</f>
        <v/>
      </c>
      <c r="W251">
        <f>IF(검색어="",1,IF(ISNUMBER(SEARCH(검색어,$A251)),1,0))</f>
        <v/>
      </c>
      <c r="X251">
        <f>IF($W251=1,$X250+1,$X250)</f>
        <v/>
      </c>
      <c r="Y251">
        <f>IFERROR(INDEX($A$4:$A$253,MATCH(248,$X$4:$X$253,0)),"")</f>
        <v/>
      </c>
    </row>
    <row r="252">
      <c r="A252" s="96" t="inlineStr">
        <is>
          <t>TIME 글로벌AI인공지능액티브</t>
        </is>
      </c>
      <c r="B252" s="96" t="inlineStr">
        <is>
          <t>456600</t>
        </is>
      </c>
      <c r="C252" s="96" t="inlineStr">
        <is>
          <t>타임폴리오자산운용</t>
        </is>
      </c>
      <c r="D252" s="97" t="n">
        <v>57895</v>
      </c>
      <c r="E252" s="97" t="n">
        <v>2081904200000</v>
      </c>
      <c r="F252" s="97" t="n">
        <v>22536209730</v>
      </c>
      <c r="G252" s="98" t="n">
        <v>0.008</v>
      </c>
      <c r="H252" s="98" t="n">
        <v>0.4096</v>
      </c>
      <c r="I252" s="98" t="n">
        <v>0.0008</v>
      </c>
      <c r="J252" s="98" t="n">
        <v>0.0004660000000000001</v>
      </c>
      <c r="K252" s="97" t="n">
        <v>1</v>
      </c>
      <c r="L252" s="99" t="inlineStr">
        <is>
          <t>20251229</t>
        </is>
      </c>
      <c r="M252" s="96" t="inlineStr">
        <is>
          <t>제외</t>
        </is>
      </c>
      <c r="N252" s="96" t="inlineStr">
        <is>
          <t>변동성 41.0%(1년 기준, 기준 35% 초과)</t>
        </is>
      </c>
      <c r="O252" s="96" t="inlineStr">
        <is>
          <t>Solactive Global Artificial Intelligence Index PR</t>
        </is>
      </c>
      <c r="P252" s="96" t="inlineStr">
        <is>
          <t>일반</t>
        </is>
      </c>
      <c r="Q252" s="96" t="inlineStr">
        <is>
          <t>주식</t>
        </is>
      </c>
      <c r="R252" s="96" t="inlineStr">
        <is>
          <t>연배당</t>
        </is>
      </c>
      <c r="S252" s="97" t="n">
        <v>1</v>
      </c>
      <c r="T252" s="98" t="n">
        <v>1</v>
      </c>
      <c r="U252">
        <f>IF(AND($J252&lt;&gt;"",OR(조회_주기="전체",$R252=조회_주기),$J252&gt;=조회_최소,$J252&lt;=조회_최대),1,0)</f>
        <v/>
      </c>
      <c r="V252">
        <f>IF($U252=1,$V251+1,$V251)</f>
        <v/>
      </c>
      <c r="W252">
        <f>IF(검색어="",1,IF(ISNUMBER(SEARCH(검색어,$A252)),1,0))</f>
        <v/>
      </c>
      <c r="X252">
        <f>IF($W252=1,$X251+1,$X251)</f>
        <v/>
      </c>
      <c r="Y252">
        <f>IFERROR(INDEX($A$4:$A$253,MATCH(249,$X$4:$X$253,0)),"")</f>
        <v/>
      </c>
    </row>
    <row r="253">
      <c r="A253" s="96" t="inlineStr">
        <is>
          <t>TIGER 반도체TOP10레버리지</t>
        </is>
      </c>
      <c r="B253" s="96" t="inlineStr">
        <is>
          <t>488080</t>
        </is>
      </c>
      <c r="C253" s="96" t="inlineStr">
        <is>
          <t>미래에셋자산운용</t>
        </is>
      </c>
      <c r="D253" s="97" t="n">
        <v>34460</v>
      </c>
      <c r="E253" s="97" t="n">
        <v>618557000000</v>
      </c>
      <c r="F253" s="97" t="n">
        <v>126871996217</v>
      </c>
      <c r="G253" s="98" t="n">
        <v>0.0049</v>
      </c>
      <c r="H253" s="98" t="n">
        <v>1.4706</v>
      </c>
      <c r="I253" s="98" t="n">
        <v>0.0004</v>
      </c>
      <c r="J253" s="98" t="n">
        <v>0.000174</v>
      </c>
      <c r="K253" s="97" t="n">
        <v>1</v>
      </c>
      <c r="L253" s="99" t="inlineStr">
        <is>
          <t>20251229</t>
        </is>
      </c>
      <c r="M253" s="96" t="inlineStr">
        <is>
          <t>제외</t>
        </is>
      </c>
      <c r="N253" s="96" t="inlineStr">
        <is>
          <t>변동성 147.1%(1년 기준, 기준 35% 초과)</t>
        </is>
      </c>
      <c r="O253" s="96" t="inlineStr">
        <is>
          <t>FnGuide 반도체 TOP10 지수</t>
        </is>
      </c>
      <c r="P253" s="96" t="inlineStr">
        <is>
          <t>일반</t>
        </is>
      </c>
      <c r="Q253" s="96" t="inlineStr">
        <is>
          <t>주식</t>
        </is>
      </c>
      <c r="R253" s="96" t="inlineStr">
        <is>
          <t>연배당</t>
        </is>
      </c>
      <c r="S253" s="97" t="n">
        <v>1</v>
      </c>
      <c r="T253" s="98" t="n">
        <v>0</v>
      </c>
      <c r="U253">
        <f>IF(AND($J253&lt;&gt;"",OR(조회_주기="전체",$R253=조회_주기),$J253&gt;=조회_최소,$J253&lt;=조회_최대),1,0)</f>
        <v/>
      </c>
      <c r="V253">
        <f>IF($U253=1,$V252+1,$V252)</f>
        <v/>
      </c>
      <c r="W253">
        <f>IF(검색어="",1,IF(ISNUMBER(SEARCH(검색어,$A253)),1,0))</f>
        <v/>
      </c>
      <c r="X253">
        <f>IF($W253=1,$X252+1,$X252)</f>
        <v/>
      </c>
      <c r="Y253">
        <f>IFERROR(INDEX($A$4:$A$253,MATCH(250,$X$4:$X$253,0)),"")</f>
        <v/>
      </c>
    </row>
    <row r="254">
      <c r="A254" s="96" t="inlineStr">
        <is>
          <t>KODEX 삼성전자SK하이닉스채권혼합50</t>
        </is>
      </c>
      <c r="B254" s="96" t="inlineStr">
        <is>
          <t>0177N0</t>
        </is>
      </c>
      <c r="C254" s="96" t="inlineStr">
        <is>
          <t>삼성자산운용(ETF)</t>
        </is>
      </c>
      <c r="D254" s="97" t="n">
        <v>14350</v>
      </c>
      <c r="E254" s="97" t="n">
        <v>1548365000000</v>
      </c>
      <c r="F254" s="97" t="n">
        <v>81162656630</v>
      </c>
      <c r="G254" s="98" t="n">
        <v>0.0007000000000000001</v>
      </c>
      <c r="H254" s="98" t="n">
        <v>0.4829</v>
      </c>
      <c r="I254" s="98" t="n">
        <v>0.0016</v>
      </c>
      <c r="J254" s="98" t="n"/>
      <c r="K254" s="97" t="n">
        <v>5</v>
      </c>
      <c r="L254" s="99" t="inlineStr">
        <is>
          <t>20260914</t>
        </is>
      </c>
      <c r="M254" s="96" t="inlineStr">
        <is>
          <t>제외</t>
        </is>
      </c>
      <c r="N254" s="96" t="inlineStr">
        <is>
          <t>변동성 48.3%(113거래일 기준, 기준 35% 초과), 상장 5개월(기준 12개월 미만), 연 분배율 산출 불가(상장 1년 미만 — 12개월 창이 안 채워짐)</t>
        </is>
      </c>
      <c r="O254" s="96" t="inlineStr">
        <is>
          <t>Wise 삼성전자 SK하이닉스 채권혼합 지수</t>
        </is>
      </c>
      <c r="P254" s="96" t="inlineStr">
        <is>
          <t>일반</t>
        </is>
      </c>
      <c r="Q254" s="96" t="inlineStr">
        <is>
          <t>멀티에셋</t>
        </is>
      </c>
      <c r="R254" s="96" t="inlineStr">
        <is>
          <t>판정 불가</t>
        </is>
      </c>
      <c r="S254" s="97" t="n">
        <v>5</v>
      </c>
      <c r="T254" s="98" t="n"/>
    </row>
    <row r="255">
      <c r="A255" s="96" t="inlineStr">
        <is>
          <t>TIGER 반도체TOP10커버드콜액티브</t>
        </is>
      </c>
      <c r="B255" s="96" t="inlineStr">
        <is>
          <t>0177R0</t>
        </is>
      </c>
      <c r="C255" s="96" t="inlineStr">
        <is>
          <t>미래에셋자산운용</t>
        </is>
      </c>
      <c r="D255" s="97" t="n">
        <v>11245</v>
      </c>
      <c r="E255" s="97" t="n">
        <v>838877000000</v>
      </c>
      <c r="F255" s="97" t="n">
        <v>30318751527</v>
      </c>
      <c r="G255" s="98" t="n">
        <v>0.004500000000000001</v>
      </c>
      <c r="H255" s="98" t="n">
        <v>0.9062</v>
      </c>
      <c r="I255" s="98" t="n">
        <v>0.0155</v>
      </c>
      <c r="J255" s="98" t="n"/>
      <c r="K255" s="97" t="n">
        <v>5</v>
      </c>
      <c r="L255" s="99" t="inlineStr">
        <is>
          <t>20260914</t>
        </is>
      </c>
      <c r="M255" s="96" t="inlineStr">
        <is>
          <t>제외</t>
        </is>
      </c>
      <c r="N255" s="96" t="inlineStr">
        <is>
          <t>변동성 90.6%(103거래일 기준, 기준 35% 초과), 상장 5개월(기준 12개월 미만), 연 분배율 산출 불가(상장 1년 미만 — 12개월 창이 안 채워짐)</t>
        </is>
      </c>
      <c r="O255" s="96" t="inlineStr">
        <is>
          <t>FnGuide 반도체 TOP10 Capped 지수</t>
        </is>
      </c>
      <c r="P255" s="96" t="inlineStr">
        <is>
          <t>커버드콜</t>
        </is>
      </c>
      <c r="Q255" s="96" t="inlineStr">
        <is>
          <t>주식</t>
        </is>
      </c>
      <c r="R255" s="96" t="inlineStr">
        <is>
          <t>판정 불가</t>
        </is>
      </c>
      <c r="S255" s="97" t="n">
        <v>5</v>
      </c>
      <c r="T255" s="98" t="n"/>
    </row>
    <row r="256">
      <c r="A256" s="96" t="inlineStr">
        <is>
          <t>KODEX 200커버드콜액티브</t>
        </is>
      </c>
      <c r="B256" s="96" t="inlineStr">
        <is>
          <t>0219E0</t>
        </is>
      </c>
      <c r="C256" s="96" t="inlineStr">
        <is>
          <t>삼성자산운용(ETF)</t>
        </is>
      </c>
      <c r="D256" s="97" t="n">
        <v>8405</v>
      </c>
      <c r="E256" s="97" t="n">
        <v>803518000000</v>
      </c>
      <c r="F256" s="97" t="n">
        <v>45822690062</v>
      </c>
      <c r="G256" s="98" t="n">
        <v>0.005</v>
      </c>
      <c r="H256" s="98" t="n"/>
      <c r="I256" s="98" t="n">
        <v>0.0193</v>
      </c>
      <c r="J256" s="98" t="n"/>
      <c r="K256" s="97" t="n">
        <v>2</v>
      </c>
      <c r="L256" s="99" t="inlineStr">
        <is>
          <t>20260828</t>
        </is>
      </c>
      <c r="M256" s="96" t="inlineStr">
        <is>
          <t>제외</t>
        </is>
      </c>
      <c r="N256" s="96" t="inlineStr">
        <is>
          <t>변동성 산출 불가(시세 47일치뿐), 상장 2개월(기준 12개월 미만), 연 분배율 산출 불가(상장 1년 미만 — 12개월 창이 안 채워짐)</t>
        </is>
      </c>
      <c r="O256" s="96" t="inlineStr">
        <is>
          <t>코스피 200 커버드콜 5% OTM</t>
        </is>
      </c>
      <c r="P256" s="96" t="inlineStr">
        <is>
          <t>커버드콜</t>
        </is>
      </c>
      <c r="Q256" s="96" t="inlineStr">
        <is>
          <t>주식</t>
        </is>
      </c>
      <c r="R256" s="96" t="inlineStr">
        <is>
          <t>판정 불가</t>
        </is>
      </c>
      <c r="S256" s="97" t="n">
        <v>2</v>
      </c>
      <c r="T256" s="98" t="n"/>
    </row>
    <row r="257">
      <c r="A257" s="96" t="inlineStr">
        <is>
          <t>SOL 200타겟위클리커버드콜</t>
        </is>
      </c>
      <c r="B257" s="96" t="inlineStr">
        <is>
          <t>0167B0</t>
        </is>
      </c>
      <c r="C257" s="96" t="inlineStr">
        <is>
          <t>신한자산운용</t>
        </is>
      </c>
      <c r="D257" s="97" t="n">
        <v>11795</v>
      </c>
      <c r="E257" s="97" t="n">
        <v>649904500000</v>
      </c>
      <c r="F257" s="97" t="n">
        <v>19491327911</v>
      </c>
      <c r="G257" s="98" t="n">
        <v>0.003</v>
      </c>
      <c r="H257" s="98" t="n">
        <v>0.6897</v>
      </c>
      <c r="I257" s="98" t="n">
        <v>0.0139</v>
      </c>
      <c r="J257" s="98" t="n"/>
      <c r="K257" s="97" t="n">
        <v>5</v>
      </c>
      <c r="L257" s="99" t="inlineStr">
        <is>
          <t>20260828</t>
        </is>
      </c>
      <c r="M257" s="96" t="inlineStr">
        <is>
          <t>제외</t>
        </is>
      </c>
      <c r="N257" s="96" t="inlineStr">
        <is>
          <t>변동성 69.0%(128거래일 기준, 기준 35% 초과), 상장 6개월(기준 12개월 미만), 연 분배율 산출 불가(상장 1년 미만 — 12개월 창이 안 채워짐)</t>
        </is>
      </c>
      <c r="O257" s="96" t="inlineStr">
        <is>
          <t>코스피 200 타겟 15% 위클리 커버드콜 지수</t>
        </is>
      </c>
      <c r="P257" s="96" t="inlineStr">
        <is>
          <t>커버드콜</t>
        </is>
      </c>
      <c r="Q257" s="96" t="inlineStr">
        <is>
          <t>주식</t>
        </is>
      </c>
      <c r="R257" s="96" t="inlineStr">
        <is>
          <t>판정 불가</t>
        </is>
      </c>
      <c r="S257" s="97" t="n">
        <v>5</v>
      </c>
      <c r="T257" s="98" t="n"/>
    </row>
    <row r="258">
      <c r="A258" s="96" t="inlineStr">
        <is>
          <t>SOL 코리아고배당</t>
        </is>
      </c>
      <c r="B258" s="96" t="inlineStr">
        <is>
          <t>0105E0</t>
        </is>
      </c>
      <c r="C258" s="96" t="inlineStr">
        <is>
          <t>신한자산운용</t>
        </is>
      </c>
      <c r="D258" s="97" t="n">
        <v>12865</v>
      </c>
      <c r="E258" s="97" t="n">
        <v>531324500000</v>
      </c>
      <c r="F258" s="97" t="n">
        <v>6614519623</v>
      </c>
      <c r="G258" s="98" t="n">
        <v>0.0015</v>
      </c>
      <c r="H258" s="98" t="n">
        <v>0.3049</v>
      </c>
      <c r="I258" s="98" t="n">
        <v>0.0046</v>
      </c>
      <c r="J258" s="98" t="n"/>
      <c r="K258" s="97" t="n">
        <v>11</v>
      </c>
      <c r="L258" s="99" t="inlineStr">
        <is>
          <t>20260914</t>
        </is>
      </c>
      <c r="M258" s="96" t="inlineStr">
        <is>
          <t>제외</t>
        </is>
      </c>
      <c r="N258" s="96" t="inlineStr">
        <is>
          <t>연 분배율 산출 불가(상장 1년 미만 — 12개월 창이 안 채워짐)</t>
        </is>
      </c>
      <c r="O258" s="96" t="inlineStr">
        <is>
          <t>FnGuide 코리아 고배당 지수</t>
        </is>
      </c>
      <c r="P258" s="96" t="inlineStr">
        <is>
          <t>일반</t>
        </is>
      </c>
      <c r="Q258" s="96" t="inlineStr">
        <is>
          <t>주식</t>
        </is>
      </c>
      <c r="R258" s="96" t="inlineStr">
        <is>
          <t>월배당</t>
        </is>
      </c>
      <c r="S258" s="97" t="n">
        <v>11</v>
      </c>
      <c r="T258" s="98" t="n"/>
    </row>
    <row r="259">
      <c r="A259" s="96" t="inlineStr">
        <is>
          <t>KODEX 미국성장커버드콜액티브</t>
        </is>
      </c>
      <c r="B259" s="96" t="inlineStr">
        <is>
          <t>0144L0</t>
        </is>
      </c>
      <c r="C259" s="96" t="inlineStr">
        <is>
          <t>삼성자산운용(ETF)</t>
        </is>
      </c>
      <c r="D259" s="97" t="n">
        <v>9535</v>
      </c>
      <c r="E259" s="97" t="n">
        <v>348027500000</v>
      </c>
      <c r="F259" s="97" t="n">
        <v>2369211347</v>
      </c>
      <c r="G259" s="98" t="n">
        <v>0.0049</v>
      </c>
      <c r="H259" s="98" t="n">
        <v>0.1821</v>
      </c>
      <c r="I259" s="98" t="n">
        <v>0.009899999999999999</v>
      </c>
      <c r="J259" s="98" t="n"/>
      <c r="K259" s="97" t="n">
        <v>8</v>
      </c>
      <c r="L259" s="99" t="inlineStr">
        <is>
          <t>20260828</t>
        </is>
      </c>
      <c r="M259" s="96" t="inlineStr">
        <is>
          <t>제외</t>
        </is>
      </c>
      <c r="N259" s="96" t="inlineStr">
        <is>
          <t>상장 9개월(기준 12개월 미만), 연 분배율 산출 불가(상장 1년 미만 — 12개월 창이 안 채워짐)</t>
        </is>
      </c>
      <c r="O259" s="96" t="inlineStr">
        <is>
          <t>나스닥 100</t>
        </is>
      </c>
      <c r="P259" s="96" t="inlineStr">
        <is>
          <t>커버드콜</t>
        </is>
      </c>
      <c r="Q259" s="96" t="inlineStr">
        <is>
          <t>주식</t>
        </is>
      </c>
      <c r="R259" s="96" t="inlineStr">
        <is>
          <t>판정 불가</t>
        </is>
      </c>
      <c r="S259" s="97" t="n">
        <v>8</v>
      </c>
      <c r="T259" s="98" t="n"/>
    </row>
    <row r="260">
      <c r="A260" s="96" t="inlineStr">
        <is>
          <t>KIWOOM 삼성전자&amp;SK하이닉스채권혼합50</t>
        </is>
      </c>
      <c r="B260" s="96" t="inlineStr">
        <is>
          <t>0183V0</t>
        </is>
      </c>
      <c r="C260" s="96" t="inlineStr">
        <is>
          <t>키움투자자산운용</t>
        </is>
      </c>
      <c r="D260" s="97" t="n">
        <v>11810</v>
      </c>
      <c r="E260" s="97" t="n">
        <v>265725000000</v>
      </c>
      <c r="F260" s="97" t="n">
        <v>12498614977</v>
      </c>
      <c r="G260" s="98" t="n">
        <v>0.0007000000000000001</v>
      </c>
      <c r="H260" s="98" t="n">
        <v>0.4991</v>
      </c>
      <c r="I260" s="98" t="n">
        <v>0.0126</v>
      </c>
      <c r="J260" s="98" t="n"/>
      <c r="K260" s="97" t="n">
        <v>5</v>
      </c>
      <c r="L260" s="99" t="inlineStr">
        <is>
          <t>20260914</t>
        </is>
      </c>
      <c r="M260" s="96" t="inlineStr">
        <is>
          <t>제외</t>
        </is>
      </c>
      <c r="N260" s="96" t="inlineStr">
        <is>
          <t>변동성 49.9%(103거래일 기준, 기준 35% 초과), 상장 5개월(기준 12개월 미만), 연 분배율 산출 불가(상장 1년 미만 — 12개월 창이 안 채워짐)</t>
        </is>
      </c>
      <c r="O260" s="96" t="inlineStr">
        <is>
          <t>FnGuide 삼성전자 &amp; SK하이닉스 채권혼합 지수</t>
        </is>
      </c>
      <c r="P260" s="96" t="inlineStr">
        <is>
          <t>일반</t>
        </is>
      </c>
      <c r="Q260" s="96" t="inlineStr">
        <is>
          <t>멀티에셋</t>
        </is>
      </c>
      <c r="R260" s="96" t="inlineStr">
        <is>
          <t>판정 불가</t>
        </is>
      </c>
      <c r="S260" s="97" t="n">
        <v>5</v>
      </c>
      <c r="T260" s="98" t="n"/>
    </row>
    <row r="261">
      <c r="A261" s="96" t="inlineStr">
        <is>
          <t>TIGER 200타겟위클리커버드콜</t>
        </is>
      </c>
      <c r="B261" s="96" t="inlineStr">
        <is>
          <t>0104N0</t>
        </is>
      </c>
      <c r="C261" s="96" t="inlineStr">
        <is>
          <t>미래에셋자산운용</t>
        </is>
      </c>
      <c r="D261" s="97" t="n">
        <v>20900</v>
      </c>
      <c r="E261" s="97" t="n">
        <v>215270000000</v>
      </c>
      <c r="F261" s="97" t="n">
        <v>3051690313</v>
      </c>
      <c r="G261" s="98" t="n">
        <v>0.0025</v>
      </c>
      <c r="H261" s="98" t="n">
        <v>0.5893</v>
      </c>
      <c r="I261" s="98" t="n">
        <v>0.0059</v>
      </c>
      <c r="J261" s="98" t="n"/>
      <c r="K261" s="97" t="n">
        <v>12</v>
      </c>
      <c r="L261" s="99" t="inlineStr">
        <is>
          <t>20260914</t>
        </is>
      </c>
      <c r="M261" s="96" t="inlineStr">
        <is>
          <t>제외</t>
        </is>
      </c>
      <c r="N261" s="96" t="inlineStr">
        <is>
          <t>변동성 58.9%(1년 기준, 기준 35% 초과), 연 분배율 산출 불가(상장 1년 미만 — 12개월 창이 안 채워짐)</t>
        </is>
      </c>
      <c r="O261" s="96" t="inlineStr">
        <is>
          <t>코스피 200 타겟 7% 위클리 커버드콜 지수</t>
        </is>
      </c>
      <c r="P261" s="96" t="inlineStr">
        <is>
          <t>커버드콜</t>
        </is>
      </c>
      <c r="Q261" s="96" t="inlineStr">
        <is>
          <t>주식</t>
        </is>
      </c>
      <c r="R261" s="96" t="inlineStr">
        <is>
          <t>월배당</t>
        </is>
      </c>
      <c r="S261" s="97" t="n">
        <v>12</v>
      </c>
      <c r="T261" s="98" t="n"/>
    </row>
    <row r="262">
      <c r="A262" s="96" t="inlineStr">
        <is>
          <t>KODEX 반도체타겟위클리커버드콜</t>
        </is>
      </c>
      <c r="B262" s="96" t="inlineStr">
        <is>
          <t>0190G0</t>
        </is>
      </c>
      <c r="C262" s="96" t="inlineStr">
        <is>
          <t>삼성자산운용(ETF)</t>
        </is>
      </c>
      <c r="D262" s="97" t="n">
        <v>9030</v>
      </c>
      <c r="E262" s="97" t="n">
        <v>172473000000</v>
      </c>
      <c r="F262" s="97" t="n">
        <v>8060743784</v>
      </c>
      <c r="G262" s="98" t="n">
        <v>0.004500000000000001</v>
      </c>
      <c r="H262" s="98" t="n">
        <v>0.85</v>
      </c>
      <c r="I262" s="98" t="n">
        <v>0.0074</v>
      </c>
      <c r="J262" s="98" t="n"/>
      <c r="K262" s="97" t="n">
        <v>4</v>
      </c>
      <c r="L262" s="99" t="inlineStr">
        <is>
          <t>20260828</t>
        </is>
      </c>
      <c r="M262" s="96" t="inlineStr">
        <is>
          <t>제외</t>
        </is>
      </c>
      <c r="N262" s="96" t="inlineStr">
        <is>
          <t>변동성 85.0%(90거래일 기준, 기준 35% 초과), 상장 4개월(기준 12개월 미만), 연 분배율 산출 불가(상장 1년 미만 — 12개월 창이 안 채워짐)</t>
        </is>
      </c>
      <c r="O262" s="96" t="inlineStr">
        <is>
          <t>KRX 반도체 타겟 9% 분배 위클리 커버드콜 지수</t>
        </is>
      </c>
      <c r="P262" s="96" t="inlineStr">
        <is>
          <t>커버드콜</t>
        </is>
      </c>
      <c r="Q262" s="96" t="inlineStr">
        <is>
          <t>주식</t>
        </is>
      </c>
      <c r="R262" s="96" t="inlineStr">
        <is>
          <t>판정 불가</t>
        </is>
      </c>
      <c r="S262" s="97" t="n">
        <v>4</v>
      </c>
      <c r="T262" s="98" t="n"/>
    </row>
    <row r="263">
      <c r="A263" s="96" t="inlineStr">
        <is>
          <t>KODEX 주주환원고배당주</t>
        </is>
      </c>
      <c r="B263" s="96" t="inlineStr">
        <is>
          <t>0153K0</t>
        </is>
      </c>
      <c r="C263" s="96" t="inlineStr">
        <is>
          <t>삼성자산운용(ETF)</t>
        </is>
      </c>
      <c r="D263" s="97" t="n">
        <v>12195</v>
      </c>
      <c r="E263" s="97" t="n">
        <v>146340000000</v>
      </c>
      <c r="F263" s="97" t="n">
        <v>2383333263</v>
      </c>
      <c r="G263" s="98" t="n">
        <v>0.0033</v>
      </c>
      <c r="H263" s="98" t="n">
        <v>0.3532</v>
      </c>
      <c r="I263" s="98" t="n">
        <v>0.0038</v>
      </c>
      <c r="J263" s="98" t="n"/>
      <c r="K263" s="97" t="n">
        <v>7</v>
      </c>
      <c r="L263" s="99" t="inlineStr">
        <is>
          <t>20260914</t>
        </is>
      </c>
      <c r="M263" s="96" t="inlineStr">
        <is>
          <t>제외</t>
        </is>
      </c>
      <c r="N263" s="96" t="inlineStr">
        <is>
          <t>변동성 35.3%(164거래일 기준, 기준 35% 초과), 상장 8개월(기준 12개월 미만), 연 분배율 산출 불가(상장 1년 미만 — 12개월 창이 안 채워짐)</t>
        </is>
      </c>
      <c r="O263" s="96" t="inlineStr">
        <is>
          <t>Akros 주주환원 고배당 지수</t>
        </is>
      </c>
      <c r="P263" s="96" t="inlineStr">
        <is>
          <t>일반</t>
        </is>
      </c>
      <c r="Q263" s="96" t="inlineStr">
        <is>
          <t>주식</t>
        </is>
      </c>
      <c r="R263" s="96" t="inlineStr">
        <is>
          <t>판정 불가</t>
        </is>
      </c>
      <c r="S263" s="97" t="n">
        <v>7</v>
      </c>
      <c r="T263" s="98" t="n"/>
    </row>
    <row r="264">
      <c r="A264" s="96" t="inlineStr">
        <is>
          <t>ACE 고배당주Plus커버드콜액티브</t>
        </is>
      </c>
      <c r="B264" s="96" t="inlineStr">
        <is>
          <t>0199C0</t>
        </is>
      </c>
      <c r="C264" s="96" t="inlineStr">
        <is>
          <t>한국투신운용(ETF)</t>
        </is>
      </c>
      <c r="D264" s="97" t="n">
        <v>9220</v>
      </c>
      <c r="E264" s="97" t="n">
        <v>138761000000</v>
      </c>
      <c r="F264" s="97" t="n">
        <v>6338087149</v>
      </c>
      <c r="G264" s="98" t="n">
        <v>0.004</v>
      </c>
      <c r="H264" s="98" t="n">
        <v>0.3551</v>
      </c>
      <c r="I264" s="98" t="n">
        <v>0.0179</v>
      </c>
      <c r="J264" s="98" t="n"/>
      <c r="K264" s="97" t="n">
        <v>3</v>
      </c>
      <c r="L264" s="99" t="inlineStr">
        <is>
          <t>20260828</t>
        </is>
      </c>
      <c r="M264" s="96" t="inlineStr">
        <is>
          <t>제외</t>
        </is>
      </c>
      <c r="N264" s="96" t="inlineStr">
        <is>
          <t>변동성 35.5%(76거래일 기준, 기준 35% 초과), 상장 3개월(기준 12개월 미만), 연 분배율 산출 불가(상장 1년 미만 — 12개월 창이 안 채워짐)</t>
        </is>
      </c>
      <c r="O264" s="96" t="inlineStr">
        <is>
          <t>KRX-Akros 고배당주 20 위클리 고정 30% 커버드콜 지수</t>
        </is>
      </c>
      <c r="P264" s="96" t="inlineStr">
        <is>
          <t>커버드콜</t>
        </is>
      </c>
      <c r="Q264" s="96" t="inlineStr">
        <is>
          <t>주식</t>
        </is>
      </c>
      <c r="R264" s="96" t="inlineStr">
        <is>
          <t>판정 불가</t>
        </is>
      </c>
      <c r="S264" s="97" t="n">
        <v>3</v>
      </c>
      <c r="T264" s="98" t="n"/>
    </row>
    <row r="265">
      <c r="A265" s="96" t="inlineStr">
        <is>
          <t>PLUS 테슬라위클리커버드콜채권혼합</t>
        </is>
      </c>
      <c r="B265" s="96" t="inlineStr">
        <is>
          <t>0132K0</t>
        </is>
      </c>
      <c r="C265" s="96" t="inlineStr">
        <is>
          <t>한화자산운용</t>
        </is>
      </c>
      <c r="D265" s="97" t="n">
        <v>7935</v>
      </c>
      <c r="E265" s="97" t="n">
        <v>109899750000</v>
      </c>
      <c r="F265" s="97" t="n">
        <v>1260751690</v>
      </c>
      <c r="G265" s="98" t="n">
        <v>0.0039</v>
      </c>
      <c r="H265" s="98" t="n">
        <v>0.1301</v>
      </c>
      <c r="I265" s="98" t="n">
        <v>0.02</v>
      </c>
      <c r="J265" s="98" t="n"/>
      <c r="K265" s="97" t="n">
        <v>10</v>
      </c>
      <c r="L265" s="99" t="inlineStr">
        <is>
          <t>20260914</t>
        </is>
      </c>
      <c r="M265" s="96" t="inlineStr">
        <is>
          <t>제외</t>
        </is>
      </c>
      <c r="N265" s="96" t="inlineStr">
        <is>
          <t>상장 9개월(기준 12개월 미만), 연 분배율 산출 불가(상장 1년 미만 — 12개월 창이 안 채워짐)</t>
        </is>
      </c>
      <c r="O265" s="96" t="inlineStr">
        <is>
          <t>Akros Tesla Weekly Covered Call Treasury Balanced Index</t>
        </is>
      </c>
      <c r="P265" s="96" t="inlineStr">
        <is>
          <t>커버드콜</t>
        </is>
      </c>
      <c r="Q265" s="96" t="inlineStr">
        <is>
          <t>멀티에셋</t>
        </is>
      </c>
      <c r="R265" s="96" t="inlineStr">
        <is>
          <t>판정 불가</t>
        </is>
      </c>
      <c r="S265" s="97" t="n">
        <v>10</v>
      </c>
      <c r="T265" s="98" t="n"/>
    </row>
    <row r="266">
      <c r="A266" s="96" t="inlineStr">
        <is>
          <t>KIWOOM 코스닥150커버드콜액티브</t>
        </is>
      </c>
      <c r="B266" s="96" t="inlineStr">
        <is>
          <t>0198A0</t>
        </is>
      </c>
      <c r="C266" s="96" t="inlineStr">
        <is>
          <t>키움투자자산운용</t>
        </is>
      </c>
      <c r="D266" s="97" t="n">
        <v>8580</v>
      </c>
      <c r="E266" s="97" t="n">
        <v>76362000000</v>
      </c>
      <c r="F266" s="97" t="n">
        <v>4895523500</v>
      </c>
      <c r="G266" s="98" t="n">
        <v>0.0063</v>
      </c>
      <c r="H266" s="98" t="n"/>
      <c r="I266" s="98" t="n">
        <v>0.0243</v>
      </c>
      <c r="J266" s="98" t="n"/>
      <c r="K266" s="97" t="n">
        <v>2</v>
      </c>
      <c r="L266" s="99" t="inlineStr">
        <is>
          <t>20260828</t>
        </is>
      </c>
      <c r="M266" s="96" t="inlineStr">
        <is>
          <t>제외</t>
        </is>
      </c>
      <c r="N266" s="96" t="inlineStr">
        <is>
          <t>변동성 산출 불가(시세 57일치뿐), 상장 3개월(기준 12개월 미만), 연 분배율 산출 불가(상장 1년 미만 — 12개월 창이 안 채워짐)</t>
        </is>
      </c>
      <c r="O266" s="96" t="inlineStr">
        <is>
          <t>코스닥 150 위클리 고정 30% 커버드콜 지수</t>
        </is>
      </c>
      <c r="P266" s="96" t="inlineStr">
        <is>
          <t>커버드콜</t>
        </is>
      </c>
      <c r="Q266" s="96" t="inlineStr">
        <is>
          <t>주식</t>
        </is>
      </c>
      <c r="R266" s="96" t="inlineStr">
        <is>
          <t>판정 불가</t>
        </is>
      </c>
      <c r="S266" s="97" t="n">
        <v>2</v>
      </c>
      <c r="T266" s="98" t="n"/>
    </row>
    <row r="267">
      <c r="A267" s="96" t="inlineStr">
        <is>
          <t>PLUS 200커버드콜액티브</t>
        </is>
      </c>
      <c r="B267" s="96" t="inlineStr">
        <is>
          <t>0210E0</t>
        </is>
      </c>
      <c r="C267" s="96" t="inlineStr">
        <is>
          <t>한화자산운용</t>
        </is>
      </c>
      <c r="D267" s="97" t="n">
        <v>7345</v>
      </c>
      <c r="E267" s="97" t="n">
        <v>71246500000</v>
      </c>
      <c r="F267" s="97" t="n">
        <v>2494835272</v>
      </c>
      <c r="G267" s="98" t="n">
        <v>0.00491</v>
      </c>
      <c r="H267" s="98" t="n">
        <v>0.7572</v>
      </c>
      <c r="I267" s="98" t="n">
        <v>0.0194</v>
      </c>
      <c r="J267" s="98" t="n"/>
      <c r="K267" s="97" t="n">
        <v>2</v>
      </c>
      <c r="L267" s="99" t="inlineStr">
        <is>
          <t>20260828</t>
        </is>
      </c>
      <c r="M267" s="96" t="inlineStr">
        <is>
          <t>제외</t>
        </is>
      </c>
      <c r="N267" s="96" t="inlineStr">
        <is>
          <t>변동성 75.7%(62거래일 기준, 기준 35% 초과), 상장 3개월(기준 12개월 미만), 연 분배율 산출 불가(상장 1년 미만 — 12개월 창이 안 채워짐)</t>
        </is>
      </c>
      <c r="O267" s="96" t="inlineStr">
        <is>
          <t>코스피 200 위클리 고정 30% 커버드콜 지수</t>
        </is>
      </c>
      <c r="P267" s="96" t="inlineStr">
        <is>
          <t>커버드콜</t>
        </is>
      </c>
      <c r="Q267" s="96" t="inlineStr">
        <is>
          <t>주식</t>
        </is>
      </c>
      <c r="R267" s="96" t="inlineStr">
        <is>
          <t>판정 불가</t>
        </is>
      </c>
      <c r="S267" s="97" t="n">
        <v>2</v>
      </c>
      <c r="T267" s="98" t="n"/>
    </row>
    <row r="268">
      <c r="A268" s="96" t="inlineStr">
        <is>
          <t>HANARO 증권고배당TOP3플러스</t>
        </is>
      </c>
      <c r="B268" s="96" t="inlineStr">
        <is>
          <t>0111J0</t>
        </is>
      </c>
      <c r="C268" s="96" t="inlineStr">
        <is>
          <t>NH-Amundi자산운용</t>
        </is>
      </c>
      <c r="D268" s="97" t="n">
        <v>12030</v>
      </c>
      <c r="E268" s="97" t="n">
        <v>52330500000</v>
      </c>
      <c r="F268" s="97" t="n">
        <v>1756150048</v>
      </c>
      <c r="G268" s="98" t="n">
        <v>0.0007000000000000001</v>
      </c>
      <c r="H268" s="98" t="n">
        <v>0.6384000000000001</v>
      </c>
      <c r="I268" s="98" t="n">
        <v>0.0032</v>
      </c>
      <c r="J268" s="98" t="n"/>
      <c r="K268" s="97" t="n">
        <v>8</v>
      </c>
      <c r="L268" s="99" t="inlineStr">
        <is>
          <t>20260828</t>
        </is>
      </c>
      <c r="M268" s="96" t="inlineStr">
        <is>
          <t>제외</t>
        </is>
      </c>
      <c r="N268" s="96" t="inlineStr">
        <is>
          <t>변동성 63.8%(1년 기준, 기준 35% 초과), 상장 11개월(기준 12개월 미만), 연 분배율 산출 불가(상장 1년 미만 — 12개월 창이 안 채워짐)</t>
        </is>
      </c>
      <c r="O268" s="96" t="inlineStr">
        <is>
          <t>FnGuide 증권 고배당 TOP3 플러스 지수</t>
        </is>
      </c>
      <c r="P268" s="96" t="inlineStr">
        <is>
          <t>일반</t>
        </is>
      </c>
      <c r="Q268" s="96" t="inlineStr">
        <is>
          <t>주식</t>
        </is>
      </c>
      <c r="R268" s="96" t="inlineStr">
        <is>
          <t>판정 불가</t>
        </is>
      </c>
      <c r="S268" s="97" t="n">
        <v>8</v>
      </c>
      <c r="T268" s="98" t="n"/>
    </row>
    <row r="269">
      <c r="A269" s="96" t="inlineStr">
        <is>
          <t>ACE 고배당주</t>
        </is>
      </c>
      <c r="B269" s="96" t="inlineStr">
        <is>
          <t>0139P0</t>
        </is>
      </c>
      <c r="C269" s="96" t="inlineStr">
        <is>
          <t>한국투신운용(ETF)</t>
        </is>
      </c>
      <c r="D269" s="97" t="n">
        <v>13445</v>
      </c>
      <c r="E269" s="97" t="n">
        <v>49746500000</v>
      </c>
      <c r="F269" s="97" t="n">
        <v>562800770</v>
      </c>
      <c r="G269" s="98" t="n">
        <v>0.0015</v>
      </c>
      <c r="H269" s="98" t="n">
        <v>0.3883</v>
      </c>
      <c r="I269" s="98" t="n">
        <v>0.0038</v>
      </c>
      <c r="J269" s="98" t="n"/>
      <c r="K269" s="97" t="n">
        <v>9</v>
      </c>
      <c r="L269" s="99" t="inlineStr">
        <is>
          <t>20260828</t>
        </is>
      </c>
      <c r="M269" s="96" t="inlineStr">
        <is>
          <t>제외</t>
        </is>
      </c>
      <c r="N269" s="96" t="inlineStr">
        <is>
          <t>변동성 38.8%(186거래일 기준, 기준 35% 초과), 상장 9개월(기준 12개월 미만), 연 분배율 산출 불가(상장 1년 미만 — 12개월 창이 안 채워짐)</t>
        </is>
      </c>
      <c r="O269" s="96" t="inlineStr">
        <is>
          <t>KRX-Akros 고배당주 20 지수</t>
        </is>
      </c>
      <c r="P269" s="96" t="inlineStr">
        <is>
          <t>일반</t>
        </is>
      </c>
      <c r="Q269" s="96" t="inlineStr">
        <is>
          <t>주식</t>
        </is>
      </c>
      <c r="R269" s="96" t="inlineStr">
        <is>
          <t>판정 불가</t>
        </is>
      </c>
      <c r="S269" s="97" t="n">
        <v>9</v>
      </c>
      <c r="T269" s="98" t="n"/>
    </row>
    <row r="270">
      <c r="A270" s="96" t="inlineStr">
        <is>
          <t>HANARO K고배당</t>
        </is>
      </c>
      <c r="B270" s="96" t="inlineStr">
        <is>
          <t>322410</t>
        </is>
      </c>
      <c r="C270" s="96" t="inlineStr">
        <is>
          <t>NH-Amundi자산운용</t>
        </is>
      </c>
      <c r="D270" s="97" t="n"/>
      <c r="E270" s="97" t="n"/>
      <c r="F270" s="97" t="n"/>
      <c r="G270" s="98" t="n"/>
      <c r="H270" s="98" t="n"/>
      <c r="I270" s="98" t="n"/>
      <c r="J270" s="98" t="n"/>
      <c r="K270" s="97" t="n"/>
      <c r="L270" s="99" t="n"/>
      <c r="M270" s="96" t="inlineStr">
        <is>
          <t>제외</t>
        </is>
      </c>
      <c r="N270" s="96" t="inlineStr">
        <is>
          <t>수집 실패(세 번 다시 물었으나 답이 오지 않음: HTTP 0)</t>
        </is>
      </c>
      <c r="O270" s="96" t="inlineStr"/>
      <c r="P270" s="96" t="inlineStr">
        <is>
          <t>일반</t>
        </is>
      </c>
      <c r="Q270" s="96" t="inlineStr"/>
      <c r="R270" s="96" t="inlineStr"/>
      <c r="S270" s="97" t="n"/>
      <c r="T270" s="98" t="n"/>
    </row>
    <row r="271">
      <c r="A271" s="96" t="inlineStr">
        <is>
          <t>KODEX 일본부동산리츠(H)</t>
        </is>
      </c>
      <c r="B271" s="96" t="inlineStr">
        <is>
          <t>352540</t>
        </is>
      </c>
      <c r="C271" s="96" t="inlineStr">
        <is>
          <t>삼성자산운용(ETF)</t>
        </is>
      </c>
      <c r="D271" s="97" t="n"/>
      <c r="E271" s="97" t="n"/>
      <c r="F271" s="97" t="n"/>
      <c r="G271" s="98" t="n"/>
      <c r="H271" s="98" t="n"/>
      <c r="I271" s="98" t="n"/>
      <c r="J271" s="98" t="n"/>
      <c r="K271" s="97" t="n"/>
      <c r="L271" s="99" t="n"/>
      <c r="M271" s="96" t="inlineStr">
        <is>
          <t>제외</t>
        </is>
      </c>
      <c r="N271" s="96" t="inlineStr">
        <is>
          <t>수집 실패(세 번 다시 물었으나 답이 오지 않음: HTTP 403)</t>
        </is>
      </c>
      <c r="O271" s="96" t="inlineStr"/>
      <c r="P271" s="96" t="inlineStr">
        <is>
          <t>일반</t>
        </is>
      </c>
      <c r="Q271" s="96" t="inlineStr"/>
      <c r="R271" s="96" t="inlineStr"/>
      <c r="S271" s="97" t="n"/>
      <c r="T271" s="98" t="n"/>
    </row>
    <row r="272">
      <c r="A272" s="96" t="inlineStr">
        <is>
          <t>PLUS 미국채30년액티브</t>
        </is>
      </c>
      <c r="B272" s="96" t="inlineStr">
        <is>
          <t>464470</t>
        </is>
      </c>
      <c r="C272" s="96" t="inlineStr">
        <is>
          <t>한화자산운용</t>
        </is>
      </c>
      <c r="D272" s="97" t="n"/>
      <c r="E272" s="97" t="n"/>
      <c r="F272" s="97" t="n"/>
      <c r="G272" s="98" t="n"/>
      <c r="H272" s="98" t="n"/>
      <c r="I272" s="98" t="n"/>
      <c r="J272" s="98" t="n"/>
      <c r="K272" s="97" t="n"/>
      <c r="L272" s="99" t="n"/>
      <c r="M272" s="96" t="inlineStr">
        <is>
          <t>제외</t>
        </is>
      </c>
      <c r="N272" s="96" t="inlineStr">
        <is>
          <t>수집 실패(세 번 다시 물었으나 답이 오지 않음: HTTP 0)</t>
        </is>
      </c>
      <c r="O272" s="96" t="inlineStr"/>
      <c r="P272" s="96" t="inlineStr">
        <is>
          <t>일반</t>
        </is>
      </c>
      <c r="Q272" s="96" t="inlineStr"/>
      <c r="R272" s="96" t="inlineStr"/>
      <c r="S272" s="97" t="n"/>
      <c r="T272" s="98" t="n"/>
    </row>
    <row r="273">
      <c r="A273" s="96" t="inlineStr">
        <is>
          <t>KoAct 고배당액티브</t>
        </is>
      </c>
      <c r="B273" s="96" t="inlineStr">
        <is>
          <t>0222D0</t>
        </is>
      </c>
      <c r="C273" s="96" t="inlineStr">
        <is>
          <t>삼성액티브자산(ETF)</t>
        </is>
      </c>
      <c r="D273" s="97" t="n">
        <v>10365</v>
      </c>
      <c r="E273" s="97" t="n">
        <v>36277500000</v>
      </c>
      <c r="F273" s="97" t="n"/>
      <c r="G273" s="98" t="n">
        <v>0.005</v>
      </c>
      <c r="H273" s="98" t="n"/>
      <c r="I273" s="98" t="n">
        <v>0.008100000000000001</v>
      </c>
      <c r="J273" s="98" t="n"/>
      <c r="K273" s="97" t="n">
        <v>1</v>
      </c>
      <c r="L273" s="99" t="inlineStr">
        <is>
          <t>20260828</t>
        </is>
      </c>
      <c r="M273" s="96" t="inlineStr">
        <is>
          <t>제외</t>
        </is>
      </c>
      <c r="N273" s="96" t="inlineStr">
        <is>
          <t>거래대금 미확인, 변동성 산출 불가(시세 38일치뿐), 상장 2개월(기준 12개월 미만), 연 분배율 산출 불가(상장 1년 미만 — 12개월 창이 안 채워짐)</t>
        </is>
      </c>
      <c r="O273" s="96" t="inlineStr">
        <is>
          <t>K200고배당</t>
        </is>
      </c>
      <c r="P273" s="96" t="inlineStr">
        <is>
          <t>일반</t>
        </is>
      </c>
      <c r="Q273" s="96" t="inlineStr">
        <is>
          <t>주식</t>
        </is>
      </c>
      <c r="R273" s="96" t="inlineStr">
        <is>
          <t>판정 불가</t>
        </is>
      </c>
      <c r="S273" s="97" t="n">
        <v>1</v>
      </c>
      <c r="T273" s="98" t="n"/>
    </row>
    <row r="274">
      <c r="A274" s="96" t="inlineStr">
        <is>
          <t>RISE 미국S&amp;P500데일리고정커버드콜</t>
        </is>
      </c>
      <c r="B274" s="96" t="inlineStr">
        <is>
          <t>0138T0</t>
        </is>
      </c>
      <c r="C274" s="96" t="inlineStr">
        <is>
          <t>KB자산운용</t>
        </is>
      </c>
      <c r="D274" s="97" t="n">
        <v>9400</v>
      </c>
      <c r="E274" s="97" t="n">
        <v>32900000000</v>
      </c>
      <c r="F274" s="97" t="n">
        <v>308427165</v>
      </c>
      <c r="G274" s="98" t="n">
        <v>0.0025</v>
      </c>
      <c r="H274" s="98" t="n">
        <v>0.1559</v>
      </c>
      <c r="I274" s="98" t="n">
        <v>0.008</v>
      </c>
      <c r="J274" s="98" t="n"/>
      <c r="K274" s="97" t="n">
        <v>10</v>
      </c>
      <c r="L274" s="99" t="inlineStr">
        <is>
          <t>20260914</t>
        </is>
      </c>
      <c r="M274" s="96" t="inlineStr">
        <is>
          <t>제외</t>
        </is>
      </c>
      <c r="N274" s="96" t="inlineStr">
        <is>
          <t>60일 거래대금 3.1억(기준 5억 미만), 상장 9개월(기준 12개월 미만), 연 분배율 산출 불가(상장 1년 미만 — 12개월 창이 안 채워짐)</t>
        </is>
      </c>
      <c r="O274" s="96" t="inlineStr">
        <is>
          <t>S&amp;P 500 10% Daily Fixed Covered Call Index (USD) TR</t>
        </is>
      </c>
      <c r="P274" s="96" t="inlineStr">
        <is>
          <t>커버드콜</t>
        </is>
      </c>
      <c r="Q274" s="96" t="inlineStr">
        <is>
          <t>주식</t>
        </is>
      </c>
      <c r="R274" s="96" t="inlineStr">
        <is>
          <t>판정 불가</t>
        </is>
      </c>
      <c r="S274" s="97" t="n">
        <v>10</v>
      </c>
      <c r="T274" s="98" t="n"/>
    </row>
    <row r="275">
      <c r="A275" s="96" t="inlineStr">
        <is>
          <t>KIWOOM 미국고배당&amp;AI테크</t>
        </is>
      </c>
      <c r="B275" s="96" t="inlineStr">
        <is>
          <t>0107F0</t>
        </is>
      </c>
      <c r="C275" s="96" t="inlineStr">
        <is>
          <t>키움투자자산운용</t>
        </is>
      </c>
      <c r="D275" s="97" t="n">
        <v>11280</v>
      </c>
      <c r="E275" s="97" t="n">
        <v>28764000000</v>
      </c>
      <c r="F275" s="97" t="n">
        <v>151824010</v>
      </c>
      <c r="G275" s="98" t="n">
        <v>0.004500000000000001</v>
      </c>
      <c r="H275" s="98" t="n">
        <v>0.1481</v>
      </c>
      <c r="I275" s="98" t="n">
        <v>0.003</v>
      </c>
      <c r="J275" s="98" t="n"/>
      <c r="K275" s="97" t="n">
        <v>11</v>
      </c>
      <c r="L275" s="99" t="inlineStr">
        <is>
          <t>20260828</t>
        </is>
      </c>
      <c r="M275" s="96" t="inlineStr">
        <is>
          <t>제외</t>
        </is>
      </c>
      <c r="N275" s="96" t="inlineStr">
        <is>
          <t>순자산 288억(기준 300억 미만), 60일 거래대금 1.5억(기준 5억 미만), 연 분배율 산출 불가(상장 1년 미만 — 12개월 창이 안 채워짐)</t>
        </is>
      </c>
      <c r="O275" s="96" t="inlineStr">
        <is>
          <t>Akros U.S. AI Tech Top10 &amp; High Dividend 3070 Index</t>
        </is>
      </c>
      <c r="P275" s="96" t="inlineStr">
        <is>
          <t>일반</t>
        </is>
      </c>
      <c r="Q275" s="96" t="inlineStr">
        <is>
          <t>주식</t>
        </is>
      </c>
      <c r="R275" s="96" t="inlineStr">
        <is>
          <t>월배당</t>
        </is>
      </c>
      <c r="S275" s="97" t="n">
        <v>11</v>
      </c>
      <c r="T275" s="98" t="n"/>
    </row>
    <row r="276">
      <c r="A276" s="96" t="inlineStr">
        <is>
          <t>1Q 엔비디아알파벳미국채혼합50</t>
        </is>
      </c>
      <c r="B276" s="96" t="inlineStr">
        <is>
          <t>0224X0</t>
        </is>
      </c>
      <c r="C276" s="96" t="inlineStr">
        <is>
          <t>하나자산운용</t>
        </is>
      </c>
      <c r="D276" s="97" t="n">
        <v>9840</v>
      </c>
      <c r="E276" s="97" t="n">
        <v>27552000000</v>
      </c>
      <c r="F276" s="97" t="n"/>
      <c r="G276" s="98" t="n">
        <v>0.004500000000000001</v>
      </c>
      <c r="H276" s="98" t="n"/>
      <c r="I276" s="98" t="n">
        <v>0.0012</v>
      </c>
      <c r="J276" s="98" t="n"/>
      <c r="K276" s="97" t="n">
        <v>1</v>
      </c>
      <c r="L276" s="99" t="inlineStr">
        <is>
          <t>20260828</t>
        </is>
      </c>
      <c r="M276" s="96" t="inlineStr">
        <is>
          <t>제외</t>
        </is>
      </c>
      <c r="N276" s="96" t="inlineStr">
        <is>
          <t>순자산 276억(기준 300억 미만), 거래대금 미확인, 변동성 산출 불가(시세 38일치뿐), 상장 2개월(기준 12개월 미만), 연 분배율 산출 불가(상장 1년 미만 — 12개월 창이 안 채워짐)</t>
        </is>
      </c>
      <c r="O276" s="96" t="inlineStr">
        <is>
          <t>KEDI Nvidia Alphabet U.S. Short-Term Treasury Balanced 50 In</t>
        </is>
      </c>
      <c r="P276" s="96" t="inlineStr">
        <is>
          <t>일반</t>
        </is>
      </c>
      <c r="Q276" s="96" t="inlineStr">
        <is>
          <t>멀티에셋</t>
        </is>
      </c>
      <c r="R276" s="96" t="inlineStr">
        <is>
          <t>판정 불가</t>
        </is>
      </c>
      <c r="S276" s="97" t="n">
        <v>1</v>
      </c>
      <c r="T276" s="98" t="n"/>
    </row>
    <row r="277">
      <c r="A277" s="96" t="inlineStr">
        <is>
          <t>RISE 미국고배당다우존스TOP10</t>
        </is>
      </c>
      <c r="B277" s="96" t="inlineStr">
        <is>
          <t>0115C0</t>
        </is>
      </c>
      <c r="C277" s="96" t="inlineStr">
        <is>
          <t>KB자산운용</t>
        </is>
      </c>
      <c r="D277" s="97" t="n">
        <v>10885</v>
      </c>
      <c r="E277" s="97" t="n">
        <v>25579750000</v>
      </c>
      <c r="F277" s="97" t="n">
        <v>192060816</v>
      </c>
      <c r="G277" s="98" t="n">
        <v>0.0001</v>
      </c>
      <c r="H277" s="98" t="n">
        <v>0.16</v>
      </c>
      <c r="I277" s="98" t="n">
        <v>0.0031</v>
      </c>
      <c r="J277" s="98" t="n"/>
      <c r="K277" s="97" t="n">
        <v>10</v>
      </c>
      <c r="L277" s="99" t="inlineStr">
        <is>
          <t>20260914</t>
        </is>
      </c>
      <c r="M277" s="96" t="inlineStr">
        <is>
          <t>제외</t>
        </is>
      </c>
      <c r="N277" s="96" t="inlineStr">
        <is>
          <t>순자산 256억(기준 300억 미만), 60일 거래대금 1.9억(기준 5억 미만), 상장 11개월(기준 12개월 미만), 연 분배율 산출 불가(상장 1년 미만 — 12개월 창이 안 채워짐)</t>
        </is>
      </c>
      <c r="O277" s="96" t="inlineStr">
        <is>
          <t>Dow Jones U.S. High Dividend 10 Index (USD)</t>
        </is>
      </c>
      <c r="P277" s="96" t="inlineStr">
        <is>
          <t>일반</t>
        </is>
      </c>
      <c r="Q277" s="96" t="inlineStr">
        <is>
          <t>주식</t>
        </is>
      </c>
      <c r="R277" s="96" t="inlineStr">
        <is>
          <t>판정 불가</t>
        </is>
      </c>
      <c r="S277" s="97" t="n">
        <v>10</v>
      </c>
      <c r="T277" s="98" t="n"/>
    </row>
    <row r="278">
      <c r="A278" s="96" t="inlineStr">
        <is>
          <t>SOL 배당성향탑픽액티브</t>
        </is>
      </c>
      <c r="B278" s="96" t="inlineStr">
        <is>
          <t>0152E0</t>
        </is>
      </c>
      <c r="C278" s="96" t="inlineStr">
        <is>
          <t>신한자산운용</t>
        </is>
      </c>
      <c r="D278" s="97" t="n">
        <v>10715</v>
      </c>
      <c r="E278" s="97" t="n">
        <v>25180250000</v>
      </c>
      <c r="F278" s="97" t="n">
        <v>235907809</v>
      </c>
      <c r="G278" s="98" t="n">
        <v>0.003</v>
      </c>
      <c r="H278" s="98" t="n">
        <v>0.33</v>
      </c>
      <c r="I278" s="98" t="n">
        <v>0.0046</v>
      </c>
      <c r="J278" s="98" t="n"/>
      <c r="K278" s="97" t="n">
        <v>7</v>
      </c>
      <c r="L278" s="99" t="inlineStr">
        <is>
          <t>20260828</t>
        </is>
      </c>
      <c r="M278" s="96" t="inlineStr">
        <is>
          <t>제외</t>
        </is>
      </c>
      <c r="N278" s="96" t="inlineStr">
        <is>
          <t>순자산 252억(기준 300억 미만), 60일 거래대금 2.4억(기준 5억 미만), 상장 8개월(기준 12개월 미만), 연 분배율 산출 불가(상장 1년 미만 — 12개월 창이 안 채워짐)</t>
        </is>
      </c>
      <c r="O278" s="96" t="inlineStr">
        <is>
          <t>FnGuide 배당성향탑픽 지수</t>
        </is>
      </c>
      <c r="P278" s="96" t="inlineStr">
        <is>
          <t>일반</t>
        </is>
      </c>
      <c r="Q278" s="96" t="inlineStr">
        <is>
          <t>주식</t>
        </is>
      </c>
      <c r="R278" s="96" t="inlineStr">
        <is>
          <t>판정 불가</t>
        </is>
      </c>
      <c r="S278" s="97" t="n">
        <v>7</v>
      </c>
      <c r="T278" s="98" t="n"/>
    </row>
    <row r="279">
      <c r="A279" s="96" t="inlineStr">
        <is>
          <t>PLUS 미국고배당주액티브</t>
        </is>
      </c>
      <c r="B279" s="96" t="inlineStr">
        <is>
          <t>0153X0</t>
        </is>
      </c>
      <c r="C279" s="96" t="inlineStr">
        <is>
          <t>한화자산운용</t>
        </is>
      </c>
      <c r="D279" s="97" t="n">
        <v>11190</v>
      </c>
      <c r="E279" s="97" t="n">
        <v>21261000000</v>
      </c>
      <c r="F279" s="97" t="n">
        <v>489230702</v>
      </c>
      <c r="G279" s="98" t="n">
        <v>0.0023</v>
      </c>
      <c r="H279" s="98" t="n">
        <v>0.155</v>
      </c>
      <c r="I279" s="98" t="n">
        <v>0.004099999999999999</v>
      </c>
      <c r="J279" s="98" t="n"/>
      <c r="K279" s="97" t="n">
        <v>7</v>
      </c>
      <c r="L279" s="99" t="inlineStr">
        <is>
          <t>20260828</t>
        </is>
      </c>
      <c r="M279" s="96" t="inlineStr">
        <is>
          <t>제외</t>
        </is>
      </c>
      <c r="N279" s="96" t="inlineStr">
        <is>
          <t>순자산 213억(기준 300억 미만), 60일 거래대금 4.9억(기준 5억 미만), 상장 8개월(기준 12개월 미만), 연 분배율 산출 불가(상장 1년 미만 — 12개월 창이 안 채워짐)</t>
        </is>
      </c>
      <c r="O279" s="96" t="inlineStr">
        <is>
          <t>Akros U.S. High Dividend 20 Index</t>
        </is>
      </c>
      <c r="P279" s="96" t="inlineStr">
        <is>
          <t>일반</t>
        </is>
      </c>
      <c r="Q279" s="96" t="inlineStr">
        <is>
          <t>주식</t>
        </is>
      </c>
      <c r="R279" s="96" t="inlineStr">
        <is>
          <t>판정 불가</t>
        </is>
      </c>
      <c r="S279" s="97" t="n">
        <v>7</v>
      </c>
      <c r="T279" s="98" t="n"/>
    </row>
    <row r="280">
      <c r="A280" s="96" t="inlineStr">
        <is>
          <t>SOL 코스피200채권혼합50</t>
        </is>
      </c>
      <c r="B280" s="96" t="inlineStr">
        <is>
          <t>0192S0</t>
        </is>
      </c>
      <c r="C280" s="96" t="inlineStr">
        <is>
          <t>신한자산운용</t>
        </is>
      </c>
      <c r="D280" s="97" t="n">
        <v>9455</v>
      </c>
      <c r="E280" s="97" t="n">
        <v>20801000000</v>
      </c>
      <c r="F280" s="97" t="n">
        <v>1859923258</v>
      </c>
      <c r="G280" s="98" t="n">
        <v>0.0015</v>
      </c>
      <c r="H280" s="98" t="n">
        <v>0.394</v>
      </c>
      <c r="I280" s="98" t="n">
        <v>0.0013</v>
      </c>
      <c r="J280" s="98" t="n"/>
      <c r="K280" s="97" t="n">
        <v>3</v>
      </c>
      <c r="L280" s="99" t="inlineStr">
        <is>
          <t>20260828</t>
        </is>
      </c>
      <c r="M280" s="96" t="inlineStr">
        <is>
          <t>제외</t>
        </is>
      </c>
      <c r="N280" s="96" t="inlineStr">
        <is>
          <t>순자산 208억(기준 300억 미만), 변동성 39.4%(85거래일 기준, 기준 35% 초과), 상장 4개월(기준 12개월 미만), 연 분배율 산출 불가(상장 1년 미만 — 12개월 창이 안 채워짐)</t>
        </is>
      </c>
      <c r="O280" s="96" t="inlineStr">
        <is>
          <t>코스피 200 KTB 혼합지수</t>
        </is>
      </c>
      <c r="P280" s="96" t="inlineStr">
        <is>
          <t>일반</t>
        </is>
      </c>
      <c r="Q280" s="96" t="inlineStr">
        <is>
          <t>멀티에셋</t>
        </is>
      </c>
      <c r="R280" s="96" t="inlineStr">
        <is>
          <t>판정 불가</t>
        </is>
      </c>
      <c r="S280" s="97" t="n">
        <v>3</v>
      </c>
      <c r="T280" s="98" t="n"/>
    </row>
    <row r="281">
      <c r="A281" s="96" t="inlineStr">
        <is>
          <t>KODEX 대만테크고배당다우존스</t>
        </is>
      </c>
      <c r="B281" s="96" t="inlineStr">
        <is>
          <t>487950</t>
        </is>
      </c>
      <c r="C281" s="96" t="inlineStr">
        <is>
          <t>삼성자산운용(ETF)</t>
        </is>
      </c>
      <c r="D281" s="97" t="n"/>
      <c r="E281" s="97" t="n"/>
      <c r="F281" s="97" t="n"/>
      <c r="G281" s="98" t="n"/>
      <c r="H281" s="98" t="n"/>
      <c r="I281" s="98" t="n"/>
      <c r="J281" s="98" t="n"/>
      <c r="K281" s="97" t="n"/>
      <c r="L281" s="99" t="n"/>
      <c r="M281" s="96" t="inlineStr">
        <is>
          <t>제외</t>
        </is>
      </c>
      <c r="N281" s="96" t="inlineStr">
        <is>
          <t>수집 실패(세 번 다시 물었으나 답이 오지 않음: HTTP 403)</t>
        </is>
      </c>
      <c r="O281" s="96" t="inlineStr"/>
      <c r="P281" s="96" t="inlineStr">
        <is>
          <t>일반</t>
        </is>
      </c>
      <c r="Q281" s="96" t="inlineStr"/>
      <c r="R281" s="96" t="inlineStr"/>
      <c r="S281" s="97" t="n"/>
      <c r="T281" s="98" t="n"/>
    </row>
    <row r="282">
      <c r="A282" s="96" t="inlineStr">
        <is>
          <t>TIGER 코리아배당다우존스위클리커버드콜</t>
        </is>
      </c>
      <c r="B282" s="96" t="inlineStr">
        <is>
          <t>0104P0</t>
        </is>
      </c>
      <c r="C282" s="96" t="inlineStr">
        <is>
          <t>미래에셋자산운용</t>
        </is>
      </c>
      <c r="D282" s="97" t="n">
        <v>11015</v>
      </c>
      <c r="E282" s="97" t="n">
        <v>18725500000</v>
      </c>
      <c r="F282" s="97" t="n">
        <v>260237589</v>
      </c>
      <c r="G282" s="98" t="n">
        <v>0.0025</v>
      </c>
      <c r="H282" s="98" t="n">
        <v>0.3098</v>
      </c>
      <c r="I282" s="98" t="n">
        <v>0.0098</v>
      </c>
      <c r="J282" s="98" t="n"/>
      <c r="K282" s="97" t="n">
        <v>11</v>
      </c>
      <c r="L282" s="99" t="inlineStr">
        <is>
          <t>20260828</t>
        </is>
      </c>
      <c r="M282" s="96" t="inlineStr">
        <is>
          <t>제외</t>
        </is>
      </c>
      <c r="N282" s="96" t="inlineStr">
        <is>
          <t>순자산 187억(기준 300억 미만), 60일 거래대금 2.6억(기준 5억 미만), 연 분배율 산출 불가(상장 1년 미만 — 12개월 창이 안 채워짐)</t>
        </is>
      </c>
      <c r="O282" s="96" t="inlineStr">
        <is>
          <t>KRX 다우존스 코리아 배당 30 타겟 7% 위클리 커버드콜 지수</t>
        </is>
      </c>
      <c r="P282" s="96" t="inlineStr">
        <is>
          <t>커버드콜</t>
        </is>
      </c>
      <c r="Q282" s="96" t="inlineStr">
        <is>
          <t>주식</t>
        </is>
      </c>
      <c r="R282" s="96" t="inlineStr">
        <is>
          <t>월배당</t>
        </is>
      </c>
      <c r="S282" s="97" t="n">
        <v>11</v>
      </c>
      <c r="T282" s="98" t="n"/>
    </row>
    <row r="283">
      <c r="A283" s="96" t="inlineStr">
        <is>
          <t>RISE 코스닥커버드콜액티브</t>
        </is>
      </c>
      <c r="B283" s="96" t="inlineStr">
        <is>
          <t>0223A0</t>
        </is>
      </c>
      <c r="C283" s="96" t="inlineStr">
        <is>
          <t>KB자산운용</t>
        </is>
      </c>
      <c r="D283" s="97" t="n">
        <v>10850</v>
      </c>
      <c r="E283" s="97" t="n">
        <v>17360000000</v>
      </c>
      <c r="F283" s="97" t="n"/>
      <c r="G283" s="98" t="n">
        <v>0.003</v>
      </c>
      <c r="H283" s="98" t="n"/>
      <c r="I283" s="98" t="n">
        <v>0.02</v>
      </c>
      <c r="J283" s="98" t="n"/>
      <c r="K283" s="97" t="n">
        <v>1</v>
      </c>
      <c r="L283" s="99" t="inlineStr">
        <is>
          <t>20260828</t>
        </is>
      </c>
      <c r="M283" s="96" t="inlineStr">
        <is>
          <t>제외</t>
        </is>
      </c>
      <c r="N283" s="96" t="inlineStr">
        <is>
          <t>순자산 174억(기준 300억 미만), 거래대금 미확인, 변동성 산출 불가(시세 38일치뿐), 상장 2개월(기준 12개월 미만), 연 분배율 산출 불가(상장 1년 미만 — 12개월 창이 안 채워짐)</t>
        </is>
      </c>
      <c r="O283" s="96" t="inlineStr">
        <is>
          <t>코스닥 150 타겟 15% 위클리 커버드콜 지수</t>
        </is>
      </c>
      <c r="P283" s="96" t="inlineStr">
        <is>
          <t>커버드콜</t>
        </is>
      </c>
      <c r="Q283" s="96" t="inlineStr">
        <is>
          <t>주식</t>
        </is>
      </c>
      <c r="R283" s="96" t="inlineStr">
        <is>
          <t>판정 불가</t>
        </is>
      </c>
      <c r="S283" s="97" t="n">
        <v>1</v>
      </c>
      <c r="T283" s="98" t="n"/>
    </row>
    <row r="284">
      <c r="A284" s="96" t="inlineStr">
        <is>
          <t>KIWOOM 미국대형주500월간목표헤지액티브</t>
        </is>
      </c>
      <c r="B284" s="96" t="inlineStr">
        <is>
          <t>0084E0</t>
        </is>
      </c>
      <c r="C284" s="96" t="inlineStr">
        <is>
          <t>키움투자자산운용</t>
        </is>
      </c>
      <c r="D284" s="97" t="n">
        <v>10135</v>
      </c>
      <c r="E284" s="97" t="n">
        <v>14695750000</v>
      </c>
      <c r="F284" s="97" t="n">
        <v>1425990</v>
      </c>
      <c r="G284" s="98" t="n">
        <v>0.0049</v>
      </c>
      <c r="H284" s="98" t="n">
        <v>0.1155</v>
      </c>
      <c r="I284" s="98" t="n">
        <v>0.0016</v>
      </c>
      <c r="J284" s="98" t="n"/>
      <c r="K284" s="97" t="n">
        <v>10</v>
      </c>
      <c r="L284" s="99" t="inlineStr">
        <is>
          <t>20260828</t>
        </is>
      </c>
      <c r="M284" s="96" t="inlineStr">
        <is>
          <t>제외</t>
        </is>
      </c>
      <c r="N284" s="96" t="inlineStr">
        <is>
          <t>순자산 147억(기준 300억 미만), 60일 거래대금 0.0억(기준 5억 미만), 상장 11개월(기준 12개월 미만), 연 분배율 산출 불가(상장 1년 미만 — 12개월 창이 안 채워짐)</t>
        </is>
      </c>
      <c r="O284" s="96" t="inlineStr">
        <is>
          <t>Akros U.S. Large Cap 500 Protective Allocation Monthly Index</t>
        </is>
      </c>
      <c r="P284" s="96" t="inlineStr">
        <is>
          <t>일반</t>
        </is>
      </c>
      <c r="Q284" s="96" t="inlineStr">
        <is>
          <t>멀티에셋</t>
        </is>
      </c>
      <c r="R284" s="96" t="inlineStr">
        <is>
          <t>판정 불가</t>
        </is>
      </c>
      <c r="S284" s="97" t="n">
        <v>10</v>
      </c>
      <c r="T284" s="98" t="n"/>
    </row>
    <row r="285">
      <c r="A285" s="96" t="inlineStr">
        <is>
          <t>ACE 리츠부동산인프라액티브</t>
        </is>
      </c>
      <c r="B285" s="96" t="inlineStr">
        <is>
          <t>0153P0</t>
        </is>
      </c>
      <c r="C285" s="96" t="inlineStr">
        <is>
          <t>한국투신운용(ETF)</t>
        </is>
      </c>
      <c r="D285" s="97" t="n">
        <v>9495</v>
      </c>
      <c r="E285" s="97" t="n">
        <v>13767750000</v>
      </c>
      <c r="F285" s="97" t="n">
        <v>68995671</v>
      </c>
      <c r="G285" s="98" t="n">
        <v>0.0005999999999999999</v>
      </c>
      <c r="H285" s="98" t="n">
        <v>0.1896</v>
      </c>
      <c r="I285" s="98" t="n">
        <v>0.005699999999999999</v>
      </c>
      <c r="J285" s="98" t="n"/>
      <c r="K285" s="97" t="n">
        <v>7</v>
      </c>
      <c r="L285" s="99" t="inlineStr">
        <is>
          <t>20260828</t>
        </is>
      </c>
      <c r="M285" s="96" t="inlineStr">
        <is>
          <t>제외</t>
        </is>
      </c>
      <c r="N285" s="96" t="inlineStr">
        <is>
          <t>순자산 138억(기준 300억 미만), 60일 거래대금 0.7억(기준 5억 미만), 상장 8개월(기준 12개월 미만), 연 분배율 산출 불가(상장 1년 미만 — 12개월 창이 안 채워짐)</t>
        </is>
      </c>
      <c r="O285" s="96" t="inlineStr">
        <is>
          <t>FnGuide 맥쿼리인프라 배당 리츠 지수</t>
        </is>
      </c>
      <c r="P285" s="96" t="inlineStr">
        <is>
          <t>일반</t>
        </is>
      </c>
      <c r="Q285" s="96" t="inlineStr">
        <is>
          <t>부동산</t>
        </is>
      </c>
      <c r="R285" s="96" t="inlineStr">
        <is>
          <t>판정 불가</t>
        </is>
      </c>
      <c r="S285" s="97" t="n">
        <v>7</v>
      </c>
      <c r="T285" s="98" t="n"/>
    </row>
    <row r="286">
      <c r="A286" s="96" t="inlineStr">
        <is>
          <t>KIWOOM 미국S&amp;P500 TOP10&amp;배당다우비중전환</t>
        </is>
      </c>
      <c r="B286" s="96" t="inlineStr">
        <is>
          <t>0127V0</t>
        </is>
      </c>
      <c r="C286" s="96" t="inlineStr">
        <is>
          <t>키움투자자산운용</t>
        </is>
      </c>
      <c r="D286" s="97" t="n">
        <v>10795</v>
      </c>
      <c r="E286" s="97" t="n">
        <v>13493750000</v>
      </c>
      <c r="F286" s="97" t="n">
        <v>35708904</v>
      </c>
      <c r="G286" s="98" t="n">
        <v>0.0019</v>
      </c>
      <c r="H286" s="98" t="n">
        <v>0.1587</v>
      </c>
      <c r="I286" s="98" t="n">
        <v>0.0009</v>
      </c>
      <c r="J286" s="98" t="n"/>
      <c r="K286" s="97" t="n">
        <v>9</v>
      </c>
      <c r="L286" s="99" t="inlineStr">
        <is>
          <t>20260828</t>
        </is>
      </c>
      <c r="M286" s="96" t="inlineStr">
        <is>
          <t>제외</t>
        </is>
      </c>
      <c r="N286" s="96" t="inlineStr">
        <is>
          <t>순자산 135억(기준 300억 미만), 60일 거래대금 0.4억(기준 5억 미만), 상장 10개월(기준 12개월 미만), 연 분배율 산출 불가(상장 1년 미만 — 12개월 창이 안 채워짐)</t>
        </is>
      </c>
      <c r="O286" s="96" t="inlineStr">
        <is>
          <t>S&amp;P 500 Top 10 and Dow Jones U.S. Dividend 100 Life Cycle 20</t>
        </is>
      </c>
      <c r="P286" s="96" t="inlineStr">
        <is>
          <t>일반</t>
        </is>
      </c>
      <c r="Q286" s="96" t="inlineStr">
        <is>
          <t>주식</t>
        </is>
      </c>
      <c r="R286" s="96" t="inlineStr">
        <is>
          <t>판정 불가</t>
        </is>
      </c>
      <c r="S286" s="97" t="n">
        <v>9</v>
      </c>
      <c r="T286" s="98" t="n"/>
    </row>
    <row r="287">
      <c r="A287" s="96" t="inlineStr">
        <is>
          <t>KIWOOM 현대차그룹TOP3채권혼합50</t>
        </is>
      </c>
      <c r="B287" s="96" t="inlineStr">
        <is>
          <t>0220A0</t>
        </is>
      </c>
      <c r="C287" s="96" t="inlineStr">
        <is>
          <t>키움투자자산운용</t>
        </is>
      </c>
      <c r="D287" s="97" t="n">
        <v>8980</v>
      </c>
      <c r="E287" s="97" t="n">
        <v>13470000000</v>
      </c>
      <c r="F287" s="97" t="n">
        <v>403221166</v>
      </c>
      <c r="G287" s="98" t="n">
        <v>0.0015</v>
      </c>
      <c r="H287" s="98" t="n"/>
      <c r="I287" s="98" t="n">
        <v>0.0022</v>
      </c>
      <c r="J287" s="98" t="n"/>
      <c r="K287" s="97" t="n">
        <v>1</v>
      </c>
      <c r="L287" s="99" t="inlineStr">
        <is>
          <t>20260828</t>
        </is>
      </c>
      <c r="M287" s="96" t="inlineStr">
        <is>
          <t>제외</t>
        </is>
      </c>
      <c r="N287" s="96" t="inlineStr">
        <is>
          <t>순자산 135억(기준 300억 미만), 60일 거래대금 4.0억(기준 5억 미만), 변동성 산출 불가(시세 47일치뿐), 상장 2개월(기준 12개월 미만), 연 분배율 산출 불가(상장 1년 미만 — 12개월 창이 안 채워짐)</t>
        </is>
      </c>
      <c r="O287" s="96" t="inlineStr">
        <is>
          <t>FnGuide 현대차그룹TOP3 채권혼합지수</t>
        </is>
      </c>
      <c r="P287" s="96" t="inlineStr">
        <is>
          <t>일반</t>
        </is>
      </c>
      <c r="Q287" s="96" t="inlineStr">
        <is>
          <t>멀티에셋</t>
        </is>
      </c>
      <c r="R287" s="96" t="inlineStr">
        <is>
          <t>판정 불가</t>
        </is>
      </c>
      <c r="S287" s="97" t="n">
        <v>1</v>
      </c>
      <c r="T287" s="98" t="n"/>
    </row>
    <row r="288">
      <c r="A288" s="96" t="inlineStr">
        <is>
          <t>KIWOOM 미국S&amp;P500&amp;배당다우존스비중전환</t>
        </is>
      </c>
      <c r="B288" s="96" t="inlineStr">
        <is>
          <t>0127T0</t>
        </is>
      </c>
      <c r="C288" s="96" t="inlineStr">
        <is>
          <t>키움투자자산운용</t>
        </is>
      </c>
      <c r="D288" s="97" t="n">
        <v>11020</v>
      </c>
      <c r="E288" s="97" t="n">
        <v>13224000000</v>
      </c>
      <c r="F288" s="97" t="n">
        <v>39587845</v>
      </c>
      <c r="G288" s="98" t="n">
        <v>0.0009</v>
      </c>
      <c r="H288" s="98" t="n">
        <v>0.1319</v>
      </c>
      <c r="I288" s="98" t="n">
        <v>0.0013</v>
      </c>
      <c r="J288" s="98" t="n"/>
      <c r="K288" s="97" t="n">
        <v>9</v>
      </c>
      <c r="L288" s="99" t="inlineStr">
        <is>
          <t>20260828</t>
        </is>
      </c>
      <c r="M288" s="96" t="inlineStr">
        <is>
          <t>제외</t>
        </is>
      </c>
      <c r="N288" s="96" t="inlineStr">
        <is>
          <t>순자산 132억(기준 300억 미만), 60일 거래대금 0.4억(기준 5억 미만), 상장 10개월(기준 12개월 미만), 연 분배율 산출 불가(상장 1년 미만 — 12개월 창이 안 채워짐)</t>
        </is>
      </c>
      <c r="O288" s="96" t="inlineStr">
        <is>
          <t>S&amp;P 500 and Dow Jones U.S. Dividend 100 Life Cycle 2040 Inde</t>
        </is>
      </c>
      <c r="P288" s="96" t="inlineStr">
        <is>
          <t>일반</t>
        </is>
      </c>
      <c r="Q288" s="96" t="inlineStr">
        <is>
          <t>주식</t>
        </is>
      </c>
      <c r="R288" s="96" t="inlineStr">
        <is>
          <t>판정 불가</t>
        </is>
      </c>
      <c r="S288" s="97" t="n">
        <v>9</v>
      </c>
      <c r="T288" s="98" t="n"/>
    </row>
    <row r="289">
      <c r="A289" s="96" t="inlineStr">
        <is>
          <t>KIWOOM SK하이닉스선물단일종목레버리지</t>
        </is>
      </c>
      <c r="B289" s="96" t="inlineStr">
        <is>
          <t>0194R0</t>
        </is>
      </c>
      <c r="C289" s="96" t="inlineStr">
        <is>
          <t>키움투자자산운용</t>
        </is>
      </c>
      <c r="D289" s="97" t="n">
        <v>9475</v>
      </c>
      <c r="E289" s="97" t="n">
        <v>13028125000</v>
      </c>
      <c r="F289" s="97" t="n">
        <v>4090909448</v>
      </c>
      <c r="G289" s="98" t="n">
        <v>0.0025</v>
      </c>
      <c r="H289" s="98" t="n">
        <v>2.3565</v>
      </c>
      <c r="I289" s="98" t="n">
        <v>0.0008</v>
      </c>
      <c r="J289" s="98" t="n"/>
      <c r="K289" s="97" t="n">
        <v>3</v>
      </c>
      <c r="L289" s="99" t="inlineStr">
        <is>
          <t>20260914</t>
        </is>
      </c>
      <c r="M289" s="96" t="inlineStr">
        <is>
          <t>제외</t>
        </is>
      </c>
      <c r="N289" s="96" t="inlineStr">
        <is>
          <t>순자산 130억(기준 300억 미만), 변동성 235.6%(80거래일 기준, 기준 35% 초과), 상장 4개월(기준 12개월 미만), 연 분배율 산출 불가(상장 1년 미만 — 12개월 창이 안 채워짐)</t>
        </is>
      </c>
      <c r="O289" s="96" t="inlineStr">
        <is>
          <t>KRX SK하이닉스 선물 지수</t>
        </is>
      </c>
      <c r="P289" s="96" t="inlineStr">
        <is>
          <t>일반</t>
        </is>
      </c>
      <c r="Q289" s="96" t="inlineStr">
        <is>
          <t>주식</t>
        </is>
      </c>
      <c r="R289" s="96" t="inlineStr">
        <is>
          <t>판정 불가</t>
        </is>
      </c>
      <c r="S289" s="97" t="n">
        <v>3</v>
      </c>
      <c r="T289" s="98" t="n"/>
    </row>
    <row r="290">
      <c r="A290" s="96" t="inlineStr">
        <is>
          <t>PLUS 200위클리커버드콜채권혼합</t>
        </is>
      </c>
      <c r="B290" s="96" t="inlineStr">
        <is>
          <t>0203D0</t>
        </is>
      </c>
      <c r="C290" s="96" t="inlineStr">
        <is>
          <t>한화자산운용</t>
        </is>
      </c>
      <c r="D290" s="97" t="n">
        <v>8980</v>
      </c>
      <c r="E290" s="97" t="n">
        <v>11674000000</v>
      </c>
      <c r="F290" s="97" t="n">
        <v>261276384</v>
      </c>
      <c r="G290" s="98" t="n">
        <v>0.0039</v>
      </c>
      <c r="H290" s="98" t="n">
        <v>0.3767</v>
      </c>
      <c r="I290" s="98" t="n">
        <v>0.006999999999999999</v>
      </c>
      <c r="J290" s="98" t="n"/>
      <c r="K290" s="97" t="n">
        <v>3</v>
      </c>
      <c r="L290" s="99" t="inlineStr">
        <is>
          <t>20260828</t>
        </is>
      </c>
      <c r="M290" s="96" t="inlineStr">
        <is>
          <t>제외</t>
        </is>
      </c>
      <c r="N290" s="96" t="inlineStr">
        <is>
          <t>순자산 117억(기준 300억 미만), 60일 거래대금 2.6억(기준 5억 미만), 변동성 37.7%(76거래일 기준, 기준 35% 초과), 상장 3개월(기준 12개월 미만), 연 분배율 산출 불가(상장 1년 미만 — 12개월 창이 안 채워짐)</t>
        </is>
      </c>
      <c r="O290" s="96" t="inlineStr">
        <is>
          <t>코스피 200 KTB 혼합 위클리 고정 10% 커버드콜 지수</t>
        </is>
      </c>
      <c r="P290" s="96" t="inlineStr">
        <is>
          <t>커버드콜</t>
        </is>
      </c>
      <c r="Q290" s="96" t="inlineStr">
        <is>
          <t>멀티에셋</t>
        </is>
      </c>
      <c r="R290" s="96" t="inlineStr">
        <is>
          <t>판정 불가</t>
        </is>
      </c>
      <c r="S290" s="97" t="n">
        <v>3</v>
      </c>
      <c r="T290" s="98" t="n"/>
    </row>
    <row r="291">
      <c r="A291" s="96" t="inlineStr">
        <is>
          <t>DAISHIN 금융&amp;지주고배당</t>
        </is>
      </c>
      <c r="B291" s="96" t="inlineStr">
        <is>
          <t>0189Z0</t>
        </is>
      </c>
      <c r="C291" s="96" t="inlineStr">
        <is>
          <t>대신자산운용</t>
        </is>
      </c>
      <c r="D291" s="97" t="n">
        <v>10375</v>
      </c>
      <c r="E291" s="97" t="n">
        <v>10375000000</v>
      </c>
      <c r="F291" s="97" t="n">
        <v>37351665</v>
      </c>
      <c r="G291" s="98" t="n">
        <v>0.0024</v>
      </c>
      <c r="H291" s="98" t="n">
        <v>0.2828</v>
      </c>
      <c r="I291" s="98" t="n">
        <v>0.002</v>
      </c>
      <c r="J291" s="98" t="n"/>
      <c r="K291" s="97" t="n">
        <v>2</v>
      </c>
      <c r="L291" s="99" t="inlineStr">
        <is>
          <t>20260828</t>
        </is>
      </c>
      <c r="M291" s="96" t="inlineStr">
        <is>
          <t>제외</t>
        </is>
      </c>
      <c r="N291" s="96" t="inlineStr">
        <is>
          <t>순자산 104억(기준 300억 미만), 60일 거래대금 0.4억(기준 5억 미만), 상장 3개월(기준 12개월 미만), 연 분배율 산출 불가(상장 1년 미만 — 12개월 창이 안 채워짐)</t>
        </is>
      </c>
      <c r="O291" s="96" t="inlineStr">
        <is>
          <t>KRX-Akros 금융 &amp; 지주 고배당 지수</t>
        </is>
      </c>
      <c r="P291" s="96" t="inlineStr">
        <is>
          <t>일반</t>
        </is>
      </c>
      <c r="Q291" s="96" t="inlineStr">
        <is>
          <t>주식</t>
        </is>
      </c>
      <c r="R291" s="96" t="inlineStr">
        <is>
          <t>판정 불가</t>
        </is>
      </c>
      <c r="S291" s="97" t="n">
        <v>2</v>
      </c>
      <c r="T291" s="98" t="n"/>
    </row>
    <row r="292">
      <c r="A292" s="96" t="inlineStr">
        <is>
          <t>KIWOOM 미국우주테크TOP2채권혼합50</t>
        </is>
      </c>
      <c r="B292" s="96" t="inlineStr">
        <is>
          <t>0216K0</t>
        </is>
      </c>
      <c r="C292" s="96" t="inlineStr">
        <is>
          <t>키움투자자산운용</t>
        </is>
      </c>
      <c r="D292" s="97" t="n">
        <v>8805</v>
      </c>
      <c r="E292" s="97" t="n">
        <v>8805000000</v>
      </c>
      <c r="F292" s="97" t="n">
        <v>418807088</v>
      </c>
      <c r="G292" s="98" t="n">
        <v>0.0021</v>
      </c>
      <c r="H292" s="98" t="n"/>
      <c r="I292" s="98" t="n">
        <v>0.0012</v>
      </c>
      <c r="J292" s="98" t="n"/>
      <c r="K292" s="97" t="n">
        <v>1</v>
      </c>
      <c r="L292" s="99" t="inlineStr">
        <is>
          <t>20260828</t>
        </is>
      </c>
      <c r="M292" s="96" t="inlineStr">
        <is>
          <t>제외</t>
        </is>
      </c>
      <c r="N292" s="96" t="inlineStr">
        <is>
          <t>순자산 88억(기준 300억 미만), 60일 거래대금 4.2억(기준 5억 미만), 변동성 산출 불가(시세 52일치뿐), 상장 2개월(기준 12개월 미만), 연 분배율 산출 불가(상장 1년 미만 — 12개월 창이 안 채워짐)</t>
        </is>
      </c>
      <c r="O292" s="96" t="inlineStr">
        <is>
          <t>Akros 미국우주 Top2 채권혼합 지수</t>
        </is>
      </c>
      <c r="P292" s="96" t="inlineStr">
        <is>
          <t>일반</t>
        </is>
      </c>
      <c r="Q292" s="96" t="inlineStr">
        <is>
          <t>멀티에셋</t>
        </is>
      </c>
      <c r="R292" s="96" t="inlineStr">
        <is>
          <t>판정 불가</t>
        </is>
      </c>
      <c r="S292" s="97" t="n">
        <v>1</v>
      </c>
      <c r="T292" s="98" t="n"/>
    </row>
    <row r="293">
      <c r="A293" s="96" t="inlineStr">
        <is>
          <t>KIWOOM 삼성전자선물단일종목레버리지</t>
        </is>
      </c>
      <c r="B293" s="96" t="inlineStr">
        <is>
          <t>0194N0</t>
        </is>
      </c>
      <c r="C293" s="96" t="inlineStr">
        <is>
          <t>키움투자자산운용</t>
        </is>
      </c>
      <c r="D293" s="97" t="n">
        <v>10635</v>
      </c>
      <c r="E293" s="97" t="n">
        <v>8242125000</v>
      </c>
      <c r="F293" s="97" t="n">
        <v>1545339618</v>
      </c>
      <c r="G293" s="98" t="n">
        <v>0.0025</v>
      </c>
      <c r="H293" s="98" t="n">
        <v>1.9176</v>
      </c>
      <c r="I293" s="98" t="n">
        <v>0.001</v>
      </c>
      <c r="J293" s="98" t="n"/>
      <c r="K293" s="97" t="n">
        <v>3</v>
      </c>
      <c r="L293" s="99" t="inlineStr">
        <is>
          <t>20260828</t>
        </is>
      </c>
      <c r="M293" s="96" t="inlineStr">
        <is>
          <t>제외</t>
        </is>
      </c>
      <c r="N293" s="96" t="inlineStr">
        <is>
          <t>순자산 82억(기준 300억 미만), 변동성 191.8%(80거래일 기준, 기준 35% 초과), 상장 4개월(기준 12개월 미만), 연 분배율 산출 불가(상장 1년 미만 — 12개월 창이 안 채워짐)</t>
        </is>
      </c>
      <c r="O293" s="96" t="inlineStr">
        <is>
          <t>KRX 삼성전자 선물 지수</t>
        </is>
      </c>
      <c r="P293" s="96" t="inlineStr">
        <is>
          <t>일반</t>
        </is>
      </c>
      <c r="Q293" s="96" t="inlineStr">
        <is>
          <t>주식</t>
        </is>
      </c>
      <c r="R293" s="96" t="inlineStr">
        <is>
          <t>판정 불가</t>
        </is>
      </c>
      <c r="S293" s="97" t="n">
        <v>3</v>
      </c>
      <c r="T293" s="98" t="n"/>
    </row>
    <row r="294">
      <c r="A294" s="96" t="inlineStr">
        <is>
          <t>FOCUS AI반도체위클리고정커버드콜</t>
        </is>
      </c>
      <c r="B294" s="96" t="inlineStr">
        <is>
          <t>0176P0</t>
        </is>
      </c>
      <c r="C294" s="96" t="inlineStr">
        <is>
          <t>브이아이자산운용</t>
        </is>
      </c>
      <c r="D294" s="97" t="n">
        <v>13090</v>
      </c>
      <c r="E294" s="97" t="n">
        <v>7199500000</v>
      </c>
      <c r="F294" s="97" t="n">
        <v>159390216</v>
      </c>
      <c r="G294" s="98" t="n">
        <v>0.003</v>
      </c>
      <c r="H294" s="98" t="n">
        <v>0.7942</v>
      </c>
      <c r="I294" s="98" t="n">
        <v>0.0143</v>
      </c>
      <c r="J294" s="98" t="n"/>
      <c r="K294" s="97" t="n">
        <v>5</v>
      </c>
      <c r="L294" s="99" t="inlineStr">
        <is>
          <t>20260828</t>
        </is>
      </c>
      <c r="M294" s="96" t="inlineStr">
        <is>
          <t>제외</t>
        </is>
      </c>
      <c r="N294" s="96" t="inlineStr">
        <is>
          <t>순자산 72억(기준 300억 미만), 60일 거래대금 1.6억(기준 5억 미만), 변동성 79.4%(113거래일 기준, 기준 35% 초과), 상장 5개월(기준 12개월 미만), 연 분배율 산출 불가(상장 1년 미만 — 12개월 창이 안 채워짐)</t>
        </is>
      </c>
      <c r="O294" s="96" t="inlineStr">
        <is>
          <t>AI 반도체 위클리 고정 30% 커버드콜 지수</t>
        </is>
      </c>
      <c r="P294" s="96" t="inlineStr">
        <is>
          <t>커버드콜</t>
        </is>
      </c>
      <c r="Q294" s="96" t="inlineStr">
        <is>
          <t>주식</t>
        </is>
      </c>
      <c r="R294" s="96" t="inlineStr">
        <is>
          <t>판정 불가</t>
        </is>
      </c>
      <c r="S294" s="97" t="n">
        <v>5</v>
      </c>
      <c r="T294" s="98" t="n"/>
    </row>
    <row r="295">
      <c r="A295" s="96" t="inlineStr">
        <is>
          <t>PLUS K리츠</t>
        </is>
      </c>
      <c r="B295" s="96" t="inlineStr">
        <is>
          <t>429740</t>
        </is>
      </c>
      <c r="C295" s="96" t="inlineStr">
        <is>
          <t>한화자산운용</t>
        </is>
      </c>
      <c r="D295" s="97" t="n"/>
      <c r="E295" s="97" t="n"/>
      <c r="F295" s="97" t="n"/>
      <c r="G295" s="98" t="n"/>
      <c r="H295" s="98" t="n"/>
      <c r="I295" s="98" t="n"/>
      <c r="J295" s="98" t="n"/>
      <c r="K295" s="97" t="n"/>
      <c r="L295" s="99" t="n"/>
      <c r="M295" s="96" t="inlineStr">
        <is>
          <t>제외</t>
        </is>
      </c>
      <c r="N295" s="96" t="inlineStr">
        <is>
          <t>수집 실패(세 번 다시 물었으나 답이 오지 않음: HTTP 403)</t>
        </is>
      </c>
      <c r="O295" s="96" t="inlineStr"/>
      <c r="P295" s="96" t="inlineStr">
        <is>
          <t>일반</t>
        </is>
      </c>
      <c r="Q295" s="96" t="inlineStr"/>
      <c r="R295" s="96" t="inlineStr"/>
      <c r="S295" s="97" t="n"/>
      <c r="T295" s="98" t="n"/>
    </row>
    <row r="296">
      <c r="A296" s="96" t="inlineStr">
        <is>
          <t>SOL 미국S&amp;P500엔화노출(H)</t>
        </is>
      </c>
      <c r="B296" s="96" t="inlineStr">
        <is>
          <t>499150</t>
        </is>
      </c>
      <c r="C296" s="96" t="inlineStr">
        <is>
          <t>신한자산운용</t>
        </is>
      </c>
      <c r="D296" s="97" t="n"/>
      <c r="E296" s="97" t="n"/>
      <c r="F296" s="97" t="n"/>
      <c r="G296" s="98" t="n"/>
      <c r="H296" s="98" t="n"/>
      <c r="I296" s="98" t="n"/>
      <c r="J296" s="98" t="n"/>
      <c r="K296" s="97" t="n"/>
      <c r="L296" s="99" t="n"/>
      <c r="M296" s="96" t="inlineStr">
        <is>
          <t>제외</t>
        </is>
      </c>
      <c r="N296" s="96" t="inlineStr">
        <is>
          <t>수집 실패(세 번 다시 물었으나 답이 오지 않음: page.goto: net::ERR_EMPTY_RESPONSE at https://www.etfcheck.co.kr/
Call log:
  - )</t>
        </is>
      </c>
      <c r="O296" s="96" t="inlineStr"/>
      <c r="P296" s="96" t="inlineStr">
        <is>
          <t>일반</t>
        </is>
      </c>
      <c r="Q296" s="96" t="inlineStr"/>
      <c r="R296" s="96" t="inlineStr"/>
      <c r="S296" s="97" t="n"/>
      <c r="T296" s="98" t="n"/>
    </row>
    <row r="297">
      <c r="A297" s="96" t="inlineStr">
        <is>
          <t>DAISHIN 오피스리츠플러스</t>
        </is>
      </c>
      <c r="B297" s="96" t="inlineStr">
        <is>
          <t>0174J0</t>
        </is>
      </c>
      <c r="C297" s="96" t="inlineStr">
        <is>
          <t>대신자산운용</t>
        </is>
      </c>
      <c r="D297" s="97" t="n">
        <v>8730</v>
      </c>
      <c r="E297" s="97" t="n">
        <v>5238000000</v>
      </c>
      <c r="F297" s="97" t="n">
        <v>33635860</v>
      </c>
      <c r="G297" s="98" t="n">
        <v>0.0019</v>
      </c>
      <c r="H297" s="98" t="n">
        <v>0.2776</v>
      </c>
      <c r="I297" s="98" t="n">
        <v>0.0046</v>
      </c>
      <c r="J297" s="98" t="n"/>
      <c r="K297" s="97" t="n">
        <v>5</v>
      </c>
      <c r="L297" s="99" t="inlineStr">
        <is>
          <t>20260828</t>
        </is>
      </c>
      <c r="M297" s="96" t="inlineStr">
        <is>
          <t>제외</t>
        </is>
      </c>
      <c r="N297" s="96" t="inlineStr">
        <is>
          <t>순자산 52억(기준 300억 미만), 60일 거래대금 0.3억(기준 5억 미만), 상장 6개월(기준 12개월 미만), 연 분배율 산출 불가(상장 1년 미만 — 12개월 창이 안 채워짐)</t>
        </is>
      </c>
      <c r="O297" s="96" t="inlineStr">
        <is>
          <t>KRX 프라임 오피스 리츠 지수</t>
        </is>
      </c>
      <c r="P297" s="96" t="inlineStr">
        <is>
          <t>일반</t>
        </is>
      </c>
      <c r="Q297" s="96" t="inlineStr">
        <is>
          <t>부동산</t>
        </is>
      </c>
      <c r="R297" s="96" t="inlineStr">
        <is>
          <t>판정 불가</t>
        </is>
      </c>
      <c r="S297" s="97" t="n">
        <v>5</v>
      </c>
      <c r="T297" s="98" t="n"/>
    </row>
    <row r="298">
      <c r="A298" s="96" t="inlineStr">
        <is>
          <t>PLUS 차이나항셍테크위클리타겟커버드콜</t>
        </is>
      </c>
      <c r="B298" s="96" t="inlineStr">
        <is>
          <t>0128D0</t>
        </is>
      </c>
      <c r="C298" s="96" t="inlineStr">
        <is>
          <t>한화자산운용</t>
        </is>
      </c>
      <c r="D298" s="97" t="n">
        <v>6545</v>
      </c>
      <c r="E298" s="97" t="n">
        <v>4581500000</v>
      </c>
      <c r="F298" s="97" t="n">
        <v>28659044</v>
      </c>
      <c r="G298" s="98" t="n">
        <v>0.0039</v>
      </c>
      <c r="H298" s="98" t="n">
        <v>0.2715</v>
      </c>
      <c r="I298" s="98" t="n">
        <v>0.0125</v>
      </c>
      <c r="J298" s="98" t="n"/>
      <c r="K298" s="97" t="n">
        <v>9</v>
      </c>
      <c r="L298" s="99" t="inlineStr">
        <is>
          <t>20260828</t>
        </is>
      </c>
      <c r="M298" s="96" t="inlineStr">
        <is>
          <t>제외</t>
        </is>
      </c>
      <c r="N298" s="96" t="inlineStr">
        <is>
          <t>순자산 46억(기준 300억 미만), 60일 거래대금 0.3억(기준 5억 미만), 상장 10개월(기준 12개월 미만), 연 분배율 산출 불가(상장 1년 미만 — 12개월 창이 안 채워짐)</t>
        </is>
      </c>
      <c r="O298" s="96" t="inlineStr">
        <is>
          <t>HSTECH 15% Target Premium Weekly Covered Call Index</t>
        </is>
      </c>
      <c r="P298" s="96" t="inlineStr">
        <is>
          <t>커버드콜</t>
        </is>
      </c>
      <c r="Q298" s="96" t="inlineStr">
        <is>
          <t>주식</t>
        </is>
      </c>
      <c r="R298" s="96" t="inlineStr">
        <is>
          <t>판정 불가</t>
        </is>
      </c>
      <c r="S298" s="97" t="n">
        <v>9</v>
      </c>
      <c r="T298" s="98" t="n"/>
    </row>
    <row r="299">
      <c r="A299" s="96" t="inlineStr">
        <is>
          <t>RISE 삼성전자SK하이닉스채권혼합50</t>
        </is>
      </c>
      <c r="B299" s="96" t="inlineStr">
        <is>
          <t>0162Z0</t>
        </is>
      </c>
      <c r="C299" s="96" t="inlineStr">
        <is>
          <t>KB자산운용</t>
        </is>
      </c>
      <c r="D299" s="97" t="n">
        <v>13630</v>
      </c>
      <c r="E299" s="97" t="n">
        <v>4136705000000</v>
      </c>
      <c r="F299" s="97" t="n">
        <v>142464028882</v>
      </c>
      <c r="G299" s="98" t="n">
        <v>0.0001</v>
      </c>
      <c r="H299" s="98" t="n">
        <v>0.4803</v>
      </c>
      <c r="I299" s="98" t="n">
        <v>0.0022</v>
      </c>
      <c r="J299" s="98" t="n"/>
      <c r="K299" s="97" t="n">
        <v>2</v>
      </c>
      <c r="L299" s="99" t="inlineStr">
        <is>
          <t>20260730</t>
        </is>
      </c>
      <c r="M299" s="96" t="inlineStr">
        <is>
          <t>제외</t>
        </is>
      </c>
      <c r="N299" s="96" t="inlineStr">
        <is>
          <t>변동성 48.0%(140거래일 기준, 기준 35% 초과), 상장 7개월(기준 12개월 미만), 연 분배율 산출 불가(상장 1년 미만 — 12개월 창이 안 채워짐)</t>
        </is>
      </c>
      <c r="O299" s="96" t="inlineStr">
        <is>
          <t>KAP 삼성전자SK하이닉스채권혼합50지수</t>
        </is>
      </c>
      <c r="P299" s="96" t="inlineStr">
        <is>
          <t>일반</t>
        </is>
      </c>
      <c r="Q299" s="96" t="inlineStr">
        <is>
          <t>멀티에셋</t>
        </is>
      </c>
      <c r="R299" s="96" t="inlineStr">
        <is>
          <t>판정 불가</t>
        </is>
      </c>
      <c r="S299" s="97" t="n">
        <v>2</v>
      </c>
      <c r="T299" s="98" t="n"/>
    </row>
    <row r="300">
      <c r="A300" s="96" t="inlineStr">
        <is>
          <t>TIGER 200 IT</t>
        </is>
      </c>
      <c r="B300" s="96" t="inlineStr">
        <is>
          <t>139260</t>
        </is>
      </c>
      <c r="C300" s="96" t="inlineStr">
        <is>
          <t>미래에셋자산운용</t>
        </is>
      </c>
      <c r="D300" s="97" t="n"/>
      <c r="E300" s="97" t="n"/>
      <c r="F300" s="97" t="n"/>
      <c r="G300" s="98" t="n"/>
      <c r="H300" s="98" t="n"/>
      <c r="I300" s="98" t="n"/>
      <c r="J300" s="98" t="n"/>
      <c r="K300" s="97" t="n"/>
      <c r="L300" s="99" t="n"/>
      <c r="M300" s="96" t="inlineStr">
        <is>
          <t>제외</t>
        </is>
      </c>
      <c r="N300" s="96" t="inlineStr">
        <is>
          <t>수집 실패(세 번 다시 물었으나 답이 오지 않음: HTTP 0)</t>
        </is>
      </c>
      <c r="O300" s="96" t="inlineStr"/>
      <c r="P300" s="96" t="inlineStr">
        <is>
          <t>일반</t>
        </is>
      </c>
      <c r="Q300" s="96" t="inlineStr"/>
      <c r="R300" s="96" t="inlineStr"/>
      <c r="S300" s="97" t="n"/>
      <c r="T300" s="98" t="n"/>
    </row>
    <row r="301">
      <c r="A301" s="96" t="inlineStr">
        <is>
          <t>KODEX 코스피</t>
        </is>
      </c>
      <c r="B301" s="96" t="inlineStr">
        <is>
          <t>226490</t>
        </is>
      </c>
      <c r="C301" s="96" t="inlineStr">
        <is>
          <t>삼성자산운용(ETF)</t>
        </is>
      </c>
      <c r="D301" s="97" t="n"/>
      <c r="E301" s="97" t="n"/>
      <c r="F301" s="97" t="n"/>
      <c r="G301" s="98" t="n"/>
      <c r="H301" s="98" t="n"/>
      <c r="I301" s="98" t="n"/>
      <c r="J301" s="98" t="n"/>
      <c r="K301" s="97" t="n"/>
      <c r="L301" s="99" t="n"/>
      <c r="M301" s="96" t="inlineStr">
        <is>
          <t>제외</t>
        </is>
      </c>
      <c r="N301" s="96" t="inlineStr">
        <is>
          <t>수집 실패(세 번 다시 물었으나 답이 오지 않음: page.goto: net::ERR_EMPTY_RESPONSE at https://www.etfcheck.co.kr/
Call log:
  - )</t>
        </is>
      </c>
      <c r="O301" s="96" t="inlineStr"/>
      <c r="P301" s="96" t="inlineStr">
        <is>
          <t>일반</t>
        </is>
      </c>
      <c r="Q301" s="96" t="inlineStr"/>
      <c r="R301" s="96" t="inlineStr"/>
      <c r="S301" s="97" t="n"/>
      <c r="T301" s="98" t="n"/>
    </row>
    <row r="302">
      <c r="A302" s="96" t="inlineStr">
        <is>
          <t>TIGER 코리아AI전력기기TOP3플러스</t>
        </is>
      </c>
      <c r="B302" s="96" t="inlineStr">
        <is>
          <t>0117V0</t>
        </is>
      </c>
      <c r="C302" s="96" t="inlineStr">
        <is>
          <t>미래에셋자산운용</t>
        </is>
      </c>
      <c r="D302" s="97" t="n">
        <v>19605</v>
      </c>
      <c r="E302" s="97" t="n">
        <v>1049847750000</v>
      </c>
      <c r="F302" s="97" t="n">
        <v>46908376793</v>
      </c>
      <c r="G302" s="98" t="n">
        <v>0.004</v>
      </c>
      <c r="H302" s="98" t="n">
        <v>0.7397</v>
      </c>
      <c r="I302" s="98" t="n">
        <v>0.0066</v>
      </c>
      <c r="J302" s="98" t="n"/>
      <c r="K302" s="97" t="n">
        <v>1</v>
      </c>
      <c r="L302" s="99" t="inlineStr">
        <is>
          <t>20260730</t>
        </is>
      </c>
      <c r="M302" s="96" t="inlineStr">
        <is>
          <t>제외</t>
        </is>
      </c>
      <c r="N302" s="96" t="inlineStr">
        <is>
          <t>변동성 74.0%(1년 기준, 기준 35% 초과), 상장 11개월(기준 12개월 미만), 연 분배율 산출 불가(상장 1년 미만 — 12개월 창이 안 채워짐)</t>
        </is>
      </c>
      <c r="O302" s="96" t="inlineStr">
        <is>
          <t>KEDI 코리아AI전력기기TOP3플러스 지수</t>
        </is>
      </c>
      <c r="P302" s="96" t="inlineStr">
        <is>
          <t>일반</t>
        </is>
      </c>
      <c r="Q302" s="96" t="inlineStr">
        <is>
          <t>주식</t>
        </is>
      </c>
      <c r="R302" s="96" t="inlineStr">
        <is>
          <t>판정 불가</t>
        </is>
      </c>
      <c r="S302" s="97" t="n">
        <v>1</v>
      </c>
      <c r="T302" s="98" t="n"/>
    </row>
    <row r="303">
      <c r="A303" s="96" t="inlineStr">
        <is>
          <t>KODEX 26-12 금융채(AA-이상)액티브</t>
        </is>
      </c>
      <c r="B303" s="96" t="inlineStr">
        <is>
          <t>0117L0</t>
        </is>
      </c>
      <c r="C303" s="96" t="inlineStr">
        <is>
          <t>삼성자산운용(ETF)</t>
        </is>
      </c>
      <c r="D303" s="97" t="n">
        <v>10170</v>
      </c>
      <c r="E303" s="97" t="n">
        <v>870958800000</v>
      </c>
      <c r="F303" s="97" t="n">
        <v>294163070</v>
      </c>
      <c r="G303" s="98" t="n">
        <v>0.0009</v>
      </c>
      <c r="H303" s="98" t="n">
        <v>0.006</v>
      </c>
      <c r="I303" s="98" t="n">
        <v>0.0053</v>
      </c>
      <c r="J303" s="98" t="n"/>
      <c r="K303" s="97" t="n">
        <v>1</v>
      </c>
      <c r="L303" s="99" t="inlineStr">
        <is>
          <t>20251212</t>
        </is>
      </c>
      <c r="M303" s="96" t="inlineStr">
        <is>
          <t>제외</t>
        </is>
      </c>
      <c r="N303" s="96" t="inlineStr">
        <is>
          <t>60일 거래대금 2.9억(기준 5억 미만), 상장 11개월(기준 12개월 미만), 연 분배율 산출 불가(상장 1년 미만 — 12개월 창이 안 채워짐)</t>
        </is>
      </c>
      <c r="O303" s="96" t="inlineStr">
        <is>
          <t>KAP 26-12 금융채 총수익 지수(AA- 이상)</t>
        </is>
      </c>
      <c r="P303" s="96" t="inlineStr">
        <is>
          <t>일반</t>
        </is>
      </c>
      <c r="Q303" s="96" t="inlineStr">
        <is>
          <t>채권</t>
        </is>
      </c>
      <c r="R303" s="96" t="inlineStr">
        <is>
          <t>판정 불가</t>
        </is>
      </c>
      <c r="S303" s="97" t="n">
        <v>1</v>
      </c>
      <c r="T303" s="98" t="n"/>
    </row>
    <row r="304">
      <c r="A304" s="96" t="inlineStr">
        <is>
          <t>TIGER 2차전지TOP10</t>
        </is>
      </c>
      <c r="B304" s="96" t="inlineStr">
        <is>
          <t>364980</t>
        </is>
      </c>
      <c r="C304" s="96" t="inlineStr">
        <is>
          <t>미래에셋자산운용</t>
        </is>
      </c>
      <c r="D304" s="97" t="n">
        <v>10310</v>
      </c>
      <c r="E304" s="97" t="n">
        <v>700564500000</v>
      </c>
      <c r="F304" s="97" t="n">
        <v>32767863254</v>
      </c>
      <c r="G304" s="98" t="n">
        <v>0.004</v>
      </c>
      <c r="H304" s="98" t="n">
        <v>0.5733</v>
      </c>
      <c r="I304" s="98" t="n">
        <v>0.0054</v>
      </c>
      <c r="J304" s="98" t="n"/>
      <c r="K304" s="97" t="n">
        <v>4</v>
      </c>
      <c r="L304" s="99" t="inlineStr">
        <is>
          <t>20250429</t>
        </is>
      </c>
      <c r="M304" s="96" t="inlineStr">
        <is>
          <t>제외</t>
        </is>
      </c>
      <c r="N304" s="96" t="inlineStr">
        <is>
          <t>변동성 57.3%(1년 기준, 기준 35% 초과), 최근 12개월 분배 없음, 연 분배율 산출 불가(최근 12개월 분배 기록 없음)</t>
        </is>
      </c>
      <c r="O304" s="96" t="inlineStr">
        <is>
          <t>KRX 2차전지 TOP 10 지수</t>
        </is>
      </c>
      <c r="P304" s="96" t="inlineStr">
        <is>
          <t>일반</t>
        </is>
      </c>
      <c r="Q304" s="96" t="inlineStr">
        <is>
          <t>주식</t>
        </is>
      </c>
      <c r="R304" s="96" t="inlineStr">
        <is>
          <t>무분배</t>
        </is>
      </c>
      <c r="S304" s="97" t="n">
        <v>0</v>
      </c>
      <c r="T304" s="98" t="n"/>
    </row>
    <row r="305">
      <c r="A305" s="96" t="inlineStr">
        <is>
          <t>ACE 미국대형성장주액티브</t>
        </is>
      </c>
      <c r="B305" s="96" t="inlineStr">
        <is>
          <t>0127P0</t>
        </is>
      </c>
      <c r="C305" s="96" t="inlineStr">
        <is>
          <t>한국투신운용(ETF)</t>
        </is>
      </c>
      <c r="D305" s="97" t="n">
        <v>10425</v>
      </c>
      <c r="E305" s="97" t="n">
        <v>694826250000</v>
      </c>
      <c r="F305" s="97" t="n">
        <v>1225186125</v>
      </c>
      <c r="G305" s="98" t="n">
        <v>0.003</v>
      </c>
      <c r="H305" s="98" t="n">
        <v>0.2191</v>
      </c>
      <c r="I305" s="98" t="n">
        <v>0.0017</v>
      </c>
      <c r="J305" s="98" t="n"/>
      <c r="K305" s="97" t="n">
        <v>2</v>
      </c>
      <c r="L305" s="99" t="inlineStr">
        <is>
          <t>20260730</t>
        </is>
      </c>
      <c r="M305" s="96" t="inlineStr">
        <is>
          <t>제외</t>
        </is>
      </c>
      <c r="N305" s="96" t="inlineStr">
        <is>
          <t>상장 10개월(기준 12개월 미만), 연 분배율 산출 불가(상장 1년 미만 — 12개월 창이 안 채워짐)</t>
        </is>
      </c>
      <c r="O305" s="96" t="inlineStr">
        <is>
          <t>Morningstar US Large Cap Growth PR USD</t>
        </is>
      </c>
      <c r="P305" s="96" t="inlineStr">
        <is>
          <t>일반</t>
        </is>
      </c>
      <c r="Q305" s="96" t="inlineStr">
        <is>
          <t>주식</t>
        </is>
      </c>
      <c r="R305" s="96" t="inlineStr">
        <is>
          <t>판정 불가</t>
        </is>
      </c>
      <c r="S305" s="97" t="n">
        <v>2</v>
      </c>
      <c r="T305" s="98" t="n"/>
    </row>
    <row r="306">
      <c r="A306" s="96" t="inlineStr">
        <is>
          <t>RISE AI전력인프라</t>
        </is>
      </c>
      <c r="B306" s="96" t="inlineStr">
        <is>
          <t>0101N0</t>
        </is>
      </c>
      <c r="C306" s="96" t="inlineStr">
        <is>
          <t>KB자산운용</t>
        </is>
      </c>
      <c r="D306" s="97" t="n">
        <v>21595</v>
      </c>
      <c r="E306" s="97" t="n">
        <v>679162750000</v>
      </c>
      <c r="F306" s="97" t="n">
        <v>10073157829</v>
      </c>
      <c r="G306" s="98" t="n">
        <v>0.002</v>
      </c>
      <c r="H306" s="98" t="n">
        <v>0.6701</v>
      </c>
      <c r="I306" s="98" t="n">
        <v>0.0001</v>
      </c>
      <c r="J306" s="98" t="n"/>
      <c r="K306" s="97" t="n">
        <v>1</v>
      </c>
      <c r="L306" s="99" t="inlineStr">
        <is>
          <t>20251229</t>
        </is>
      </c>
      <c r="M306" s="96" t="inlineStr">
        <is>
          <t>제외</t>
        </is>
      </c>
      <c r="N306" s="96" t="inlineStr">
        <is>
          <t>변동성 67.0%(1년 기준, 기준 35% 초과), 연 분배율 산출 불가(상장 1년 미만 — 12개월 창이 안 채워짐)</t>
        </is>
      </c>
      <c r="O306" s="96" t="inlineStr">
        <is>
          <t>KRX-Akros AI 전력인프라 지수</t>
        </is>
      </c>
      <c r="P306" s="96" t="inlineStr">
        <is>
          <t>일반</t>
        </is>
      </c>
      <c r="Q306" s="96" t="inlineStr">
        <is>
          <t>주식</t>
        </is>
      </c>
      <c r="R306" s="96" t="inlineStr">
        <is>
          <t>연배당</t>
        </is>
      </c>
      <c r="S306" s="97" t="n">
        <v>1</v>
      </c>
      <c r="T306" s="98" t="n"/>
    </row>
    <row r="307">
      <c r="A307" s="96" t="inlineStr">
        <is>
          <t>KODEX 국고채10년액티브</t>
        </is>
      </c>
      <c r="B307" s="96" t="inlineStr">
        <is>
          <t>471230</t>
        </is>
      </c>
      <c r="C307" s="96" t="inlineStr">
        <is>
          <t>삼성자산운용(ETF)</t>
        </is>
      </c>
      <c r="D307" s="97" t="n"/>
      <c r="E307" s="97" t="n"/>
      <c r="F307" s="97" t="n"/>
      <c r="G307" s="98" t="n"/>
      <c r="H307" s="98" t="n"/>
      <c r="I307" s="98" t="n"/>
      <c r="J307" s="98" t="n"/>
      <c r="K307" s="97" t="n"/>
      <c r="L307" s="99" t="n"/>
      <c r="M307" s="96" t="inlineStr">
        <is>
          <t>제외</t>
        </is>
      </c>
      <c r="N307" s="96" t="inlineStr">
        <is>
          <t>수집 실패(세 번 다시 물었으나 답이 오지 않음: HTTP 0)</t>
        </is>
      </c>
      <c r="O307" s="96" t="inlineStr"/>
      <c r="P307" s="96" t="inlineStr">
        <is>
          <t>일반</t>
        </is>
      </c>
      <c r="Q307" s="96" t="inlineStr"/>
      <c r="R307" s="96" t="inlineStr"/>
      <c r="S307" s="97" t="n"/>
      <c r="T307" s="98" t="n"/>
    </row>
    <row r="308">
      <c r="A308" s="96" t="inlineStr">
        <is>
          <t>1Q 200액티브</t>
        </is>
      </c>
      <c r="B308" s="96" t="inlineStr">
        <is>
          <t>451060</t>
        </is>
      </c>
      <c r="C308" s="96" t="inlineStr">
        <is>
          <t>하나자산운용</t>
        </is>
      </c>
      <c r="D308" s="97" t="n"/>
      <c r="E308" s="97" t="n"/>
      <c r="F308" s="97" t="n"/>
      <c r="G308" s="98" t="n"/>
      <c r="H308" s="98" t="n"/>
      <c r="I308" s="98" t="n"/>
      <c r="J308" s="98" t="n"/>
      <c r="K308" s="97" t="n"/>
      <c r="L308" s="99" t="n"/>
      <c r="M308" s="96" t="inlineStr">
        <is>
          <t>제외</t>
        </is>
      </c>
      <c r="N308" s="96" t="inlineStr">
        <is>
          <t>수집 실패(세 번 다시 물었으나 답이 오지 않음: HTTP 0)</t>
        </is>
      </c>
      <c r="O308" s="96" t="inlineStr"/>
      <c r="P308" s="96" t="inlineStr">
        <is>
          <t>일반</t>
        </is>
      </c>
      <c r="Q308" s="96" t="inlineStr"/>
      <c r="R308" s="96" t="inlineStr"/>
      <c r="S308" s="97" t="n"/>
      <c r="T308" s="98" t="n"/>
    </row>
    <row r="309">
      <c r="A309" s="96" t="inlineStr">
        <is>
          <t>TIGER 테슬라채권혼합Fn</t>
        </is>
      </c>
      <c r="B309" s="96" t="inlineStr">
        <is>
          <t>447770</t>
        </is>
      </c>
      <c r="C309" s="96" t="inlineStr">
        <is>
          <t>미래에셋자산운용</t>
        </is>
      </c>
      <c r="D309" s="97" t="n"/>
      <c r="E309" s="97" t="n"/>
      <c r="F309" s="97" t="n"/>
      <c r="G309" s="98" t="n"/>
      <c r="H309" s="98" t="n"/>
      <c r="I309" s="98" t="n"/>
      <c r="J309" s="98" t="n"/>
      <c r="K309" s="97" t="n"/>
      <c r="L309" s="99" t="n"/>
      <c r="M309" s="96" t="inlineStr">
        <is>
          <t>제외</t>
        </is>
      </c>
      <c r="N309" s="96" t="inlineStr">
        <is>
          <t>수집 실패(세 번 다시 물었으나 답이 오지 않음: HTTP 403)</t>
        </is>
      </c>
      <c r="O309" s="96" t="inlineStr"/>
      <c r="P309" s="96" t="inlineStr">
        <is>
          <t>일반</t>
        </is>
      </c>
      <c r="Q309" s="96" t="inlineStr"/>
      <c r="R309" s="96" t="inlineStr"/>
      <c r="S309" s="97" t="n"/>
      <c r="T309" s="98" t="n"/>
    </row>
    <row r="310">
      <c r="A310" s="96" t="inlineStr">
        <is>
          <t>HANARO 200</t>
        </is>
      </c>
      <c r="B310" s="96" t="inlineStr">
        <is>
          <t>293180</t>
        </is>
      </c>
      <c r="C310" s="96" t="inlineStr">
        <is>
          <t>NH-Amundi자산운용</t>
        </is>
      </c>
      <c r="D310" s="97" t="n"/>
      <c r="E310" s="97" t="n"/>
      <c r="F310" s="97" t="n"/>
      <c r="G310" s="98" t="n"/>
      <c r="H310" s="98" t="n"/>
      <c r="I310" s="98" t="n"/>
      <c r="J310" s="98" t="n"/>
      <c r="K310" s="97" t="n"/>
      <c r="L310" s="99" t="n"/>
      <c r="M310" s="96" t="inlineStr">
        <is>
          <t>제외</t>
        </is>
      </c>
      <c r="N310" s="96" t="inlineStr">
        <is>
          <t>수집 실패(세 번 다시 물었으나 답이 오지 않음: HTTP 403)</t>
        </is>
      </c>
      <c r="O310" s="96" t="inlineStr"/>
      <c r="P310" s="96" t="inlineStr">
        <is>
          <t>일반</t>
        </is>
      </c>
      <c r="Q310" s="96" t="inlineStr"/>
      <c r="R310" s="96" t="inlineStr"/>
      <c r="S310" s="97" t="n"/>
      <c r="T310" s="98" t="n"/>
    </row>
    <row r="311">
      <c r="A311" s="96" t="inlineStr">
        <is>
          <t>SOL 중단기회사채(A-이상)액티브</t>
        </is>
      </c>
      <c r="B311" s="96" t="inlineStr">
        <is>
          <t>0016X0</t>
        </is>
      </c>
      <c r="C311" s="96" t="inlineStr">
        <is>
          <t>신한자산운용</t>
        </is>
      </c>
      <c r="D311" s="97" t="n"/>
      <c r="E311" s="97" t="n"/>
      <c r="F311" s="97" t="n"/>
      <c r="G311" s="98" t="n"/>
      <c r="H311" s="98" t="n"/>
      <c r="I311" s="98" t="n"/>
      <c r="J311" s="98" t="n"/>
      <c r="K311" s="97" t="n"/>
      <c r="L311" s="99" t="n"/>
      <c r="M311" s="96" t="inlineStr">
        <is>
          <t>제외</t>
        </is>
      </c>
      <c r="N311" s="96" t="inlineStr">
        <is>
          <t>수집 실패(세 번 다시 물었으나 답이 오지 않음: HTTP 403)</t>
        </is>
      </c>
      <c r="O311" s="96" t="inlineStr"/>
      <c r="P311" s="96" t="inlineStr">
        <is>
          <t>일반</t>
        </is>
      </c>
      <c r="Q311" s="96" t="inlineStr"/>
      <c r="R311" s="96" t="inlineStr"/>
      <c r="S311" s="97" t="n"/>
      <c r="T311" s="98" t="n"/>
    </row>
    <row r="312">
      <c r="A312" s="96" t="inlineStr">
        <is>
          <t>SOL 미국양자컴퓨팅TOP10</t>
        </is>
      </c>
      <c r="B312" s="96" t="inlineStr">
        <is>
          <t>0023A0</t>
        </is>
      </c>
      <c r="C312" s="96" t="inlineStr">
        <is>
          <t>신한자산운용</t>
        </is>
      </c>
      <c r="D312" s="97" t="n"/>
      <c r="E312" s="97" t="n"/>
      <c r="F312" s="97" t="n"/>
      <c r="G312" s="98" t="n"/>
      <c r="H312" s="98" t="n"/>
      <c r="I312" s="98" t="n"/>
      <c r="J312" s="98" t="n"/>
      <c r="K312" s="97" t="n"/>
      <c r="L312" s="99" t="n"/>
      <c r="M312" s="96" t="inlineStr">
        <is>
          <t>제외</t>
        </is>
      </c>
      <c r="N312" s="96" t="inlineStr">
        <is>
          <t>수집 실패(세 번 다시 물었으나 답이 오지 않음: HTTP 403)</t>
        </is>
      </c>
      <c r="O312" s="96" t="inlineStr"/>
      <c r="P312" s="96" t="inlineStr">
        <is>
          <t>일반</t>
        </is>
      </c>
      <c r="Q312" s="96" t="inlineStr"/>
      <c r="R312" s="96" t="inlineStr"/>
      <c r="S312" s="97" t="n"/>
      <c r="T312" s="98" t="n"/>
    </row>
    <row r="313">
      <c r="A313" s="96" t="inlineStr">
        <is>
          <t>TIGER 200IT레버리지</t>
        </is>
      </c>
      <c r="B313" s="96" t="inlineStr">
        <is>
          <t>243880</t>
        </is>
      </c>
      <c r="C313" s="96" t="inlineStr">
        <is>
          <t>미래에셋자산운용</t>
        </is>
      </c>
      <c r="D313" s="97" t="n"/>
      <c r="E313" s="97" t="n"/>
      <c r="F313" s="97" t="n"/>
      <c r="G313" s="98" t="n"/>
      <c r="H313" s="98" t="n"/>
      <c r="I313" s="98" t="n"/>
      <c r="J313" s="98" t="n"/>
      <c r="K313" s="97" t="n"/>
      <c r="L313" s="99" t="n"/>
      <c r="M313" s="96" t="inlineStr">
        <is>
          <t>제외</t>
        </is>
      </c>
      <c r="N313" s="96" t="inlineStr">
        <is>
          <t>수집 실패(세 번 다시 물었으나 답이 오지 않음: HTTP 0)</t>
        </is>
      </c>
      <c r="O313" s="96" t="inlineStr"/>
      <c r="P313" s="96" t="inlineStr">
        <is>
          <t>일반</t>
        </is>
      </c>
      <c r="Q313" s="96" t="inlineStr"/>
      <c r="R313" s="96" t="inlineStr"/>
      <c r="S313" s="97" t="n"/>
      <c r="T313" s="98" t="n"/>
    </row>
    <row r="314">
      <c r="A314" s="96" t="inlineStr">
        <is>
          <t>KODEX AI반도체핵심장비</t>
        </is>
      </c>
      <c r="B314" s="96" t="inlineStr">
        <is>
          <t>471990</t>
        </is>
      </c>
      <c r="C314" s="96" t="inlineStr">
        <is>
          <t>삼성자산운용(ETF)</t>
        </is>
      </c>
      <c r="D314" s="97" t="n"/>
      <c r="E314" s="97" t="n"/>
      <c r="F314" s="97" t="n"/>
      <c r="G314" s="98" t="n"/>
      <c r="H314" s="98" t="n"/>
      <c r="I314" s="98" t="n"/>
      <c r="J314" s="98" t="n"/>
      <c r="K314" s="97" t="n"/>
      <c r="L314" s="99" t="n"/>
      <c r="M314" s="96" t="inlineStr">
        <is>
          <t>제외</t>
        </is>
      </c>
      <c r="N314" s="96" t="inlineStr">
        <is>
          <t>수집 실패(세 번 다시 물었으나 답이 오지 않음: HTTP 403)</t>
        </is>
      </c>
      <c r="O314" s="96" t="inlineStr"/>
      <c r="P314" s="96" t="inlineStr">
        <is>
          <t>일반</t>
        </is>
      </c>
      <c r="Q314" s="96" t="inlineStr"/>
      <c r="R314" s="96" t="inlineStr"/>
      <c r="S314" s="97" t="n"/>
      <c r="T314" s="98" t="n"/>
    </row>
    <row r="315">
      <c r="A315" s="96" t="inlineStr">
        <is>
          <t>KIWOOM 국고채10년</t>
        </is>
      </c>
      <c r="B315" s="96" t="inlineStr">
        <is>
          <t>148070</t>
        </is>
      </c>
      <c r="C315" s="96" t="inlineStr">
        <is>
          <t>키움투자자산운용</t>
        </is>
      </c>
      <c r="D315" s="97" t="n"/>
      <c r="E315" s="97" t="n"/>
      <c r="F315" s="97" t="n"/>
      <c r="G315" s="98" t="n"/>
      <c r="H315" s="98" t="n"/>
      <c r="I315" s="98" t="n"/>
      <c r="J315" s="98" t="n"/>
      <c r="K315" s="97" t="n"/>
      <c r="L315" s="99" t="n"/>
      <c r="M315" s="96" t="inlineStr">
        <is>
          <t>제외</t>
        </is>
      </c>
      <c r="N315" s="96" t="inlineStr">
        <is>
          <t>수집 실패(세 번 다시 물었으나 답이 오지 않음: HTTP 403)</t>
        </is>
      </c>
      <c r="O315" s="96" t="inlineStr"/>
      <c r="P315" s="96" t="inlineStr">
        <is>
          <t>일반</t>
        </is>
      </c>
      <c r="Q315" s="96" t="inlineStr"/>
      <c r="R315" s="96" t="inlineStr"/>
      <c r="S315" s="97" t="n"/>
      <c r="T315" s="98" t="n"/>
    </row>
    <row r="316">
      <c r="A316" s="96" t="inlineStr">
        <is>
          <t>TIGER 미국나스닥100(H)</t>
        </is>
      </c>
      <c r="B316" s="96" t="inlineStr">
        <is>
          <t>448300</t>
        </is>
      </c>
      <c r="C316" s="96" t="inlineStr">
        <is>
          <t>미래에셋자산운용</t>
        </is>
      </c>
      <c r="D316" s="97" t="n"/>
      <c r="E316" s="97" t="n"/>
      <c r="F316" s="97" t="n"/>
      <c r="G316" s="98" t="n"/>
      <c r="H316" s="98" t="n"/>
      <c r="I316" s="98" t="n"/>
      <c r="J316" s="98" t="n"/>
      <c r="K316" s="97" t="n"/>
      <c r="L316" s="99" t="n"/>
      <c r="M316" s="96" t="inlineStr">
        <is>
          <t>제외</t>
        </is>
      </c>
      <c r="N316" s="96" t="inlineStr">
        <is>
          <t>수집 실패(세 번 다시 물었으나 답이 오지 않음: page.goto: net::ERR_EMPTY_RESPONSE at https://www.etfcheck.co.kr/
Call log:
  - )</t>
        </is>
      </c>
      <c r="O316" s="96" t="inlineStr"/>
      <c r="P316" s="96" t="inlineStr">
        <is>
          <t>일반</t>
        </is>
      </c>
      <c r="Q316" s="96" t="inlineStr"/>
      <c r="R316" s="96" t="inlineStr"/>
      <c r="S316" s="97" t="n"/>
      <c r="T316" s="98" t="n"/>
    </row>
    <row r="317">
      <c r="A317" s="96" t="inlineStr">
        <is>
          <t>TIME 미국S&amp;P500액티브</t>
        </is>
      </c>
      <c r="B317" s="96" t="inlineStr">
        <is>
          <t>426020</t>
        </is>
      </c>
      <c r="C317" s="96" t="inlineStr">
        <is>
          <t>타임폴리오자산운용</t>
        </is>
      </c>
      <c r="D317" s="97" t="n"/>
      <c r="E317" s="97" t="n"/>
      <c r="F317" s="97" t="n"/>
      <c r="G317" s="98" t="n"/>
      <c r="H317" s="98" t="n"/>
      <c r="I317" s="98" t="n"/>
      <c r="J317" s="98" t="n"/>
      <c r="K317" s="97" t="n"/>
      <c r="L317" s="99" t="n"/>
      <c r="M317" s="96" t="inlineStr">
        <is>
          <t>제외</t>
        </is>
      </c>
      <c r="N317" s="96" t="inlineStr">
        <is>
          <t>수집 실패(세 번 다시 물었으나 답이 오지 않음: page.goto: net::ERR_EMPTY_RESPONSE at https://www.etfcheck.co.kr/
Call log:
  - )</t>
        </is>
      </c>
      <c r="O317" s="96" t="inlineStr"/>
      <c r="P317" s="96" t="inlineStr">
        <is>
          <t>일반</t>
        </is>
      </c>
      <c r="Q317" s="96" t="inlineStr"/>
      <c r="R317" s="96" t="inlineStr"/>
      <c r="S317" s="97" t="n"/>
      <c r="T317" s="98" t="n"/>
    </row>
    <row r="318">
      <c r="A318" s="96" t="inlineStr">
        <is>
          <t>RISE 코스피</t>
        </is>
      </c>
      <c r="B318" s="96" t="inlineStr">
        <is>
          <t>302450</t>
        </is>
      </c>
      <c r="C318" s="96" t="inlineStr">
        <is>
          <t>KB자산운용</t>
        </is>
      </c>
      <c r="D318" s="97" t="n"/>
      <c r="E318" s="97" t="n"/>
      <c r="F318" s="97" t="n"/>
      <c r="G318" s="98" t="n"/>
      <c r="H318" s="98" t="n"/>
      <c r="I318" s="98" t="n"/>
      <c r="J318" s="98" t="n"/>
      <c r="K318" s="97" t="n"/>
      <c r="L318" s="99" t="n"/>
      <c r="M318" s="96" t="inlineStr">
        <is>
          <t>제외</t>
        </is>
      </c>
      <c r="N318" s="96" t="inlineStr">
        <is>
          <t>수집 실패(세 번 다시 물었으나 답이 오지 않음: page.goto: net::ERR_EMPTY_RESPONSE at https://www.etfcheck.co.kr/
Call log:
  - )</t>
        </is>
      </c>
      <c r="O318" s="96" t="inlineStr"/>
      <c r="P318" s="96" t="inlineStr">
        <is>
          <t>일반</t>
        </is>
      </c>
      <c r="Q318" s="96" t="inlineStr"/>
      <c r="R318" s="96" t="inlineStr"/>
      <c r="S318" s="97" t="n"/>
      <c r="T318" s="98" t="n"/>
    </row>
    <row r="319">
      <c r="A319" s="96" t="inlineStr">
        <is>
          <t>TIGER 27-04회사채(A+이상)액티브</t>
        </is>
      </c>
      <c r="B319" s="96" t="inlineStr">
        <is>
          <t>480260</t>
        </is>
      </c>
      <c r="C319" s="96" t="inlineStr">
        <is>
          <t>미래에셋자산운용</t>
        </is>
      </c>
      <c r="D319" s="97" t="n"/>
      <c r="E319" s="97" t="n"/>
      <c r="F319" s="97" t="n"/>
      <c r="G319" s="98" t="n"/>
      <c r="H319" s="98" t="n"/>
      <c r="I319" s="98" t="n"/>
      <c r="J319" s="98" t="n"/>
      <c r="K319" s="97" t="n"/>
      <c r="L319" s="99" t="n"/>
      <c r="M319" s="96" t="inlineStr">
        <is>
          <t>제외</t>
        </is>
      </c>
      <c r="N319" s="96" t="inlineStr">
        <is>
          <t>수집 실패(세 번 다시 물었으나 답이 오지 않음: HTTP 403)</t>
        </is>
      </c>
      <c r="O319" s="96" t="inlineStr"/>
      <c r="P319" s="96" t="inlineStr">
        <is>
          <t>일반</t>
        </is>
      </c>
      <c r="Q319" s="96" t="inlineStr"/>
      <c r="R319" s="96" t="inlineStr"/>
      <c r="S319" s="97" t="n"/>
      <c r="T319" s="98" t="n"/>
    </row>
    <row r="320">
      <c r="A320" s="96" t="inlineStr">
        <is>
          <t>TIGER 토탈월드스탁액티브</t>
        </is>
      </c>
      <c r="B320" s="96" t="inlineStr">
        <is>
          <t>0060H0</t>
        </is>
      </c>
      <c r="C320" s="96" t="inlineStr">
        <is>
          <t>미래에셋자산운용</t>
        </is>
      </c>
      <c r="D320" s="97" t="n"/>
      <c r="E320" s="97" t="n"/>
      <c r="F320" s="97" t="n"/>
      <c r="G320" s="98" t="n"/>
      <c r="H320" s="98" t="n"/>
      <c r="I320" s="98" t="n"/>
      <c r="J320" s="98" t="n"/>
      <c r="K320" s="97" t="n"/>
      <c r="L320" s="99" t="n"/>
      <c r="M320" s="96" t="inlineStr">
        <is>
          <t>제외</t>
        </is>
      </c>
      <c r="N320" s="96" t="inlineStr">
        <is>
          <t>수집 실패(세 번 다시 물었으나 답이 오지 않음: HTTP 403)</t>
        </is>
      </c>
      <c r="O320" s="96" t="inlineStr"/>
      <c r="P320" s="96" t="inlineStr">
        <is>
          <t>일반</t>
        </is>
      </c>
      <c r="Q320" s="96" t="inlineStr"/>
      <c r="R320" s="96" t="inlineStr"/>
      <c r="S320" s="97" t="n"/>
      <c r="T320" s="98" t="n"/>
    </row>
    <row r="321">
      <c r="A321" s="96" t="inlineStr">
        <is>
          <t>TIGER 일본니케이225</t>
        </is>
      </c>
      <c r="B321" s="96" t="inlineStr">
        <is>
          <t>241180</t>
        </is>
      </c>
      <c r="C321" s="96" t="inlineStr">
        <is>
          <t>미래에셋자산운용</t>
        </is>
      </c>
      <c r="D321" s="97" t="n"/>
      <c r="E321" s="97" t="n"/>
      <c r="F321" s="97" t="n"/>
      <c r="G321" s="98" t="n"/>
      <c r="H321" s="98" t="n"/>
      <c r="I321" s="98" t="n"/>
      <c r="J321" s="98" t="n"/>
      <c r="K321" s="97" t="n"/>
      <c r="L321" s="99" t="n"/>
      <c r="M321" s="96" t="inlineStr">
        <is>
          <t>제외</t>
        </is>
      </c>
      <c r="N321" s="96" t="inlineStr">
        <is>
          <t>수집 실패(세 번 다시 물었으나 답이 오지 않음: HTTP 0)</t>
        </is>
      </c>
      <c r="O321" s="96" t="inlineStr"/>
      <c r="P321" s="96" t="inlineStr">
        <is>
          <t>일반</t>
        </is>
      </c>
      <c r="Q321" s="96" t="inlineStr"/>
      <c r="R321" s="96" t="inlineStr"/>
      <c r="S321" s="97" t="n"/>
      <c r="T321" s="98" t="n"/>
    </row>
    <row r="322">
      <c r="A322" s="96" t="inlineStr">
        <is>
          <t>KODEX 26-12 회사채(AA-이상)액티브</t>
        </is>
      </c>
      <c r="B322" s="96" t="inlineStr">
        <is>
          <t>473290</t>
        </is>
      </c>
      <c r="C322" s="96" t="inlineStr">
        <is>
          <t>삼성자산운용(ETF)</t>
        </is>
      </c>
      <c r="D322" s="97" t="n"/>
      <c r="E322" s="97" t="n"/>
      <c r="F322" s="97" t="n"/>
      <c r="G322" s="98" t="n"/>
      <c r="H322" s="98" t="n"/>
      <c r="I322" s="98" t="n"/>
      <c r="J322" s="98" t="n"/>
      <c r="K322" s="97" t="n"/>
      <c r="L322" s="99" t="n"/>
      <c r="M322" s="96" t="inlineStr">
        <is>
          <t>제외</t>
        </is>
      </c>
      <c r="N322" s="96" t="inlineStr">
        <is>
          <t>수집 실패(세 번 다시 물었으나 답이 오지 않음: HTTP 403)</t>
        </is>
      </c>
      <c r="O322" s="96" t="inlineStr"/>
      <c r="P322" s="96" t="inlineStr">
        <is>
          <t>일반</t>
        </is>
      </c>
      <c r="Q322" s="96" t="inlineStr"/>
      <c r="R322" s="96" t="inlineStr"/>
      <c r="S322" s="97" t="n"/>
      <c r="T322" s="98" t="n"/>
    </row>
    <row r="323">
      <c r="A323" s="96" t="inlineStr">
        <is>
          <t>KODEX 미국AI광통신네트워크</t>
        </is>
      </c>
      <c r="B323" s="96" t="inlineStr">
        <is>
          <t>0173Y0</t>
        </is>
      </c>
      <c r="C323" s="96" t="inlineStr">
        <is>
          <t>삼성자산운용(ETF)</t>
        </is>
      </c>
      <c r="D323" s="97" t="n"/>
      <c r="E323" s="97" t="n"/>
      <c r="F323" s="97" t="n"/>
      <c r="G323" s="98" t="n"/>
      <c r="H323" s="98" t="n"/>
      <c r="I323" s="98" t="n"/>
      <c r="J323" s="98" t="n"/>
      <c r="K323" s="97" t="n"/>
      <c r="L323" s="99" t="n"/>
      <c r="M323" s="96" t="inlineStr">
        <is>
          <t>제외</t>
        </is>
      </c>
      <c r="N323" s="96" t="inlineStr">
        <is>
          <t>수집 실패(세 번 다시 물었으나 답이 오지 않음: HTTP 403)</t>
        </is>
      </c>
      <c r="O323" s="96" t="inlineStr"/>
      <c r="P323" s="96" t="inlineStr">
        <is>
          <t>일반</t>
        </is>
      </c>
      <c r="Q323" s="96" t="inlineStr"/>
      <c r="R323" s="96" t="inlineStr"/>
      <c r="S323" s="97" t="n"/>
      <c r="T323" s="98" t="n"/>
    </row>
    <row r="324">
      <c r="A324" s="96" t="inlineStr">
        <is>
          <t>TIGER 미국30년국채스트립액티브(합성 H)</t>
        </is>
      </c>
      <c r="B324" s="96" t="inlineStr">
        <is>
          <t>458250</t>
        </is>
      </c>
      <c r="C324" s="96" t="inlineStr">
        <is>
          <t>미래에셋자산운용</t>
        </is>
      </c>
      <c r="D324" s="97" t="n"/>
      <c r="E324" s="97" t="n"/>
      <c r="F324" s="97" t="n"/>
      <c r="G324" s="98" t="n"/>
      <c r="H324" s="98" t="n"/>
      <c r="I324" s="98" t="n"/>
      <c r="J324" s="98" t="n"/>
      <c r="K324" s="97" t="n"/>
      <c r="L324" s="99" t="n"/>
      <c r="M324" s="96" t="inlineStr">
        <is>
          <t>제외</t>
        </is>
      </c>
      <c r="N324" s="96" t="inlineStr">
        <is>
          <t>수집 실패(세 번 다시 물었으나 답이 오지 않음: page.goto: net::ERR_EMPTY_RESPONSE at https://www.etfcheck.co.kr/
Call log:
  - )</t>
        </is>
      </c>
      <c r="O324" s="96" t="inlineStr"/>
      <c r="P324" s="96" t="inlineStr">
        <is>
          <t>일반</t>
        </is>
      </c>
      <c r="Q324" s="96" t="inlineStr"/>
      <c r="R324" s="96" t="inlineStr"/>
      <c r="S324" s="97" t="n"/>
      <c r="T324" s="98" t="n"/>
    </row>
    <row r="325">
      <c r="A325" s="96" t="inlineStr">
        <is>
          <t>ACE 베트남VN30(합성)</t>
        </is>
      </c>
      <c r="B325" s="96" t="inlineStr">
        <is>
          <t>245710</t>
        </is>
      </c>
      <c r="C325" s="96" t="inlineStr">
        <is>
          <t>한국투신운용(ETF)</t>
        </is>
      </c>
      <c r="D325" s="97" t="n"/>
      <c r="E325" s="97" t="n"/>
      <c r="F325" s="97" t="n"/>
      <c r="G325" s="98" t="n"/>
      <c r="H325" s="98" t="n"/>
      <c r="I325" s="98" t="n"/>
      <c r="J325" s="98" t="n"/>
      <c r="K325" s="97" t="n"/>
      <c r="L325" s="99" t="n"/>
      <c r="M325" s="96" t="inlineStr">
        <is>
          <t>제외</t>
        </is>
      </c>
      <c r="N325" s="96" t="inlineStr">
        <is>
          <t>수집 실패(세 번 다시 물었으나 답이 오지 않음: HTTP 0)</t>
        </is>
      </c>
      <c r="O325" s="96" t="inlineStr"/>
      <c r="P325" s="96" t="inlineStr">
        <is>
          <t>일반</t>
        </is>
      </c>
      <c r="Q325" s="96" t="inlineStr"/>
      <c r="R325" s="96" t="inlineStr"/>
      <c r="S325" s="97" t="n"/>
      <c r="T325" s="98" t="n"/>
    </row>
    <row r="326">
      <c r="A326" s="96" t="inlineStr">
        <is>
          <t>RISE 단기채권알파액티브</t>
        </is>
      </c>
      <c r="B326" s="96" t="inlineStr">
        <is>
          <t>385550</t>
        </is>
      </c>
      <c r="C326" s="96" t="inlineStr">
        <is>
          <t>KB자산운용</t>
        </is>
      </c>
      <c r="D326" s="97" t="n"/>
      <c r="E326" s="97" t="n"/>
      <c r="F326" s="97" t="n"/>
      <c r="G326" s="98" t="n"/>
      <c r="H326" s="98" t="n"/>
      <c r="I326" s="98" t="n"/>
      <c r="J326" s="98" t="n"/>
      <c r="K326" s="97" t="n"/>
      <c r="L326" s="99" t="n"/>
      <c r="M326" s="96" t="inlineStr">
        <is>
          <t>제외</t>
        </is>
      </c>
      <c r="N326" s="96" t="inlineStr">
        <is>
          <t>수집 실패(세 번 다시 물었으나 답이 오지 않음: HTTP 403)</t>
        </is>
      </c>
      <c r="O326" s="96" t="inlineStr"/>
      <c r="P326" s="96" t="inlineStr">
        <is>
          <t>일반</t>
        </is>
      </c>
      <c r="Q326" s="96" t="inlineStr"/>
      <c r="R326" s="96" t="inlineStr"/>
      <c r="S326" s="97" t="n"/>
      <c r="T326" s="98" t="n"/>
    </row>
    <row r="327">
      <c r="A327" s="96" t="inlineStr">
        <is>
          <t>KODEX ESG종합채권(A-이상)액티브</t>
        </is>
      </c>
      <c r="B327" s="96" t="inlineStr">
        <is>
          <t>439860</t>
        </is>
      </c>
      <c r="C327" s="96" t="inlineStr">
        <is>
          <t>삼성자산운용(ETF)</t>
        </is>
      </c>
      <c r="D327" s="97" t="n"/>
      <c r="E327" s="97" t="n"/>
      <c r="F327" s="97" t="n"/>
      <c r="G327" s="98" t="n"/>
      <c r="H327" s="98" t="n"/>
      <c r="I327" s="98" t="n"/>
      <c r="J327" s="98" t="n"/>
      <c r="K327" s="97" t="n"/>
      <c r="L327" s="99" t="n"/>
      <c r="M327" s="96" t="inlineStr">
        <is>
          <t>제외</t>
        </is>
      </c>
      <c r="N327" s="96" t="inlineStr">
        <is>
          <t>수집 실패(세 번 다시 물었으나 답이 오지 않음: page.goto: net::ERR_EMPTY_RESPONSE at https://www.etfcheck.co.kr/
Call log:
  - )</t>
        </is>
      </c>
      <c r="O327" s="96" t="inlineStr"/>
      <c r="P327" s="96" t="inlineStr">
        <is>
          <t>일반</t>
        </is>
      </c>
      <c r="Q327" s="96" t="inlineStr"/>
      <c r="R327" s="96" t="inlineStr"/>
      <c r="S327" s="97" t="n"/>
      <c r="T327" s="98" t="n"/>
    </row>
    <row r="328">
      <c r="A328" s="96" t="inlineStr">
        <is>
          <t>KODEX 자동차</t>
        </is>
      </c>
      <c r="B328" s="96" t="inlineStr">
        <is>
          <t>091180</t>
        </is>
      </c>
      <c r="C328" s="96" t="inlineStr">
        <is>
          <t>삼성자산운용(ETF)</t>
        </is>
      </c>
      <c r="D328" s="97" t="n"/>
      <c r="E328" s="97" t="n"/>
      <c r="F328" s="97" t="n"/>
      <c r="G328" s="98" t="n"/>
      <c r="H328" s="98" t="n"/>
      <c r="I328" s="98" t="n"/>
      <c r="J328" s="98" t="n"/>
      <c r="K328" s="97" t="n"/>
      <c r="L328" s="99" t="n"/>
      <c r="M328" s="96" t="inlineStr">
        <is>
          <t>제외</t>
        </is>
      </c>
      <c r="N328" s="96" t="inlineStr">
        <is>
          <t>수집 실패(세 번 다시 물었으나 답이 오지 않음: page.goto: net::ERR_EMPTY_RESPONSE at https://www.etfcheck.co.kr/
Call log:
  - )</t>
        </is>
      </c>
      <c r="O328" s="96" t="inlineStr"/>
      <c r="P328" s="96" t="inlineStr">
        <is>
          <t>일반</t>
        </is>
      </c>
      <c r="Q328" s="96" t="inlineStr"/>
      <c r="R328" s="96" t="inlineStr"/>
      <c r="S328" s="97" t="n"/>
      <c r="T328" s="98" t="n"/>
    </row>
    <row r="329">
      <c r="A329" s="96" t="inlineStr">
        <is>
          <t>KODEX 골드선물(H)</t>
        </is>
      </c>
      <c r="B329" s="96" t="inlineStr">
        <is>
          <t>132030</t>
        </is>
      </c>
      <c r="C329" s="96" t="inlineStr">
        <is>
          <t>삼성자산운용(ETF)</t>
        </is>
      </c>
      <c r="D329" s="97" t="n"/>
      <c r="E329" s="97" t="n"/>
      <c r="F329" s="97" t="n"/>
      <c r="G329" s="98" t="n"/>
      <c r="H329" s="98" t="n"/>
      <c r="I329" s="98" t="n"/>
      <c r="J329" s="98" t="n"/>
      <c r="K329" s="97" t="n"/>
      <c r="L329" s="99" t="n"/>
      <c r="M329" s="96" t="inlineStr">
        <is>
          <t>제외</t>
        </is>
      </c>
      <c r="N329" s="96" t="inlineStr">
        <is>
          <t>수집 실패(세 번 다시 물었으나 답이 오지 않음: HTTP 0)</t>
        </is>
      </c>
      <c r="O329" s="96" t="inlineStr"/>
      <c r="P329" s="96" t="inlineStr">
        <is>
          <t>일반</t>
        </is>
      </c>
      <c r="Q329" s="96" t="inlineStr"/>
      <c r="R329" s="96" t="inlineStr"/>
      <c r="S329" s="97" t="n"/>
      <c r="T329" s="98" t="n"/>
    </row>
    <row r="330">
      <c r="A330" s="96" t="inlineStr">
        <is>
          <t>RISE AI&amp;로봇</t>
        </is>
      </c>
      <c r="B330" s="96" t="inlineStr">
        <is>
          <t>469070</t>
        </is>
      </c>
      <c r="C330" s="96" t="inlineStr">
        <is>
          <t>KB자산운용</t>
        </is>
      </c>
      <c r="D330" s="97" t="n"/>
      <c r="E330" s="97" t="n"/>
      <c r="F330" s="97" t="n"/>
      <c r="G330" s="98" t="n"/>
      <c r="H330" s="98" t="n"/>
      <c r="I330" s="98" t="n"/>
      <c r="J330" s="98" t="n"/>
      <c r="K330" s="97" t="n"/>
      <c r="L330" s="99" t="n"/>
      <c r="M330" s="96" t="inlineStr">
        <is>
          <t>제외</t>
        </is>
      </c>
      <c r="N330" s="96" t="inlineStr">
        <is>
          <t>수집 실패(세 번 다시 물었으나 답이 오지 않음: page.goto: net::ERR_EMPTY_RESPONSE at https://www.etfcheck.co.kr/
Call log:
  - )</t>
        </is>
      </c>
      <c r="O330" s="96" t="inlineStr"/>
      <c r="P330" s="96" t="inlineStr">
        <is>
          <t>일반</t>
        </is>
      </c>
      <c r="Q330" s="96" t="inlineStr"/>
      <c r="R330" s="96" t="inlineStr"/>
      <c r="S330" s="97" t="n"/>
      <c r="T330" s="98" t="n"/>
    </row>
    <row r="331">
      <c r="A331" s="96" t="inlineStr">
        <is>
          <t>KODEX 방산TOP10</t>
        </is>
      </c>
      <c r="B331" s="96" t="inlineStr">
        <is>
          <t>0080G0</t>
        </is>
      </c>
      <c r="C331" s="96" t="inlineStr">
        <is>
          <t>삼성자산운용(ETF)</t>
        </is>
      </c>
      <c r="D331" s="97" t="n"/>
      <c r="E331" s="97" t="n"/>
      <c r="F331" s="97" t="n"/>
      <c r="G331" s="98" t="n"/>
      <c r="H331" s="98" t="n"/>
      <c r="I331" s="98" t="n"/>
      <c r="J331" s="98" t="n"/>
      <c r="K331" s="97" t="n"/>
      <c r="L331" s="99" t="n"/>
      <c r="M331" s="96" t="inlineStr">
        <is>
          <t>제외</t>
        </is>
      </c>
      <c r="N331" s="96" t="inlineStr">
        <is>
          <t>수집 실패(세 번 다시 물었으나 답이 오지 않음: HTTP 403)</t>
        </is>
      </c>
      <c r="O331" s="96" t="inlineStr"/>
      <c r="P331" s="96" t="inlineStr">
        <is>
          <t>일반</t>
        </is>
      </c>
      <c r="Q331" s="96" t="inlineStr"/>
      <c r="R331" s="96" t="inlineStr"/>
      <c r="S331" s="97" t="n"/>
      <c r="T331" s="98" t="n"/>
    </row>
    <row r="332">
      <c r="A332" s="96" t="inlineStr">
        <is>
          <t>1Q 미국우주항공테크</t>
        </is>
      </c>
      <c r="B332" s="96" t="inlineStr">
        <is>
          <t>0131V0</t>
        </is>
      </c>
      <c r="C332" s="96" t="inlineStr">
        <is>
          <t>하나자산운용</t>
        </is>
      </c>
      <c r="D332" s="97" t="n"/>
      <c r="E332" s="97" t="n"/>
      <c r="F332" s="97" t="n"/>
      <c r="G332" s="98" t="n"/>
      <c r="H332" s="98" t="n"/>
      <c r="I332" s="98" t="n"/>
      <c r="J332" s="98" t="n"/>
      <c r="K332" s="97" t="n"/>
      <c r="L332" s="99" t="n"/>
      <c r="M332" s="96" t="inlineStr">
        <is>
          <t>제외</t>
        </is>
      </c>
      <c r="N332" s="96" t="inlineStr">
        <is>
          <t>수집 실패(세 번 다시 물었으나 답이 오지 않음: page.goto: net::ERR_EMPTY_RESPONSE at https://www.etfcheck.co.kr/
Call log:
  - )</t>
        </is>
      </c>
      <c r="O332" s="96" t="inlineStr"/>
      <c r="P332" s="96" t="inlineStr">
        <is>
          <t>일반</t>
        </is>
      </c>
      <c r="Q332" s="96" t="inlineStr"/>
      <c r="R332" s="96" t="inlineStr"/>
      <c r="S332" s="97" t="n"/>
      <c r="T332" s="98" t="n"/>
    </row>
    <row r="333">
      <c r="A333" s="96" t="inlineStr">
        <is>
          <t>KODEX 미국우주항공</t>
        </is>
      </c>
      <c r="B333" s="96" t="inlineStr">
        <is>
          <t>0167Z0</t>
        </is>
      </c>
      <c r="C333" s="96" t="inlineStr">
        <is>
          <t>삼성자산운용(ETF)</t>
        </is>
      </c>
      <c r="D333" s="97" t="n"/>
      <c r="E333" s="97" t="n"/>
      <c r="F333" s="97" t="n"/>
      <c r="G333" s="98" t="n"/>
      <c r="H333" s="98" t="n"/>
      <c r="I333" s="98" t="n"/>
      <c r="J333" s="98" t="n"/>
      <c r="K333" s="97" t="n"/>
      <c r="L333" s="99" t="n"/>
      <c r="M333" s="96" t="inlineStr">
        <is>
          <t>제외</t>
        </is>
      </c>
      <c r="N333" s="96" t="inlineStr">
        <is>
          <t>수집 실패(세 번 다시 물었으나 답이 오지 않음: HTTP 403)</t>
        </is>
      </c>
      <c r="O333" s="96" t="inlineStr"/>
      <c r="P333" s="96" t="inlineStr">
        <is>
          <t>일반</t>
        </is>
      </c>
      <c r="Q333" s="96" t="inlineStr"/>
      <c r="R333" s="96" t="inlineStr"/>
      <c r="S333" s="97" t="n"/>
      <c r="T333" s="98" t="n"/>
    </row>
    <row r="334">
      <c r="A334" s="96" t="inlineStr">
        <is>
          <t>RISE TDF2050액티브 적격</t>
        </is>
      </c>
      <c r="B334" s="96" t="inlineStr">
        <is>
          <t>442570</t>
        </is>
      </c>
      <c r="C334" s="96" t="inlineStr">
        <is>
          <t>KB자산운용</t>
        </is>
      </c>
      <c r="D334" s="97" t="n"/>
      <c r="E334" s="97" t="n"/>
      <c r="F334" s="97" t="n"/>
      <c r="G334" s="98" t="n"/>
      <c r="H334" s="98" t="n"/>
      <c r="I334" s="98" t="n"/>
      <c r="J334" s="98" t="n"/>
      <c r="K334" s="97" t="n"/>
      <c r="L334" s="99" t="n"/>
      <c r="M334" s="96" t="inlineStr">
        <is>
          <t>제외</t>
        </is>
      </c>
      <c r="N334" s="96" t="inlineStr">
        <is>
          <t>수집 실패(세 번 다시 물었으나 답이 오지 않음: HTTP 403)</t>
        </is>
      </c>
      <c r="O334" s="96" t="inlineStr"/>
      <c r="P334" s="96" t="inlineStr">
        <is>
          <t>일반</t>
        </is>
      </c>
      <c r="Q334" s="96" t="inlineStr"/>
      <c r="R334" s="96" t="inlineStr"/>
      <c r="S334" s="97" t="n"/>
      <c r="T334" s="98" t="n"/>
    </row>
    <row r="335">
      <c r="A335" s="96" t="inlineStr">
        <is>
          <t>1Q 미국S&amp;P500</t>
        </is>
      </c>
      <c r="B335" s="96" t="inlineStr">
        <is>
          <t>0026S0</t>
        </is>
      </c>
      <c r="C335" s="96" t="inlineStr">
        <is>
          <t>하나자산운용</t>
        </is>
      </c>
      <c r="D335" s="97" t="n"/>
      <c r="E335" s="97" t="n"/>
      <c r="F335" s="97" t="n"/>
      <c r="G335" s="98" t="n"/>
      <c r="H335" s="98" t="n"/>
      <c r="I335" s="98" t="n"/>
      <c r="J335" s="98" t="n"/>
      <c r="K335" s="97" t="n"/>
      <c r="L335" s="99" t="n"/>
      <c r="M335" s="96" t="inlineStr">
        <is>
          <t>제외</t>
        </is>
      </c>
      <c r="N335" s="96" t="inlineStr">
        <is>
          <t>수집 실패(세 번 다시 물었으나 답이 오지 않음: HTTP 403)</t>
        </is>
      </c>
      <c r="O335" s="96" t="inlineStr"/>
      <c r="P335" s="96" t="inlineStr">
        <is>
          <t>일반</t>
        </is>
      </c>
      <c r="Q335" s="96" t="inlineStr"/>
      <c r="R335" s="96" t="inlineStr"/>
      <c r="S335" s="97" t="n"/>
      <c r="T335" s="98" t="n"/>
    </row>
    <row r="336">
      <c r="A336" s="96" t="inlineStr">
        <is>
          <t>KODEX 신재생에너지액티브</t>
        </is>
      </c>
      <c r="B336" s="96" t="inlineStr">
        <is>
          <t>385510</t>
        </is>
      </c>
      <c r="C336" s="96" t="inlineStr">
        <is>
          <t>삼성자산운용(ETF)</t>
        </is>
      </c>
      <c r="D336" s="97" t="n"/>
      <c r="E336" s="97" t="n"/>
      <c r="F336" s="97" t="n"/>
      <c r="G336" s="98" t="n"/>
      <c r="H336" s="98" t="n"/>
      <c r="I336" s="98" t="n"/>
      <c r="J336" s="98" t="n"/>
      <c r="K336" s="97" t="n"/>
      <c r="L336" s="99" t="n"/>
      <c r="M336" s="96" t="inlineStr">
        <is>
          <t>제외</t>
        </is>
      </c>
      <c r="N336" s="96" t="inlineStr">
        <is>
          <t>수집 실패(세 번 다시 물었으나 답이 오지 않음: page.goto: net::ERR_EMPTY_RESPONSE at https://www.etfcheck.co.kr/
Call log:
  - )</t>
        </is>
      </c>
      <c r="O336" s="96" t="inlineStr"/>
      <c r="P336" s="96" t="inlineStr">
        <is>
          <t>일반</t>
        </is>
      </c>
      <c r="Q336" s="96" t="inlineStr"/>
      <c r="R336" s="96" t="inlineStr"/>
      <c r="S336" s="97" t="n"/>
      <c r="T336" s="98" t="n"/>
    </row>
  </sheetData>
  <autoFilter ref="A3:T3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4" customWidth="1" min="2" max="2"/>
  </cols>
  <sheetData>
    <row r="1" ht="34" customHeight="1">
      <c r="A1" s="2" t="n"/>
      <c r="B1" s="100" t="inlineStr">
        <is>
          <t>이 파일을 쓰는 법</t>
        </is>
      </c>
    </row>
    <row r="2" ht="3" customHeight="1">
      <c r="A2" s="6" t="n"/>
      <c r="B2" s="6" t="n"/>
    </row>
    <row r="4" ht="18" customHeight="1">
      <c r="B4" s="101" t="inlineStr"/>
    </row>
    <row r="5" ht="24" customHeight="1">
      <c r="B5" s="102" t="inlineStr">
        <is>
          <t>1. [제안서] 장의 노란 칸만 고치면 됩니다.</t>
        </is>
      </c>
    </row>
    <row r="6" ht="18" customHeight="1">
      <c r="B6" s="70" t="inlineStr">
        <is>
          <t xml:space="preserve">     · 고객명 — 그대로 인쇄됩니다.</t>
        </is>
      </c>
    </row>
    <row r="7" ht="18" customHeight="1">
      <c r="B7" s="70" t="inlineStr">
        <is>
          <t xml:space="preserve">     · 총 투자금액 — 원 단위로 넣으십시오. 예: 100000000</t>
        </is>
      </c>
    </row>
    <row r="8" ht="18" customHeight="1">
      <c r="B8" s="70" t="inlineStr">
        <is>
          <t xml:space="preserve">     · 배분 방식 — '비율' 또는 '금액'. 포트폴리오 표의 배분 칸 뜻이 이것에 따라 바뀝니다.</t>
        </is>
      </c>
    </row>
    <row r="9" ht="18" customHeight="1">
      <c r="B9" s="70" t="inlineStr">
        <is>
          <t xml:space="preserve">     · 배당소득세율 — 기본 15.4%. 금융소득종합과세 대상자면 여기만 바꾸십시오.</t>
        </is>
      </c>
    </row>
    <row r="10" ht="18" customHeight="1">
      <c r="B10" s="101" t="inlineStr"/>
    </row>
    <row r="11" ht="24" customHeight="1">
      <c r="B11" s="102" t="inlineStr">
        <is>
          <t>2. 포트폴리오는 10줄까지 담을 수 있습니다.</t>
        </is>
      </c>
    </row>
    <row r="12" ht="18" customHeight="1">
      <c r="B12" s="70" t="inlineStr">
        <is>
          <t xml:space="preserve">     · 투자 ETF 칸을 누르면 ▼ 가 나옵니다. 목록에서 고르십시오.</t>
        </is>
      </c>
    </row>
    <row r="13" ht="18" customHeight="1">
      <c r="B13" s="70" t="inlineStr">
        <is>
          <t xml:space="preserve">     · 종목이 많아 찾기 어려우면 표 위의 '종목 검색' 에 글자 일부를 넣으십시오 (예: 커버드콜). ▼ 목록이 그만큼만 남고, 비우면 전체로 돌아옵니다.</t>
        </is>
      </c>
    </row>
    <row r="14" ht="18" customHeight="1">
      <c r="B14" s="70" t="inlineStr">
        <is>
          <t xml:space="preserve">     · [종목조회] 장에서 '담기' 칸에 O 를 넣으면 이 표에 자동으로 올라옵니다. 담은 순서대로 채워지고, O 를 지우면 내려갑니다. 배분 비율은 직접 넣으십시오.</t>
        </is>
      </c>
    </row>
    <row r="15" ht="18" customHeight="1">
      <c r="B15" s="70" t="inlineStr">
        <is>
          <t xml:space="preserve">     · 손으로 ▼ 로 고르면 그 줄은 손으로 고른 값이 남습니다(그 줄만 [종목조회] 를 따라가지 않습니다). 다음 달 파일에서는 다시 연결됩니다.</t>
        </is>
      </c>
    </row>
    <row r="16" ht="18" customHeight="1">
      <c r="B16" s="70" t="inlineStr">
        <is>
          <t xml:space="preserve">     · '비율' 이면 배분 칸에 %를 넣습니다. 합이 100 이 되어야 합니다.</t>
        </is>
      </c>
    </row>
    <row r="17" ht="18" customHeight="1">
      <c r="B17" s="70" t="inlineStr">
        <is>
          <t xml:space="preserve">       예) 50 / 30 / 20 → 총 투자금액을 5:3:2 로 나눕니다.</t>
        </is>
      </c>
    </row>
    <row r="18" ht="18" customHeight="1">
      <c r="B18" s="70" t="inlineStr">
        <is>
          <t xml:space="preserve">     · '금액' 이면 배분 칸에 원 단위 금액을 직접 넣습니다.</t>
        </is>
      </c>
    </row>
    <row r="19" ht="18" customHeight="1">
      <c r="B19" s="70" t="inlineStr">
        <is>
          <t xml:space="preserve">       예) 60000000 / 25000000 / 15000000</t>
        </is>
      </c>
    </row>
    <row r="20" ht="18" customHeight="1">
      <c r="B20" s="70" t="inlineStr">
        <is>
          <t xml:space="preserve">     · 한 종목만 담으려면 첫 줄에만 넣고 배분을 100 으로 두십시오.</t>
        </is>
      </c>
    </row>
    <row r="21" ht="18" customHeight="1">
      <c r="B21" s="70" t="inlineStr">
        <is>
          <t xml:space="preserve">     · 빈 줄은 계산에서 빠집니다. 줄을 지울 필요가 없습니다.</t>
        </is>
      </c>
    </row>
    <row r="22" ht="18" customHeight="1">
      <c r="B22" s="70" t="inlineStr">
        <is>
          <t xml:space="preserve">     · 배분이 어긋나면(비율 합 ≠ 100, 금액 합 &gt; 총액) 합계 줄 아래에 빨간 글씨로 알려 줍니다.</t>
        </is>
      </c>
    </row>
    <row r="23" ht="18" customHeight="1">
      <c r="B23" s="101" t="inlineStr"/>
    </row>
    <row r="24" ht="24" customHeight="1">
      <c r="B24" s="102" t="inlineStr">
        <is>
          <t>3. 드롭다운에는 고를 수 있는 종목이 전부 담겨 있습니다.</t>
        </is>
      </c>
    </row>
    <row r="25" ht="18" customHeight="1">
      <c r="B25" s="70" t="inlineStr">
        <is>
          <t xml:space="preserve">     · 채택 121종목 — 유동성·변동성·분배이력 기준을 통과한 종목</t>
        </is>
      </c>
    </row>
    <row r="26" ht="18" customHeight="1">
      <c r="B26" s="70" t="inlineStr">
        <is>
          <t xml:space="preserve">     · 기준 미달 129종목 — 통과하지 못했지만 고를 수는 있습니다.</t>
        </is>
      </c>
    </row>
    <row r="27" ht="18" customHeight="1">
      <c r="B27" s="70" t="inlineStr">
        <is>
          <t xml:space="preserve">       담으면 합계 줄 아래에 노란 글씨로 알려 주고, 사유는 [ETF데이터] 장 '제외 사유' 칸에 있습니다.</t>
        </is>
      </c>
    </row>
    <row r="28" ht="18" customHeight="1">
      <c r="B28" s="70" t="inlineStr">
        <is>
          <t xml:space="preserve">     · 선택 불가 83종목 — 연 분배율을 낼 수 없는 종목이라 드롭다운에 없습니다.</t>
        </is>
      </c>
    </row>
    <row r="29" ht="18" customHeight="1">
      <c r="B29" s="70" t="inlineStr">
        <is>
          <t xml:space="preserve">       (분배 이력이 열두 달을 못 채웠거나 수집이 실패한 종목입니다. 사유는 [ETF데이터] 장에 있습니다.)</t>
        </is>
      </c>
    </row>
    <row r="30" ht="18" customHeight="1">
      <c r="B30" s="70" t="inlineStr">
        <is>
          <t xml:space="preserve">     · 커버드콜인지, 무슨 자산군인지는 [ETF데이터] 장의 '유형'·'자산군' 칸에 있습니다.</t>
        </is>
      </c>
    </row>
    <row r="31" ht="18" customHeight="1">
      <c r="B31" s="101" t="inlineStr"/>
    </row>
    <row r="32" ht="24" customHeight="1">
      <c r="B32" s="102" t="inlineStr">
        <is>
          <t>4. 나머지 칸은 전부 수식입니다.</t>
        </is>
      </c>
    </row>
    <row r="33" ht="18" customHeight="1">
      <c r="B33" s="70" t="inlineStr">
        <is>
          <t xml:space="preserve">     손으로 고치면 다음 갱신 때 되돌아갑니다.</t>
        </is>
      </c>
    </row>
    <row r="34" ht="18" customHeight="1">
      <c r="B34" s="101" t="inlineStr"/>
    </row>
    <row r="35" ht="24" customHeight="1">
      <c r="B35" s="102" t="inlineStr">
        <is>
          <t>5. 갱신</t>
        </is>
      </c>
    </row>
    <row r="36" ht="18" customHeight="1">
      <c r="B36" s="70" t="inlineStr">
        <is>
          <t xml:space="preserve">     매월 1일 오전(KST)에 ETFCHECK 에서 분배율을 다시 받아 이 파일을 새로 만듭니다.</t>
        </is>
      </c>
    </row>
    <row r="37" ht="18" customHeight="1">
      <c r="B37" s="70" t="inlineStr">
        <is>
          <t xml:space="preserve">     고객명·투자금액·포트폴리오는 갱신 때 초기값으로 돌아가므로, 고객별 사본은 따로 저장해 두십시오.</t>
        </is>
      </c>
    </row>
    <row r="38" ht="18" customHeight="1">
      <c r="B38" s="101" t="inlineStr"/>
    </row>
    <row r="39" ht="24" customHeight="1">
      <c r="B39" s="102" t="inlineStr">
        <is>
          <t>6. 값이 이상해 보이면</t>
        </is>
      </c>
    </row>
    <row r="40" ht="18" customHeight="1">
      <c r="B40" s="70" t="inlineStr">
        <is>
          <t xml:space="preserve">     [ETF데이터] 장을 먼저 보십시오. 그 장이 원천이고, [제안서] 장은 그 장을 가리킬 뿐입니다.</t>
        </is>
      </c>
    </row>
    <row r="41" ht="18" customHeight="1">
      <c r="B41" s="70" t="inlineStr">
        <is>
          <t xml:space="preserve">     그 장의 값이 ETFCHECK 화면과 다르면 수집이 어긋난 것이니 알려 주십시오.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2026-09-18T01:33:35Z</dcterms:created>
  <dcterms:modified xsi:type="dcterms:W3CDTF">2026-09-18T01:33:35Z</dcterms:modified>
</cp:coreProperties>
</file>