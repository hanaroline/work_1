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'ETF데이터'!$A$4:$A$593</definedName>
    <definedName name="검색어">'제안서'!$E$17</definedName>
    <definedName name="검색건수">COUNTIF('ETF데이터'!$W$4:$W$593,1)</definedName>
    <definedName name="검색결과">OFFSET('ETF데이터'!$Y$4,0,0,MAX(1,COUNTIF('ETF데이터'!$W$4:$W$593,1)),1)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2026-10-01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2026-10-01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IF($K20=0,0,ROUNDDOWN($D20/INDEX('ETF데이터'!$D$4:$D$593,$K20),0))</f>
        <v/>
      </c>
      <c r="F20" s="23">
        <f>IF($K20=0,0,$E20*INDEX('ETF데이터'!$D$4:$D$593,$K20))</f>
        <v/>
      </c>
      <c r="G20" s="23">
        <f>IF($K20=0,0,$F20*INDEX('ETF데이터'!$J$4:$J$593,$K20)/12)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IF($K20=0,"",INDEX('ETF데이터'!$M$4:$M$593,$K20))</f>
        <v/>
      </c>
      <c r="M20" s="3">
        <f>IF($K20=0,"",INDEX('ETF데이터'!$R$4:$R$593,$K20))</f>
        <v/>
      </c>
      <c r="N20" s="3">
        <f>IF(OR($M20="",$M20="월배당"),0,1)</f>
        <v/>
      </c>
      <c r="O20" s="3">
        <f>IF($K20=0,1,IF(INDEX('ETF데이터'!$T$4:$T$593,$K20)="",1,INDEX('ETF데이터'!$T$4:$T$593,$K20)))</f>
        <v/>
      </c>
      <c r="P20" s="3">
        <f>IF($K20=0,0,IF(INDEX('ETF데이터'!$T$4:$T$593,$K20)="",1,0))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IF($K21=0,0,ROUNDDOWN($D21/INDEX('ETF데이터'!$D$4:$D$593,$K21),0))</f>
        <v/>
      </c>
      <c r="F21" s="26">
        <f>IF($K21=0,0,$E21*INDEX('ETF데이터'!$D$4:$D$593,$K21))</f>
        <v/>
      </c>
      <c r="G21" s="26">
        <f>IF($K21=0,0,$F21*INDEX('ETF데이터'!$J$4:$J$593,$K21)/12)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IF($K21=0,"",INDEX('ETF데이터'!$M$4:$M$593,$K21))</f>
        <v/>
      </c>
      <c r="M21" s="3">
        <f>IF($K21=0,"",INDEX('ETF데이터'!$R$4:$R$593,$K21))</f>
        <v/>
      </c>
      <c r="N21" s="3">
        <f>IF(OR($M21="",$M21="월배당"),0,1)</f>
        <v/>
      </c>
      <c r="O21" s="3">
        <f>IF($K21=0,1,IF(INDEX('ETF데이터'!$T$4:$T$593,$K21)="",1,INDEX('ETF데이터'!$T$4:$T$593,$K21)))</f>
        <v/>
      </c>
      <c r="P21" s="3">
        <f>IF($K21=0,0,IF(INDEX('ETF데이터'!$T$4:$T$593,$K21)="",1,0))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IF($K22=0,0,ROUNDDOWN($D22/INDEX('ETF데이터'!$D$4:$D$593,$K22),0))</f>
        <v/>
      </c>
      <c r="F22" s="23">
        <f>IF($K22=0,0,$E22*INDEX('ETF데이터'!$D$4:$D$593,$K22))</f>
        <v/>
      </c>
      <c r="G22" s="23">
        <f>IF($K22=0,0,$F22*INDEX('ETF데이터'!$J$4:$J$593,$K22)/12)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IF($K22=0,"",INDEX('ETF데이터'!$M$4:$M$593,$K22))</f>
        <v/>
      </c>
      <c r="M22" s="3">
        <f>IF($K22=0,"",INDEX('ETF데이터'!$R$4:$R$593,$K22))</f>
        <v/>
      </c>
      <c r="N22" s="3">
        <f>IF(OR($M22="",$M22="월배당"),0,1)</f>
        <v/>
      </c>
      <c r="O22" s="3">
        <f>IF($K22=0,1,IF(INDEX('ETF데이터'!$T$4:$T$593,$K22)="",1,INDEX('ETF데이터'!$T$4:$T$593,$K22)))</f>
        <v/>
      </c>
      <c r="P22" s="3">
        <f>IF($K22=0,0,IF(INDEX('ETF데이터'!$T$4:$T$593,$K22)="",1,0))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IF($K23=0,0,ROUNDDOWN($D23/INDEX('ETF데이터'!$D$4:$D$593,$K23),0))</f>
        <v/>
      </c>
      <c r="F23" s="26">
        <f>IF($K23=0,0,$E23*INDEX('ETF데이터'!$D$4:$D$593,$K23))</f>
        <v/>
      </c>
      <c r="G23" s="26">
        <f>IF($K23=0,0,$F23*INDEX('ETF데이터'!$J$4:$J$593,$K23)/12)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IF($K23=0,"",INDEX('ETF데이터'!$M$4:$M$593,$K23))</f>
        <v/>
      </c>
      <c r="M23" s="3">
        <f>IF($K23=0,"",INDEX('ETF데이터'!$R$4:$R$593,$K23))</f>
        <v/>
      </c>
      <c r="N23" s="3">
        <f>IF(OR($M23="",$M23="월배당"),0,1)</f>
        <v/>
      </c>
      <c r="O23" s="3">
        <f>IF($K23=0,1,IF(INDEX('ETF데이터'!$T$4:$T$593,$K23)="",1,INDEX('ETF데이터'!$T$4:$T$593,$K23)))</f>
        <v/>
      </c>
      <c r="P23" s="3">
        <f>IF($K23=0,0,IF(INDEX('ETF데이터'!$T$4:$T$593,$K23)="",1,0))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IF($K24=0,0,ROUNDDOWN($D24/INDEX('ETF데이터'!$D$4:$D$593,$K24),0))</f>
        <v/>
      </c>
      <c r="F24" s="23">
        <f>IF($K24=0,0,$E24*INDEX('ETF데이터'!$D$4:$D$593,$K24))</f>
        <v/>
      </c>
      <c r="G24" s="23">
        <f>IF($K24=0,0,$F24*INDEX('ETF데이터'!$J$4:$J$593,$K24)/12)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IF($K24=0,"",INDEX('ETF데이터'!$M$4:$M$593,$K24))</f>
        <v/>
      </c>
      <c r="M24" s="3">
        <f>IF($K24=0,"",INDEX('ETF데이터'!$R$4:$R$593,$K24))</f>
        <v/>
      </c>
      <c r="N24" s="3">
        <f>IF(OR($M24="",$M24="월배당"),0,1)</f>
        <v/>
      </c>
      <c r="O24" s="3">
        <f>IF($K24=0,1,IF(INDEX('ETF데이터'!$T$4:$T$593,$K24)="",1,INDEX('ETF데이터'!$T$4:$T$593,$K24)))</f>
        <v/>
      </c>
      <c r="P24" s="3">
        <f>IF($K24=0,0,IF(INDEX('ETF데이터'!$T$4:$T$593,$K24)="",1,0))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IF($K25=0,0,ROUNDDOWN($D25/INDEX('ETF데이터'!$D$4:$D$593,$K25),0))</f>
        <v/>
      </c>
      <c r="F25" s="26">
        <f>IF($K25=0,0,$E25*INDEX('ETF데이터'!$D$4:$D$593,$K25))</f>
        <v/>
      </c>
      <c r="G25" s="26">
        <f>IF($K25=0,0,$F25*INDEX('ETF데이터'!$J$4:$J$593,$K25)/12)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IF($K25=0,"",INDEX('ETF데이터'!$M$4:$M$593,$K25))</f>
        <v/>
      </c>
      <c r="M25" s="3">
        <f>IF($K25=0,"",INDEX('ETF데이터'!$R$4:$R$593,$K25))</f>
        <v/>
      </c>
      <c r="N25" s="3">
        <f>IF(OR($M25="",$M25="월배당"),0,1)</f>
        <v/>
      </c>
      <c r="O25" s="3">
        <f>IF($K25=0,1,IF(INDEX('ETF데이터'!$T$4:$T$593,$K25)="",1,INDEX('ETF데이터'!$T$4:$T$593,$K25)))</f>
        <v/>
      </c>
      <c r="P25" s="3">
        <f>IF($K25=0,0,IF(INDEX('ETF데이터'!$T$4:$T$593,$K25)="",1,0))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IF($K26=0,0,ROUNDDOWN($D26/INDEX('ETF데이터'!$D$4:$D$593,$K26),0))</f>
        <v/>
      </c>
      <c r="F26" s="23">
        <f>IF($K26=0,0,$E26*INDEX('ETF데이터'!$D$4:$D$593,$K26))</f>
        <v/>
      </c>
      <c r="G26" s="23">
        <f>IF($K26=0,0,$F26*INDEX('ETF데이터'!$J$4:$J$593,$K26)/12)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IF($K26=0,"",INDEX('ETF데이터'!$M$4:$M$593,$K26))</f>
        <v/>
      </c>
      <c r="M26" s="3">
        <f>IF($K26=0,"",INDEX('ETF데이터'!$R$4:$R$593,$K26))</f>
        <v/>
      </c>
      <c r="N26" s="3">
        <f>IF(OR($M26="",$M26="월배당"),0,1)</f>
        <v/>
      </c>
      <c r="O26" s="3">
        <f>IF($K26=0,1,IF(INDEX('ETF데이터'!$T$4:$T$593,$K26)="",1,INDEX('ETF데이터'!$T$4:$T$593,$K26)))</f>
        <v/>
      </c>
      <c r="P26" s="3">
        <f>IF($K26=0,0,IF(INDEX('ETF데이터'!$T$4:$T$593,$K26)="",1,0))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IF($K27=0,0,ROUNDDOWN($D27/INDEX('ETF데이터'!$D$4:$D$593,$K27),0))</f>
        <v/>
      </c>
      <c r="F27" s="26">
        <f>IF($K27=0,0,$E27*INDEX('ETF데이터'!$D$4:$D$593,$K27))</f>
        <v/>
      </c>
      <c r="G27" s="26">
        <f>IF($K27=0,0,$F27*INDEX('ETF데이터'!$J$4:$J$593,$K27)/12)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IF($K27=0,"",INDEX('ETF데이터'!$M$4:$M$593,$K27))</f>
        <v/>
      </c>
      <c r="M27" s="3">
        <f>IF($K27=0,"",INDEX('ETF데이터'!$R$4:$R$593,$K27))</f>
        <v/>
      </c>
      <c r="N27" s="3">
        <f>IF(OR($M27="",$M27="월배당"),0,1)</f>
        <v/>
      </c>
      <c r="O27" s="3">
        <f>IF($K27=0,1,IF(INDEX('ETF데이터'!$T$4:$T$593,$K27)="",1,INDEX('ETF데이터'!$T$4:$T$593,$K27)))</f>
        <v/>
      </c>
      <c r="P27" s="3">
        <f>IF($K27=0,0,IF(INDEX('ETF데이터'!$T$4:$T$593,$K27)="",1,0))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IF($K28=0,0,ROUNDDOWN($D28/INDEX('ETF데이터'!$D$4:$D$593,$K28),0))</f>
        <v/>
      </c>
      <c r="F28" s="23">
        <f>IF($K28=0,0,$E28*INDEX('ETF데이터'!$D$4:$D$593,$K28))</f>
        <v/>
      </c>
      <c r="G28" s="23">
        <f>IF($K28=0,0,$F28*INDEX('ETF데이터'!$J$4:$J$593,$K28)/12)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IF($K28=0,"",INDEX('ETF데이터'!$M$4:$M$593,$K28))</f>
        <v/>
      </c>
      <c r="M28" s="3">
        <f>IF($K28=0,"",INDEX('ETF데이터'!$R$4:$R$593,$K28))</f>
        <v/>
      </c>
      <c r="N28" s="3">
        <f>IF(OR($M28="",$M28="월배당"),0,1)</f>
        <v/>
      </c>
      <c r="O28" s="3">
        <f>IF($K28=0,1,IF(INDEX('ETF데이터'!$T$4:$T$593,$K28)="",1,INDEX('ETF데이터'!$T$4:$T$593,$K28)))</f>
        <v/>
      </c>
      <c r="P28" s="3">
        <f>IF($K28=0,0,IF(INDEX('ETF데이터'!$T$4:$T$593,$K28)="",1,0))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IF($K29=0,0,ROUNDDOWN($D29/INDEX('ETF데이터'!$D$4:$D$593,$K29),0))</f>
        <v/>
      </c>
      <c r="F29" s="26">
        <f>IF($K29=0,0,$E29*INDEX('ETF데이터'!$D$4:$D$593,$K29))</f>
        <v/>
      </c>
      <c r="G29" s="26">
        <f>IF($K29=0,0,$F29*INDEX('ETF데이터'!$J$4:$J$593,$K29)/12)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IF($K29=0,"",INDEX('ETF데이터'!$M$4:$M$593,$K29))</f>
        <v/>
      </c>
      <c r="M29" s="3">
        <f>IF($K29=0,"",INDEX('ETF데이터'!$R$4:$R$593,$K29))</f>
        <v/>
      </c>
      <c r="N29" s="3">
        <f>IF(OR($M29="",$M29="월배당"),0,1)</f>
        <v/>
      </c>
      <c r="O29" s="3">
        <f>IF($K29=0,1,IF(INDEX('ETF데이터'!$T$4:$T$593,$K29)="",1,INDEX('ETF데이터'!$T$4:$T$593,$K29)))</f>
        <v/>
      </c>
      <c r="P29" s="3">
        <f>IF($K29=0,0,IF(INDEX('ETF데이터'!$T$4:$T$593,$K29)="",1,0))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67종목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'ETF데이터'!$A$15</f>
        <v/>
      </c>
      <c r="C74" s="57">
        <f>'ETF데이터'!$P$15</f>
        <v/>
      </c>
      <c r="D74" s="48">
        <f>'ETF데이터'!$D$15</f>
        <v/>
      </c>
      <c r="E74" s="58">
        <f>'ETF데이터'!$J$15</f>
        <v/>
      </c>
      <c r="F74" s="48">
        <f>IF($D74=0,0,ROUNDDOWN(100000000/$D74,0)*$D74*$E74/12)</f>
        <v/>
      </c>
      <c r="G74" s="48">
        <f>$F74*(1-$C$13*'ETF데이터'!$T$15)</f>
        <v/>
      </c>
      <c r="H74" s="59">
        <f>'ETF데이터'!$H$15</f>
        <v/>
      </c>
    </row>
    <row r="75" ht="19" customHeight="1">
      <c r="B75" s="60">
        <f>'ETF데이터'!$A$23</f>
        <v/>
      </c>
      <c r="C75" s="61">
        <f>'ETF데이터'!$P$23</f>
        <v/>
      </c>
      <c r="D75" s="51">
        <f>'ETF데이터'!$D$23</f>
        <v/>
      </c>
      <c r="E75" s="62">
        <f>'ETF데이터'!$J$23</f>
        <v/>
      </c>
      <c r="F75" s="51">
        <f>IF($D75=0,0,ROUNDDOWN(100000000/$D75,0)*$D75*$E75/12)</f>
        <v/>
      </c>
      <c r="G75" s="51">
        <f>$F75*(1-$C$13*'ETF데이터'!$T$23)</f>
        <v/>
      </c>
      <c r="H75" s="63">
        <f>'ETF데이터'!$H$23</f>
        <v/>
      </c>
    </row>
    <row r="76" ht="19" customHeight="1">
      <c r="B76" s="56">
        <f>'ETF데이터'!$A$38</f>
        <v/>
      </c>
      <c r="C76" s="57">
        <f>'ETF데이터'!$P$38</f>
        <v/>
      </c>
      <c r="D76" s="48">
        <f>'ETF데이터'!$D$38</f>
        <v/>
      </c>
      <c r="E76" s="58">
        <f>'ETF데이터'!$J$38</f>
        <v/>
      </c>
      <c r="F76" s="48">
        <f>IF($D76=0,0,ROUNDDOWN(100000000/$D76,0)*$D76*$E76/12)</f>
        <v/>
      </c>
      <c r="G76" s="48">
        <f>$F76*(1-$C$13*'ETF데이터'!$T$38)</f>
        <v/>
      </c>
      <c r="H76" s="59">
        <f>'ETF데이터'!$H$38</f>
        <v/>
      </c>
    </row>
    <row r="77" ht="19" customHeight="1">
      <c r="B77" s="60">
        <f>'ETF데이터'!$A$52</f>
        <v/>
      </c>
      <c r="C77" s="61">
        <f>'ETF데이터'!$P$52</f>
        <v/>
      </c>
      <c r="D77" s="51">
        <f>'ETF데이터'!$D$52</f>
        <v/>
      </c>
      <c r="E77" s="62">
        <f>'ETF데이터'!$J$52</f>
        <v/>
      </c>
      <c r="F77" s="51">
        <f>IF($D77=0,0,ROUNDDOWN(100000000/$D77,0)*$D77*$E77/12)</f>
        <v/>
      </c>
      <c r="G77" s="51">
        <f>$F77*(1-$C$13*'ETF데이터'!$T$52)</f>
        <v/>
      </c>
      <c r="H77" s="63">
        <f>'ETF데이터'!$H$52</f>
        <v/>
      </c>
    </row>
    <row r="78" ht="19" customHeight="1">
      <c r="B78" s="56">
        <f>'ETF데이터'!$A$63</f>
        <v/>
      </c>
      <c r="C78" s="57">
        <f>'ETF데이터'!$P$63</f>
        <v/>
      </c>
      <c r="D78" s="48">
        <f>'ETF데이터'!$D$63</f>
        <v/>
      </c>
      <c r="E78" s="58">
        <f>'ETF데이터'!$J$63</f>
        <v/>
      </c>
      <c r="F78" s="48">
        <f>IF($D78=0,0,ROUNDDOWN(100000000/$D78,0)*$D78*$E78/12)</f>
        <v/>
      </c>
      <c r="G78" s="48">
        <f>$F78*(1-$C$13*'ETF데이터'!$T$63)</f>
        <v/>
      </c>
      <c r="H78" s="59">
        <f>'ETF데이터'!$H$63</f>
        <v/>
      </c>
    </row>
    <row r="79" ht="19" customHeight="1">
      <c r="B79" s="64">
        <f>'ETF데이터'!$A$86</f>
        <v/>
      </c>
      <c r="C79" s="65">
        <f>'ETF데이터'!$P$86</f>
        <v/>
      </c>
      <c r="D79" s="54">
        <f>'ETF데이터'!$D$86</f>
        <v/>
      </c>
      <c r="E79" s="66">
        <f>'ETF데이터'!$J$86</f>
        <v/>
      </c>
      <c r="F79" s="54">
        <f>IF($D79=0,0,ROUNDDOWN(100000000/$D79,0)*$D79*$E79/12)</f>
        <v/>
      </c>
      <c r="G79" s="54">
        <f>$F79*(1-$C$13*'ETF데이터'!$T$86)</f>
        <v/>
      </c>
      <c r="H79" s="67">
        <f>'ETF데이터'!$H$86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590종목 중 590종목).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2026-10-01T07:05:33.403Z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2026-10-01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COUNTIF('ETF데이터'!$T$4:$T$593,1)</f>
        <v/>
      </c>
      <c r="D14" s="3" t="inlineStr">
        <is>
          <t>전체 590종목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IF($K20=0,"",INDEX('ETF데이터'!$A$4:$A$593,$K20))</f>
        <v/>
      </c>
      <c r="C20" s="73">
        <f>IF($K20=0,"",INDEX('ETF데이터'!$R$4:$R$593,$K20))</f>
        <v/>
      </c>
      <c r="D20" s="74">
        <f>IF($K20=0,"",INDEX('ETF데이터'!$J$4:$J$593,$K20))</f>
        <v/>
      </c>
      <c r="E20" s="75">
        <f>IF($K20=0,"",$D20/12)</f>
        <v/>
      </c>
      <c r="F20" s="76">
        <f>IF($K20=0,"",INDEX('ETF데이터'!$D$4:$D$593,$K20))</f>
        <v/>
      </c>
      <c r="G20" s="74">
        <f>IF($K20=0,"",INDEX('ETF데이터'!$H$4:$H$593,$K20))</f>
        <v/>
      </c>
      <c r="H20" s="77">
        <f>IF($K20=0,"",INDEX('ETF데이터'!$E$4:$E$593,$K20)/100000000)</f>
        <v/>
      </c>
      <c r="I20" s="73">
        <f>IF($K20=0,"",INDEX('ETF데이터'!$M$4:$M$593,$K20))</f>
        <v/>
      </c>
      <c r="J20" s="78" t="n"/>
      <c r="K20">
        <f>IFERROR(MATCH(1,'ETF데이터'!$V$4:$V$593,0),0)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IF($K21=0,"",INDEX('ETF데이터'!$A$4:$A$593,$K21))</f>
        <v/>
      </c>
      <c r="C21" s="79">
        <f>IF($K21=0,"",INDEX('ETF데이터'!$R$4:$R$593,$K21))</f>
        <v/>
      </c>
      <c r="D21" s="80">
        <f>IF($K21=0,"",INDEX('ETF데이터'!$J$4:$J$593,$K21))</f>
        <v/>
      </c>
      <c r="E21" s="81">
        <f>IF($K21=0,"",$D21/12)</f>
        <v/>
      </c>
      <c r="F21" s="82">
        <f>IF($K21=0,"",INDEX('ETF데이터'!$D$4:$D$593,$K21))</f>
        <v/>
      </c>
      <c r="G21" s="80">
        <f>IF($K21=0,"",INDEX('ETF데이터'!$H$4:$H$593,$K21))</f>
        <v/>
      </c>
      <c r="H21" s="83">
        <f>IF($K21=0,"",INDEX('ETF데이터'!$E$4:$E$593,$K21)/100000000)</f>
        <v/>
      </c>
      <c r="I21" s="79">
        <f>IF($K21=0,"",INDEX('ETF데이터'!$M$4:$M$593,$K21))</f>
        <v/>
      </c>
      <c r="J21" s="78" t="n"/>
      <c r="K21">
        <f>IFERROR(MATCH(2,'ETF데이터'!$V$4:$V$593,0),0)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IF($K22=0,"",INDEX('ETF데이터'!$A$4:$A$593,$K22))</f>
        <v/>
      </c>
      <c r="C22" s="73">
        <f>IF($K22=0,"",INDEX('ETF데이터'!$R$4:$R$593,$K22))</f>
        <v/>
      </c>
      <c r="D22" s="74">
        <f>IF($K22=0,"",INDEX('ETF데이터'!$J$4:$J$593,$K22))</f>
        <v/>
      </c>
      <c r="E22" s="75">
        <f>IF($K22=0,"",$D22/12)</f>
        <v/>
      </c>
      <c r="F22" s="76">
        <f>IF($K22=0,"",INDEX('ETF데이터'!$D$4:$D$593,$K22))</f>
        <v/>
      </c>
      <c r="G22" s="74">
        <f>IF($K22=0,"",INDEX('ETF데이터'!$H$4:$H$593,$K22))</f>
        <v/>
      </c>
      <c r="H22" s="77">
        <f>IF($K22=0,"",INDEX('ETF데이터'!$E$4:$E$593,$K22)/100000000)</f>
        <v/>
      </c>
      <c r="I22" s="73">
        <f>IF($K22=0,"",INDEX('ETF데이터'!$M$4:$M$593,$K22))</f>
        <v/>
      </c>
      <c r="J22" s="78" t="n"/>
      <c r="K22">
        <f>IFERROR(MATCH(3,'ETF데이터'!$V$4:$V$593,0),0)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IF($K23=0,"",INDEX('ETF데이터'!$A$4:$A$593,$K23))</f>
        <v/>
      </c>
      <c r="C23" s="79">
        <f>IF($K23=0,"",INDEX('ETF데이터'!$R$4:$R$593,$K23))</f>
        <v/>
      </c>
      <c r="D23" s="80">
        <f>IF($K23=0,"",INDEX('ETF데이터'!$J$4:$J$593,$K23))</f>
        <v/>
      </c>
      <c r="E23" s="81">
        <f>IF($K23=0,"",$D23/12)</f>
        <v/>
      </c>
      <c r="F23" s="82">
        <f>IF($K23=0,"",INDEX('ETF데이터'!$D$4:$D$593,$K23))</f>
        <v/>
      </c>
      <c r="G23" s="80">
        <f>IF($K23=0,"",INDEX('ETF데이터'!$H$4:$H$593,$K23))</f>
        <v/>
      </c>
      <c r="H23" s="83">
        <f>IF($K23=0,"",INDEX('ETF데이터'!$E$4:$E$593,$K23)/100000000)</f>
        <v/>
      </c>
      <c r="I23" s="79">
        <f>IF($K23=0,"",INDEX('ETF데이터'!$M$4:$M$593,$K23))</f>
        <v/>
      </c>
      <c r="J23" s="78" t="n"/>
      <c r="K23">
        <f>IFERROR(MATCH(4,'ETF데이터'!$V$4:$V$593,0),0)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IF($K24=0,"",INDEX('ETF데이터'!$A$4:$A$593,$K24))</f>
        <v/>
      </c>
      <c r="C24" s="73">
        <f>IF($K24=0,"",INDEX('ETF데이터'!$R$4:$R$593,$K24))</f>
        <v/>
      </c>
      <c r="D24" s="74">
        <f>IF($K24=0,"",INDEX('ETF데이터'!$J$4:$J$593,$K24))</f>
        <v/>
      </c>
      <c r="E24" s="75">
        <f>IF($K24=0,"",$D24/12)</f>
        <v/>
      </c>
      <c r="F24" s="76">
        <f>IF($K24=0,"",INDEX('ETF데이터'!$D$4:$D$593,$K24))</f>
        <v/>
      </c>
      <c r="G24" s="74">
        <f>IF($K24=0,"",INDEX('ETF데이터'!$H$4:$H$593,$K24))</f>
        <v/>
      </c>
      <c r="H24" s="77">
        <f>IF($K24=0,"",INDEX('ETF데이터'!$E$4:$E$593,$K24)/100000000)</f>
        <v/>
      </c>
      <c r="I24" s="73">
        <f>IF($K24=0,"",INDEX('ETF데이터'!$M$4:$M$593,$K24))</f>
        <v/>
      </c>
      <c r="J24" s="78" t="n"/>
      <c r="K24">
        <f>IFERROR(MATCH(5,'ETF데이터'!$V$4:$V$593,0),0)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IF($K25=0,"",INDEX('ETF데이터'!$A$4:$A$593,$K25))</f>
        <v/>
      </c>
      <c r="C25" s="79">
        <f>IF($K25=0,"",INDEX('ETF데이터'!$R$4:$R$593,$K25))</f>
        <v/>
      </c>
      <c r="D25" s="80">
        <f>IF($K25=0,"",INDEX('ETF데이터'!$J$4:$J$593,$K25))</f>
        <v/>
      </c>
      <c r="E25" s="81">
        <f>IF($K25=0,"",$D25/12)</f>
        <v/>
      </c>
      <c r="F25" s="82">
        <f>IF($K25=0,"",INDEX('ETF데이터'!$D$4:$D$593,$K25))</f>
        <v/>
      </c>
      <c r="G25" s="80">
        <f>IF($K25=0,"",INDEX('ETF데이터'!$H$4:$H$593,$K25))</f>
        <v/>
      </c>
      <c r="H25" s="83">
        <f>IF($K25=0,"",INDEX('ETF데이터'!$E$4:$E$593,$K25)/100000000)</f>
        <v/>
      </c>
      <c r="I25" s="79">
        <f>IF($K25=0,"",INDEX('ETF데이터'!$M$4:$M$593,$K25))</f>
        <v/>
      </c>
      <c r="J25" s="78" t="n"/>
      <c r="K25">
        <f>IFERROR(MATCH(6,'ETF데이터'!$V$4:$V$593,0),0)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IF($K26=0,"",INDEX('ETF데이터'!$A$4:$A$593,$K26))</f>
        <v/>
      </c>
      <c r="C26" s="73">
        <f>IF($K26=0,"",INDEX('ETF데이터'!$R$4:$R$593,$K26))</f>
        <v/>
      </c>
      <c r="D26" s="74">
        <f>IF($K26=0,"",INDEX('ETF데이터'!$J$4:$J$593,$K26))</f>
        <v/>
      </c>
      <c r="E26" s="75">
        <f>IF($K26=0,"",$D26/12)</f>
        <v/>
      </c>
      <c r="F26" s="76">
        <f>IF($K26=0,"",INDEX('ETF데이터'!$D$4:$D$593,$K26))</f>
        <v/>
      </c>
      <c r="G26" s="74">
        <f>IF($K26=0,"",INDEX('ETF데이터'!$H$4:$H$593,$K26))</f>
        <v/>
      </c>
      <c r="H26" s="77">
        <f>IF($K26=0,"",INDEX('ETF데이터'!$E$4:$E$593,$K26)/100000000)</f>
        <v/>
      </c>
      <c r="I26" s="73">
        <f>IF($K26=0,"",INDEX('ETF데이터'!$M$4:$M$593,$K26))</f>
        <v/>
      </c>
      <c r="J26" s="78" t="n"/>
      <c r="K26">
        <f>IFERROR(MATCH(7,'ETF데이터'!$V$4:$V$593,0),0)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IF($K27=0,"",INDEX('ETF데이터'!$A$4:$A$593,$K27))</f>
        <v/>
      </c>
      <c r="C27" s="79">
        <f>IF($K27=0,"",INDEX('ETF데이터'!$R$4:$R$593,$K27))</f>
        <v/>
      </c>
      <c r="D27" s="80">
        <f>IF($K27=0,"",INDEX('ETF데이터'!$J$4:$J$593,$K27))</f>
        <v/>
      </c>
      <c r="E27" s="81">
        <f>IF($K27=0,"",$D27/12)</f>
        <v/>
      </c>
      <c r="F27" s="82">
        <f>IF($K27=0,"",INDEX('ETF데이터'!$D$4:$D$593,$K27))</f>
        <v/>
      </c>
      <c r="G27" s="80">
        <f>IF($K27=0,"",INDEX('ETF데이터'!$H$4:$H$593,$K27))</f>
        <v/>
      </c>
      <c r="H27" s="83">
        <f>IF($K27=0,"",INDEX('ETF데이터'!$E$4:$E$593,$K27)/100000000)</f>
        <v/>
      </c>
      <c r="I27" s="79">
        <f>IF($K27=0,"",INDEX('ETF데이터'!$M$4:$M$593,$K27))</f>
        <v/>
      </c>
      <c r="J27" s="78" t="n"/>
      <c r="K27">
        <f>IFERROR(MATCH(8,'ETF데이터'!$V$4:$V$593,0),0)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IF($K28=0,"",INDEX('ETF데이터'!$A$4:$A$593,$K28))</f>
        <v/>
      </c>
      <c r="C28" s="73">
        <f>IF($K28=0,"",INDEX('ETF데이터'!$R$4:$R$593,$K28))</f>
        <v/>
      </c>
      <c r="D28" s="74">
        <f>IF($K28=0,"",INDEX('ETF데이터'!$J$4:$J$593,$K28))</f>
        <v/>
      </c>
      <c r="E28" s="75">
        <f>IF($K28=0,"",$D28/12)</f>
        <v/>
      </c>
      <c r="F28" s="76">
        <f>IF($K28=0,"",INDEX('ETF데이터'!$D$4:$D$593,$K28))</f>
        <v/>
      </c>
      <c r="G28" s="74">
        <f>IF($K28=0,"",INDEX('ETF데이터'!$H$4:$H$593,$K28))</f>
        <v/>
      </c>
      <c r="H28" s="77">
        <f>IF($K28=0,"",INDEX('ETF데이터'!$E$4:$E$593,$K28)/100000000)</f>
        <v/>
      </c>
      <c r="I28" s="73">
        <f>IF($K28=0,"",INDEX('ETF데이터'!$M$4:$M$593,$K28))</f>
        <v/>
      </c>
      <c r="J28" s="78" t="n"/>
      <c r="K28">
        <f>IFERROR(MATCH(9,'ETF데이터'!$V$4:$V$593,0),0)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IF($K29=0,"",INDEX('ETF데이터'!$A$4:$A$593,$K29))</f>
        <v/>
      </c>
      <c r="C29" s="79">
        <f>IF($K29=0,"",INDEX('ETF데이터'!$R$4:$R$593,$K29))</f>
        <v/>
      </c>
      <c r="D29" s="80">
        <f>IF($K29=0,"",INDEX('ETF데이터'!$J$4:$J$593,$K29))</f>
        <v/>
      </c>
      <c r="E29" s="81">
        <f>IF($K29=0,"",$D29/12)</f>
        <v/>
      </c>
      <c r="F29" s="82">
        <f>IF($K29=0,"",INDEX('ETF데이터'!$D$4:$D$593,$K29))</f>
        <v/>
      </c>
      <c r="G29" s="80">
        <f>IF($K29=0,"",INDEX('ETF데이터'!$H$4:$H$593,$K29))</f>
        <v/>
      </c>
      <c r="H29" s="83">
        <f>IF($K29=0,"",INDEX('ETF데이터'!$E$4:$E$593,$K29)/100000000)</f>
        <v/>
      </c>
      <c r="I29" s="79">
        <f>IF($K29=0,"",INDEX('ETF데이터'!$M$4:$M$593,$K29))</f>
        <v/>
      </c>
      <c r="J29" s="78" t="n"/>
      <c r="K29">
        <f>IFERROR(MATCH(10,'ETF데이터'!$V$4:$V$593,0),0)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IF($K30=0,"",INDEX('ETF데이터'!$A$4:$A$593,$K30))</f>
        <v/>
      </c>
      <c r="C30" s="73">
        <f>IF($K30=0,"",INDEX('ETF데이터'!$R$4:$R$593,$K30))</f>
        <v/>
      </c>
      <c r="D30" s="74">
        <f>IF($K30=0,"",INDEX('ETF데이터'!$J$4:$J$593,$K30))</f>
        <v/>
      </c>
      <c r="E30" s="75">
        <f>IF($K30=0,"",$D30/12)</f>
        <v/>
      </c>
      <c r="F30" s="76">
        <f>IF($K30=0,"",INDEX('ETF데이터'!$D$4:$D$593,$K30))</f>
        <v/>
      </c>
      <c r="G30" s="74">
        <f>IF($K30=0,"",INDEX('ETF데이터'!$H$4:$H$593,$K30))</f>
        <v/>
      </c>
      <c r="H30" s="77">
        <f>IF($K30=0,"",INDEX('ETF데이터'!$E$4:$E$593,$K30)/100000000)</f>
        <v/>
      </c>
      <c r="I30" s="73">
        <f>IF($K30=0,"",INDEX('ETF데이터'!$M$4:$M$593,$K30))</f>
        <v/>
      </c>
      <c r="J30" s="78" t="n"/>
      <c r="K30">
        <f>IFERROR(MATCH(11,'ETF데이터'!$V$4:$V$593,0),0)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IF($K31=0,"",INDEX('ETF데이터'!$A$4:$A$593,$K31))</f>
        <v/>
      </c>
      <c r="C31" s="79">
        <f>IF($K31=0,"",INDEX('ETF데이터'!$R$4:$R$593,$K31))</f>
        <v/>
      </c>
      <c r="D31" s="80">
        <f>IF($K31=0,"",INDEX('ETF데이터'!$J$4:$J$593,$K31))</f>
        <v/>
      </c>
      <c r="E31" s="81">
        <f>IF($K31=0,"",$D31/12)</f>
        <v/>
      </c>
      <c r="F31" s="82">
        <f>IF($K31=0,"",INDEX('ETF데이터'!$D$4:$D$593,$K31))</f>
        <v/>
      </c>
      <c r="G31" s="80">
        <f>IF($K31=0,"",INDEX('ETF데이터'!$H$4:$H$593,$K31))</f>
        <v/>
      </c>
      <c r="H31" s="83">
        <f>IF($K31=0,"",INDEX('ETF데이터'!$E$4:$E$593,$K31)/100000000)</f>
        <v/>
      </c>
      <c r="I31" s="79">
        <f>IF($K31=0,"",INDEX('ETF데이터'!$M$4:$M$593,$K31))</f>
        <v/>
      </c>
      <c r="J31" s="78" t="n"/>
      <c r="K31">
        <f>IFERROR(MATCH(12,'ETF데이터'!$V$4:$V$593,0),0)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IF($K32=0,"",INDEX('ETF데이터'!$A$4:$A$593,$K32))</f>
        <v/>
      </c>
      <c r="C32" s="73">
        <f>IF($K32=0,"",INDEX('ETF데이터'!$R$4:$R$593,$K32))</f>
        <v/>
      </c>
      <c r="D32" s="74">
        <f>IF($K32=0,"",INDEX('ETF데이터'!$J$4:$J$593,$K32))</f>
        <v/>
      </c>
      <c r="E32" s="75">
        <f>IF($K32=0,"",$D32/12)</f>
        <v/>
      </c>
      <c r="F32" s="76">
        <f>IF($K32=0,"",INDEX('ETF데이터'!$D$4:$D$593,$K32))</f>
        <v/>
      </c>
      <c r="G32" s="74">
        <f>IF($K32=0,"",INDEX('ETF데이터'!$H$4:$H$593,$K32))</f>
        <v/>
      </c>
      <c r="H32" s="77">
        <f>IF($K32=0,"",INDEX('ETF데이터'!$E$4:$E$593,$K32)/100000000)</f>
        <v/>
      </c>
      <c r="I32" s="73">
        <f>IF($K32=0,"",INDEX('ETF데이터'!$M$4:$M$593,$K32))</f>
        <v/>
      </c>
      <c r="J32" s="78" t="n"/>
      <c r="K32">
        <f>IFERROR(MATCH(13,'ETF데이터'!$V$4:$V$593,0),0)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IF($K33=0,"",INDEX('ETF데이터'!$A$4:$A$593,$K33))</f>
        <v/>
      </c>
      <c r="C33" s="79">
        <f>IF($K33=0,"",INDEX('ETF데이터'!$R$4:$R$593,$K33))</f>
        <v/>
      </c>
      <c r="D33" s="80">
        <f>IF($K33=0,"",INDEX('ETF데이터'!$J$4:$J$593,$K33))</f>
        <v/>
      </c>
      <c r="E33" s="81">
        <f>IF($K33=0,"",$D33/12)</f>
        <v/>
      </c>
      <c r="F33" s="82">
        <f>IF($K33=0,"",INDEX('ETF데이터'!$D$4:$D$593,$K33))</f>
        <v/>
      </c>
      <c r="G33" s="80">
        <f>IF($K33=0,"",INDEX('ETF데이터'!$H$4:$H$593,$K33))</f>
        <v/>
      </c>
      <c r="H33" s="83">
        <f>IF($K33=0,"",INDEX('ETF데이터'!$E$4:$E$593,$K33)/100000000)</f>
        <v/>
      </c>
      <c r="I33" s="79">
        <f>IF($K33=0,"",INDEX('ETF데이터'!$M$4:$M$593,$K33))</f>
        <v/>
      </c>
      <c r="J33" s="78" t="n"/>
      <c r="K33">
        <f>IFERROR(MATCH(14,'ETF데이터'!$V$4:$V$593,0),0)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IF($K34=0,"",INDEX('ETF데이터'!$A$4:$A$593,$K34))</f>
        <v/>
      </c>
      <c r="C34" s="73">
        <f>IF($K34=0,"",INDEX('ETF데이터'!$R$4:$R$593,$K34))</f>
        <v/>
      </c>
      <c r="D34" s="74">
        <f>IF($K34=0,"",INDEX('ETF데이터'!$J$4:$J$593,$K34))</f>
        <v/>
      </c>
      <c r="E34" s="75">
        <f>IF($K34=0,"",$D34/12)</f>
        <v/>
      </c>
      <c r="F34" s="76">
        <f>IF($K34=0,"",INDEX('ETF데이터'!$D$4:$D$593,$K34))</f>
        <v/>
      </c>
      <c r="G34" s="74">
        <f>IF($K34=0,"",INDEX('ETF데이터'!$H$4:$H$593,$K34))</f>
        <v/>
      </c>
      <c r="H34" s="77">
        <f>IF($K34=0,"",INDEX('ETF데이터'!$E$4:$E$593,$K34)/100000000)</f>
        <v/>
      </c>
      <c r="I34" s="73">
        <f>IF($K34=0,"",INDEX('ETF데이터'!$M$4:$M$593,$K34))</f>
        <v/>
      </c>
      <c r="J34" s="78" t="n"/>
      <c r="K34">
        <f>IFERROR(MATCH(15,'ETF데이터'!$V$4:$V$593,0),0)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IF($K35=0,"",INDEX('ETF데이터'!$A$4:$A$593,$K35))</f>
        <v/>
      </c>
      <c r="C35" s="79">
        <f>IF($K35=0,"",INDEX('ETF데이터'!$R$4:$R$593,$K35))</f>
        <v/>
      </c>
      <c r="D35" s="80">
        <f>IF($K35=0,"",INDEX('ETF데이터'!$J$4:$J$593,$K35))</f>
        <v/>
      </c>
      <c r="E35" s="81">
        <f>IF($K35=0,"",$D35/12)</f>
        <v/>
      </c>
      <c r="F35" s="82">
        <f>IF($K35=0,"",INDEX('ETF데이터'!$D$4:$D$593,$K35))</f>
        <v/>
      </c>
      <c r="G35" s="80">
        <f>IF($K35=0,"",INDEX('ETF데이터'!$H$4:$H$593,$K35))</f>
        <v/>
      </c>
      <c r="H35" s="83">
        <f>IF($K35=0,"",INDEX('ETF데이터'!$E$4:$E$593,$K35)/100000000)</f>
        <v/>
      </c>
      <c r="I35" s="79">
        <f>IF($K35=0,"",INDEX('ETF데이터'!$M$4:$M$593,$K35))</f>
        <v/>
      </c>
      <c r="J35" s="78" t="n"/>
      <c r="K35">
        <f>IFERROR(MATCH(16,'ETF데이터'!$V$4:$V$593,0),0)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IF($K36=0,"",INDEX('ETF데이터'!$A$4:$A$593,$K36))</f>
        <v/>
      </c>
      <c r="C36" s="73">
        <f>IF($K36=0,"",INDEX('ETF데이터'!$R$4:$R$593,$K36))</f>
        <v/>
      </c>
      <c r="D36" s="74">
        <f>IF($K36=0,"",INDEX('ETF데이터'!$J$4:$J$593,$K36))</f>
        <v/>
      </c>
      <c r="E36" s="75">
        <f>IF($K36=0,"",$D36/12)</f>
        <v/>
      </c>
      <c r="F36" s="76">
        <f>IF($K36=0,"",INDEX('ETF데이터'!$D$4:$D$593,$K36))</f>
        <v/>
      </c>
      <c r="G36" s="74">
        <f>IF($K36=0,"",INDEX('ETF데이터'!$H$4:$H$593,$K36))</f>
        <v/>
      </c>
      <c r="H36" s="77">
        <f>IF($K36=0,"",INDEX('ETF데이터'!$E$4:$E$593,$K36)/100000000)</f>
        <v/>
      </c>
      <c r="I36" s="73">
        <f>IF($K36=0,"",INDEX('ETF데이터'!$M$4:$M$593,$K36))</f>
        <v/>
      </c>
      <c r="J36" s="78" t="n"/>
      <c r="K36">
        <f>IFERROR(MATCH(17,'ETF데이터'!$V$4:$V$593,0),0)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IF($K37=0,"",INDEX('ETF데이터'!$A$4:$A$593,$K37))</f>
        <v/>
      </c>
      <c r="C37" s="79">
        <f>IF($K37=0,"",INDEX('ETF데이터'!$R$4:$R$593,$K37))</f>
        <v/>
      </c>
      <c r="D37" s="80">
        <f>IF($K37=0,"",INDEX('ETF데이터'!$J$4:$J$593,$K37))</f>
        <v/>
      </c>
      <c r="E37" s="81">
        <f>IF($K37=0,"",$D37/12)</f>
        <v/>
      </c>
      <c r="F37" s="82">
        <f>IF($K37=0,"",INDEX('ETF데이터'!$D$4:$D$593,$K37))</f>
        <v/>
      </c>
      <c r="G37" s="80">
        <f>IF($K37=0,"",INDEX('ETF데이터'!$H$4:$H$593,$K37))</f>
        <v/>
      </c>
      <c r="H37" s="83">
        <f>IF($K37=0,"",INDEX('ETF데이터'!$E$4:$E$593,$K37)/100000000)</f>
        <v/>
      </c>
      <c r="I37" s="79">
        <f>IF($K37=0,"",INDEX('ETF데이터'!$M$4:$M$593,$K37))</f>
        <v/>
      </c>
      <c r="J37" s="78" t="n"/>
      <c r="K37">
        <f>IFERROR(MATCH(18,'ETF데이터'!$V$4:$V$593,0),0)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IF($K38=0,"",INDEX('ETF데이터'!$A$4:$A$593,$K38))</f>
        <v/>
      </c>
      <c r="C38" s="73">
        <f>IF($K38=0,"",INDEX('ETF데이터'!$R$4:$R$593,$K38))</f>
        <v/>
      </c>
      <c r="D38" s="74">
        <f>IF($K38=0,"",INDEX('ETF데이터'!$J$4:$J$593,$K38))</f>
        <v/>
      </c>
      <c r="E38" s="75">
        <f>IF($K38=0,"",$D38/12)</f>
        <v/>
      </c>
      <c r="F38" s="76">
        <f>IF($K38=0,"",INDEX('ETF데이터'!$D$4:$D$593,$K38))</f>
        <v/>
      </c>
      <c r="G38" s="74">
        <f>IF($K38=0,"",INDEX('ETF데이터'!$H$4:$H$593,$K38))</f>
        <v/>
      </c>
      <c r="H38" s="77">
        <f>IF($K38=0,"",INDEX('ETF데이터'!$E$4:$E$593,$K38)/100000000)</f>
        <v/>
      </c>
      <c r="I38" s="73">
        <f>IF($K38=0,"",INDEX('ETF데이터'!$M$4:$M$593,$K38))</f>
        <v/>
      </c>
      <c r="J38" s="78" t="n"/>
      <c r="K38">
        <f>IFERROR(MATCH(19,'ETF데이터'!$V$4:$V$593,0),0)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IF($K39=0,"",INDEX('ETF데이터'!$A$4:$A$593,$K39))</f>
        <v/>
      </c>
      <c r="C39" s="79">
        <f>IF($K39=0,"",INDEX('ETF데이터'!$R$4:$R$593,$K39))</f>
        <v/>
      </c>
      <c r="D39" s="80">
        <f>IF($K39=0,"",INDEX('ETF데이터'!$J$4:$J$593,$K39))</f>
        <v/>
      </c>
      <c r="E39" s="81">
        <f>IF($K39=0,"",$D39/12)</f>
        <v/>
      </c>
      <c r="F39" s="82">
        <f>IF($K39=0,"",INDEX('ETF데이터'!$D$4:$D$593,$K39))</f>
        <v/>
      </c>
      <c r="G39" s="80">
        <f>IF($K39=0,"",INDEX('ETF데이터'!$H$4:$H$593,$K39))</f>
        <v/>
      </c>
      <c r="H39" s="83">
        <f>IF($K39=0,"",INDEX('ETF데이터'!$E$4:$E$593,$K39)/100000000)</f>
        <v/>
      </c>
      <c r="I39" s="79">
        <f>IF($K39=0,"",INDEX('ETF데이터'!$M$4:$M$593,$K39))</f>
        <v/>
      </c>
      <c r="J39" s="78" t="n"/>
      <c r="K39">
        <f>IFERROR(MATCH(20,'ETF데이터'!$V$4:$V$593,0),0)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IF($K40=0,"",INDEX('ETF데이터'!$A$4:$A$593,$K40))</f>
        <v/>
      </c>
      <c r="C40" s="73">
        <f>IF($K40=0,"",INDEX('ETF데이터'!$R$4:$R$593,$K40))</f>
        <v/>
      </c>
      <c r="D40" s="74">
        <f>IF($K40=0,"",INDEX('ETF데이터'!$J$4:$J$593,$K40))</f>
        <v/>
      </c>
      <c r="E40" s="75">
        <f>IF($K40=0,"",$D40/12)</f>
        <v/>
      </c>
      <c r="F40" s="76">
        <f>IF($K40=0,"",INDEX('ETF데이터'!$D$4:$D$593,$K40))</f>
        <v/>
      </c>
      <c r="G40" s="74">
        <f>IF($K40=0,"",INDEX('ETF데이터'!$H$4:$H$593,$K40))</f>
        <v/>
      </c>
      <c r="H40" s="77">
        <f>IF($K40=0,"",INDEX('ETF데이터'!$E$4:$E$593,$K40)/100000000)</f>
        <v/>
      </c>
      <c r="I40" s="73">
        <f>IF($K40=0,"",INDEX('ETF데이터'!$M$4:$M$593,$K40))</f>
        <v/>
      </c>
      <c r="J40" s="78" t="n"/>
      <c r="K40">
        <f>IFERROR(MATCH(21,'ETF데이터'!$V$4:$V$593,0),0)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IF($K41=0,"",INDEX('ETF데이터'!$A$4:$A$593,$K41))</f>
        <v/>
      </c>
      <c r="C41" s="79">
        <f>IF($K41=0,"",INDEX('ETF데이터'!$R$4:$R$593,$K41))</f>
        <v/>
      </c>
      <c r="D41" s="80">
        <f>IF($K41=0,"",INDEX('ETF데이터'!$J$4:$J$593,$K41))</f>
        <v/>
      </c>
      <c r="E41" s="81">
        <f>IF($K41=0,"",$D41/12)</f>
        <v/>
      </c>
      <c r="F41" s="82">
        <f>IF($K41=0,"",INDEX('ETF데이터'!$D$4:$D$593,$K41))</f>
        <v/>
      </c>
      <c r="G41" s="80">
        <f>IF($K41=0,"",INDEX('ETF데이터'!$H$4:$H$593,$K41))</f>
        <v/>
      </c>
      <c r="H41" s="83">
        <f>IF($K41=0,"",INDEX('ETF데이터'!$E$4:$E$593,$K41)/100000000)</f>
        <v/>
      </c>
      <c r="I41" s="79">
        <f>IF($K41=0,"",INDEX('ETF데이터'!$M$4:$M$593,$K41))</f>
        <v/>
      </c>
      <c r="J41" s="78" t="n"/>
      <c r="K41">
        <f>IFERROR(MATCH(22,'ETF데이터'!$V$4:$V$593,0),0)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IF($K42=0,"",INDEX('ETF데이터'!$A$4:$A$593,$K42))</f>
        <v/>
      </c>
      <c r="C42" s="73">
        <f>IF($K42=0,"",INDEX('ETF데이터'!$R$4:$R$593,$K42))</f>
        <v/>
      </c>
      <c r="D42" s="74">
        <f>IF($K42=0,"",INDEX('ETF데이터'!$J$4:$J$593,$K42))</f>
        <v/>
      </c>
      <c r="E42" s="75">
        <f>IF($K42=0,"",$D42/12)</f>
        <v/>
      </c>
      <c r="F42" s="76">
        <f>IF($K42=0,"",INDEX('ETF데이터'!$D$4:$D$593,$K42))</f>
        <v/>
      </c>
      <c r="G42" s="74">
        <f>IF($K42=0,"",INDEX('ETF데이터'!$H$4:$H$593,$K42))</f>
        <v/>
      </c>
      <c r="H42" s="77">
        <f>IF($K42=0,"",INDEX('ETF데이터'!$E$4:$E$593,$K42)/100000000)</f>
        <v/>
      </c>
      <c r="I42" s="73">
        <f>IF($K42=0,"",INDEX('ETF데이터'!$M$4:$M$593,$K42))</f>
        <v/>
      </c>
      <c r="J42" s="78" t="n"/>
      <c r="K42">
        <f>IFERROR(MATCH(23,'ETF데이터'!$V$4:$V$593,0),0)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IF($K43=0,"",INDEX('ETF데이터'!$A$4:$A$593,$K43))</f>
        <v/>
      </c>
      <c r="C43" s="79">
        <f>IF($K43=0,"",INDEX('ETF데이터'!$R$4:$R$593,$K43))</f>
        <v/>
      </c>
      <c r="D43" s="80">
        <f>IF($K43=0,"",INDEX('ETF데이터'!$J$4:$J$593,$K43))</f>
        <v/>
      </c>
      <c r="E43" s="81">
        <f>IF($K43=0,"",$D43/12)</f>
        <v/>
      </c>
      <c r="F43" s="82">
        <f>IF($K43=0,"",INDEX('ETF데이터'!$D$4:$D$593,$K43))</f>
        <v/>
      </c>
      <c r="G43" s="80">
        <f>IF($K43=0,"",INDEX('ETF데이터'!$H$4:$H$593,$K43))</f>
        <v/>
      </c>
      <c r="H43" s="83">
        <f>IF($K43=0,"",INDEX('ETF데이터'!$E$4:$E$593,$K43)/100000000)</f>
        <v/>
      </c>
      <c r="I43" s="79">
        <f>IF($K43=0,"",INDEX('ETF데이터'!$M$4:$M$593,$K43))</f>
        <v/>
      </c>
      <c r="J43" s="78" t="n"/>
      <c r="K43">
        <f>IFERROR(MATCH(24,'ETF데이터'!$V$4:$V$593,0),0)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IF($K44=0,"",INDEX('ETF데이터'!$A$4:$A$593,$K44))</f>
        <v/>
      </c>
      <c r="C44" s="73">
        <f>IF($K44=0,"",INDEX('ETF데이터'!$R$4:$R$593,$K44))</f>
        <v/>
      </c>
      <c r="D44" s="74">
        <f>IF($K44=0,"",INDEX('ETF데이터'!$J$4:$J$593,$K44))</f>
        <v/>
      </c>
      <c r="E44" s="75">
        <f>IF($K44=0,"",$D44/12)</f>
        <v/>
      </c>
      <c r="F44" s="76">
        <f>IF($K44=0,"",INDEX('ETF데이터'!$D$4:$D$593,$K44))</f>
        <v/>
      </c>
      <c r="G44" s="74">
        <f>IF($K44=0,"",INDEX('ETF데이터'!$H$4:$H$593,$K44))</f>
        <v/>
      </c>
      <c r="H44" s="77">
        <f>IF($K44=0,"",INDEX('ETF데이터'!$E$4:$E$593,$K44)/100000000)</f>
        <v/>
      </c>
      <c r="I44" s="73">
        <f>IF($K44=0,"",INDEX('ETF데이터'!$M$4:$M$593,$K44))</f>
        <v/>
      </c>
      <c r="J44" s="78" t="n"/>
      <c r="K44">
        <f>IFERROR(MATCH(25,'ETF데이터'!$V$4:$V$593,0),0)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IF($K45=0,"",INDEX('ETF데이터'!$A$4:$A$593,$K45))</f>
        <v/>
      </c>
      <c r="C45" s="79">
        <f>IF($K45=0,"",INDEX('ETF데이터'!$R$4:$R$593,$K45))</f>
        <v/>
      </c>
      <c r="D45" s="80">
        <f>IF($K45=0,"",INDEX('ETF데이터'!$J$4:$J$593,$K45))</f>
        <v/>
      </c>
      <c r="E45" s="81">
        <f>IF($K45=0,"",$D45/12)</f>
        <v/>
      </c>
      <c r="F45" s="82">
        <f>IF($K45=0,"",INDEX('ETF데이터'!$D$4:$D$593,$K45))</f>
        <v/>
      </c>
      <c r="G45" s="80">
        <f>IF($K45=0,"",INDEX('ETF데이터'!$H$4:$H$593,$K45))</f>
        <v/>
      </c>
      <c r="H45" s="83">
        <f>IF($K45=0,"",INDEX('ETF데이터'!$E$4:$E$593,$K45)/100000000)</f>
        <v/>
      </c>
      <c r="I45" s="79">
        <f>IF($K45=0,"",INDEX('ETF데이터'!$M$4:$M$593,$K45))</f>
        <v/>
      </c>
      <c r="J45" s="78" t="n"/>
      <c r="K45">
        <f>IFERROR(MATCH(26,'ETF데이터'!$V$4:$V$593,0),0)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IF($K46=0,"",INDEX('ETF데이터'!$A$4:$A$593,$K46))</f>
        <v/>
      </c>
      <c r="C46" s="73">
        <f>IF($K46=0,"",INDEX('ETF데이터'!$R$4:$R$593,$K46))</f>
        <v/>
      </c>
      <c r="D46" s="74">
        <f>IF($K46=0,"",INDEX('ETF데이터'!$J$4:$J$593,$K46))</f>
        <v/>
      </c>
      <c r="E46" s="75">
        <f>IF($K46=0,"",$D46/12)</f>
        <v/>
      </c>
      <c r="F46" s="76">
        <f>IF($K46=0,"",INDEX('ETF데이터'!$D$4:$D$593,$K46))</f>
        <v/>
      </c>
      <c r="G46" s="74">
        <f>IF($K46=0,"",INDEX('ETF데이터'!$H$4:$H$593,$K46))</f>
        <v/>
      </c>
      <c r="H46" s="77">
        <f>IF($K46=0,"",INDEX('ETF데이터'!$E$4:$E$593,$K46)/100000000)</f>
        <v/>
      </c>
      <c r="I46" s="73">
        <f>IF($K46=0,"",INDEX('ETF데이터'!$M$4:$M$593,$K46))</f>
        <v/>
      </c>
      <c r="J46" s="78" t="n"/>
      <c r="K46">
        <f>IFERROR(MATCH(27,'ETF데이터'!$V$4:$V$593,0),0)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IF($K47=0,"",INDEX('ETF데이터'!$A$4:$A$593,$K47))</f>
        <v/>
      </c>
      <c r="C47" s="79">
        <f>IF($K47=0,"",INDEX('ETF데이터'!$R$4:$R$593,$K47))</f>
        <v/>
      </c>
      <c r="D47" s="80">
        <f>IF($K47=0,"",INDEX('ETF데이터'!$J$4:$J$593,$K47))</f>
        <v/>
      </c>
      <c r="E47" s="81">
        <f>IF($K47=0,"",$D47/12)</f>
        <v/>
      </c>
      <c r="F47" s="82">
        <f>IF($K47=0,"",INDEX('ETF데이터'!$D$4:$D$593,$K47))</f>
        <v/>
      </c>
      <c r="G47" s="80">
        <f>IF($K47=0,"",INDEX('ETF데이터'!$H$4:$H$593,$K47))</f>
        <v/>
      </c>
      <c r="H47" s="83">
        <f>IF($K47=0,"",INDEX('ETF데이터'!$E$4:$E$593,$K47)/100000000)</f>
        <v/>
      </c>
      <c r="I47" s="79">
        <f>IF($K47=0,"",INDEX('ETF데이터'!$M$4:$M$593,$K47))</f>
        <v/>
      </c>
      <c r="J47" s="78" t="n"/>
      <c r="K47">
        <f>IFERROR(MATCH(28,'ETF데이터'!$V$4:$V$593,0),0)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IF($K48=0,"",INDEX('ETF데이터'!$A$4:$A$593,$K48))</f>
        <v/>
      </c>
      <c r="C48" s="73">
        <f>IF($K48=0,"",INDEX('ETF데이터'!$R$4:$R$593,$K48))</f>
        <v/>
      </c>
      <c r="D48" s="74">
        <f>IF($K48=0,"",INDEX('ETF데이터'!$J$4:$J$593,$K48))</f>
        <v/>
      </c>
      <c r="E48" s="75">
        <f>IF($K48=0,"",$D48/12)</f>
        <v/>
      </c>
      <c r="F48" s="76">
        <f>IF($K48=0,"",INDEX('ETF데이터'!$D$4:$D$593,$K48))</f>
        <v/>
      </c>
      <c r="G48" s="74">
        <f>IF($K48=0,"",INDEX('ETF데이터'!$H$4:$H$593,$K48))</f>
        <v/>
      </c>
      <c r="H48" s="77">
        <f>IF($K48=0,"",INDEX('ETF데이터'!$E$4:$E$593,$K48)/100000000)</f>
        <v/>
      </c>
      <c r="I48" s="73">
        <f>IF($K48=0,"",INDEX('ETF데이터'!$M$4:$M$593,$K48))</f>
        <v/>
      </c>
      <c r="J48" s="78" t="n"/>
      <c r="K48">
        <f>IFERROR(MATCH(29,'ETF데이터'!$V$4:$V$593,0),0)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IF($K49=0,"",INDEX('ETF데이터'!$A$4:$A$593,$K49))</f>
        <v/>
      </c>
      <c r="C49" s="79">
        <f>IF($K49=0,"",INDEX('ETF데이터'!$R$4:$R$593,$K49))</f>
        <v/>
      </c>
      <c r="D49" s="80">
        <f>IF($K49=0,"",INDEX('ETF데이터'!$J$4:$J$593,$K49))</f>
        <v/>
      </c>
      <c r="E49" s="81">
        <f>IF($K49=0,"",$D49/12)</f>
        <v/>
      </c>
      <c r="F49" s="82">
        <f>IF($K49=0,"",INDEX('ETF데이터'!$D$4:$D$593,$K49))</f>
        <v/>
      </c>
      <c r="G49" s="80">
        <f>IF($K49=0,"",INDEX('ETF데이터'!$H$4:$H$593,$K49))</f>
        <v/>
      </c>
      <c r="H49" s="83">
        <f>IF($K49=0,"",INDEX('ETF데이터'!$E$4:$E$593,$K49)/100000000)</f>
        <v/>
      </c>
      <c r="I49" s="79">
        <f>IF($K49=0,"",INDEX('ETF데이터'!$M$4:$M$593,$K49))</f>
        <v/>
      </c>
      <c r="J49" s="78" t="n"/>
      <c r="K49">
        <f>IFERROR(MATCH(30,'ETF데이터'!$V$4:$V$593,0),0)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IF($K50=0,"",INDEX('ETF데이터'!$A$4:$A$593,$K50))</f>
        <v/>
      </c>
      <c r="C50" s="73">
        <f>IF($K50=0,"",INDEX('ETF데이터'!$R$4:$R$593,$K50))</f>
        <v/>
      </c>
      <c r="D50" s="74">
        <f>IF($K50=0,"",INDEX('ETF데이터'!$J$4:$J$593,$K50))</f>
        <v/>
      </c>
      <c r="E50" s="75">
        <f>IF($K50=0,"",$D50/12)</f>
        <v/>
      </c>
      <c r="F50" s="76">
        <f>IF($K50=0,"",INDEX('ETF데이터'!$D$4:$D$593,$K50))</f>
        <v/>
      </c>
      <c r="G50" s="74">
        <f>IF($K50=0,"",INDEX('ETF데이터'!$H$4:$H$593,$K50))</f>
        <v/>
      </c>
      <c r="H50" s="77">
        <f>IF($K50=0,"",INDEX('ETF데이터'!$E$4:$E$593,$K50)/100000000)</f>
        <v/>
      </c>
      <c r="I50" s="73">
        <f>IF($K50=0,"",INDEX('ETF데이터'!$M$4:$M$593,$K50))</f>
        <v/>
      </c>
      <c r="J50" s="78" t="n"/>
      <c r="K50">
        <f>IFERROR(MATCH(31,'ETF데이터'!$V$4:$V$593,0),0)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IF($K51=0,"",INDEX('ETF데이터'!$A$4:$A$593,$K51))</f>
        <v/>
      </c>
      <c r="C51" s="79">
        <f>IF($K51=0,"",INDEX('ETF데이터'!$R$4:$R$593,$K51))</f>
        <v/>
      </c>
      <c r="D51" s="80">
        <f>IF($K51=0,"",INDEX('ETF데이터'!$J$4:$J$593,$K51))</f>
        <v/>
      </c>
      <c r="E51" s="81">
        <f>IF($K51=0,"",$D51/12)</f>
        <v/>
      </c>
      <c r="F51" s="82">
        <f>IF($K51=0,"",INDEX('ETF데이터'!$D$4:$D$593,$K51))</f>
        <v/>
      </c>
      <c r="G51" s="80">
        <f>IF($K51=0,"",INDEX('ETF데이터'!$H$4:$H$593,$K51))</f>
        <v/>
      </c>
      <c r="H51" s="83">
        <f>IF($K51=0,"",INDEX('ETF데이터'!$E$4:$E$593,$K51)/100000000)</f>
        <v/>
      </c>
      <c r="I51" s="79">
        <f>IF($K51=0,"",INDEX('ETF데이터'!$M$4:$M$593,$K51))</f>
        <v/>
      </c>
      <c r="J51" s="78" t="n"/>
      <c r="K51">
        <f>IFERROR(MATCH(32,'ETF데이터'!$V$4:$V$593,0),0)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IF($K52=0,"",INDEX('ETF데이터'!$A$4:$A$593,$K52))</f>
        <v/>
      </c>
      <c r="C52" s="73">
        <f>IF($K52=0,"",INDEX('ETF데이터'!$R$4:$R$593,$K52))</f>
        <v/>
      </c>
      <c r="D52" s="74">
        <f>IF($K52=0,"",INDEX('ETF데이터'!$J$4:$J$593,$K52))</f>
        <v/>
      </c>
      <c r="E52" s="75">
        <f>IF($K52=0,"",$D52/12)</f>
        <v/>
      </c>
      <c r="F52" s="76">
        <f>IF($K52=0,"",INDEX('ETF데이터'!$D$4:$D$593,$K52))</f>
        <v/>
      </c>
      <c r="G52" s="74">
        <f>IF($K52=0,"",INDEX('ETF데이터'!$H$4:$H$593,$K52))</f>
        <v/>
      </c>
      <c r="H52" s="77">
        <f>IF($K52=0,"",INDEX('ETF데이터'!$E$4:$E$593,$K52)/100000000)</f>
        <v/>
      </c>
      <c r="I52" s="73">
        <f>IF($K52=0,"",INDEX('ETF데이터'!$M$4:$M$593,$K52))</f>
        <v/>
      </c>
      <c r="J52" s="78" t="n"/>
      <c r="K52">
        <f>IFERROR(MATCH(33,'ETF데이터'!$V$4:$V$593,0),0)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IF($K53=0,"",INDEX('ETF데이터'!$A$4:$A$593,$K53))</f>
        <v/>
      </c>
      <c r="C53" s="79">
        <f>IF($K53=0,"",INDEX('ETF데이터'!$R$4:$R$593,$K53))</f>
        <v/>
      </c>
      <c r="D53" s="80">
        <f>IF($K53=0,"",INDEX('ETF데이터'!$J$4:$J$593,$K53))</f>
        <v/>
      </c>
      <c r="E53" s="81">
        <f>IF($K53=0,"",$D53/12)</f>
        <v/>
      </c>
      <c r="F53" s="82">
        <f>IF($K53=0,"",INDEX('ETF데이터'!$D$4:$D$593,$K53))</f>
        <v/>
      </c>
      <c r="G53" s="80">
        <f>IF($K53=0,"",INDEX('ETF데이터'!$H$4:$H$593,$K53))</f>
        <v/>
      </c>
      <c r="H53" s="83">
        <f>IF($K53=0,"",INDEX('ETF데이터'!$E$4:$E$593,$K53)/100000000)</f>
        <v/>
      </c>
      <c r="I53" s="79">
        <f>IF($K53=0,"",INDEX('ETF데이터'!$M$4:$M$593,$K53))</f>
        <v/>
      </c>
      <c r="J53" s="78" t="n"/>
      <c r="K53">
        <f>IFERROR(MATCH(34,'ETF데이터'!$V$4:$V$593,0),0)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IF($K54=0,"",INDEX('ETF데이터'!$A$4:$A$593,$K54))</f>
        <v/>
      </c>
      <c r="C54" s="73">
        <f>IF($K54=0,"",INDEX('ETF데이터'!$R$4:$R$593,$K54))</f>
        <v/>
      </c>
      <c r="D54" s="74">
        <f>IF($K54=0,"",INDEX('ETF데이터'!$J$4:$J$593,$K54))</f>
        <v/>
      </c>
      <c r="E54" s="75">
        <f>IF($K54=0,"",$D54/12)</f>
        <v/>
      </c>
      <c r="F54" s="76">
        <f>IF($K54=0,"",INDEX('ETF데이터'!$D$4:$D$593,$K54))</f>
        <v/>
      </c>
      <c r="G54" s="74">
        <f>IF($K54=0,"",INDEX('ETF데이터'!$H$4:$H$593,$K54))</f>
        <v/>
      </c>
      <c r="H54" s="77">
        <f>IF($K54=0,"",INDEX('ETF데이터'!$E$4:$E$593,$K54)/100000000)</f>
        <v/>
      </c>
      <c r="I54" s="73">
        <f>IF($K54=0,"",INDEX('ETF데이터'!$M$4:$M$593,$K54))</f>
        <v/>
      </c>
      <c r="J54" s="78" t="n"/>
      <c r="K54">
        <f>IFERROR(MATCH(35,'ETF데이터'!$V$4:$V$593,0),0)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IF($K55=0,"",INDEX('ETF데이터'!$A$4:$A$593,$K55))</f>
        <v/>
      </c>
      <c r="C55" s="79">
        <f>IF($K55=0,"",INDEX('ETF데이터'!$R$4:$R$593,$K55))</f>
        <v/>
      </c>
      <c r="D55" s="80">
        <f>IF($K55=0,"",INDEX('ETF데이터'!$J$4:$J$593,$K55))</f>
        <v/>
      </c>
      <c r="E55" s="81">
        <f>IF($K55=0,"",$D55/12)</f>
        <v/>
      </c>
      <c r="F55" s="82">
        <f>IF($K55=0,"",INDEX('ETF데이터'!$D$4:$D$593,$K55))</f>
        <v/>
      </c>
      <c r="G55" s="80">
        <f>IF($K55=0,"",INDEX('ETF데이터'!$H$4:$H$593,$K55))</f>
        <v/>
      </c>
      <c r="H55" s="83">
        <f>IF($K55=0,"",INDEX('ETF데이터'!$E$4:$E$593,$K55)/100000000)</f>
        <v/>
      </c>
      <c r="I55" s="79">
        <f>IF($K55=0,"",INDEX('ETF데이터'!$M$4:$M$593,$K55))</f>
        <v/>
      </c>
      <c r="J55" s="78" t="n"/>
      <c r="K55">
        <f>IFERROR(MATCH(36,'ETF데이터'!$V$4:$V$593,0),0)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IF($K56=0,"",INDEX('ETF데이터'!$A$4:$A$593,$K56))</f>
        <v/>
      </c>
      <c r="C56" s="73">
        <f>IF($K56=0,"",INDEX('ETF데이터'!$R$4:$R$593,$K56))</f>
        <v/>
      </c>
      <c r="D56" s="74">
        <f>IF($K56=0,"",INDEX('ETF데이터'!$J$4:$J$593,$K56))</f>
        <v/>
      </c>
      <c r="E56" s="75">
        <f>IF($K56=0,"",$D56/12)</f>
        <v/>
      </c>
      <c r="F56" s="76">
        <f>IF($K56=0,"",INDEX('ETF데이터'!$D$4:$D$593,$K56))</f>
        <v/>
      </c>
      <c r="G56" s="74">
        <f>IF($K56=0,"",INDEX('ETF데이터'!$H$4:$H$593,$K56))</f>
        <v/>
      </c>
      <c r="H56" s="77">
        <f>IF($K56=0,"",INDEX('ETF데이터'!$E$4:$E$593,$K56)/100000000)</f>
        <v/>
      </c>
      <c r="I56" s="73">
        <f>IF($K56=0,"",INDEX('ETF데이터'!$M$4:$M$593,$K56))</f>
        <v/>
      </c>
      <c r="J56" s="78" t="n"/>
      <c r="K56">
        <f>IFERROR(MATCH(37,'ETF데이터'!$V$4:$V$593,0),0)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IF($K57=0,"",INDEX('ETF데이터'!$A$4:$A$593,$K57))</f>
        <v/>
      </c>
      <c r="C57" s="79">
        <f>IF($K57=0,"",INDEX('ETF데이터'!$R$4:$R$593,$K57))</f>
        <v/>
      </c>
      <c r="D57" s="80">
        <f>IF($K57=0,"",INDEX('ETF데이터'!$J$4:$J$593,$K57))</f>
        <v/>
      </c>
      <c r="E57" s="81">
        <f>IF($K57=0,"",$D57/12)</f>
        <v/>
      </c>
      <c r="F57" s="82">
        <f>IF($K57=0,"",INDEX('ETF데이터'!$D$4:$D$593,$K57))</f>
        <v/>
      </c>
      <c r="G57" s="80">
        <f>IF($K57=0,"",INDEX('ETF데이터'!$H$4:$H$593,$K57))</f>
        <v/>
      </c>
      <c r="H57" s="83">
        <f>IF($K57=0,"",INDEX('ETF데이터'!$E$4:$E$593,$K57)/100000000)</f>
        <v/>
      </c>
      <c r="I57" s="79">
        <f>IF($K57=0,"",INDEX('ETF데이터'!$M$4:$M$593,$K57))</f>
        <v/>
      </c>
      <c r="J57" s="78" t="n"/>
      <c r="K57">
        <f>IFERROR(MATCH(38,'ETF데이터'!$V$4:$V$593,0),0)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IF($K58=0,"",INDEX('ETF데이터'!$A$4:$A$593,$K58))</f>
        <v/>
      </c>
      <c r="C58" s="73">
        <f>IF($K58=0,"",INDEX('ETF데이터'!$R$4:$R$593,$K58))</f>
        <v/>
      </c>
      <c r="D58" s="74">
        <f>IF($K58=0,"",INDEX('ETF데이터'!$J$4:$J$593,$K58))</f>
        <v/>
      </c>
      <c r="E58" s="75">
        <f>IF($K58=0,"",$D58/12)</f>
        <v/>
      </c>
      <c r="F58" s="76">
        <f>IF($K58=0,"",INDEX('ETF데이터'!$D$4:$D$593,$K58))</f>
        <v/>
      </c>
      <c r="G58" s="74">
        <f>IF($K58=0,"",INDEX('ETF데이터'!$H$4:$H$593,$K58))</f>
        <v/>
      </c>
      <c r="H58" s="77">
        <f>IF($K58=0,"",INDEX('ETF데이터'!$E$4:$E$593,$K58)/100000000)</f>
        <v/>
      </c>
      <c r="I58" s="73">
        <f>IF($K58=0,"",INDEX('ETF데이터'!$M$4:$M$593,$K58))</f>
        <v/>
      </c>
      <c r="J58" s="78" t="n"/>
      <c r="K58">
        <f>IFERROR(MATCH(39,'ETF데이터'!$V$4:$V$593,0),0)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IF($K59=0,"",INDEX('ETF데이터'!$A$4:$A$593,$K59))</f>
        <v/>
      </c>
      <c r="C59" s="79">
        <f>IF($K59=0,"",INDEX('ETF데이터'!$R$4:$R$593,$K59))</f>
        <v/>
      </c>
      <c r="D59" s="80">
        <f>IF($K59=0,"",INDEX('ETF데이터'!$J$4:$J$593,$K59))</f>
        <v/>
      </c>
      <c r="E59" s="81">
        <f>IF($K59=0,"",$D59/12)</f>
        <v/>
      </c>
      <c r="F59" s="82">
        <f>IF($K59=0,"",INDEX('ETF데이터'!$D$4:$D$593,$K59))</f>
        <v/>
      </c>
      <c r="G59" s="80">
        <f>IF($K59=0,"",INDEX('ETF데이터'!$H$4:$H$593,$K59))</f>
        <v/>
      </c>
      <c r="H59" s="83">
        <f>IF($K59=0,"",INDEX('ETF데이터'!$E$4:$E$593,$K59)/100000000)</f>
        <v/>
      </c>
      <c r="I59" s="79">
        <f>IF($K59=0,"",INDEX('ETF데이터'!$M$4:$M$593,$K59))</f>
        <v/>
      </c>
      <c r="J59" s="78" t="n"/>
      <c r="K59">
        <f>IFERROR(MATCH(40,'ETF데이터'!$V$4:$V$593,0),0)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IF($K60=0,"",INDEX('ETF데이터'!$A$4:$A$593,$K60))</f>
        <v/>
      </c>
      <c r="C60" s="73">
        <f>IF($K60=0,"",INDEX('ETF데이터'!$R$4:$R$593,$K60))</f>
        <v/>
      </c>
      <c r="D60" s="74">
        <f>IF($K60=0,"",INDEX('ETF데이터'!$J$4:$J$593,$K60))</f>
        <v/>
      </c>
      <c r="E60" s="75">
        <f>IF($K60=0,"",$D60/12)</f>
        <v/>
      </c>
      <c r="F60" s="76">
        <f>IF($K60=0,"",INDEX('ETF데이터'!$D$4:$D$593,$K60))</f>
        <v/>
      </c>
      <c r="G60" s="74">
        <f>IF($K60=0,"",INDEX('ETF데이터'!$H$4:$H$593,$K60))</f>
        <v/>
      </c>
      <c r="H60" s="77">
        <f>IF($K60=0,"",INDEX('ETF데이터'!$E$4:$E$593,$K60)/100000000)</f>
        <v/>
      </c>
      <c r="I60" s="73">
        <f>IF($K60=0,"",INDEX('ETF데이터'!$M$4:$M$593,$K60))</f>
        <v/>
      </c>
      <c r="J60" s="78" t="n"/>
      <c r="K60">
        <f>IFERROR(MATCH(41,'ETF데이터'!$V$4:$V$593,0),0)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IF($K61=0,"",INDEX('ETF데이터'!$A$4:$A$593,$K61))</f>
        <v/>
      </c>
      <c r="C61" s="79">
        <f>IF($K61=0,"",INDEX('ETF데이터'!$R$4:$R$593,$K61))</f>
        <v/>
      </c>
      <c r="D61" s="80">
        <f>IF($K61=0,"",INDEX('ETF데이터'!$J$4:$J$593,$K61))</f>
        <v/>
      </c>
      <c r="E61" s="81">
        <f>IF($K61=0,"",$D61/12)</f>
        <v/>
      </c>
      <c r="F61" s="82">
        <f>IF($K61=0,"",INDEX('ETF데이터'!$D$4:$D$593,$K61))</f>
        <v/>
      </c>
      <c r="G61" s="80">
        <f>IF($K61=0,"",INDEX('ETF데이터'!$H$4:$H$593,$K61))</f>
        <v/>
      </c>
      <c r="H61" s="83">
        <f>IF($K61=0,"",INDEX('ETF데이터'!$E$4:$E$593,$K61)/100000000)</f>
        <v/>
      </c>
      <c r="I61" s="79">
        <f>IF($K61=0,"",INDEX('ETF데이터'!$M$4:$M$593,$K61))</f>
        <v/>
      </c>
      <c r="J61" s="78" t="n"/>
      <c r="K61">
        <f>IFERROR(MATCH(42,'ETF데이터'!$V$4:$V$593,0),0)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IF($K62=0,"",INDEX('ETF데이터'!$A$4:$A$593,$K62))</f>
        <v/>
      </c>
      <c r="C62" s="73">
        <f>IF($K62=0,"",INDEX('ETF데이터'!$R$4:$R$593,$K62))</f>
        <v/>
      </c>
      <c r="D62" s="74">
        <f>IF($K62=0,"",INDEX('ETF데이터'!$J$4:$J$593,$K62))</f>
        <v/>
      </c>
      <c r="E62" s="75">
        <f>IF($K62=0,"",$D62/12)</f>
        <v/>
      </c>
      <c r="F62" s="76">
        <f>IF($K62=0,"",INDEX('ETF데이터'!$D$4:$D$593,$K62))</f>
        <v/>
      </c>
      <c r="G62" s="74">
        <f>IF($K62=0,"",INDEX('ETF데이터'!$H$4:$H$593,$K62))</f>
        <v/>
      </c>
      <c r="H62" s="77">
        <f>IF($K62=0,"",INDEX('ETF데이터'!$E$4:$E$593,$K62)/100000000)</f>
        <v/>
      </c>
      <c r="I62" s="73">
        <f>IF($K62=0,"",INDEX('ETF데이터'!$M$4:$M$593,$K62))</f>
        <v/>
      </c>
      <c r="J62" s="78" t="n"/>
      <c r="K62">
        <f>IFERROR(MATCH(43,'ETF데이터'!$V$4:$V$593,0),0)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IF($K63=0,"",INDEX('ETF데이터'!$A$4:$A$593,$K63))</f>
        <v/>
      </c>
      <c r="C63" s="79">
        <f>IF($K63=0,"",INDEX('ETF데이터'!$R$4:$R$593,$K63))</f>
        <v/>
      </c>
      <c r="D63" s="80">
        <f>IF($K63=0,"",INDEX('ETF데이터'!$J$4:$J$593,$K63))</f>
        <v/>
      </c>
      <c r="E63" s="81">
        <f>IF($K63=0,"",$D63/12)</f>
        <v/>
      </c>
      <c r="F63" s="82">
        <f>IF($K63=0,"",INDEX('ETF데이터'!$D$4:$D$593,$K63))</f>
        <v/>
      </c>
      <c r="G63" s="80">
        <f>IF($K63=0,"",INDEX('ETF데이터'!$H$4:$H$593,$K63))</f>
        <v/>
      </c>
      <c r="H63" s="83">
        <f>IF($K63=0,"",INDEX('ETF데이터'!$E$4:$E$593,$K63)/100000000)</f>
        <v/>
      </c>
      <c r="I63" s="79">
        <f>IF($K63=0,"",INDEX('ETF데이터'!$M$4:$M$593,$K63))</f>
        <v/>
      </c>
      <c r="J63" s="78" t="n"/>
      <c r="K63">
        <f>IFERROR(MATCH(44,'ETF데이터'!$V$4:$V$593,0),0)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IF($K64=0,"",INDEX('ETF데이터'!$A$4:$A$593,$K64))</f>
        <v/>
      </c>
      <c r="C64" s="73">
        <f>IF($K64=0,"",INDEX('ETF데이터'!$R$4:$R$593,$K64))</f>
        <v/>
      </c>
      <c r="D64" s="74">
        <f>IF($K64=0,"",INDEX('ETF데이터'!$J$4:$J$593,$K64))</f>
        <v/>
      </c>
      <c r="E64" s="75">
        <f>IF($K64=0,"",$D64/12)</f>
        <v/>
      </c>
      <c r="F64" s="76">
        <f>IF($K64=0,"",INDEX('ETF데이터'!$D$4:$D$593,$K64))</f>
        <v/>
      </c>
      <c r="G64" s="74">
        <f>IF($K64=0,"",INDEX('ETF데이터'!$H$4:$H$593,$K64))</f>
        <v/>
      </c>
      <c r="H64" s="77">
        <f>IF($K64=0,"",INDEX('ETF데이터'!$E$4:$E$593,$K64)/100000000)</f>
        <v/>
      </c>
      <c r="I64" s="73">
        <f>IF($K64=0,"",INDEX('ETF데이터'!$M$4:$M$593,$K64))</f>
        <v/>
      </c>
      <c r="J64" s="78" t="n"/>
      <c r="K64">
        <f>IFERROR(MATCH(45,'ETF데이터'!$V$4:$V$593,0),0)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IF($K65=0,"",INDEX('ETF데이터'!$A$4:$A$593,$K65))</f>
        <v/>
      </c>
      <c r="C65" s="79">
        <f>IF($K65=0,"",INDEX('ETF데이터'!$R$4:$R$593,$K65))</f>
        <v/>
      </c>
      <c r="D65" s="80">
        <f>IF($K65=0,"",INDEX('ETF데이터'!$J$4:$J$593,$K65))</f>
        <v/>
      </c>
      <c r="E65" s="81">
        <f>IF($K65=0,"",$D65/12)</f>
        <v/>
      </c>
      <c r="F65" s="82">
        <f>IF($K65=0,"",INDEX('ETF데이터'!$D$4:$D$593,$K65))</f>
        <v/>
      </c>
      <c r="G65" s="80">
        <f>IF($K65=0,"",INDEX('ETF데이터'!$H$4:$H$593,$K65))</f>
        <v/>
      </c>
      <c r="H65" s="83">
        <f>IF($K65=0,"",INDEX('ETF데이터'!$E$4:$E$593,$K65)/100000000)</f>
        <v/>
      </c>
      <c r="I65" s="79">
        <f>IF($K65=0,"",INDEX('ETF데이터'!$M$4:$M$593,$K65))</f>
        <v/>
      </c>
      <c r="J65" s="78" t="n"/>
      <c r="K65">
        <f>IFERROR(MATCH(46,'ETF데이터'!$V$4:$V$593,0),0)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IF($K66=0,"",INDEX('ETF데이터'!$A$4:$A$593,$K66))</f>
        <v/>
      </c>
      <c r="C66" s="73">
        <f>IF($K66=0,"",INDEX('ETF데이터'!$R$4:$R$593,$K66))</f>
        <v/>
      </c>
      <c r="D66" s="74">
        <f>IF($K66=0,"",INDEX('ETF데이터'!$J$4:$J$593,$K66))</f>
        <v/>
      </c>
      <c r="E66" s="75">
        <f>IF($K66=0,"",$D66/12)</f>
        <v/>
      </c>
      <c r="F66" s="76">
        <f>IF($K66=0,"",INDEX('ETF데이터'!$D$4:$D$593,$K66))</f>
        <v/>
      </c>
      <c r="G66" s="74">
        <f>IF($K66=0,"",INDEX('ETF데이터'!$H$4:$H$593,$K66))</f>
        <v/>
      </c>
      <c r="H66" s="77">
        <f>IF($K66=0,"",INDEX('ETF데이터'!$E$4:$E$593,$K66)/100000000)</f>
        <v/>
      </c>
      <c r="I66" s="73">
        <f>IF($K66=0,"",INDEX('ETF데이터'!$M$4:$M$593,$K66))</f>
        <v/>
      </c>
      <c r="J66" s="78" t="n"/>
      <c r="K66">
        <f>IFERROR(MATCH(47,'ETF데이터'!$V$4:$V$593,0),0)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IF($K67=0,"",INDEX('ETF데이터'!$A$4:$A$593,$K67))</f>
        <v/>
      </c>
      <c r="C67" s="79">
        <f>IF($K67=0,"",INDEX('ETF데이터'!$R$4:$R$593,$K67))</f>
        <v/>
      </c>
      <c r="D67" s="80">
        <f>IF($K67=0,"",INDEX('ETF데이터'!$J$4:$J$593,$K67))</f>
        <v/>
      </c>
      <c r="E67" s="81">
        <f>IF($K67=0,"",$D67/12)</f>
        <v/>
      </c>
      <c r="F67" s="82">
        <f>IF($K67=0,"",INDEX('ETF데이터'!$D$4:$D$593,$K67))</f>
        <v/>
      </c>
      <c r="G67" s="80">
        <f>IF($K67=0,"",INDEX('ETF데이터'!$H$4:$H$593,$K67))</f>
        <v/>
      </c>
      <c r="H67" s="83">
        <f>IF($K67=0,"",INDEX('ETF데이터'!$E$4:$E$593,$K67)/100000000)</f>
        <v/>
      </c>
      <c r="I67" s="79">
        <f>IF($K67=0,"",INDEX('ETF데이터'!$M$4:$M$593,$K67))</f>
        <v/>
      </c>
      <c r="J67" s="78" t="n"/>
      <c r="K67">
        <f>IFERROR(MATCH(48,'ETF데이터'!$V$4:$V$593,0),0)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IF($K68=0,"",INDEX('ETF데이터'!$A$4:$A$593,$K68))</f>
        <v/>
      </c>
      <c r="C68" s="73">
        <f>IF($K68=0,"",INDEX('ETF데이터'!$R$4:$R$593,$K68))</f>
        <v/>
      </c>
      <c r="D68" s="74">
        <f>IF($K68=0,"",INDEX('ETF데이터'!$J$4:$J$593,$K68))</f>
        <v/>
      </c>
      <c r="E68" s="75">
        <f>IF($K68=0,"",$D68/12)</f>
        <v/>
      </c>
      <c r="F68" s="76">
        <f>IF($K68=0,"",INDEX('ETF데이터'!$D$4:$D$593,$K68))</f>
        <v/>
      </c>
      <c r="G68" s="74">
        <f>IF($K68=0,"",INDEX('ETF데이터'!$H$4:$H$593,$K68))</f>
        <v/>
      </c>
      <c r="H68" s="77">
        <f>IF($K68=0,"",INDEX('ETF데이터'!$E$4:$E$593,$K68)/100000000)</f>
        <v/>
      </c>
      <c r="I68" s="73">
        <f>IF($K68=0,"",INDEX('ETF데이터'!$M$4:$M$593,$K68))</f>
        <v/>
      </c>
      <c r="J68" s="78" t="n"/>
      <c r="K68">
        <f>IFERROR(MATCH(49,'ETF데이터'!$V$4:$V$593,0),0)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IF($K69=0,"",INDEX('ETF데이터'!$A$4:$A$593,$K69))</f>
        <v/>
      </c>
      <c r="C69" s="79">
        <f>IF($K69=0,"",INDEX('ETF데이터'!$R$4:$R$593,$K69))</f>
        <v/>
      </c>
      <c r="D69" s="80">
        <f>IF($K69=0,"",INDEX('ETF데이터'!$J$4:$J$593,$K69))</f>
        <v/>
      </c>
      <c r="E69" s="81">
        <f>IF($K69=0,"",$D69/12)</f>
        <v/>
      </c>
      <c r="F69" s="82">
        <f>IF($K69=0,"",INDEX('ETF데이터'!$D$4:$D$593,$K69))</f>
        <v/>
      </c>
      <c r="G69" s="80">
        <f>IF($K69=0,"",INDEX('ETF데이터'!$H$4:$H$593,$K69))</f>
        <v/>
      </c>
      <c r="H69" s="83">
        <f>IF($K69=0,"",INDEX('ETF데이터'!$E$4:$E$593,$K69)/100000000)</f>
        <v/>
      </c>
      <c r="I69" s="79">
        <f>IF($K69=0,"",INDEX('ETF데이터'!$M$4:$M$593,$K69))</f>
        <v/>
      </c>
      <c r="J69" s="78" t="n"/>
      <c r="K69">
        <f>IFERROR(MATCH(50,'ETF데이터'!$V$4:$V$593,0),0)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IF($K70=0,"",INDEX('ETF데이터'!$A$4:$A$593,$K70))</f>
        <v/>
      </c>
      <c r="C70" s="73">
        <f>IF($K70=0,"",INDEX('ETF데이터'!$R$4:$R$593,$K70))</f>
        <v/>
      </c>
      <c r="D70" s="74">
        <f>IF($K70=0,"",INDEX('ETF데이터'!$J$4:$J$593,$K70))</f>
        <v/>
      </c>
      <c r="E70" s="75">
        <f>IF($K70=0,"",$D70/12)</f>
        <v/>
      </c>
      <c r="F70" s="76">
        <f>IF($K70=0,"",INDEX('ETF데이터'!$D$4:$D$593,$K70))</f>
        <v/>
      </c>
      <c r="G70" s="74">
        <f>IF($K70=0,"",INDEX('ETF데이터'!$H$4:$H$593,$K70))</f>
        <v/>
      </c>
      <c r="H70" s="77">
        <f>IF($K70=0,"",INDEX('ETF데이터'!$E$4:$E$593,$K70)/100000000)</f>
        <v/>
      </c>
      <c r="I70" s="73">
        <f>IF($K70=0,"",INDEX('ETF데이터'!$M$4:$M$593,$K70))</f>
        <v/>
      </c>
      <c r="J70" s="78" t="n"/>
      <c r="K70">
        <f>IFERROR(MATCH(51,'ETF데이터'!$V$4:$V$593,0),0)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IF($K71=0,"",INDEX('ETF데이터'!$A$4:$A$593,$K71))</f>
        <v/>
      </c>
      <c r="C71" s="79">
        <f>IF($K71=0,"",INDEX('ETF데이터'!$R$4:$R$593,$K71))</f>
        <v/>
      </c>
      <c r="D71" s="80">
        <f>IF($K71=0,"",INDEX('ETF데이터'!$J$4:$J$593,$K71))</f>
        <v/>
      </c>
      <c r="E71" s="81">
        <f>IF($K71=0,"",$D71/12)</f>
        <v/>
      </c>
      <c r="F71" s="82">
        <f>IF($K71=0,"",INDEX('ETF데이터'!$D$4:$D$593,$K71))</f>
        <v/>
      </c>
      <c r="G71" s="80">
        <f>IF($K71=0,"",INDEX('ETF데이터'!$H$4:$H$593,$K71))</f>
        <v/>
      </c>
      <c r="H71" s="83">
        <f>IF($K71=0,"",INDEX('ETF데이터'!$E$4:$E$593,$K71)/100000000)</f>
        <v/>
      </c>
      <c r="I71" s="79">
        <f>IF($K71=0,"",INDEX('ETF데이터'!$M$4:$M$593,$K71))</f>
        <v/>
      </c>
      <c r="J71" s="78" t="n"/>
      <c r="K71">
        <f>IFERROR(MATCH(52,'ETF데이터'!$V$4:$V$593,0),0)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IF($K72=0,"",INDEX('ETF데이터'!$A$4:$A$593,$K72))</f>
        <v/>
      </c>
      <c r="C72" s="73">
        <f>IF($K72=0,"",INDEX('ETF데이터'!$R$4:$R$593,$K72))</f>
        <v/>
      </c>
      <c r="D72" s="74">
        <f>IF($K72=0,"",INDEX('ETF데이터'!$J$4:$J$593,$K72))</f>
        <v/>
      </c>
      <c r="E72" s="75">
        <f>IF($K72=0,"",$D72/12)</f>
        <v/>
      </c>
      <c r="F72" s="76">
        <f>IF($K72=0,"",INDEX('ETF데이터'!$D$4:$D$593,$K72))</f>
        <v/>
      </c>
      <c r="G72" s="74">
        <f>IF($K72=0,"",INDEX('ETF데이터'!$H$4:$H$593,$K72))</f>
        <v/>
      </c>
      <c r="H72" s="77">
        <f>IF($K72=0,"",INDEX('ETF데이터'!$E$4:$E$593,$K72)/100000000)</f>
        <v/>
      </c>
      <c r="I72" s="73">
        <f>IF($K72=0,"",INDEX('ETF데이터'!$M$4:$M$593,$K72))</f>
        <v/>
      </c>
      <c r="J72" s="78" t="n"/>
      <c r="K72">
        <f>IFERROR(MATCH(53,'ETF데이터'!$V$4:$V$593,0),0)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IF($K73=0,"",INDEX('ETF데이터'!$A$4:$A$593,$K73))</f>
        <v/>
      </c>
      <c r="C73" s="79">
        <f>IF($K73=0,"",INDEX('ETF데이터'!$R$4:$R$593,$K73))</f>
        <v/>
      </c>
      <c r="D73" s="80">
        <f>IF($K73=0,"",INDEX('ETF데이터'!$J$4:$J$593,$K73))</f>
        <v/>
      </c>
      <c r="E73" s="81">
        <f>IF($K73=0,"",$D73/12)</f>
        <v/>
      </c>
      <c r="F73" s="82">
        <f>IF($K73=0,"",INDEX('ETF데이터'!$D$4:$D$593,$K73))</f>
        <v/>
      </c>
      <c r="G73" s="80">
        <f>IF($K73=0,"",INDEX('ETF데이터'!$H$4:$H$593,$K73))</f>
        <v/>
      </c>
      <c r="H73" s="83">
        <f>IF($K73=0,"",INDEX('ETF데이터'!$E$4:$E$593,$K73)/100000000)</f>
        <v/>
      </c>
      <c r="I73" s="79">
        <f>IF($K73=0,"",INDEX('ETF데이터'!$M$4:$M$593,$K73))</f>
        <v/>
      </c>
      <c r="J73" s="78" t="n"/>
      <c r="K73">
        <f>IFERROR(MATCH(54,'ETF데이터'!$V$4:$V$593,0),0)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IF($K74=0,"",INDEX('ETF데이터'!$A$4:$A$593,$K74))</f>
        <v/>
      </c>
      <c r="C74" s="73">
        <f>IF($K74=0,"",INDEX('ETF데이터'!$R$4:$R$593,$K74))</f>
        <v/>
      </c>
      <c r="D74" s="74">
        <f>IF($K74=0,"",INDEX('ETF데이터'!$J$4:$J$593,$K74))</f>
        <v/>
      </c>
      <c r="E74" s="75">
        <f>IF($K74=0,"",$D74/12)</f>
        <v/>
      </c>
      <c r="F74" s="76">
        <f>IF($K74=0,"",INDEX('ETF데이터'!$D$4:$D$593,$K74))</f>
        <v/>
      </c>
      <c r="G74" s="74">
        <f>IF($K74=0,"",INDEX('ETF데이터'!$H$4:$H$593,$K74))</f>
        <v/>
      </c>
      <c r="H74" s="77">
        <f>IF($K74=0,"",INDEX('ETF데이터'!$E$4:$E$593,$K74)/100000000)</f>
        <v/>
      </c>
      <c r="I74" s="73">
        <f>IF($K74=0,"",INDEX('ETF데이터'!$M$4:$M$593,$K74))</f>
        <v/>
      </c>
      <c r="J74" s="78" t="n"/>
      <c r="K74">
        <f>IFERROR(MATCH(55,'ETF데이터'!$V$4:$V$593,0),0)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IF($K75=0,"",INDEX('ETF데이터'!$A$4:$A$593,$K75))</f>
        <v/>
      </c>
      <c r="C75" s="79">
        <f>IF($K75=0,"",INDEX('ETF데이터'!$R$4:$R$593,$K75))</f>
        <v/>
      </c>
      <c r="D75" s="80">
        <f>IF($K75=0,"",INDEX('ETF데이터'!$J$4:$J$593,$K75))</f>
        <v/>
      </c>
      <c r="E75" s="81">
        <f>IF($K75=0,"",$D75/12)</f>
        <v/>
      </c>
      <c r="F75" s="82">
        <f>IF($K75=0,"",INDEX('ETF데이터'!$D$4:$D$593,$K75))</f>
        <v/>
      </c>
      <c r="G75" s="80">
        <f>IF($K75=0,"",INDEX('ETF데이터'!$H$4:$H$593,$K75))</f>
        <v/>
      </c>
      <c r="H75" s="83">
        <f>IF($K75=0,"",INDEX('ETF데이터'!$E$4:$E$593,$K75)/100000000)</f>
        <v/>
      </c>
      <c r="I75" s="79">
        <f>IF($K75=0,"",INDEX('ETF데이터'!$M$4:$M$593,$K75))</f>
        <v/>
      </c>
      <c r="J75" s="78" t="n"/>
      <c r="K75">
        <f>IFERROR(MATCH(56,'ETF데이터'!$V$4:$V$593,0),0)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IF($K76=0,"",INDEX('ETF데이터'!$A$4:$A$593,$K76))</f>
        <v/>
      </c>
      <c r="C76" s="73">
        <f>IF($K76=0,"",INDEX('ETF데이터'!$R$4:$R$593,$K76))</f>
        <v/>
      </c>
      <c r="D76" s="74">
        <f>IF($K76=0,"",INDEX('ETF데이터'!$J$4:$J$593,$K76))</f>
        <v/>
      </c>
      <c r="E76" s="75">
        <f>IF($K76=0,"",$D76/12)</f>
        <v/>
      </c>
      <c r="F76" s="76">
        <f>IF($K76=0,"",INDEX('ETF데이터'!$D$4:$D$593,$K76))</f>
        <v/>
      </c>
      <c r="G76" s="74">
        <f>IF($K76=0,"",INDEX('ETF데이터'!$H$4:$H$593,$K76))</f>
        <v/>
      </c>
      <c r="H76" s="77">
        <f>IF($K76=0,"",INDEX('ETF데이터'!$E$4:$E$593,$K76)/100000000)</f>
        <v/>
      </c>
      <c r="I76" s="73">
        <f>IF($K76=0,"",INDEX('ETF데이터'!$M$4:$M$593,$K76))</f>
        <v/>
      </c>
      <c r="J76" s="78" t="n"/>
      <c r="K76">
        <f>IFERROR(MATCH(57,'ETF데이터'!$V$4:$V$593,0),0)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IF($K77=0,"",INDEX('ETF데이터'!$A$4:$A$593,$K77))</f>
        <v/>
      </c>
      <c r="C77" s="79">
        <f>IF($K77=0,"",INDEX('ETF데이터'!$R$4:$R$593,$K77))</f>
        <v/>
      </c>
      <c r="D77" s="80">
        <f>IF($K77=0,"",INDEX('ETF데이터'!$J$4:$J$593,$K77))</f>
        <v/>
      </c>
      <c r="E77" s="81">
        <f>IF($K77=0,"",$D77/12)</f>
        <v/>
      </c>
      <c r="F77" s="82">
        <f>IF($K77=0,"",INDEX('ETF데이터'!$D$4:$D$593,$K77))</f>
        <v/>
      </c>
      <c r="G77" s="80">
        <f>IF($K77=0,"",INDEX('ETF데이터'!$H$4:$H$593,$K77))</f>
        <v/>
      </c>
      <c r="H77" s="83">
        <f>IF($K77=0,"",INDEX('ETF데이터'!$E$4:$E$593,$K77)/100000000)</f>
        <v/>
      </c>
      <c r="I77" s="79">
        <f>IF($K77=0,"",INDEX('ETF데이터'!$M$4:$M$593,$K77))</f>
        <v/>
      </c>
      <c r="J77" s="78" t="n"/>
      <c r="K77">
        <f>IFERROR(MATCH(58,'ETF데이터'!$V$4:$V$593,0),0)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IF($K78=0,"",INDEX('ETF데이터'!$A$4:$A$593,$K78))</f>
        <v/>
      </c>
      <c r="C78" s="73">
        <f>IF($K78=0,"",INDEX('ETF데이터'!$R$4:$R$593,$K78))</f>
        <v/>
      </c>
      <c r="D78" s="74">
        <f>IF($K78=0,"",INDEX('ETF데이터'!$J$4:$J$593,$K78))</f>
        <v/>
      </c>
      <c r="E78" s="75">
        <f>IF($K78=0,"",$D78/12)</f>
        <v/>
      </c>
      <c r="F78" s="76">
        <f>IF($K78=0,"",INDEX('ETF데이터'!$D$4:$D$593,$K78))</f>
        <v/>
      </c>
      <c r="G78" s="74">
        <f>IF($K78=0,"",INDEX('ETF데이터'!$H$4:$H$593,$K78))</f>
        <v/>
      </c>
      <c r="H78" s="77">
        <f>IF($K78=0,"",INDEX('ETF데이터'!$E$4:$E$593,$K78)/100000000)</f>
        <v/>
      </c>
      <c r="I78" s="73">
        <f>IF($K78=0,"",INDEX('ETF데이터'!$M$4:$M$593,$K78))</f>
        <v/>
      </c>
      <c r="J78" s="78" t="n"/>
      <c r="K78">
        <f>IFERROR(MATCH(59,'ETF데이터'!$V$4:$V$593,0),0)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IF($K79=0,"",INDEX('ETF데이터'!$A$4:$A$593,$K79))</f>
        <v/>
      </c>
      <c r="C79" s="84">
        <f>IF($K79=0,"",INDEX('ETF데이터'!$R$4:$R$593,$K79))</f>
        <v/>
      </c>
      <c r="D79" s="85">
        <f>IF($K79=0,"",INDEX('ETF데이터'!$J$4:$J$593,$K79))</f>
        <v/>
      </c>
      <c r="E79" s="86">
        <f>IF($K79=0,"",$D79/12)</f>
        <v/>
      </c>
      <c r="F79" s="87">
        <f>IF($K79=0,"",INDEX('ETF데이터'!$D$4:$D$593,$K79))</f>
        <v/>
      </c>
      <c r="G79" s="85">
        <f>IF($K79=0,"",INDEX('ETF데이터'!$H$4:$H$593,$K79))</f>
        <v/>
      </c>
      <c r="H79" s="88">
        <f>IF($K79=0,"",INDEX('ETF데이터'!$E$4:$E$593,$K79)/100000000)</f>
        <v/>
      </c>
      <c r="I79" s="84">
        <f>IF($K79=0,"",INDEX('ETF데이터'!$M$4:$M$593,$K79))</f>
        <v/>
      </c>
      <c r="J79" s="89" t="n"/>
      <c r="K79">
        <f>IFERROR(MATCH(60,'ETF데이터'!$V$4:$V$593,0),0)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7865</v>
      </c>
      <c r="E4" s="94" t="n">
        <v>362576500000</v>
      </c>
      <c r="F4" s="94" t="n">
        <v>2830686104</v>
      </c>
      <c r="G4" s="74" t="n">
        <v>0.0035</v>
      </c>
      <c r="H4" s="74" t="n">
        <v>0.1636</v>
      </c>
      <c r="I4" s="74" t="n">
        <v>0.0196</v>
      </c>
      <c r="J4" s="74" t="n">
        <v>0.277813</v>
      </c>
      <c r="K4" s="94" t="n">
        <v>17</v>
      </c>
      <c r="L4" s="95" t="inlineStr">
        <is>
          <t>20260929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0.1904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IFERROR(INDEX($A$4:$A$593,MATCH(1,$X$4:$X$593,0)),"")</f>
        <v/>
      </c>
    </row>
    <row r="5">
      <c r="A5" s="93" t="inlineStr">
        <is>
          <t>SOL 팔란티어미국채커버드콜혼합</t>
        </is>
      </c>
      <c r="B5" s="93" t="inlineStr">
        <is>
          <t>0040X0</t>
        </is>
      </c>
      <c r="C5" s="93" t="inlineStr">
        <is>
          <t>신한자산운용</t>
        </is>
      </c>
      <c r="D5" s="94" t="n">
        <v>9055</v>
      </c>
      <c r="E5" s="94" t="n">
        <v>170234000000</v>
      </c>
      <c r="F5" s="94" t="n">
        <v>1622314442</v>
      </c>
      <c r="G5" s="74" t="n">
        <v>0.0035</v>
      </c>
      <c r="H5" s="74" t="n">
        <v>0.2288</v>
      </c>
      <c r="I5" s="74" t="n">
        <v>0.015</v>
      </c>
      <c r="J5" s="74" t="n">
        <v>0.252457</v>
      </c>
      <c r="K5" s="94" t="n">
        <v>17</v>
      </c>
      <c r="L5" s="95" t="inlineStr">
        <is>
          <t>20260929</t>
        </is>
      </c>
      <c r="M5" s="93" t="inlineStr">
        <is>
          <t>채택</t>
        </is>
      </c>
      <c r="N5" s="93" t="inlineStr"/>
      <c r="O5" s="93" t="inlineStr">
        <is>
          <t>KEDI Palantir U.S. Treasury Covered Call Balanced Index NTR</t>
        </is>
      </c>
      <c r="P5" s="93" t="inlineStr">
        <is>
          <t>커버드콜</t>
        </is>
      </c>
      <c r="Q5" s="93" t="inlineStr">
        <is>
          <t>멀티에셋</t>
        </is>
      </c>
      <c r="R5" s="93" t="inlineStr">
        <is>
          <t>월배당</t>
        </is>
      </c>
      <c r="S5" s="94" t="n">
        <v>11</v>
      </c>
      <c r="T5" s="74" t="n">
        <v>0.7183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IFERROR(INDEX($A$4:$A$593,MATCH(2,$X$4:$X$593,0)),"")</f>
        <v/>
      </c>
    </row>
    <row r="6">
      <c r="A6" s="93" t="inlineStr">
        <is>
          <t>PLUS 고배당주위클리커버드콜</t>
        </is>
      </c>
      <c r="B6" s="93" t="inlineStr">
        <is>
          <t>489030</t>
        </is>
      </c>
      <c r="C6" s="93" t="inlineStr">
        <is>
          <t>한화자산운용</t>
        </is>
      </c>
      <c r="D6" s="94" t="n">
        <v>6135</v>
      </c>
      <c r="E6" s="94" t="n">
        <v>303069000000</v>
      </c>
      <c r="F6" s="94" t="n">
        <v>4150922121</v>
      </c>
      <c r="G6" s="74" t="n">
        <v>0.003</v>
      </c>
      <c r="H6" s="74" t="n">
        <v>0.3075</v>
      </c>
      <c r="I6" s="74" t="n">
        <v>0.0147</v>
      </c>
      <c r="J6" s="74" t="n">
        <v>0.238631</v>
      </c>
      <c r="K6" s="94" t="n">
        <v>26</v>
      </c>
      <c r="L6" s="95" t="inlineStr">
        <is>
          <t>20260929</t>
        </is>
      </c>
      <c r="M6" s="93" t="inlineStr">
        <is>
          <t>채택</t>
        </is>
      </c>
      <c r="N6" s="93" t="inlineStr"/>
      <c r="O6" s="93" t="inlineStr">
        <is>
          <t>코스피 고배당 위클리 콜매도 ATM 지수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11</v>
      </c>
      <c r="T6" s="74" t="n">
        <v>0.2179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IFERROR(INDEX($A$4:$A$593,MATCH(3,$X$4:$X$593,0)),"")</f>
        <v/>
      </c>
    </row>
    <row r="7">
      <c r="A7" s="93" t="inlineStr">
        <is>
          <t>KODEX 미국나스닥100데일리커버드콜OTM</t>
        </is>
      </c>
      <c r="B7" s="93" t="inlineStr">
        <is>
          <t>494300</t>
        </is>
      </c>
      <c r="C7" s="93" t="inlineStr">
        <is>
          <t>삼성자산운용(ETF)</t>
        </is>
      </c>
      <c r="D7" s="94" t="n">
        <v>8935</v>
      </c>
      <c r="E7" s="94" t="n">
        <v>1058797500000</v>
      </c>
      <c r="F7" s="94" t="n">
        <v>13178072762</v>
      </c>
      <c r="G7" s="74" t="n">
        <v>0.0025</v>
      </c>
      <c r="H7" s="74" t="n">
        <v>0.1952</v>
      </c>
      <c r="I7" s="74" t="n">
        <v>0.0166</v>
      </c>
      <c r="J7" s="74" t="n">
        <v>0.224398</v>
      </c>
      <c r="K7" s="94" t="n">
        <v>23</v>
      </c>
      <c r="L7" s="95" t="inlineStr">
        <is>
          <t>20260929</t>
        </is>
      </c>
      <c r="M7" s="93" t="inlineStr">
        <is>
          <t>채택</t>
        </is>
      </c>
      <c r="N7" s="93" t="inlineStr"/>
      <c r="O7" s="93" t="inlineStr">
        <is>
          <t>Nasdaq-100 Daily Covered Call 101 Index TR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0.784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IFERROR(INDEX($A$4:$A$593,MATCH(4,$X$4:$X$593,0)),"")</f>
        <v/>
      </c>
    </row>
    <row r="8">
      <c r="A8" s="93" t="inlineStr">
        <is>
          <t>RISE 미국테크100데일리고정커버드콜</t>
        </is>
      </c>
      <c r="B8" s="93" t="inlineStr">
        <is>
          <t>491620</t>
        </is>
      </c>
      <c r="C8" s="93" t="inlineStr">
        <is>
          <t>KB자산운용</t>
        </is>
      </c>
      <c r="D8" s="94" t="n">
        <v>10540</v>
      </c>
      <c r="E8" s="94" t="n">
        <v>601307000000</v>
      </c>
      <c r="F8" s="94" t="n">
        <v>7381843606</v>
      </c>
      <c r="G8" s="74" t="n">
        <v>0.0025</v>
      </c>
      <c r="H8" s="74" t="n">
        <v>0.2031</v>
      </c>
      <c r="I8" s="74" t="n">
        <v>0.0126</v>
      </c>
      <c r="J8" s="74" t="n">
        <v>0.21186</v>
      </c>
      <c r="K8" s="94" t="n">
        <v>24</v>
      </c>
      <c r="L8" s="95" t="inlineStr">
        <is>
          <t>20260929</t>
        </is>
      </c>
      <c r="M8" s="93" t="inlineStr">
        <is>
          <t>채택</t>
        </is>
      </c>
      <c r="N8" s="93" t="inlineStr"/>
      <c r="O8" s="93" t="inlineStr">
        <is>
          <t>KEDI U.S. Tech100 90% Participation + Daily Options Premium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1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IFERROR(INDEX($A$4:$A$593,MATCH(5,$X$4:$X$593,0)),"")</f>
        <v/>
      </c>
    </row>
    <row r="9">
      <c r="A9" s="93" t="inlineStr">
        <is>
          <t>RISE 미국AI밸류체인데일리고정커버드콜</t>
        </is>
      </c>
      <c r="B9" s="93" t="inlineStr">
        <is>
          <t>490590</t>
        </is>
      </c>
      <c r="C9" s="93" t="inlineStr">
        <is>
          <t>KB자산운용</t>
        </is>
      </c>
      <c r="D9" s="94" t="n">
        <v>14645</v>
      </c>
      <c r="E9" s="94" t="n">
        <v>843552000000</v>
      </c>
      <c r="F9" s="94" t="n">
        <v>9562887820</v>
      </c>
      <c r="G9" s="74" t="n">
        <v>0.0025</v>
      </c>
      <c r="H9" s="74" t="n">
        <v>0.3321</v>
      </c>
      <c r="I9" s="74" t="n">
        <v>0.013</v>
      </c>
      <c r="J9" s="74" t="n">
        <v>0.198361</v>
      </c>
      <c r="K9" s="94" t="n">
        <v>24</v>
      </c>
      <c r="L9" s="95" t="inlineStr">
        <is>
          <t>20260929</t>
        </is>
      </c>
      <c r="M9" s="93" t="inlineStr">
        <is>
          <t>채택</t>
        </is>
      </c>
      <c r="N9" s="93" t="inlineStr"/>
      <c r="O9" s="93" t="inlineStr">
        <is>
          <t>KEDI U.S. AI Value Chain 90% Participation + Daily Options P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11</v>
      </c>
      <c r="T9" s="74" t="n">
        <v>1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IFERROR(INDEX($A$4:$A$593,MATCH(6,$X$4:$X$593,0)),"")</f>
        <v/>
      </c>
    </row>
    <row r="10">
      <c r="A10" s="93" t="inlineStr">
        <is>
          <t>KODEX 금융고배당TOP10타겟위클리커버드콜</t>
        </is>
      </c>
      <c r="B10" s="93" t="inlineStr">
        <is>
          <t>498410</t>
        </is>
      </c>
      <c r="C10" s="93" t="inlineStr">
        <is>
          <t>삼성자산운용(ETF)</t>
        </is>
      </c>
      <c r="D10" s="94" t="n">
        <v>11260</v>
      </c>
      <c r="E10" s="94" t="n">
        <v>835492000000</v>
      </c>
      <c r="F10" s="94" t="n">
        <v>22340771322</v>
      </c>
      <c r="G10" s="74" t="n">
        <v>0.0039</v>
      </c>
      <c r="H10" s="74" t="n">
        <v>0.3247</v>
      </c>
      <c r="I10" s="74" t="n">
        <v>0.0123</v>
      </c>
      <c r="J10" s="74" t="n">
        <v>0.166075</v>
      </c>
      <c r="K10" s="94" t="n">
        <v>21</v>
      </c>
      <c r="L10" s="95" t="inlineStr">
        <is>
          <t>20260929</t>
        </is>
      </c>
      <c r="M10" s="93" t="inlineStr">
        <is>
          <t>채택</t>
        </is>
      </c>
      <c r="N10" s="93" t="inlineStr"/>
      <c r="O10" s="93" t="inlineStr">
        <is>
          <t>코스피 200 금융 고배당 TOP 10 타겟 15% 분배 위클리 커버드콜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11</v>
      </c>
      <c r="T10" s="74" t="n">
        <v>0.2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IFERROR(INDEX($A$4:$A$593,MATCH(7,$X$4:$X$593,0)),"")</f>
        <v/>
      </c>
    </row>
    <row r="11">
      <c r="A11" s="93" t="inlineStr">
        <is>
          <t>KODEX 테슬라커버드콜채권혼합액티브</t>
        </is>
      </c>
      <c r="B11" s="93" t="inlineStr">
        <is>
          <t>475080</t>
        </is>
      </c>
      <c r="C11" s="93" t="inlineStr">
        <is>
          <t>삼성자산운용(ETF)</t>
        </is>
      </c>
      <c r="D11" s="94" t="n">
        <v>7745</v>
      </c>
      <c r="E11" s="94" t="n">
        <v>281143500000</v>
      </c>
      <c r="F11" s="94" t="n">
        <v>1414109173</v>
      </c>
      <c r="G11" s="74" t="n">
        <v>0.0039</v>
      </c>
      <c r="H11" s="74" t="n">
        <v>0.1245</v>
      </c>
      <c r="I11" s="74" t="n">
        <v>0.0124</v>
      </c>
      <c r="J11" s="74" t="n">
        <v>0.164235</v>
      </c>
      <c r="K11" s="94" t="n">
        <v>32</v>
      </c>
      <c r="L11" s="95" t="inlineStr">
        <is>
          <t>20260929</t>
        </is>
      </c>
      <c r="M11" s="93" t="inlineStr">
        <is>
          <t>채택</t>
        </is>
      </c>
      <c r="N11" s="93" t="inlineStr"/>
      <c r="O11" s="93" t="inlineStr">
        <is>
          <t>KEDI Tesla Income Premium Balanced Index</t>
        </is>
      </c>
      <c r="P11" s="93" t="inlineStr">
        <is>
          <t>커버드콜</t>
        </is>
      </c>
      <c r="Q11" s="93" t="inlineStr">
        <is>
          <t>멀티에셋</t>
        </is>
      </c>
      <c r="R11" s="93" t="inlineStr">
        <is>
          <t>월배당</t>
        </is>
      </c>
      <c r="S11" s="94" t="n">
        <v>11</v>
      </c>
      <c r="T11" s="74" t="n">
        <v>0.4937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IFERROR(INDEX($A$4:$A$593,MATCH(8,$X$4:$X$593,0)),"")</f>
        <v/>
      </c>
    </row>
    <row r="12">
      <c r="A12" s="93" t="inlineStr">
        <is>
          <t>KODEX 미국S&amp;P500데일리커버드콜OTM</t>
        </is>
      </c>
      <c r="B12" s="93" t="inlineStr">
        <is>
          <t>0005A0</t>
        </is>
      </c>
      <c r="C12" s="93" t="inlineStr">
        <is>
          <t>삼성자산운용(ETF)</t>
        </is>
      </c>
      <c r="D12" s="94" t="n">
        <v>9115</v>
      </c>
      <c r="E12" s="94" t="n">
        <v>200530000000</v>
      </c>
      <c r="F12" s="94" t="n">
        <v>1966680434</v>
      </c>
      <c r="G12" s="74" t="n">
        <v>0.0025</v>
      </c>
      <c r="H12" s="74" t="n">
        <v>0.1481</v>
      </c>
      <c r="I12" s="74" t="n">
        <v>0.0128</v>
      </c>
      <c r="J12" s="74" t="n">
        <v>0.162479</v>
      </c>
      <c r="K12" s="94" t="n">
        <v>21</v>
      </c>
      <c r="L12" s="95" t="inlineStr">
        <is>
          <t>20260929</t>
        </is>
      </c>
      <c r="M12" s="93" t="inlineStr">
        <is>
          <t>채택</t>
        </is>
      </c>
      <c r="N12" s="93" t="inlineStr"/>
      <c r="O12" s="93" t="inlineStr">
        <is>
          <t>S&amp;P500 Covered Call 1% OTM Daily Index(TR)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11</v>
      </c>
      <c r="T12" s="74" t="n">
        <v>0.921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IFERROR(INDEX($A$4:$A$593,MATCH(9,$X$4:$X$593,0)),"")</f>
        <v/>
      </c>
    </row>
    <row r="13">
      <c r="A13" s="93" t="inlineStr">
        <is>
          <t>TIGER 미국AI빅테크10타겟데일리커버드콜</t>
        </is>
      </c>
      <c r="B13" s="93" t="inlineStr">
        <is>
          <t>493810</t>
        </is>
      </c>
      <c r="C13" s="93" t="inlineStr">
        <is>
          <t>미래에셋자산운용</t>
        </is>
      </c>
      <c r="D13" s="94" t="n">
        <v>11490</v>
      </c>
      <c r="E13" s="94" t="n">
        <v>242439000000</v>
      </c>
      <c r="F13" s="94" t="n">
        <v>1821096472</v>
      </c>
      <c r="G13" s="74" t="n">
        <v>0.0025</v>
      </c>
      <c r="H13" s="74" t="n">
        <v>0.2194</v>
      </c>
      <c r="I13" s="74" t="n">
        <v>0.0124</v>
      </c>
      <c r="J13" s="74" t="n">
        <v>0.15805</v>
      </c>
      <c r="K13" s="94" t="n">
        <v>23</v>
      </c>
      <c r="L13" s="95" t="inlineStr">
        <is>
          <t>20260914</t>
        </is>
      </c>
      <c r="M13" s="93" t="inlineStr">
        <is>
          <t>채택</t>
        </is>
      </c>
      <c r="N13" s="93" t="inlineStr"/>
      <c r="O13" s="93" t="inlineStr">
        <is>
          <t>KEDI US AI Big Tech 10+15% Daily Premium Index TR</t>
        </is>
      </c>
      <c r="P13" s="93" t="inlineStr">
        <is>
          <t>커버드콜</t>
        </is>
      </c>
      <c r="Q13" s="93" t="inlineStr">
        <is>
          <t>주식</t>
        </is>
      </c>
      <c r="R13" s="93" t="inlineStr">
        <is>
          <t>월배당</t>
        </is>
      </c>
      <c r="S13" s="94" t="n">
        <v>11</v>
      </c>
      <c r="T13" s="74" t="n">
        <v>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IFERROR(INDEX($A$4:$A$593,MATCH(10,$X$4:$X$593,0)),"")</f>
        <v/>
      </c>
    </row>
    <row r="14">
      <c r="A14" s="93" t="inlineStr">
        <is>
          <t>KODEX 미국AI테크TOP10타겟커버드콜</t>
        </is>
      </c>
      <c r="B14" s="93" t="inlineStr">
        <is>
          <t>483280</t>
        </is>
      </c>
      <c r="C14" s="93" t="inlineStr">
        <is>
          <t>삼성자산운용(ETF)</t>
        </is>
      </c>
      <c r="D14" s="94" t="n">
        <v>11870</v>
      </c>
      <c r="E14" s="94" t="n">
        <v>467678000000</v>
      </c>
      <c r="F14" s="94" t="n">
        <v>2796245497</v>
      </c>
      <c r="G14" s="74" t="n">
        <v>0.0039</v>
      </c>
      <c r="H14" s="74" t="n">
        <v>0.2465</v>
      </c>
      <c r="I14" s="74" t="n">
        <v>0.0126</v>
      </c>
      <c r="J14" s="74" t="n">
        <v>0.15476</v>
      </c>
      <c r="K14" s="94" t="n">
        <v>28</v>
      </c>
      <c r="L14" s="95" t="inlineStr">
        <is>
          <t>20260929</t>
        </is>
      </c>
      <c r="M14" s="93" t="inlineStr">
        <is>
          <t>채택</t>
        </is>
      </c>
      <c r="N14" s="93" t="inlineStr"/>
      <c r="O14" s="93" t="inlineStr">
        <is>
          <t>KEDI US AI Tech Top 10+15% Premium Index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11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IFERROR(INDEX($A$4:$A$593,MATCH(11,$X$4:$X$593,0)),"")</f>
        <v/>
      </c>
    </row>
    <row r="15">
      <c r="A15" s="93" t="inlineStr">
        <is>
          <t>TIGER 미국나스닥100타겟데일리커버드콜</t>
        </is>
      </c>
      <c r="B15" s="93" t="inlineStr">
        <is>
          <t>486290</t>
        </is>
      </c>
      <c r="C15" s="93" t="inlineStr">
        <is>
          <t>미래에셋자산운용</t>
        </is>
      </c>
      <c r="D15" s="94" t="n">
        <v>10625</v>
      </c>
      <c r="E15" s="94" t="n">
        <v>2657312500000</v>
      </c>
      <c r="F15" s="94" t="n">
        <v>29260944654</v>
      </c>
      <c r="G15" s="74" t="n">
        <v>0.0025</v>
      </c>
      <c r="H15" s="74" t="n">
        <v>0.2078</v>
      </c>
      <c r="I15" s="74" t="n">
        <v>0.0126</v>
      </c>
      <c r="J15" s="74" t="n">
        <v>0.154541</v>
      </c>
      <c r="K15" s="94" t="n">
        <v>27</v>
      </c>
      <c r="L15" s="95" t="inlineStr">
        <is>
          <t>20260929</t>
        </is>
      </c>
      <c r="M15" s="93" t="inlineStr">
        <is>
          <t>채택</t>
        </is>
      </c>
      <c r="N15" s="93" t="inlineStr"/>
      <c r="O15" s="93" t="inlineStr">
        <is>
          <t>NASDAQ 100 Daily Covered Call Target Premium 15% Index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IFERROR(INDEX($A$4:$A$593,MATCH(12,$X$4:$X$593,0)),"")</f>
        <v/>
      </c>
    </row>
    <row r="16">
      <c r="A16" s="93" t="inlineStr">
        <is>
          <t>TIGER 미국30년국채커버드콜액티브(H)</t>
        </is>
      </c>
      <c r="B16" s="93" t="inlineStr">
        <is>
          <t>476550</t>
        </is>
      </c>
      <c r="C16" s="93" t="inlineStr">
        <is>
          <t>미래에셋자산운용</t>
        </is>
      </c>
      <c r="D16" s="94" t="n">
        <v>6375</v>
      </c>
      <c r="E16" s="94" t="n">
        <v>739818750000</v>
      </c>
      <c r="F16" s="94" t="n">
        <v>7872591199</v>
      </c>
      <c r="G16" s="74" t="n">
        <v>0.0039</v>
      </c>
      <c r="H16" s="74" t="n">
        <v>0.0892</v>
      </c>
      <c r="I16" s="74" t="n">
        <v>0.0101</v>
      </c>
      <c r="J16" s="74" t="n">
        <v>0.139922</v>
      </c>
      <c r="K16" s="94" t="n">
        <v>31</v>
      </c>
      <c r="L16" s="95" t="inlineStr">
        <is>
          <t>20260929</t>
        </is>
      </c>
      <c r="M16" s="93" t="inlineStr">
        <is>
          <t>채택</t>
        </is>
      </c>
      <c r="N16" s="93" t="inlineStr"/>
      <c r="O16" s="93" t="inlineStr">
        <is>
          <t>KEDI US Treasury 30Y Weekly Covered Call 30 Index</t>
        </is>
      </c>
      <c r="P16" s="93" t="inlineStr">
        <is>
          <t>커버드콜</t>
        </is>
      </c>
      <c r="Q16" s="93" t="inlineStr">
        <is>
          <t>채권</t>
        </is>
      </c>
      <c r="R16" s="93" t="inlineStr">
        <is>
          <t>월배당</t>
        </is>
      </c>
      <c r="S16" s="94" t="n">
        <v>11</v>
      </c>
      <c r="T16" s="74" t="n">
        <v>0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IFERROR(INDEX($A$4:$A$593,MATCH(13,$X$4:$X$593,0)),"")</f>
        <v/>
      </c>
    </row>
    <row r="17">
      <c r="A17" s="93" t="inlineStr">
        <is>
          <t>SOL 미국30년국채커버드콜(합성)</t>
        </is>
      </c>
      <c r="B17" s="93" t="inlineStr">
        <is>
          <t>473330</t>
        </is>
      </c>
      <c r="C17" s="93" t="inlineStr">
        <is>
          <t>신한자산운용</t>
        </is>
      </c>
      <c r="D17" s="94" t="n">
        <v>7445</v>
      </c>
      <c r="E17" s="94" t="n">
        <v>268764500000</v>
      </c>
      <c r="F17" s="94" t="n">
        <v>2154607490</v>
      </c>
      <c r="G17" s="74" t="n">
        <v>0.0025</v>
      </c>
      <c r="H17" s="74" t="n">
        <v>0.1363</v>
      </c>
      <c r="I17" s="74" t="n">
        <v>0.007900000000000001</v>
      </c>
      <c r="J17" s="74" t="n">
        <v>0.133244</v>
      </c>
      <c r="K17" s="94" t="n">
        <v>33</v>
      </c>
      <c r="L17" s="95" t="inlineStr">
        <is>
          <t>20260929</t>
        </is>
      </c>
      <c r="M17" s="93" t="inlineStr">
        <is>
          <t>채택</t>
        </is>
      </c>
      <c r="N17" s="93" t="inlineStr"/>
      <c r="O17" s="93" t="inlineStr">
        <is>
          <t>KEDI US Treasury 20Y+ 2% OTM BuyWrite Index</t>
        </is>
      </c>
      <c r="P17" s="93" t="inlineStr">
        <is>
          <t>커버드콜</t>
        </is>
      </c>
      <c r="Q17" s="93" t="inlineStr">
        <is>
          <t>채권</t>
        </is>
      </c>
      <c r="R17" s="93" t="inlineStr">
        <is>
          <t>월배당</t>
        </is>
      </c>
      <c r="S17" s="94" t="n">
        <v>11</v>
      </c>
      <c r="T17" s="74" t="n">
        <v>0.749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IFERROR(INDEX($A$4:$A$593,MATCH(14,$X$4:$X$593,0)),"")</f>
        <v/>
      </c>
    </row>
    <row r="18">
      <c r="A18" s="93" t="inlineStr">
        <is>
          <t>KODEX 미국배당다우존스타겟커버드콜</t>
        </is>
      </c>
      <c r="B18" s="93" t="inlineStr">
        <is>
          <t>483290</t>
        </is>
      </c>
      <c r="C18" s="93" t="inlineStr">
        <is>
          <t>삼성자산운용(ETF)</t>
        </is>
      </c>
      <c r="D18" s="94" t="n">
        <v>9595</v>
      </c>
      <c r="E18" s="94" t="n">
        <v>168872000000</v>
      </c>
      <c r="F18" s="94" t="n">
        <v>2243972553</v>
      </c>
      <c r="G18" s="74" t="n">
        <v>0.0039</v>
      </c>
      <c r="H18" s="74" t="n">
        <v>0.157</v>
      </c>
      <c r="I18" s="74" t="n">
        <v>0.01</v>
      </c>
      <c r="J18" s="74" t="n">
        <v>0.130797</v>
      </c>
      <c r="K18" s="94" t="n">
        <v>28</v>
      </c>
      <c r="L18" s="95" t="inlineStr">
        <is>
          <t>20260929</t>
        </is>
      </c>
      <c r="M18" s="93" t="inlineStr">
        <is>
          <t>채택</t>
        </is>
      </c>
      <c r="N18" s="93" t="inlineStr"/>
      <c r="O18" s="93" t="inlineStr">
        <is>
          <t>Dow Jones US Dividend 100 10% Premium Covered Call Index(PR)</t>
        </is>
      </c>
      <c r="P18" s="93" t="inlineStr">
        <is>
          <t>커버드콜</t>
        </is>
      </c>
      <c r="Q18" s="93" t="inlineStr">
        <is>
          <t>주식</t>
        </is>
      </c>
      <c r="R18" s="93" t="inlineStr">
        <is>
          <t>월배당</t>
        </is>
      </c>
      <c r="S18" s="94" t="n">
        <v>11</v>
      </c>
      <c r="T18" s="74" t="n">
        <v>0.9267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IFERROR(INDEX($A$4:$A$593,MATCH(15,$X$4:$X$593,0)),"")</f>
        <v/>
      </c>
    </row>
    <row r="19">
      <c r="A19" s="93" t="inlineStr">
        <is>
          <t>TIGER 미국나스닥100커버드콜(합성)</t>
        </is>
      </c>
      <c r="B19" s="93" t="inlineStr">
        <is>
          <t>441680</t>
        </is>
      </c>
      <c r="C19" s="93" t="inlineStr">
        <is>
          <t>미래에셋자산운용</t>
        </is>
      </c>
      <c r="D19" s="94" t="n">
        <v>10790</v>
      </c>
      <c r="E19" s="94" t="n">
        <v>284316500000</v>
      </c>
      <c r="F19" s="94" t="n">
        <v>920958304</v>
      </c>
      <c r="G19" s="74" t="n">
        <v>0.0037</v>
      </c>
      <c r="H19" s="74" t="n">
        <v>0.1471</v>
      </c>
      <c r="I19" s="74" t="n">
        <v>0.01</v>
      </c>
      <c r="J19" s="74" t="n">
        <v>0.124652</v>
      </c>
      <c r="K19" s="94" t="n">
        <v>48</v>
      </c>
      <c r="L19" s="95" t="inlineStr">
        <is>
          <t>20260929</t>
        </is>
      </c>
      <c r="M19" s="93" t="inlineStr">
        <is>
          <t>채택</t>
        </is>
      </c>
      <c r="N19" s="93" t="inlineStr"/>
      <c r="O19" s="93" t="inlineStr">
        <is>
          <t>Cboe NASDAQ-100 BuyWrite V2 Index</t>
        </is>
      </c>
      <c r="P19" s="93" t="inlineStr">
        <is>
          <t>커버드콜</t>
        </is>
      </c>
      <c r="Q19" s="93" t="inlineStr">
        <is>
          <t>주식</t>
        </is>
      </c>
      <c r="R19" s="93" t="inlineStr">
        <is>
          <t>월배당</t>
        </is>
      </c>
      <c r="S19" s="94" t="n">
        <v>11</v>
      </c>
      <c r="T19" s="74" t="n">
        <v>1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IFERROR(INDEX($A$4:$A$593,MATCH(16,$X$4:$X$593,0)),"")</f>
        <v/>
      </c>
    </row>
    <row r="20">
      <c r="A20" s="93" t="inlineStr">
        <is>
          <t>TIGER 미국배당다우존스타겟커버드콜2호</t>
        </is>
      </c>
      <c r="B20" s="93" t="inlineStr">
        <is>
          <t>458760</t>
        </is>
      </c>
      <c r="C20" s="93" t="inlineStr">
        <is>
          <t>미래에셋자산운용</t>
        </is>
      </c>
      <c r="D20" s="94" t="n">
        <v>10250</v>
      </c>
      <c r="E20" s="94" t="n">
        <v>659587500000</v>
      </c>
      <c r="F20" s="94" t="n">
        <v>3295107221</v>
      </c>
      <c r="G20" s="74" t="n">
        <v>0.0039</v>
      </c>
      <c r="H20" s="74" t="n">
        <v>0.1502</v>
      </c>
      <c r="I20" s="74" t="n">
        <v>0.0086</v>
      </c>
      <c r="J20" s="74" t="n">
        <v>0.106634</v>
      </c>
      <c r="K20" s="94" t="n">
        <v>39</v>
      </c>
      <c r="L20" s="95" t="inlineStr">
        <is>
          <t>20260929</t>
        </is>
      </c>
      <c r="M20" s="93" t="inlineStr">
        <is>
          <t>채택</t>
        </is>
      </c>
      <c r="N20" s="93" t="inlineStr"/>
      <c r="O20" s="93" t="inlineStr">
        <is>
          <t>Dow Jones U.S. Dividend 100 7% Premium Covered Call Index</t>
        </is>
      </c>
      <c r="P20" s="93" t="inlineStr">
        <is>
          <t>커버드콜</t>
        </is>
      </c>
      <c r="Q20" s="93" t="inlineStr">
        <is>
          <t>주식</t>
        </is>
      </c>
      <c r="R20" s="93" t="inlineStr">
        <is>
          <t>월배당</t>
        </is>
      </c>
      <c r="S20" s="94" t="n">
        <v>11</v>
      </c>
      <c r="T20" s="74" t="n">
        <v>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IFERROR(INDEX($A$4:$A$593,MATCH(17,$X$4:$X$593,0)),"")</f>
        <v/>
      </c>
    </row>
    <row r="21">
      <c r="A21" s="93" t="inlineStr">
        <is>
          <t>TIGER 미국S&amp;P500타겟데일리커버드콜</t>
        </is>
      </c>
      <c r="B21" s="93" t="inlineStr">
        <is>
          <t>482730</t>
        </is>
      </c>
      <c r="C21" s="93" t="inlineStr">
        <is>
          <t>미래에셋자산운용</t>
        </is>
      </c>
      <c r="D21" s="94" t="n">
        <v>11520</v>
      </c>
      <c r="E21" s="94" t="n">
        <v>672768000000</v>
      </c>
      <c r="F21" s="94" t="n">
        <v>4855891622</v>
      </c>
      <c r="G21" s="74" t="n">
        <v>0.0025</v>
      </c>
      <c r="H21" s="74" t="n">
        <v>0.1487</v>
      </c>
      <c r="I21" s="74" t="n">
        <v>0.01</v>
      </c>
      <c r="J21" s="74" t="n">
        <v>0.106337</v>
      </c>
      <c r="K21" s="94" t="n">
        <v>28</v>
      </c>
      <c r="L21" s="95" t="inlineStr">
        <is>
          <t>20260914</t>
        </is>
      </c>
      <c r="M21" s="93" t="inlineStr">
        <is>
          <t>채택</t>
        </is>
      </c>
      <c r="N21" s="93" t="inlineStr"/>
      <c r="O21" s="93" t="inlineStr">
        <is>
          <t>S&amp;P 500 10% Daily Premium Covered Call Index (USD) PR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11</v>
      </c>
      <c r="T21" s="74" t="n">
        <v>1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IFERROR(INDEX($A$4:$A$593,MATCH(18,$X$4:$X$593,0)),"")</f>
        <v/>
      </c>
    </row>
    <row r="22">
      <c r="A22" s="93" t="inlineStr">
        <is>
          <t>TIGER 미국테크TOP10타겟커버드콜</t>
        </is>
      </c>
      <c r="B22" s="93" t="inlineStr">
        <is>
          <t>474220</t>
        </is>
      </c>
      <c r="C22" s="93" t="inlineStr">
        <is>
          <t>미래에셋자산운용</t>
        </is>
      </c>
      <c r="D22" s="94" t="n">
        <v>15130</v>
      </c>
      <c r="E22" s="94" t="n">
        <v>425909500000</v>
      </c>
      <c r="F22" s="94" t="n">
        <v>1644052326</v>
      </c>
      <c r="G22" s="74" t="n">
        <v>0.005</v>
      </c>
      <c r="H22" s="74" t="n">
        <v>0.1952</v>
      </c>
      <c r="I22" s="74" t="n">
        <v>0.0083</v>
      </c>
      <c r="J22" s="74" t="n">
        <v>0.103635</v>
      </c>
      <c r="K22" s="94" t="n">
        <v>32</v>
      </c>
      <c r="L22" s="95" t="inlineStr">
        <is>
          <t>20260914</t>
        </is>
      </c>
      <c r="M22" s="93" t="inlineStr">
        <is>
          <t>채택</t>
        </is>
      </c>
      <c r="N22" s="93" t="inlineStr"/>
      <c r="O22" s="93" t="inlineStr">
        <is>
          <t>Bloomberg U.S. Tech Top10 + 10% Premium Covered Call Index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11</v>
      </c>
      <c r="T22" s="74" t="n">
        <v>1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IFERROR(INDEX($A$4:$A$593,MATCH(19,$X$4:$X$593,0)),"")</f>
        <v/>
      </c>
    </row>
    <row r="23">
      <c r="A23" s="93" t="inlineStr">
        <is>
          <t>TIGER 리츠부동산인프라</t>
        </is>
      </c>
      <c r="B23" s="93" t="inlineStr">
        <is>
          <t>329200</t>
        </is>
      </c>
      <c r="C23" s="93" t="inlineStr">
        <is>
          <t>미래에셋자산운용</t>
        </is>
      </c>
      <c r="D23" s="94" t="n">
        <v>4035</v>
      </c>
      <c r="E23" s="94" t="n">
        <v>1572641250000</v>
      </c>
      <c r="F23" s="94" t="n">
        <v>12041732551</v>
      </c>
      <c r="G23" s="74" t="n">
        <v>0.0008</v>
      </c>
      <c r="H23" s="74" t="n">
        <v>0.177</v>
      </c>
      <c r="I23" s="74" t="n">
        <v>0.008100000000000001</v>
      </c>
      <c r="J23" s="74" t="n">
        <v>0.09814099999999999</v>
      </c>
      <c r="K23" s="94" t="n">
        <v>52</v>
      </c>
      <c r="L23" s="95" t="inlineStr">
        <is>
          <t>20260929</t>
        </is>
      </c>
      <c r="M23" s="93" t="inlineStr">
        <is>
          <t>채택</t>
        </is>
      </c>
      <c r="N23" s="93" t="inlineStr"/>
      <c r="O23" s="93" t="inlineStr">
        <is>
          <t>FnGuide 리츠부동산인프라</t>
        </is>
      </c>
      <c r="P23" s="93" t="inlineStr">
        <is>
          <t>일반</t>
        </is>
      </c>
      <c r="Q23" s="93" t="inlineStr">
        <is>
          <t>부동산</t>
        </is>
      </c>
      <c r="R23" s="93" t="inlineStr">
        <is>
          <t>월배당</t>
        </is>
      </c>
      <c r="S23" s="94" t="n">
        <v>11</v>
      </c>
      <c r="T23" s="74" t="n">
        <v>1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IFERROR(INDEX($A$4:$A$593,MATCH(20,$X$4:$X$593,0)),"")</f>
        <v/>
      </c>
    </row>
    <row r="24">
      <c r="A24" s="93" t="inlineStr">
        <is>
          <t>KODEX 한국부동산리츠인프라</t>
        </is>
      </c>
      <c r="B24" s="93" t="inlineStr">
        <is>
          <t>476800</t>
        </is>
      </c>
      <c r="C24" s="93" t="inlineStr">
        <is>
          <t>삼성자산운용(ETF)</t>
        </is>
      </c>
      <c r="D24" s="94" t="n">
        <v>4180</v>
      </c>
      <c r="E24" s="94" t="n">
        <v>484671000000</v>
      </c>
      <c r="F24" s="94" t="n">
        <v>2313259556</v>
      </c>
      <c r="G24" s="74" t="n">
        <v>0.0009</v>
      </c>
      <c r="H24" s="74" t="n">
        <v>0.1487</v>
      </c>
      <c r="I24" s="74" t="n">
        <v>0.0141</v>
      </c>
      <c r="J24" s="74" t="n">
        <v>0.092584</v>
      </c>
      <c r="K24" s="94" t="n">
        <v>30</v>
      </c>
      <c r="L24" s="95" t="inlineStr">
        <is>
          <t>20260914</t>
        </is>
      </c>
      <c r="M24" s="93" t="inlineStr">
        <is>
          <t>채택</t>
        </is>
      </c>
      <c r="N24" s="93" t="inlineStr"/>
      <c r="O24" s="93" t="inlineStr">
        <is>
          <t>KRX 부동산리츠인프라 지수</t>
        </is>
      </c>
      <c r="P24" s="93" t="inlineStr">
        <is>
          <t>일반</t>
        </is>
      </c>
      <c r="Q24" s="93" t="inlineStr">
        <is>
          <t>부동산</t>
        </is>
      </c>
      <c r="R24" s="93" t="inlineStr">
        <is>
          <t>월배당</t>
        </is>
      </c>
      <c r="S24" s="94" t="n">
        <v>11</v>
      </c>
      <c r="T24" s="74" t="n">
        <v>0.9121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IFERROR(INDEX($A$4:$A$593,MATCH(21,$X$4:$X$593,0)),"")</f>
        <v/>
      </c>
    </row>
    <row r="25">
      <c r="A25" s="93" t="inlineStr">
        <is>
          <t>ACE 글로벌인컴TOP10</t>
        </is>
      </c>
      <c r="B25" s="93" t="inlineStr">
        <is>
          <t>460960</t>
        </is>
      </c>
      <c r="C25" s="93" t="inlineStr">
        <is>
          <t>한국투신운용(ETF)</t>
        </is>
      </c>
      <c r="D25" s="94" t="n">
        <v>10455</v>
      </c>
      <c r="E25" s="94" t="n">
        <v>82594500000</v>
      </c>
      <c r="F25" s="94" t="n">
        <v>852155341</v>
      </c>
      <c r="G25" s="74" t="n">
        <v>0.0024</v>
      </c>
      <c r="H25" s="74" t="n">
        <v>0.1116</v>
      </c>
      <c r="I25" s="74" t="n">
        <v>0.0061</v>
      </c>
      <c r="J25" s="74" t="n">
        <v>0.081875</v>
      </c>
      <c r="K25" s="94" t="n">
        <v>38</v>
      </c>
      <c r="L25" s="95" t="inlineStr">
        <is>
          <t>20260929</t>
        </is>
      </c>
      <c r="M25" s="93" t="inlineStr">
        <is>
          <t>채택</t>
        </is>
      </c>
      <c r="N25" s="93" t="inlineStr"/>
      <c r="O25" s="93" t="inlineStr">
        <is>
          <t>Solactive Global Superior Income TOP 10 Index PR</t>
        </is>
      </c>
      <c r="P25" s="93" t="inlineStr">
        <is>
          <t>일반</t>
        </is>
      </c>
      <c r="Q25" s="93" t="inlineStr">
        <is>
          <t>멀티에셋</t>
        </is>
      </c>
      <c r="R25" s="93" t="inlineStr">
        <is>
          <t>월배당</t>
        </is>
      </c>
      <c r="S25" s="94" t="n">
        <v>11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IFERROR(INDEX($A$4:$A$593,MATCH(22,$X$4:$X$593,0)),"")</f>
        <v/>
      </c>
    </row>
    <row r="26">
      <c r="A26" s="93" t="inlineStr">
        <is>
          <t>KODEX iShares미국하이일드액티브</t>
        </is>
      </c>
      <c r="B26" s="93" t="inlineStr">
        <is>
          <t>468380</t>
        </is>
      </c>
      <c r="C26" s="93" t="inlineStr">
        <is>
          <t>삼성자산운용(ETF)</t>
        </is>
      </c>
      <c r="D26" s="94" t="n">
        <v>10415</v>
      </c>
      <c r="E26" s="94" t="n">
        <v>87902600000</v>
      </c>
      <c r="F26" s="94" t="n">
        <v>762135135</v>
      </c>
      <c r="G26" s="74" t="n">
        <v>0.0015</v>
      </c>
      <c r="H26" s="74" t="n">
        <v>0.1018</v>
      </c>
      <c r="I26" s="74" t="n">
        <v>0.005699999999999999</v>
      </c>
      <c r="J26" s="74" t="n">
        <v>0.07431600000000001</v>
      </c>
      <c r="K26" s="94" t="n">
        <v>35</v>
      </c>
      <c r="L26" s="95" t="inlineStr">
        <is>
          <t>20260929</t>
        </is>
      </c>
      <c r="M26" s="93" t="inlineStr">
        <is>
          <t>채택</t>
        </is>
      </c>
      <c r="N26" s="93" t="inlineStr"/>
      <c r="O26" s="93" t="inlineStr">
        <is>
          <t>ICE BofAML US HY Constrained Index</t>
        </is>
      </c>
      <c r="P26" s="93" t="inlineStr">
        <is>
          <t>일반</t>
        </is>
      </c>
      <c r="Q26" s="93" t="inlineStr">
        <is>
          <t>채권</t>
        </is>
      </c>
      <c r="R26" s="93" t="inlineStr">
        <is>
          <t>월배당</t>
        </is>
      </c>
      <c r="S26" s="94" t="n">
        <v>11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IFERROR(INDEX($A$4:$A$593,MATCH(23,$X$4:$X$593,0)),"")</f>
        <v/>
      </c>
    </row>
    <row r="27">
      <c r="A27" s="93" t="inlineStr">
        <is>
          <t>SOL 코리아고배당</t>
        </is>
      </c>
      <c r="B27" s="93" t="inlineStr">
        <is>
          <t>0105E0</t>
        </is>
      </c>
      <c r="C27" s="93" t="inlineStr">
        <is>
          <t>신한자산운용</t>
        </is>
      </c>
      <c r="D27" s="94" t="n">
        <v>12570</v>
      </c>
      <c r="E27" s="94" t="n">
        <v>522912000000</v>
      </c>
      <c r="F27" s="94" t="n">
        <v>6629731905</v>
      </c>
      <c r="G27" s="74" t="n">
        <v>0.0015</v>
      </c>
      <c r="H27" s="74" t="n">
        <v>0.3049</v>
      </c>
      <c r="I27" s="74" t="n">
        <v>0.0046</v>
      </c>
      <c r="J27" s="74" t="n">
        <v>0.05537</v>
      </c>
      <c r="K27" s="94" t="n">
        <v>11</v>
      </c>
      <c r="L27" s="95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FnGuide 코리아 고배당 지수</t>
        </is>
      </c>
      <c r="P27" s="93" t="inlineStr">
        <is>
          <t>일반</t>
        </is>
      </c>
      <c r="Q27" s="93" t="inlineStr">
        <is>
          <t>주식</t>
        </is>
      </c>
      <c r="R27" s="93" t="inlineStr">
        <is>
          <t>월배당</t>
        </is>
      </c>
      <c r="S27" s="94" t="n">
        <v>11</v>
      </c>
      <c r="T27" s="74" t="n">
        <v>0.6078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IFERROR(INDEX($A$4:$A$593,MATCH(24,$X$4:$X$593,0)),"")</f>
        <v/>
      </c>
    </row>
    <row r="28">
      <c r="A28" s="93" t="inlineStr">
        <is>
          <t>KODEX 미국30년국채액티브(H)</t>
        </is>
      </c>
      <c r="B28" s="93" t="inlineStr">
        <is>
          <t>484790</t>
        </is>
      </c>
      <c r="C28" s="93" t="inlineStr">
        <is>
          <t>삼성자산운용(ETF)</t>
        </is>
      </c>
      <c r="D28" s="94" t="n">
        <v>7795</v>
      </c>
      <c r="E28" s="94" t="n">
        <v>568489350000</v>
      </c>
      <c r="F28" s="94" t="n">
        <v>4453573971</v>
      </c>
      <c r="G28" s="74" t="n">
        <v>0.00015</v>
      </c>
      <c r="H28" s="74" t="n">
        <v>0.091</v>
      </c>
      <c r="I28" s="74" t="n">
        <v>0.0044</v>
      </c>
      <c r="J28" s="74" t="n">
        <v>0.055035</v>
      </c>
      <c r="K28" s="94" t="n">
        <v>27</v>
      </c>
      <c r="L28" s="95" t="inlineStr">
        <is>
          <t>20260929</t>
        </is>
      </c>
      <c r="M28" s="93" t="inlineStr">
        <is>
          <t>채택</t>
        </is>
      </c>
      <c r="N28" s="93" t="inlineStr"/>
      <c r="O28" s="93" t="inlineStr">
        <is>
          <t>KEDI-KAP 미 국채 20년+ 지수(TR)</t>
        </is>
      </c>
      <c r="P28" s="93" t="inlineStr">
        <is>
          <t>일반</t>
        </is>
      </c>
      <c r="Q28" s="93" t="inlineStr">
        <is>
          <t>채권</t>
        </is>
      </c>
      <c r="R28" s="93" t="inlineStr">
        <is>
          <t>월배당</t>
        </is>
      </c>
      <c r="S28" s="94" t="n">
        <v>11</v>
      </c>
      <c r="T28" s="74" t="n">
        <v>0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IFERROR(INDEX($A$4:$A$593,MATCH(25,$X$4:$X$593,0)),"")</f>
        <v/>
      </c>
    </row>
    <row r="29">
      <c r="A29" s="93" t="inlineStr">
        <is>
          <t>PLUS 자사주매입고배당주</t>
        </is>
      </c>
      <c r="B29" s="93" t="inlineStr">
        <is>
          <t>0098N0</t>
        </is>
      </c>
      <c r="C29" s="93" t="inlineStr">
        <is>
          <t>한화자산운용</t>
        </is>
      </c>
      <c r="D29" s="94" t="n">
        <v>12705</v>
      </c>
      <c r="E29" s="94" t="n">
        <v>76865250000</v>
      </c>
      <c r="F29" s="94" t="n">
        <v>817446418</v>
      </c>
      <c r="G29" s="74" t="n">
        <v>0.003</v>
      </c>
      <c r="H29" s="74" t="n">
        <v>0.2814</v>
      </c>
      <c r="I29" s="74" t="n">
        <v>0.0053</v>
      </c>
      <c r="J29" s="74" t="n">
        <v>0.050767</v>
      </c>
      <c r="K29" s="94" t="n">
        <v>12</v>
      </c>
      <c r="L29" s="95" t="inlineStr">
        <is>
          <t>20260914</t>
        </is>
      </c>
      <c r="M29" s="93" t="inlineStr">
        <is>
          <t>채택</t>
        </is>
      </c>
      <c r="N29" s="93" t="inlineStr"/>
      <c r="O29" s="93" t="inlineStr">
        <is>
          <t>FnGuide 고배당주 플러스 자사주 지수</t>
        </is>
      </c>
      <c r="P29" s="93" t="inlineStr">
        <is>
          <t>일반</t>
        </is>
      </c>
      <c r="Q29" s="93" t="inlineStr">
        <is>
          <t>주식</t>
        </is>
      </c>
      <c r="R29" s="93" t="inlineStr">
        <is>
          <t>월배당</t>
        </is>
      </c>
      <c r="S29" s="94" t="n">
        <v>11</v>
      </c>
      <c r="T29" s="74" t="n">
        <v>0.6636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IFERROR(INDEX($A$4:$A$593,MATCH(26,$X$4:$X$593,0)),"")</f>
        <v/>
      </c>
    </row>
    <row r="30">
      <c r="A30" s="93" t="inlineStr">
        <is>
          <t>ACE 미국30년국채액티브</t>
        </is>
      </c>
      <c r="B30" s="93" t="inlineStr">
        <is>
          <t>476760</t>
        </is>
      </c>
      <c r="C30" s="93" t="inlineStr">
        <is>
          <t>한국투자신탁운용</t>
        </is>
      </c>
      <c r="D30" s="94" t="n">
        <v>8300</v>
      </c>
      <c r="E30" s="94" t="n">
        <v>372670000000</v>
      </c>
      <c r="F30" s="94" t="n">
        <v>4936666447</v>
      </c>
      <c r="G30" s="74" t="n">
        <v>0.0005</v>
      </c>
      <c r="H30" s="74" t="n">
        <v>0.1331</v>
      </c>
      <c r="I30" s="74" t="n">
        <v>0.0038</v>
      </c>
      <c r="J30" s="74" t="n">
        <v>0.047952</v>
      </c>
      <c r="K30" s="94" t="n">
        <v>30</v>
      </c>
      <c r="L30" s="95" t="inlineStr">
        <is>
          <t>20260929</t>
        </is>
      </c>
      <c r="M30" s="93" t="inlineStr">
        <is>
          <t>채택</t>
        </is>
      </c>
      <c r="N30" s="93" t="inlineStr"/>
      <c r="O30" s="93" t="inlineStr">
        <is>
          <t>Bloomberg US Treasury 20+ Year Total Return Index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 s="74" t="n">
        <v>0.6734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IFERROR(INDEX($A$4:$A$593,MATCH(27,$X$4:$X$593,0)),"")</f>
        <v/>
      </c>
    </row>
    <row r="31">
      <c r="A31" s="93" t="inlineStr">
        <is>
          <t>RISE KIS국고채30년Enhanced</t>
        </is>
      </c>
      <c r="B31" s="93" t="inlineStr">
        <is>
          <t>385560</t>
        </is>
      </c>
      <c r="C31" s="93" t="inlineStr">
        <is>
          <t>KB자산운용</t>
        </is>
      </c>
      <c r="D31" s="94" t="n">
        <v>51110</v>
      </c>
      <c r="E31" s="94" t="n">
        <v>422219710000</v>
      </c>
      <c r="F31" s="94" t="n">
        <v>1874183456</v>
      </c>
      <c r="G31" s="74" t="n">
        <v>0.0005</v>
      </c>
      <c r="H31" s="74" t="n">
        <v>0.1778</v>
      </c>
      <c r="I31" s="74" t="n">
        <v>0.0224</v>
      </c>
      <c r="J31" s="74" t="n">
        <v>0.047525</v>
      </c>
      <c r="K31" s="94" t="n">
        <v>10</v>
      </c>
      <c r="L31" s="95" t="inlineStr">
        <is>
          <t>20260908</t>
        </is>
      </c>
      <c r="M31" s="93" t="inlineStr">
        <is>
          <t>채택</t>
        </is>
      </c>
      <c r="N31" s="93" t="inlineStr"/>
      <c r="O31" s="93" t="inlineStr">
        <is>
          <t>KIS 국고채30년 Enhanced 지수(시장가격지수)</t>
        </is>
      </c>
      <c r="P31" s="93" t="inlineStr">
        <is>
          <t>일반</t>
        </is>
      </c>
      <c r="Q31" s="93" t="inlineStr">
        <is>
          <t>채권</t>
        </is>
      </c>
      <c r="R31" s="93" t="inlineStr">
        <is>
          <t>반기배당</t>
        </is>
      </c>
      <c r="S31" s="94" t="n">
        <v>2</v>
      </c>
      <c r="T31" s="74" t="n">
        <v>0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IFERROR(INDEX($A$4:$A$593,MATCH(28,$X$4:$X$593,0)),"")</f>
        <v/>
      </c>
    </row>
    <row r="32">
      <c r="A32" s="93" t="inlineStr">
        <is>
          <t>KODEX 미국종합채권ESG액티브(H)</t>
        </is>
      </c>
      <c r="B32" s="93" t="inlineStr">
        <is>
          <t>437080</t>
        </is>
      </c>
      <c r="C32" s="93" t="inlineStr">
        <is>
          <t>삼성자산운용(ETF)</t>
        </is>
      </c>
      <c r="D32" s="94" t="n">
        <v>94025</v>
      </c>
      <c r="E32" s="94" t="n">
        <v>218514100000</v>
      </c>
      <c r="F32" s="94" t="n">
        <v>584320346</v>
      </c>
      <c r="G32" s="74" t="n">
        <v>0.0018</v>
      </c>
      <c r="H32" s="74" t="n">
        <v>0.0393</v>
      </c>
      <c r="I32" s="74" t="n">
        <v>0.0042</v>
      </c>
      <c r="J32" s="74" t="n">
        <v>0.047477</v>
      </c>
      <c r="K32" s="94" t="n">
        <v>20</v>
      </c>
      <c r="L32" s="95" t="inlineStr">
        <is>
          <t>20260929</t>
        </is>
      </c>
      <c r="M32" s="93" t="inlineStr">
        <is>
          <t>채택</t>
        </is>
      </c>
      <c r="N32" s="93" t="inlineStr"/>
      <c r="O32" s="93" t="inlineStr">
        <is>
          <t>Bloomberg MSCI US Aggregate 2BN ex Securitized SRI Capped In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월배당</t>
        </is>
      </c>
      <c r="S32" s="94" t="n">
        <v>11</v>
      </c>
      <c r="T32" s="74" t="n">
        <v>0.5087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IFERROR(INDEX($A$4:$A$593,MATCH(29,$X$4:$X$593,0)),"")</f>
        <v/>
      </c>
    </row>
    <row r="33">
      <c r="A33" s="93" t="inlineStr">
        <is>
          <t>KODEX 미국머니마켓액티브</t>
        </is>
      </c>
      <c r="B33" s="93" t="inlineStr">
        <is>
          <t>0048J0</t>
        </is>
      </c>
      <c r="C33" s="93" t="inlineStr">
        <is>
          <t>삼성자산운용(ETF)</t>
        </is>
      </c>
      <c r="D33" s="94" t="n">
        <v>13515</v>
      </c>
      <c r="E33" s="94" t="n">
        <v>918952425000</v>
      </c>
      <c r="F33" s="94" t="n">
        <v>8219225012</v>
      </c>
      <c r="G33" s="74" t="n">
        <v>0.0005</v>
      </c>
      <c r="H33" s="74" t="n">
        <v>0.1058</v>
      </c>
      <c r="I33" s="74" t="n">
        <v>0.004500000000000001</v>
      </c>
      <c r="J33" s="74" t="n">
        <v>0.047281</v>
      </c>
      <c r="K33" s="94" t="n">
        <v>16</v>
      </c>
      <c r="L33" s="95" t="inlineStr">
        <is>
          <t>20260929</t>
        </is>
      </c>
      <c r="M33" s="93" t="inlineStr">
        <is>
          <t>채택</t>
        </is>
      </c>
      <c r="N33" s="93" t="inlineStr"/>
      <c r="O33" s="93" t="inlineStr">
        <is>
          <t>KAP 미국 머니마켓 지수</t>
        </is>
      </c>
      <c r="P33" s="93" t="inlineStr">
        <is>
          <t>일반</t>
        </is>
      </c>
      <c r="Q33" s="93" t="inlineStr">
        <is>
          <t>단기자금(파킹형)</t>
        </is>
      </c>
      <c r="R33" s="93" t="inlineStr">
        <is>
          <t>월배당</t>
        </is>
      </c>
      <c r="S33" s="94" t="n">
        <v>11</v>
      </c>
      <c r="T33" s="74" t="n">
        <v>0.8091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IFERROR(INDEX($A$4:$A$593,MATCH(30,$X$4:$X$593,0)),"")</f>
        <v/>
      </c>
    </row>
    <row r="34">
      <c r="A34" s="93" t="inlineStr">
        <is>
          <t>SOL 국제금커버드콜액티브</t>
        </is>
      </c>
      <c r="B34" s="93" t="inlineStr">
        <is>
          <t>0022T0</t>
        </is>
      </c>
      <c r="C34" s="93" t="inlineStr">
        <is>
          <t>신한자산운용</t>
        </is>
      </c>
      <c r="D34" s="94" t="n">
        <v>12320</v>
      </c>
      <c r="E34" s="94" t="n">
        <v>70224000000</v>
      </c>
      <c r="F34" s="94" t="n">
        <v>980092390</v>
      </c>
      <c r="G34" s="74" t="n">
        <v>0.004500000000000001</v>
      </c>
      <c r="H34" s="74" t="n">
        <v>0.288</v>
      </c>
      <c r="I34" s="74" t="n">
        <v>0.0035</v>
      </c>
      <c r="J34" s="74" t="n">
        <v>0.04707799999999999</v>
      </c>
      <c r="K34" s="94" t="n">
        <v>18</v>
      </c>
      <c r="L34" s="95" t="inlineStr">
        <is>
          <t>20260929</t>
        </is>
      </c>
      <c r="M34" s="93" t="inlineStr">
        <is>
          <t>채택</t>
        </is>
      </c>
      <c r="N34" s="93" t="inlineStr"/>
      <c r="O34" s="93" t="inlineStr">
        <is>
          <t>KEDI Gold Income Premium Index (Net Total Return)</t>
        </is>
      </c>
      <c r="P34" s="93" t="inlineStr">
        <is>
          <t>커버드콜</t>
        </is>
      </c>
      <c r="Q34" s="93" t="inlineStr">
        <is>
          <t>원자재</t>
        </is>
      </c>
      <c r="R34" s="93" t="inlineStr">
        <is>
          <t>월배당</t>
        </is>
      </c>
      <c r="S34" s="94" t="n">
        <v>11</v>
      </c>
      <c r="T34" s="74" t="n">
        <v>1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IFERROR(INDEX($A$4:$A$593,MATCH(31,$X$4:$X$593,0)),"")</f>
        <v/>
      </c>
    </row>
    <row r="35">
      <c r="A35" s="93" t="inlineStr">
        <is>
          <t>TIGER 코리아배당다우존스</t>
        </is>
      </c>
      <c r="B35" s="93" t="inlineStr">
        <is>
          <t>0052D0</t>
        </is>
      </c>
      <c r="C35" s="93" t="inlineStr">
        <is>
          <t>미래에셋자산운용</t>
        </is>
      </c>
      <c r="D35" s="94" t="n">
        <v>15175</v>
      </c>
      <c r="E35" s="94" t="n">
        <v>333091250000</v>
      </c>
      <c r="F35" s="94" t="n">
        <v>2464670081</v>
      </c>
      <c r="G35" s="74" t="n">
        <v>0.0025</v>
      </c>
      <c r="H35" s="74" t="n">
        <v>0.3042</v>
      </c>
      <c r="I35" s="74" t="n">
        <v>0.0042</v>
      </c>
      <c r="J35" s="74" t="n">
        <v>0.044086</v>
      </c>
      <c r="K35" s="94" t="n">
        <v>15</v>
      </c>
      <c r="L35" s="95" t="inlineStr">
        <is>
          <t>20260914</t>
        </is>
      </c>
      <c r="M35" s="93" t="inlineStr">
        <is>
          <t>채택</t>
        </is>
      </c>
      <c r="N35" s="93" t="inlineStr"/>
      <c r="O35" s="93" t="inlineStr">
        <is>
          <t>Dow Jones Korea Dividend 30 Index (KRW)</t>
        </is>
      </c>
      <c r="P35" s="93" t="inlineStr">
        <is>
          <t>일반</t>
        </is>
      </c>
      <c r="Q35" s="93" t="inlineStr">
        <is>
          <t>주식</t>
        </is>
      </c>
      <c r="R35" s="93" t="inlineStr">
        <is>
          <t>월배당</t>
        </is>
      </c>
      <c r="S35" s="94" t="n">
        <v>11</v>
      </c>
      <c r="T35" s="74" t="n">
        <v>0.7758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IFERROR(INDEX($A$4:$A$593,MATCH(32,$X$4:$X$593,0)),"")</f>
        <v/>
      </c>
    </row>
    <row r="36">
      <c r="A36" s="93" t="inlineStr">
        <is>
          <t>KODEX 고배당주</t>
        </is>
      </c>
      <c r="B36" s="93" t="inlineStr">
        <is>
          <t>279530</t>
        </is>
      </c>
      <c r="C36" s="93" t="inlineStr">
        <is>
          <t>삼성자산운용(ETF)</t>
        </is>
      </c>
      <c r="D36" s="94" t="n">
        <v>17130</v>
      </c>
      <c r="E36" s="94" t="n">
        <v>340887000000</v>
      </c>
      <c r="F36" s="94" t="n">
        <v>5019093445</v>
      </c>
      <c r="G36" s="74" t="n">
        <v>0.003</v>
      </c>
      <c r="H36" s="74" t="n">
        <v>0.2969</v>
      </c>
      <c r="I36" s="74" t="n">
        <v>0.0043</v>
      </c>
      <c r="J36" s="74" t="n">
        <v>0.044016</v>
      </c>
      <c r="K36" s="94" t="n">
        <v>37</v>
      </c>
      <c r="L36" s="95" t="inlineStr">
        <is>
          <t>20260929</t>
        </is>
      </c>
      <c r="M36" s="93" t="inlineStr">
        <is>
          <t>채택</t>
        </is>
      </c>
      <c r="N36" s="93" t="inlineStr"/>
      <c r="O36" s="93" t="inlineStr">
        <is>
          <t>FnGuide 고배당 Plus 지수</t>
        </is>
      </c>
      <c r="P36" s="93" t="inlineStr">
        <is>
          <t>일반</t>
        </is>
      </c>
      <c r="Q36" s="93" t="inlineStr">
        <is>
          <t>주식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IFERROR(INDEX($A$4:$A$593,MATCH(33,$X$4:$X$593,0)),"")</f>
        <v/>
      </c>
    </row>
    <row r="37">
      <c r="A37" s="93" t="inlineStr">
        <is>
          <t>ACE 미국30년국채액티브(H)</t>
        </is>
      </c>
      <c r="B37" s="93" t="inlineStr">
        <is>
          <t>453850</t>
        </is>
      </c>
      <c r="C37" s="93" t="inlineStr">
        <is>
          <t>한국투자신탁운용</t>
        </is>
      </c>
      <c r="D37" s="94" t="n">
        <v>6780</v>
      </c>
      <c r="E37" s="94" t="n">
        <v>1406850000000</v>
      </c>
      <c r="F37" s="94" t="n">
        <v>6833160334</v>
      </c>
      <c r="G37" s="74" t="n">
        <v>0.0005</v>
      </c>
      <c r="H37" s="74" t="n">
        <v>0.0885</v>
      </c>
      <c r="I37" s="74" t="n">
        <v>0.0036</v>
      </c>
      <c r="J37" s="74" t="n">
        <v>0.043658</v>
      </c>
      <c r="K37" s="94" t="n">
        <v>42</v>
      </c>
      <c r="L37" s="95" t="inlineStr">
        <is>
          <t>20260929</t>
        </is>
      </c>
      <c r="M37" s="93" t="inlineStr">
        <is>
          <t>채택</t>
        </is>
      </c>
      <c r="N37" s="93" t="inlineStr"/>
      <c r="O37" s="93" t="inlineStr">
        <is>
          <t>Bloomberg US Treasury 20+ Year Total Return Index</t>
        </is>
      </c>
      <c r="P37" s="93" t="inlineStr">
        <is>
          <t>일반</t>
        </is>
      </c>
      <c r="Q37" s="93" t="inlineStr">
        <is>
          <t>채권</t>
        </is>
      </c>
      <c r="R37" s="93" t="inlineStr">
        <is>
          <t>월배당</t>
        </is>
      </c>
      <c r="S37" s="94" t="n">
        <v>11</v>
      </c>
      <c r="T37" s="74" t="n">
        <v>0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IFERROR(INDEX($A$4:$A$593,MATCH(34,$X$4:$X$593,0)),"")</f>
        <v/>
      </c>
    </row>
    <row r="38">
      <c r="A38" s="93" t="inlineStr">
        <is>
          <t>PLUS 고배당주</t>
        </is>
      </c>
      <c r="B38" s="93" t="inlineStr">
        <is>
          <t>161510</t>
        </is>
      </c>
      <c r="C38" s="93" t="inlineStr">
        <is>
          <t>한화자산운용</t>
        </is>
      </c>
      <c r="D38" s="94" t="n">
        <v>24315</v>
      </c>
      <c r="E38" s="94" t="n">
        <v>2347370100000</v>
      </c>
      <c r="F38" s="94" t="n">
        <v>21659676426</v>
      </c>
      <c r="G38" s="74" t="n">
        <v>0.0023</v>
      </c>
      <c r="H38" s="74" t="n">
        <v>0.3049</v>
      </c>
      <c r="I38" s="74" t="n">
        <v>0.004099999999999999</v>
      </c>
      <c r="J38" s="74" t="n">
        <v>0.04355299999999999</v>
      </c>
      <c r="K38" s="94" t="n">
        <v>32</v>
      </c>
      <c r="L38" s="95" t="inlineStr">
        <is>
          <t>20260929</t>
        </is>
      </c>
      <c r="M38" s="93" t="inlineStr">
        <is>
          <t>채택</t>
        </is>
      </c>
      <c r="N38" s="93" t="inlineStr"/>
      <c r="O38" s="93" t="inlineStr">
        <is>
          <t>FnGuide 고배당주</t>
        </is>
      </c>
      <c r="P38" s="93" t="inlineStr">
        <is>
          <t>일반</t>
        </is>
      </c>
      <c r="Q38" s="93" t="inlineStr">
        <is>
          <t>주식</t>
        </is>
      </c>
      <c r="R38" s="93" t="inlineStr">
        <is>
          <t>월배당</t>
        </is>
      </c>
      <c r="S38" s="94" t="n">
        <v>11</v>
      </c>
      <c r="T38" s="74" t="n">
        <v>0.9603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IFERROR(INDEX($A$4:$A$593,MATCH(35,$X$4:$X$593,0)),"")</f>
        <v/>
      </c>
    </row>
    <row r="39">
      <c r="A39" s="93" t="inlineStr">
        <is>
          <t>KODEX 미국10년국채액티브(H)</t>
        </is>
      </c>
      <c r="B39" s="93" t="inlineStr">
        <is>
          <t>0091C0</t>
        </is>
      </c>
      <c r="C39" s="93" t="inlineStr">
        <is>
          <t>삼성자산운용(ETF)</t>
        </is>
      </c>
      <c r="D39" s="94" t="n">
        <v>9220</v>
      </c>
      <c r="E39" s="94" t="n">
        <v>184492200000</v>
      </c>
      <c r="F39" s="94" t="n">
        <v>869281365</v>
      </c>
      <c r="G39" s="74" t="n">
        <v>0.0015</v>
      </c>
      <c r="H39" s="74" t="n">
        <v>0.0449</v>
      </c>
      <c r="I39" s="74" t="n">
        <v>0.0036</v>
      </c>
      <c r="J39" s="74" t="n">
        <v>0.043384</v>
      </c>
      <c r="K39" s="94" t="n">
        <v>12</v>
      </c>
      <c r="L39" s="95" t="inlineStr">
        <is>
          <t>20260914</t>
        </is>
      </c>
      <c r="M39" s="93" t="inlineStr">
        <is>
          <t>채택</t>
        </is>
      </c>
      <c r="N39" s="93" t="inlineStr"/>
      <c r="O39" s="93" t="inlineStr">
        <is>
          <t>KAP 미국 국채 10년 지수(총수익)</t>
        </is>
      </c>
      <c r="P39" s="93" t="inlineStr">
        <is>
          <t>일반</t>
        </is>
      </c>
      <c r="Q39" s="93" t="inlineStr">
        <is>
          <t>채권</t>
        </is>
      </c>
      <c r="R39" s="93" t="inlineStr">
        <is>
          <t>월배당</t>
        </is>
      </c>
      <c r="S39" s="94" t="n">
        <v>11</v>
      </c>
      <c r="T39" s="74" t="n">
        <v>0.495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IFERROR(INDEX($A$4:$A$593,MATCH(36,$X$4:$X$593,0)),"")</f>
        <v/>
      </c>
    </row>
    <row r="40">
      <c r="A40" s="93" t="inlineStr">
        <is>
          <t>KODEX 미국달러SOFR금리액티브(합성)</t>
        </is>
      </c>
      <c r="B40" s="93" t="inlineStr">
        <is>
          <t>455030</t>
        </is>
      </c>
      <c r="C40" s="93" t="inlineStr">
        <is>
          <t>삼성자산운용(ETF)</t>
        </is>
      </c>
      <c r="D40" s="94" t="n">
        <v>11630</v>
      </c>
      <c r="E40" s="94" t="n">
        <v>536143000000</v>
      </c>
      <c r="F40" s="94" t="n">
        <v>1636991507</v>
      </c>
      <c r="G40" s="74" t="n">
        <v>0.0015</v>
      </c>
      <c r="H40" s="74" t="n">
        <v>0.1066</v>
      </c>
      <c r="I40" s="74" t="n">
        <v>0.0037</v>
      </c>
      <c r="J40" s="74" t="n">
        <v>0.042562</v>
      </c>
      <c r="K40" s="94" t="n">
        <v>15</v>
      </c>
      <c r="L40" s="95" t="inlineStr">
        <is>
          <t>20260929</t>
        </is>
      </c>
      <c r="M40" s="93" t="inlineStr">
        <is>
          <t>채택</t>
        </is>
      </c>
      <c r="N40" s="93" t="inlineStr"/>
      <c r="O40" s="93" t="inlineStr">
        <is>
          <t>Bloomberg SOFR Index</t>
        </is>
      </c>
      <c r="P40" s="93" t="inlineStr">
        <is>
          <t>일반</t>
        </is>
      </c>
      <c r="Q40" s="93" t="inlineStr">
        <is>
          <t>단기자금(파킹형)</t>
        </is>
      </c>
      <c r="R40" s="93" t="inlineStr">
        <is>
          <t>월배당</t>
        </is>
      </c>
      <c r="S40" s="94" t="n">
        <v>11</v>
      </c>
      <c r="T40" s="74" t="n">
        <v>1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IFERROR(INDEX($A$4:$A$593,MATCH(37,$X$4:$X$593,0)),"")</f>
        <v/>
      </c>
    </row>
    <row r="41">
      <c r="A41" s="93" t="inlineStr">
        <is>
          <t>ACE 미국10년국채액티브</t>
        </is>
      </c>
      <c r="B41" s="93" t="inlineStr">
        <is>
          <t>0085P0</t>
        </is>
      </c>
      <c r="C41" s="93" t="inlineStr">
        <is>
          <t>한국투신운용(ETF)</t>
        </is>
      </c>
      <c r="D41" s="94" t="n">
        <v>9315</v>
      </c>
      <c r="E41" s="94" t="n">
        <v>119232000000</v>
      </c>
      <c r="F41" s="94" t="n">
        <v>1768467314</v>
      </c>
      <c r="G41" s="74" t="n">
        <v>0.0015</v>
      </c>
      <c r="H41" s="74" t="n">
        <v>0.1081</v>
      </c>
      <c r="I41" s="74" t="n">
        <v>0.0032</v>
      </c>
      <c r="J41" s="74" t="n">
        <v>0.04036500000000001</v>
      </c>
      <c r="K41" s="94" t="n">
        <v>14</v>
      </c>
      <c r="L41" s="95" t="inlineStr">
        <is>
          <t>20260929</t>
        </is>
      </c>
      <c r="M41" s="93" t="inlineStr">
        <is>
          <t>채택</t>
        </is>
      </c>
      <c r="N41" s="93" t="inlineStr"/>
      <c r="O41" s="93" t="inlineStr">
        <is>
          <t>ICE U.S.Treasury 7-10 Year Bond Index</t>
        </is>
      </c>
      <c r="P41" s="93" t="inlineStr">
        <is>
          <t>일반</t>
        </is>
      </c>
      <c r="Q41" s="93" t="inlineStr">
        <is>
          <t>채권</t>
        </is>
      </c>
      <c r="R41" s="93" t="inlineStr">
        <is>
          <t>월배당</t>
        </is>
      </c>
      <c r="S41" s="94" t="n">
        <v>11</v>
      </c>
      <c r="T41" s="74" t="n">
        <v>0.8378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IFERROR(INDEX($A$4:$A$593,MATCH(38,$X$4:$X$593,0)),"")</f>
        <v/>
      </c>
    </row>
    <row r="42">
      <c r="A42" s="93" t="inlineStr">
        <is>
          <t>TIGER 은행고배당플러스TOP10</t>
        </is>
      </c>
      <c r="B42" s="93" t="inlineStr">
        <is>
          <t>466940</t>
        </is>
      </c>
      <c r="C42" s="93" t="inlineStr">
        <is>
          <t>미래에셋자산운용</t>
        </is>
      </c>
      <c r="D42" s="94" t="n">
        <v>25700</v>
      </c>
      <c r="E42" s="94" t="n">
        <v>824970000000</v>
      </c>
      <c r="F42" s="94" t="n">
        <v>21606143374</v>
      </c>
      <c r="G42" s="74" t="n">
        <v>0.003</v>
      </c>
      <c r="H42" s="74" t="n">
        <v>0.3338</v>
      </c>
      <c r="I42" s="74" t="n">
        <v>0.0038</v>
      </c>
      <c r="J42" s="74" t="n">
        <v>0.04</v>
      </c>
      <c r="K42" s="94" t="n">
        <v>33</v>
      </c>
      <c r="L42" s="95" t="inlineStr">
        <is>
          <t>20260929</t>
        </is>
      </c>
      <c r="M42" s="93" t="inlineStr">
        <is>
          <t>채택</t>
        </is>
      </c>
      <c r="N42" s="93" t="inlineStr"/>
      <c r="O42" s="93" t="inlineStr">
        <is>
          <t>FnGuide 은행 고배당 플러스 TOP 10 지수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 s="74" t="n">
        <v>0.9747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IFERROR(INDEX($A$4:$A$593,MATCH(39,$X$4:$X$593,0)),"")</f>
        <v/>
      </c>
    </row>
    <row r="43">
      <c r="A43" s="93" t="inlineStr">
        <is>
          <t>PLUS 고배당주채권혼합</t>
        </is>
      </c>
      <c r="B43" s="93" t="inlineStr">
        <is>
          <t>251600</t>
        </is>
      </c>
      <c r="C43" s="93" t="inlineStr">
        <is>
          <t>한화자산운용</t>
        </is>
      </c>
      <c r="D43" s="94" t="n">
        <v>15150</v>
      </c>
      <c r="E43" s="94" t="n">
        <v>587820000000</v>
      </c>
      <c r="F43" s="94" t="n">
        <v>3624582652</v>
      </c>
      <c r="G43" s="74" t="n">
        <v>0.002</v>
      </c>
      <c r="H43" s="74" t="n">
        <v>0.1536</v>
      </c>
      <c r="I43" s="74" t="n">
        <v>0.0033</v>
      </c>
      <c r="J43" s="74" t="n">
        <v>0.037822</v>
      </c>
      <c r="K43" s="94" t="n">
        <v>34</v>
      </c>
      <c r="L43" s="95" t="inlineStr">
        <is>
          <t>20260929</t>
        </is>
      </c>
      <c r="M43" s="93" t="inlineStr">
        <is>
          <t>채택</t>
        </is>
      </c>
      <c r="N43" s="93" t="inlineStr"/>
      <c r="O43" s="93" t="inlineStr">
        <is>
          <t>FnGuide 고배당 채권혼합 지수</t>
        </is>
      </c>
      <c r="P43" s="93" t="inlineStr">
        <is>
          <t>일반</t>
        </is>
      </c>
      <c r="Q43" s="93" t="inlineStr">
        <is>
          <t>멀티에셋</t>
        </is>
      </c>
      <c r="R43" s="93" t="inlineStr">
        <is>
          <t>월배당</t>
        </is>
      </c>
      <c r="S43" s="94" t="n">
        <v>11</v>
      </c>
      <c r="T43" s="74" t="n">
        <v>1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IFERROR(INDEX($A$4:$A$593,MATCH(40,$X$4:$X$593,0)),"")</f>
        <v/>
      </c>
    </row>
    <row r="44">
      <c r="A44" s="93" t="inlineStr">
        <is>
          <t>ACE 미국30년국채엔화노출액티브(H)</t>
        </is>
      </c>
      <c r="B44" s="93" t="inlineStr">
        <is>
          <t>476750</t>
        </is>
      </c>
      <c r="C44" s="93" t="inlineStr">
        <is>
          <t>한국투자신탁운용</t>
        </is>
      </c>
      <c r="D44" s="94" t="n">
        <v>6920</v>
      </c>
      <c r="E44" s="94" t="n">
        <v>56052000000</v>
      </c>
      <c r="F44" s="94" t="n">
        <v>636343793</v>
      </c>
      <c r="G44" s="74" t="n">
        <v>0.0015</v>
      </c>
      <c r="H44" s="74" t="n">
        <v>0.1292</v>
      </c>
      <c r="I44" s="74" t="n">
        <v>0.0031</v>
      </c>
      <c r="J44" s="74" t="n">
        <v>0.036994</v>
      </c>
      <c r="K44" s="94" t="n">
        <v>30</v>
      </c>
      <c r="L44" s="95" t="inlineStr">
        <is>
          <t>20260929</t>
        </is>
      </c>
      <c r="M44" s="93" t="inlineStr">
        <is>
          <t>채택</t>
        </is>
      </c>
      <c r="N44" s="93" t="inlineStr"/>
      <c r="O44" s="93" t="inlineStr">
        <is>
          <t>Bloomberg U.S. Treasury 20+ Year Index T1530 JPY Currency He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 s="74" t="n">
        <v>0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IFERROR(INDEX($A$4:$A$593,MATCH(41,$X$4:$X$593,0)),"")</f>
        <v/>
      </c>
    </row>
    <row r="45">
      <c r="A45" s="93" t="inlineStr">
        <is>
          <t>RISE 미국30년국채엔화노출(합성 H)</t>
        </is>
      </c>
      <c r="B45" s="93" t="inlineStr">
        <is>
          <t>472870</t>
        </is>
      </c>
      <c r="C45" s="93" t="inlineStr">
        <is>
          <t>KB자산운용</t>
        </is>
      </c>
      <c r="D45" s="94" t="n">
        <v>6395</v>
      </c>
      <c r="E45" s="94" t="n">
        <v>155078750000</v>
      </c>
      <c r="F45" s="94" t="n">
        <v>1604503842</v>
      </c>
      <c r="G45" s="74" t="n">
        <v>0.0015</v>
      </c>
      <c r="H45" s="74" t="n">
        <v>0.137</v>
      </c>
      <c r="I45" s="74" t="n">
        <v>0.0024</v>
      </c>
      <c r="J45" s="74" t="n">
        <v>0.036591</v>
      </c>
      <c r="K45" s="94" t="n">
        <v>30</v>
      </c>
      <c r="L45" s="95" t="inlineStr">
        <is>
          <t>20260929</t>
        </is>
      </c>
      <c r="M45" s="93" t="inlineStr">
        <is>
          <t>채택</t>
        </is>
      </c>
      <c r="N45" s="93" t="inlineStr"/>
      <c r="O45" s="93" t="inlineStr">
        <is>
          <t>KIS 미국채 30년 엔화노출 지수(USD/JPY 헤지)</t>
        </is>
      </c>
      <c r="P45" s="93" t="inlineStr">
        <is>
          <t>일반</t>
        </is>
      </c>
      <c r="Q45" s="93" t="inlineStr">
        <is>
          <t>채권</t>
        </is>
      </c>
      <c r="R45" s="93" t="inlineStr">
        <is>
          <t>월배당</t>
        </is>
      </c>
      <c r="S45" s="94" t="n">
        <v>11</v>
      </c>
      <c r="T45" s="74" t="n">
        <v>0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IFERROR(INDEX($A$4:$A$593,MATCH(42,$X$4:$X$593,0)),"")</f>
        <v/>
      </c>
    </row>
    <row r="46">
      <c r="A46" s="93" t="inlineStr">
        <is>
          <t>KIWOOM 국고채10년</t>
        </is>
      </c>
      <c r="B46" s="93" t="inlineStr">
        <is>
          <t>148070</t>
        </is>
      </c>
      <c r="C46" s="93" t="inlineStr">
        <is>
          <t>키움투자자산운용</t>
        </is>
      </c>
      <c r="D46" s="94" t="n">
        <v>104120</v>
      </c>
      <c r="E46" s="94" t="n">
        <v>393469480000</v>
      </c>
      <c r="F46" s="94" t="n">
        <v>1892592963</v>
      </c>
      <c r="G46" s="74" t="n">
        <v>0.0005</v>
      </c>
      <c r="H46" s="74" t="n">
        <v>0.0721</v>
      </c>
      <c r="I46" s="74" t="n">
        <v>0.0332</v>
      </c>
      <c r="J46" s="74" t="n">
        <v>0.035939</v>
      </c>
      <c r="K46" s="94" t="n">
        <v>4</v>
      </c>
      <c r="L46" s="95" t="inlineStr">
        <is>
          <t>20251229</t>
        </is>
      </c>
      <c r="M46" s="93" t="inlineStr">
        <is>
          <t>채택</t>
        </is>
      </c>
      <c r="N46" s="93" t="inlineStr"/>
      <c r="O46" s="93" t="inlineStr">
        <is>
          <t>KIS 10Y KTB</t>
        </is>
      </c>
      <c r="P46" s="93" t="inlineStr">
        <is>
          <t>일반</t>
        </is>
      </c>
      <c r="Q46" s="93" t="inlineStr">
        <is>
          <t>채권</t>
        </is>
      </c>
      <c r="R46" s="93" t="inlineStr">
        <is>
          <t>연배당</t>
        </is>
      </c>
      <c r="S46" s="94" t="n">
        <v>1</v>
      </c>
      <c r="T46" s="74" t="n">
        <v>1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IFERROR(INDEX($A$4:$A$593,MATCH(43,$X$4:$X$593,0)),"")</f>
        <v/>
      </c>
    </row>
    <row r="47">
      <c r="A47" s="93" t="inlineStr">
        <is>
          <t>TIGER 미국초단기(3개월이하)국채</t>
        </is>
      </c>
      <c r="B47" s="93" t="inlineStr">
        <is>
          <t>0046A0</t>
        </is>
      </c>
      <c r="C47" s="93" t="inlineStr">
        <is>
          <t>미래에셋자산운용</t>
        </is>
      </c>
      <c r="D47" s="94" t="n">
        <v>9395</v>
      </c>
      <c r="E47" s="94" t="n">
        <v>393744450000</v>
      </c>
      <c r="F47" s="94" t="n">
        <v>8167723879</v>
      </c>
      <c r="G47" s="74" t="n">
        <v>0.0009</v>
      </c>
      <c r="H47" s="74" t="n">
        <v>0.1053</v>
      </c>
      <c r="I47" s="74" t="n">
        <v>0.0025</v>
      </c>
      <c r="J47" s="74" t="n">
        <v>0.035764</v>
      </c>
      <c r="K47" s="94" t="n">
        <v>17</v>
      </c>
      <c r="L47" s="95" t="inlineStr">
        <is>
          <t>20260929</t>
        </is>
      </c>
      <c r="M47" s="93" t="inlineStr">
        <is>
          <t>채택</t>
        </is>
      </c>
      <c r="N47" s="93" t="inlineStr"/>
      <c r="O47" s="93" t="inlineStr">
        <is>
          <t>ICE 0-3 Month US Treasury Securities Index</t>
        </is>
      </c>
      <c r="P47" s="93" t="inlineStr">
        <is>
          <t>일반</t>
        </is>
      </c>
      <c r="Q47" s="93" t="inlineStr">
        <is>
          <t>단기자금(파킹형)</t>
        </is>
      </c>
      <c r="R47" s="93" t="inlineStr">
        <is>
          <t>월배당</t>
        </is>
      </c>
      <c r="S47" s="94" t="n">
        <v>11</v>
      </c>
      <c r="T47" s="74" t="n">
        <v>0.8512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IFERROR(INDEX($A$4:$A$593,MATCH(44,$X$4:$X$593,0)),"")</f>
        <v/>
      </c>
    </row>
    <row r="48">
      <c r="A48" s="93" t="inlineStr">
        <is>
          <t>ACE 국고채10년</t>
        </is>
      </c>
      <c r="B48" s="93" t="inlineStr">
        <is>
          <t>365780</t>
        </is>
      </c>
      <c r="C48" s="93" t="inlineStr">
        <is>
          <t>한국투신운용(ETF)</t>
        </is>
      </c>
      <c r="D48" s="94" t="n">
        <v>82160</v>
      </c>
      <c r="E48" s="94" t="n">
        <v>525906160000</v>
      </c>
      <c r="F48" s="94" t="n">
        <v>1028975969</v>
      </c>
      <c r="G48" s="74" t="n">
        <v>0.0002</v>
      </c>
      <c r="H48" s="74" t="n">
        <v>0.0703</v>
      </c>
      <c r="I48" s="74" t="n">
        <v>0.0301</v>
      </c>
      <c r="J48" s="74" t="n">
        <v>0.032498</v>
      </c>
      <c r="K48" s="94" t="n">
        <v>5</v>
      </c>
      <c r="L48" s="95" t="inlineStr">
        <is>
          <t>20251229</t>
        </is>
      </c>
      <c r="M48" s="93" t="inlineStr">
        <is>
          <t>채택</t>
        </is>
      </c>
      <c r="N48" s="93" t="inlineStr"/>
      <c r="O48" s="93" t="inlineStr">
        <is>
          <t>KIS 10Y KTB</t>
        </is>
      </c>
      <c r="P48" s="93" t="inlineStr">
        <is>
          <t>일반</t>
        </is>
      </c>
      <c r="Q48" s="93" t="inlineStr">
        <is>
          <t>채권</t>
        </is>
      </c>
      <c r="R48" s="93" t="inlineStr">
        <is>
          <t>연배당</t>
        </is>
      </c>
      <c r="S48" s="94" t="n">
        <v>1</v>
      </c>
      <c r="T48" s="74" t="n">
        <v>0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IFERROR(INDEX($A$4:$A$593,MATCH(45,$X$4:$X$593,0)),"")</f>
        <v/>
      </c>
    </row>
    <row r="49">
      <c r="A49" s="93" t="inlineStr">
        <is>
          <t>ACE 미국달러단기채권액티브</t>
        </is>
      </c>
      <c r="B49" s="93" t="inlineStr">
        <is>
          <t>440650</t>
        </is>
      </c>
      <c r="C49" s="93" t="inlineStr">
        <is>
          <t>한국투자신탁운용</t>
        </is>
      </c>
      <c r="D49" s="94" t="n">
        <v>11415</v>
      </c>
      <c r="E49" s="94" t="n">
        <v>43377000000</v>
      </c>
      <c r="F49" s="94" t="n">
        <v>843183004</v>
      </c>
      <c r="G49" s="74" t="n">
        <v>0.003</v>
      </c>
      <c r="H49" s="74" t="n">
        <v>0.1091</v>
      </c>
      <c r="I49" s="74" t="n">
        <v>0.0303</v>
      </c>
      <c r="J49" s="74" t="n">
        <v>0.032413</v>
      </c>
      <c r="K49" s="94" t="n">
        <v>1</v>
      </c>
      <c r="L49" s="95" t="inlineStr">
        <is>
          <t>20251229</t>
        </is>
      </c>
      <c r="M49" s="93" t="inlineStr">
        <is>
          <t>채택</t>
        </is>
      </c>
      <c r="N49" s="93" t="inlineStr"/>
      <c r="O49" s="93" t="inlineStr">
        <is>
          <t>Bloomberg Short-term Treasury Total Return Index</t>
        </is>
      </c>
      <c r="P49" s="93" t="inlineStr">
        <is>
          <t>일반</t>
        </is>
      </c>
      <c r="Q49" s="93" t="inlineStr">
        <is>
          <t>채권</t>
        </is>
      </c>
      <c r="R49" s="93" t="inlineStr">
        <is>
          <t>연배당</t>
        </is>
      </c>
      <c r="S49" s="94" t="n">
        <v>1</v>
      </c>
      <c r="T49" s="74" t="n">
        <v>1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IFERROR(INDEX($A$4:$A$593,MATCH(46,$X$4:$X$593,0)),"")</f>
        <v/>
      </c>
    </row>
    <row r="50">
      <c r="A50" s="93" t="inlineStr">
        <is>
          <t>SOL 미국배당다우존스</t>
        </is>
      </c>
      <c r="B50" s="93" t="inlineStr">
        <is>
          <t>446720</t>
        </is>
      </c>
      <c r="C50" s="93" t="inlineStr">
        <is>
          <t>신한자산운용</t>
        </is>
      </c>
      <c r="D50" s="94" t="n">
        <v>12880</v>
      </c>
      <c r="E50" s="94" t="n">
        <v>989184000000</v>
      </c>
      <c r="F50" s="94" t="n">
        <v>4523169839</v>
      </c>
      <c r="G50" s="74" t="n">
        <v>0.0001</v>
      </c>
      <c r="H50" s="74" t="n">
        <v>0.1415</v>
      </c>
      <c r="I50" s="74" t="n">
        <v>0.0028</v>
      </c>
      <c r="J50" s="74" t="n">
        <v>0.031677</v>
      </c>
      <c r="K50" s="94" t="n">
        <v>46</v>
      </c>
      <c r="L50" s="95" t="inlineStr">
        <is>
          <t>20260929</t>
        </is>
      </c>
      <c r="M50" s="93" t="inlineStr">
        <is>
          <t>채택</t>
        </is>
      </c>
      <c r="N50" s="93" t="inlineStr"/>
      <c r="O50" s="93" t="inlineStr">
        <is>
          <t>Dow Jones U.S. Dividend 100 Price Return Index</t>
        </is>
      </c>
      <c r="P50" s="93" t="inlineStr">
        <is>
          <t>일반</t>
        </is>
      </c>
      <c r="Q50" s="93" t="inlineStr">
        <is>
          <t>주식</t>
        </is>
      </c>
      <c r="R50" s="93" t="inlineStr">
        <is>
          <t>월배당</t>
        </is>
      </c>
      <c r="S50" s="94" t="n">
        <v>11</v>
      </c>
      <c r="T50" s="74" t="n">
        <v>1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IFERROR(INDEX($A$4:$A$593,MATCH(47,$X$4:$X$593,0)),"")</f>
        <v/>
      </c>
    </row>
    <row r="51">
      <c r="A51" s="93" t="inlineStr">
        <is>
          <t>SOL CD금리&amp;머니마켓액티브</t>
        </is>
      </c>
      <c r="B51" s="93" t="inlineStr">
        <is>
          <t>497880</t>
        </is>
      </c>
      <c r="C51" s="93" t="inlineStr">
        <is>
          <t>신한자산운용</t>
        </is>
      </c>
      <c r="D51" s="94" t="n">
        <v>50040</v>
      </c>
      <c r="E51" s="94" t="n">
        <v>299539440000</v>
      </c>
      <c r="F51" s="94" t="n">
        <v>5750318493</v>
      </c>
      <c r="G51" s="74" t="n">
        <v>0.0005</v>
      </c>
      <c r="H51" s="74" t="n">
        <v>0.009000000000000001</v>
      </c>
      <c r="I51" s="74" t="n">
        <v>0.0028</v>
      </c>
      <c r="J51" s="74" t="n">
        <v>0.031675</v>
      </c>
      <c r="K51" s="94" t="n">
        <v>22</v>
      </c>
      <c r="L51" s="95" t="inlineStr">
        <is>
          <t>20260929</t>
        </is>
      </c>
      <c r="M51" s="93" t="inlineStr">
        <is>
          <t>채택</t>
        </is>
      </c>
      <c r="N51" s="93" t="inlineStr"/>
      <c r="O51" s="93" t="inlineStr">
        <is>
          <t>KAP CD &amp; 단기자금시장 지수</t>
        </is>
      </c>
      <c r="P51" s="93" t="inlineStr">
        <is>
          <t>일반</t>
        </is>
      </c>
      <c r="Q51" s="93" t="inlineStr">
        <is>
          <t>단기자금(파킹형)</t>
        </is>
      </c>
      <c r="R51" s="93" t="inlineStr">
        <is>
          <t>월배당</t>
        </is>
      </c>
      <c r="S51" s="94" t="n">
        <v>11</v>
      </c>
      <c r="T51" s="74" t="n">
        <v>1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IFERROR(INDEX($A$4:$A$593,MATCH(48,$X$4:$X$593,0)),"")</f>
        <v/>
      </c>
    </row>
    <row r="52">
      <c r="A52" s="93" t="inlineStr">
        <is>
          <t>TIGER 미국배당다우존스</t>
        </is>
      </c>
      <c r="B52" s="93" t="inlineStr">
        <is>
          <t>458730</t>
        </is>
      </c>
      <c r="C52" s="93" t="inlineStr">
        <is>
          <t>미래에셋자산운용</t>
        </is>
      </c>
      <c r="D52" s="94" t="n">
        <v>14020</v>
      </c>
      <c r="E52" s="94" t="n">
        <v>4166744000000</v>
      </c>
      <c r="F52" s="94" t="n">
        <v>32524345809</v>
      </c>
      <c r="G52" s="74" t="n">
        <v>0.0001</v>
      </c>
      <c r="H52" s="74" t="n">
        <v>0.1415</v>
      </c>
      <c r="I52" s="74" t="n">
        <v>0.0027</v>
      </c>
      <c r="J52" s="74" t="n">
        <v>0.030956</v>
      </c>
      <c r="K52" s="94" t="n">
        <v>39</v>
      </c>
      <c r="L52" s="95" t="inlineStr">
        <is>
          <t>20260929</t>
        </is>
      </c>
      <c r="M52" s="93" t="inlineStr">
        <is>
          <t>채택</t>
        </is>
      </c>
      <c r="N52" s="93" t="inlineStr"/>
      <c r="O52" s="93" t="inlineStr">
        <is>
          <t>Dow Jones U.S. Dividend 100 Price Return Index</t>
        </is>
      </c>
      <c r="P52" s="93" t="inlineStr">
        <is>
          <t>일반</t>
        </is>
      </c>
      <c r="Q52" s="93" t="inlineStr">
        <is>
          <t>주식</t>
        </is>
      </c>
      <c r="R52" s="93" t="inlineStr">
        <is>
          <t>월배당</t>
        </is>
      </c>
      <c r="S52" s="94" t="n">
        <v>11</v>
      </c>
      <c r="T52" s="74" t="n">
        <v>1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IFERROR(INDEX($A$4:$A$593,MATCH(49,$X$4:$X$593,0)),"")</f>
        <v/>
      </c>
    </row>
    <row r="53">
      <c r="A53" s="93" t="inlineStr">
        <is>
          <t>SOL 미국배당미국채혼합50</t>
        </is>
      </c>
      <c r="B53" s="93" t="inlineStr">
        <is>
          <t>490490</t>
        </is>
      </c>
      <c r="C53" s="93" t="inlineStr">
        <is>
          <t>신한자산운용</t>
        </is>
      </c>
      <c r="D53" s="94" t="n">
        <v>10450</v>
      </c>
      <c r="E53" s="94" t="n">
        <v>451440000000</v>
      </c>
      <c r="F53" s="94" t="n">
        <v>2650910085</v>
      </c>
      <c r="G53" s="74" t="n">
        <v>0.0015</v>
      </c>
      <c r="H53" s="74" t="n">
        <v>0.1068</v>
      </c>
      <c r="I53" s="74" t="n">
        <v>0.0026</v>
      </c>
      <c r="J53" s="74" t="n">
        <v>0.030813</v>
      </c>
      <c r="K53" s="94" t="n">
        <v>23</v>
      </c>
      <c r="L53" s="95" t="inlineStr">
        <is>
          <t>20260914</t>
        </is>
      </c>
      <c r="M53" s="93" t="inlineStr">
        <is>
          <t>채택</t>
        </is>
      </c>
      <c r="N53" s="93" t="inlineStr"/>
      <c r="O53" s="93" t="inlineStr">
        <is>
          <t>KRX 다우존스 미국배당국채 혼합지수</t>
        </is>
      </c>
      <c r="P53" s="93" t="inlineStr">
        <is>
          <t>일반</t>
        </is>
      </c>
      <c r="Q53" s="93" t="inlineStr">
        <is>
          <t>멀티에셋</t>
        </is>
      </c>
      <c r="R53" s="93" t="inlineStr">
        <is>
          <t>월배당</t>
        </is>
      </c>
      <c r="S53" s="94" t="n">
        <v>11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IFERROR(INDEX($A$4:$A$593,MATCH(50,$X$4:$X$593,0)),"")</f>
        <v/>
      </c>
    </row>
    <row r="54">
      <c r="A54" s="93" t="inlineStr">
        <is>
          <t>ACE 미국배당다우존스</t>
        </is>
      </c>
      <c r="B54" s="93" t="inlineStr">
        <is>
          <t>402970</t>
        </is>
      </c>
      <c r="C54" s="93" t="inlineStr">
        <is>
          <t>한국투신운용(ETF)</t>
        </is>
      </c>
      <c r="D54" s="94" t="n">
        <v>14320</v>
      </c>
      <c r="E54" s="94" t="n">
        <v>927936000000</v>
      </c>
      <c r="F54" s="94" t="n">
        <v>4735029862</v>
      </c>
      <c r="G54" s="74" t="n">
        <v>0.0001</v>
      </c>
      <c r="H54" s="74" t="n">
        <v>0.1406</v>
      </c>
      <c r="I54" s="74" t="n">
        <v>0.0024</v>
      </c>
      <c r="J54" s="74" t="n">
        <v>0.030796</v>
      </c>
      <c r="K54" s="94" t="n">
        <v>44</v>
      </c>
      <c r="L54" s="95" t="inlineStr">
        <is>
          <t>20260914</t>
        </is>
      </c>
      <c r="M54" s="93" t="inlineStr">
        <is>
          <t>채택</t>
        </is>
      </c>
      <c r="N54" s="93" t="inlineStr"/>
      <c r="O54" s="93" t="inlineStr">
        <is>
          <t>Dow Jones U.S. Dividend 100 Price Return Index</t>
        </is>
      </c>
      <c r="P54" s="93" t="inlineStr">
        <is>
          <t>일반</t>
        </is>
      </c>
      <c r="Q54" s="93" t="inlineStr">
        <is>
          <t>주식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IFERROR(INDEX($A$4:$A$593,MATCH(51,$X$4:$X$593,0)),"")</f>
        <v/>
      </c>
    </row>
    <row r="55">
      <c r="A55" s="93" t="inlineStr">
        <is>
          <t>KODEX 미국배당다우존스</t>
        </is>
      </c>
      <c r="B55" s="93" t="inlineStr">
        <is>
          <t>489250</t>
        </is>
      </c>
      <c r="C55" s="93" t="inlineStr">
        <is>
          <t>삼성자산운용(ETF)</t>
        </is>
      </c>
      <c r="D55" s="94" t="n">
        <v>12120</v>
      </c>
      <c r="E55" s="94" t="n">
        <v>593880000000</v>
      </c>
      <c r="F55" s="94" t="n">
        <v>5529504543</v>
      </c>
      <c r="G55" s="74" t="n">
        <v>9.900000000000001e-05</v>
      </c>
      <c r="H55" s="74" t="n">
        <v>0.1415</v>
      </c>
      <c r="I55" s="74" t="n">
        <v>0.0019</v>
      </c>
      <c r="J55" s="74" t="n">
        <v>0.030363</v>
      </c>
      <c r="K55" s="94" t="n">
        <v>25</v>
      </c>
      <c r="L55" s="95" t="inlineStr">
        <is>
          <t>20260914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IFERROR(INDEX($A$4:$A$593,MATCH(52,$X$4:$X$593,0)),"")</f>
        <v/>
      </c>
    </row>
    <row r="56">
      <c r="A56" s="93" t="inlineStr">
        <is>
          <t>KODEX 코리아배당성장채권혼합</t>
        </is>
      </c>
      <c r="B56" s="93" t="inlineStr">
        <is>
          <t>237370</t>
        </is>
      </c>
      <c r="C56" s="93" t="inlineStr">
        <is>
          <t>삼성자산운용(ETF)</t>
        </is>
      </c>
      <c r="D56" s="94" t="n">
        <v>15475</v>
      </c>
      <c r="E56" s="94" t="n">
        <v>160940000000</v>
      </c>
      <c r="F56" s="94" t="n">
        <v>1152719258</v>
      </c>
      <c r="G56" s="74" t="n">
        <v>0.0019</v>
      </c>
      <c r="H56" s="74" t="n">
        <v>0.1083</v>
      </c>
      <c r="I56" s="74" t="n">
        <v>0.003</v>
      </c>
      <c r="J56" s="74" t="n">
        <v>0.029984</v>
      </c>
      <c r="K56" s="94" t="n">
        <v>24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배당성장채권혼합지수</t>
        </is>
      </c>
      <c r="P56" s="93" t="inlineStr">
        <is>
          <t>일반</t>
        </is>
      </c>
      <c r="Q56" s="93" t="inlineStr">
        <is>
          <t>멀티에셋</t>
        </is>
      </c>
      <c r="R56" s="93" t="inlineStr">
        <is>
          <t>월배당</t>
        </is>
      </c>
      <c r="S56" s="94" t="n">
        <v>11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IFERROR(INDEX($A$4:$A$593,MATCH(53,$X$4:$X$593,0)),"")</f>
        <v/>
      </c>
    </row>
    <row r="57">
      <c r="A57" s="93" t="inlineStr">
        <is>
          <t>KIWOOM 단기자금</t>
        </is>
      </c>
      <c r="B57" s="93" t="inlineStr">
        <is>
          <t>130730</t>
        </is>
      </c>
      <c r="C57" s="93" t="inlineStr">
        <is>
          <t>키움투자자산운용</t>
        </is>
      </c>
      <c r="D57" s="94" t="n">
        <v>103210</v>
      </c>
      <c r="E57" s="94" t="n">
        <v>68118600000</v>
      </c>
      <c r="F57" s="94" t="n">
        <v>562833158</v>
      </c>
      <c r="G57" s="74" t="n">
        <v>0.0005</v>
      </c>
      <c r="H57" s="74" t="n">
        <v>0.0296</v>
      </c>
      <c r="I57" s="74" t="n">
        <v>0.0291</v>
      </c>
      <c r="J57" s="74" t="n">
        <v>0.029425</v>
      </c>
      <c r="K57" s="94" t="n">
        <v>5</v>
      </c>
      <c r="L57" s="95" t="inlineStr">
        <is>
          <t>20251229</t>
        </is>
      </c>
      <c r="M57" s="93" t="inlineStr">
        <is>
          <t>채택</t>
        </is>
      </c>
      <c r="N57" s="93" t="inlineStr"/>
      <c r="O57" s="93" t="inlineStr">
        <is>
          <t>MK Money Market지수</t>
        </is>
      </c>
      <c r="P57" s="93" t="inlineStr">
        <is>
          <t>일반</t>
        </is>
      </c>
      <c r="Q57" s="93" t="inlineStr">
        <is>
          <t>채권</t>
        </is>
      </c>
      <c r="R57" s="93" t="inlineStr">
        <is>
          <t>연배당</t>
        </is>
      </c>
      <c r="S57" s="94" t="n">
        <v>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IFERROR(INDEX($A$4:$A$593,MATCH(54,$X$4:$X$593,0)),"")</f>
        <v/>
      </c>
    </row>
    <row r="58">
      <c r="A58" s="93" t="inlineStr">
        <is>
          <t>SOL 미국배당다우존스(H)</t>
        </is>
      </c>
      <c r="B58" s="93" t="inlineStr">
        <is>
          <t>452360</t>
        </is>
      </c>
      <c r="C58" s="93" t="inlineStr">
        <is>
          <t>신한자산운용</t>
        </is>
      </c>
      <c r="D58" s="94" t="n">
        <v>12760</v>
      </c>
      <c r="E58" s="94" t="n">
        <v>214368000000</v>
      </c>
      <c r="F58" s="94" t="n">
        <v>1901693778</v>
      </c>
      <c r="G58" s="74" t="n">
        <v>0.0005</v>
      </c>
      <c r="H58" s="74" t="n">
        <v>0.1107</v>
      </c>
      <c r="I58" s="74" t="n">
        <v>0.0028</v>
      </c>
      <c r="J58" s="74" t="n">
        <v>0.029389</v>
      </c>
      <c r="K58" s="94" t="n">
        <v>42</v>
      </c>
      <c r="L58" s="95" t="inlineStr">
        <is>
          <t>20260929</t>
        </is>
      </c>
      <c r="M58" s="93" t="inlineStr">
        <is>
          <t>채택</t>
        </is>
      </c>
      <c r="N58" s="93" t="inlineStr"/>
      <c r="O58" s="93" t="inlineStr">
        <is>
          <t>Dow Jones U.S. Dividend 100 Price Return Index</t>
        </is>
      </c>
      <c r="P58" s="93" t="inlineStr">
        <is>
          <t>일반</t>
        </is>
      </c>
      <c r="Q58" s="93" t="inlineStr">
        <is>
          <t>주식</t>
        </is>
      </c>
      <c r="R58" s="93" t="inlineStr">
        <is>
          <t>월배당</t>
        </is>
      </c>
      <c r="S58" s="94" t="n">
        <v>11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IFERROR(INDEX($A$4:$A$593,MATCH(55,$X$4:$X$593,0)),"")</f>
        <v/>
      </c>
    </row>
    <row r="59">
      <c r="A59" s="93" t="inlineStr">
        <is>
          <t>KODEX CD1년금리플러스액티브(합성)</t>
        </is>
      </c>
      <c r="B59" s="93" t="inlineStr">
        <is>
          <t>481050</t>
        </is>
      </c>
      <c r="C59" s="93" t="inlineStr">
        <is>
          <t>삼성자산운용(ETF)</t>
        </is>
      </c>
      <c r="D59" s="94" t="n">
        <v>1021895</v>
      </c>
      <c r="E59" s="94" t="n">
        <v>2602255617500</v>
      </c>
      <c r="F59" s="94" t="n">
        <v>24091313487</v>
      </c>
      <c r="G59" s="74" t="n">
        <v>0.0005</v>
      </c>
      <c r="H59" s="74" t="n">
        <v>0.0083</v>
      </c>
      <c r="I59" s="74" t="n">
        <v>0.0028</v>
      </c>
      <c r="J59" s="74" t="n">
        <v>0.029378</v>
      </c>
      <c r="K59" s="94" t="n">
        <v>22</v>
      </c>
      <c r="L59" s="95" t="inlineStr">
        <is>
          <t>20260929</t>
        </is>
      </c>
      <c r="M59" s="93" t="inlineStr">
        <is>
          <t>채택</t>
        </is>
      </c>
      <c r="N59" s="93" t="inlineStr"/>
      <c r="O59" s="93" t="inlineStr">
        <is>
          <t>KAP 1년은행CD+추가금리 지수</t>
        </is>
      </c>
      <c r="P59" s="93" t="inlineStr">
        <is>
          <t>일반</t>
        </is>
      </c>
      <c r="Q59" s="93" t="inlineStr">
        <is>
          <t>단기자금(파킹형)</t>
        </is>
      </c>
      <c r="R59" s="93" t="inlineStr">
        <is>
          <t>월배당</t>
        </is>
      </c>
      <c r="S59" s="94" t="n">
        <v>11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IFERROR(INDEX($A$4:$A$593,MATCH(56,$X$4:$X$593,0)),"")</f>
        <v/>
      </c>
    </row>
    <row r="60">
      <c r="A60" s="93" t="inlineStr">
        <is>
          <t>TIGER CD금리플러스액티브(합성)</t>
        </is>
      </c>
      <c r="B60" s="93" t="inlineStr">
        <is>
          <t>499660</t>
        </is>
      </c>
      <c r="C60" s="93" t="inlineStr">
        <is>
          <t>미래에셋자산운용</t>
        </is>
      </c>
      <c r="D60" s="94" t="n">
        <v>1000360</v>
      </c>
      <c r="E60" s="94" t="n">
        <v>467668300000</v>
      </c>
      <c r="F60" s="94" t="n">
        <v>13045525910</v>
      </c>
      <c r="G60" s="74" t="n">
        <v>9.8e-05</v>
      </c>
      <c r="H60" s="74" t="n">
        <v>0.008100000000000001</v>
      </c>
      <c r="I60" s="74" t="n">
        <v>0.003</v>
      </c>
      <c r="J60" s="74" t="n">
        <v>0.02896</v>
      </c>
      <c r="K60" s="94" t="n">
        <v>22</v>
      </c>
      <c r="L60" s="95" t="inlineStr">
        <is>
          <t>20260929</t>
        </is>
      </c>
      <c r="M60" s="93" t="inlineStr">
        <is>
          <t>채택</t>
        </is>
      </c>
      <c r="N60" s="93" t="inlineStr"/>
      <c r="O60" s="93" t="inlineStr">
        <is>
          <t>KIS CD+CPI연동금리 월분배 지수(PR지수)</t>
        </is>
      </c>
      <c r="P60" s="93" t="inlineStr">
        <is>
          <t>일반</t>
        </is>
      </c>
      <c r="Q60" s="93" t="inlineStr">
        <is>
          <t>단기자금(파킹형)</t>
        </is>
      </c>
      <c r="R60" s="93" t="inlineStr">
        <is>
          <t>월배당</t>
        </is>
      </c>
      <c r="S60" s="94" t="n">
        <v>11</v>
      </c>
      <c r="T60" s="74" t="n">
        <v>0.9951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IFERROR(INDEX($A$4:$A$593,MATCH(57,$X$4:$X$593,0)),"")</f>
        <v/>
      </c>
    </row>
    <row r="61">
      <c r="A61" s="93" t="inlineStr">
        <is>
          <t>KODEX CD금리액티브(합성)</t>
        </is>
      </c>
      <c r="B61" s="93" t="inlineStr">
        <is>
          <t>459580</t>
        </is>
      </c>
      <c r="C61" s="93" t="inlineStr">
        <is>
          <t>삼성자산운용(ETF)</t>
        </is>
      </c>
      <c r="D61" s="94" t="n">
        <v>1073675</v>
      </c>
      <c r="E61" s="94" t="n">
        <v>6984685345000</v>
      </c>
      <c r="F61" s="94" t="n">
        <v>520536696547</v>
      </c>
      <c r="G61" s="74" t="n">
        <v>0.0002</v>
      </c>
      <c r="H61" s="74" t="n">
        <v>0.007900000000000001</v>
      </c>
      <c r="I61" s="74" t="n">
        <v>0.0026</v>
      </c>
      <c r="J61" s="74" t="n">
        <v>0.027947</v>
      </c>
      <c r="K61" s="94" t="n">
        <v>15</v>
      </c>
      <c r="L61" s="95" t="inlineStr">
        <is>
          <t>20260929</t>
        </is>
      </c>
      <c r="M61" s="93" t="inlineStr">
        <is>
          <t>채택</t>
        </is>
      </c>
      <c r="N61" s="93" t="inlineStr"/>
      <c r="O61" s="93" t="inlineStr">
        <is>
          <t>KAP 양도성예금증서(CD) 금리 지수</t>
        </is>
      </c>
      <c r="P61" s="93" t="inlineStr">
        <is>
          <t>일반</t>
        </is>
      </c>
      <c r="Q61" s="93" t="inlineStr">
        <is>
          <t>단기자금(파킹형)</t>
        </is>
      </c>
      <c r="R61" s="93" t="inlineStr">
        <is>
          <t>월배당</t>
        </is>
      </c>
      <c r="S61" s="94" t="n">
        <v>11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IFERROR(INDEX($A$4:$A$593,MATCH(58,$X$4:$X$593,0)),"")</f>
        <v/>
      </c>
    </row>
    <row r="62">
      <c r="A62" s="93" t="inlineStr">
        <is>
          <t>KODEX 코리아배당성장</t>
        </is>
      </c>
      <c r="B62" s="93" t="inlineStr">
        <is>
          <t>211900</t>
        </is>
      </c>
      <c r="C62" s="93" t="inlineStr">
        <is>
          <t>삼성자산운용(ETF)</t>
        </is>
      </c>
      <c r="D62" s="94" t="n">
        <v>27200</v>
      </c>
      <c r="E62" s="94" t="n">
        <v>85680000000</v>
      </c>
      <c r="F62" s="94" t="n">
        <v>521306145</v>
      </c>
      <c r="G62" s="74" t="n">
        <v>0.0015</v>
      </c>
      <c r="H62" s="74" t="n">
        <v>0.3451</v>
      </c>
      <c r="I62" s="74" t="n">
        <v>0.0009</v>
      </c>
      <c r="J62" s="74" t="n">
        <v>0.027096</v>
      </c>
      <c r="K62" s="94" t="n">
        <v>17</v>
      </c>
      <c r="L62" s="95" t="inlineStr">
        <is>
          <t>20260929</t>
        </is>
      </c>
      <c r="M62" s="93" t="inlineStr">
        <is>
          <t>채택</t>
        </is>
      </c>
      <c r="N62" s="93" t="inlineStr"/>
      <c r="O62" s="93" t="inlineStr">
        <is>
          <t>코스피 배당성장 50</t>
        </is>
      </c>
      <c r="P62" s="93" t="inlineStr">
        <is>
          <t>일반</t>
        </is>
      </c>
      <c r="Q62" s="93" t="inlineStr">
        <is>
          <t>주식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IFERROR(INDEX($A$4:$A$593,MATCH(59,$X$4:$X$593,0)),"")</f>
        <v/>
      </c>
    </row>
    <row r="63">
      <c r="A63" s="93" t="inlineStr">
        <is>
          <t>KODEX 단기채권PLUS</t>
        </is>
      </c>
      <c r="B63" s="93" t="inlineStr">
        <is>
          <t>214980</t>
        </is>
      </c>
      <c r="C63" s="93" t="inlineStr">
        <is>
          <t>삼성자산운용(ETF)</t>
        </is>
      </c>
      <c r="D63" s="94" t="n">
        <v>114495</v>
      </c>
      <c r="E63" s="94" t="n">
        <v>1945041060000</v>
      </c>
      <c r="F63" s="94" t="n">
        <v>3761931445</v>
      </c>
      <c r="G63" s="74" t="n">
        <v>0.0015</v>
      </c>
      <c r="H63" s="74" t="n">
        <v>0.0083</v>
      </c>
      <c r="I63" s="74" t="n">
        <v>0.0025</v>
      </c>
      <c r="J63" s="74" t="n">
        <v>0.026944</v>
      </c>
      <c r="K63" s="94" t="n">
        <v>14</v>
      </c>
      <c r="L63" s="95" t="inlineStr">
        <is>
          <t>20260914</t>
        </is>
      </c>
      <c r="M63" s="93" t="inlineStr">
        <is>
          <t>채택</t>
        </is>
      </c>
      <c r="N63" s="93" t="inlineStr"/>
      <c r="O63" s="93" t="inlineStr">
        <is>
          <t>KRW Cash+PLUS Index</t>
        </is>
      </c>
      <c r="P63" s="93" t="inlineStr">
        <is>
          <t>일반</t>
        </is>
      </c>
      <c r="Q63" s="93" t="inlineStr">
        <is>
          <t>채권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IFERROR(INDEX($A$4:$A$593,MATCH(60,$X$4:$X$593,0)),"")</f>
        <v/>
      </c>
    </row>
    <row r="64">
      <c r="A64" s="93" t="inlineStr">
        <is>
          <t>RISE 국고채3년</t>
        </is>
      </c>
      <c r="B64" s="93" t="inlineStr">
        <is>
          <t>114100</t>
        </is>
      </c>
      <c r="C64" s="93" t="inlineStr">
        <is>
          <t>KB자산운용</t>
        </is>
      </c>
      <c r="D64" s="94" t="n">
        <v>105980</v>
      </c>
      <c r="E64" s="94" t="n">
        <v>90083000000</v>
      </c>
      <c r="F64" s="94" t="n">
        <v>639628739</v>
      </c>
      <c r="G64" s="74" t="n">
        <v>0.00115</v>
      </c>
      <c r="H64" s="74" t="n">
        <v>0.0253</v>
      </c>
      <c r="I64" s="74" t="n">
        <v>0.005600000000000001</v>
      </c>
      <c r="J64" s="74" t="n">
        <v>0.026769</v>
      </c>
      <c r="K64" s="94" t="n">
        <v>20</v>
      </c>
      <c r="L64" s="95" t="inlineStr">
        <is>
          <t>20260908</t>
        </is>
      </c>
      <c r="M64" s="93" t="inlineStr">
        <is>
          <t>채택</t>
        </is>
      </c>
      <c r="N64" s="93" t="inlineStr"/>
      <c r="O64" s="93" t="inlineStr">
        <is>
          <t>KTB Index</t>
        </is>
      </c>
      <c r="P64" s="93" t="inlineStr">
        <is>
          <t>일반</t>
        </is>
      </c>
      <c r="Q64" s="93" t="inlineStr">
        <is>
          <t>채권</t>
        </is>
      </c>
      <c r="R64" s="93" t="inlineStr">
        <is>
          <t>분기배당</t>
        </is>
      </c>
      <c r="S64" s="94" t="n">
        <v>4</v>
      </c>
      <c r="T64" s="74" t="n">
        <v>1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IFERROR(INDEX($A$4:$A$593,MATCH(61,$X$4:$X$593,0)),"")</f>
        <v/>
      </c>
    </row>
    <row r="65">
      <c r="A65" s="93" t="inlineStr">
        <is>
          <t>TIGER 차이나CSI300</t>
        </is>
      </c>
      <c r="B65" s="93" t="inlineStr">
        <is>
          <t>192090</t>
        </is>
      </c>
      <c r="C65" s="93" t="inlineStr">
        <is>
          <t>미래에셋자산운용</t>
        </is>
      </c>
      <c r="D65" s="94" t="n">
        <v>11685</v>
      </c>
      <c r="E65" s="94" t="n">
        <v>119771250000</v>
      </c>
      <c r="F65" s="94" t="n">
        <v>746569845</v>
      </c>
      <c r="G65" s="74" t="n">
        <v>0.0063</v>
      </c>
      <c r="H65" s="74" t="n">
        <v>0.2273</v>
      </c>
      <c r="I65" s="74" t="n">
        <v>0.0242</v>
      </c>
      <c r="J65" s="74" t="n">
        <v>0.02653</v>
      </c>
      <c r="K65" s="94" t="n">
        <v>5</v>
      </c>
      <c r="L65" s="95" t="inlineStr">
        <is>
          <t>20251229</t>
        </is>
      </c>
      <c r="M65" s="93" t="inlineStr">
        <is>
          <t>채택</t>
        </is>
      </c>
      <c r="N65" s="93" t="inlineStr"/>
      <c r="O65" s="93" t="inlineStr">
        <is>
          <t>CSI 300 INDEX</t>
        </is>
      </c>
      <c r="P65" s="93" t="inlineStr">
        <is>
          <t>일반</t>
        </is>
      </c>
      <c r="Q65" s="93" t="inlineStr">
        <is>
          <t>주식</t>
        </is>
      </c>
      <c r="R65" s="93" t="inlineStr">
        <is>
          <t>연배당</t>
        </is>
      </c>
      <c r="S65" s="94" t="n">
        <v>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IFERROR(INDEX($A$4:$A$593,MATCH(62,$X$4:$X$593,0)),"")</f>
        <v/>
      </c>
    </row>
    <row r="66">
      <c r="A66" s="93" t="inlineStr">
        <is>
          <t>KODEX KOFR금리액티브(합성)</t>
        </is>
      </c>
      <c r="B66" s="93" t="inlineStr">
        <is>
          <t>423160</t>
        </is>
      </c>
      <c r="C66" s="93" t="inlineStr">
        <is>
          <t>삼성자산운용(ETF)</t>
        </is>
      </c>
      <c r="D66" s="94" t="n">
        <v>110680</v>
      </c>
      <c r="E66" s="94" t="n">
        <v>3706783880000</v>
      </c>
      <c r="F66" s="94" t="n">
        <v>10798999885</v>
      </c>
      <c r="G66" s="74" t="n">
        <v>0.0005</v>
      </c>
      <c r="H66" s="74" t="n">
        <v>0.0075</v>
      </c>
      <c r="I66" s="74" t="n">
        <v>0.0024</v>
      </c>
      <c r="J66" s="74" t="n">
        <v>0.026391</v>
      </c>
      <c r="K66" s="94" t="n">
        <v>15</v>
      </c>
      <c r="L66" s="95" t="inlineStr">
        <is>
          <t>20260929</t>
        </is>
      </c>
      <c r="M66" s="93" t="inlineStr">
        <is>
          <t>채택</t>
        </is>
      </c>
      <c r="N66" s="93" t="inlineStr"/>
      <c r="O66" s="93" t="inlineStr">
        <is>
          <t>KOFR 인덱스</t>
        </is>
      </c>
      <c r="P66" s="93" t="inlineStr">
        <is>
          <t>일반</t>
        </is>
      </c>
      <c r="Q66" s="93" t="inlineStr">
        <is>
          <t>단기자금(파킹형)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IFERROR(INDEX($A$4:$A$593,MATCH(63,$X$4:$X$593,0)),"")</f>
        <v/>
      </c>
    </row>
    <row r="67">
      <c r="A67" s="93" t="inlineStr">
        <is>
          <t>KODEX TRF3070</t>
        </is>
      </c>
      <c r="B67" s="93" t="inlineStr">
        <is>
          <t>329650</t>
        </is>
      </c>
      <c r="C67" s="93" t="inlineStr">
        <is>
          <t>삼성자산운용(ETF)</t>
        </is>
      </c>
      <c r="D67" s="94" t="n">
        <v>13965</v>
      </c>
      <c r="E67" s="94" t="n">
        <v>230422500000</v>
      </c>
      <c r="F67" s="94" t="n">
        <v>664015630</v>
      </c>
      <c r="G67" s="74" t="n">
        <v>0.0024</v>
      </c>
      <c r="H67" s="74" t="n">
        <v>0.0487</v>
      </c>
      <c r="I67" s="74" t="n">
        <v>0.0022</v>
      </c>
      <c r="J67" s="74" t="n">
        <v>0.025994</v>
      </c>
      <c r="K67" s="94" t="n">
        <v>14</v>
      </c>
      <c r="L67" s="95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FnGuide TRF 3070 지수</t>
        </is>
      </c>
      <c r="P67" s="93" t="inlineStr">
        <is>
          <t>일반</t>
        </is>
      </c>
      <c r="Q67" s="93" t="inlineStr">
        <is>
          <t>멀티에셋</t>
        </is>
      </c>
      <c r="R67" s="93" t="inlineStr">
        <is>
          <t>월배당</t>
        </is>
      </c>
      <c r="S67" s="94" t="n">
        <v>11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IFERROR(INDEX($A$4:$A$593,MATCH(64,$X$4:$X$593,0)),"")</f>
        <v/>
      </c>
    </row>
    <row r="68">
      <c r="A68" s="93" t="inlineStr">
        <is>
          <t>RISE 중기우량회사채</t>
        </is>
      </c>
      <c r="B68" s="93" t="inlineStr">
        <is>
          <t>136340</t>
        </is>
      </c>
      <c r="C68" s="93" t="inlineStr">
        <is>
          <t>KB자산운용</t>
        </is>
      </c>
      <c r="D68" s="94" t="n">
        <v>103845</v>
      </c>
      <c r="E68" s="94" t="n">
        <v>287235270000</v>
      </c>
      <c r="F68" s="94" t="n">
        <v>586702024</v>
      </c>
      <c r="G68" s="74" t="n">
        <v>0.0007000000000000001</v>
      </c>
      <c r="H68" s="74" t="n">
        <v>0.0212</v>
      </c>
      <c r="I68" s="74" t="n">
        <v>0.0023</v>
      </c>
      <c r="J68" s="74" t="n">
        <v>0.025991</v>
      </c>
      <c r="K68" s="94" t="n">
        <v>46</v>
      </c>
      <c r="L68" s="95" t="inlineStr">
        <is>
          <t>20260929</t>
        </is>
      </c>
      <c r="M68" s="93" t="inlineStr">
        <is>
          <t>채택</t>
        </is>
      </c>
      <c r="N68" s="93" t="inlineStr"/>
      <c r="O68" s="93" t="inlineStr">
        <is>
          <t>KOBI Credit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월배당</t>
        </is>
      </c>
      <c r="S68" s="94" t="n">
        <v>11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IFERROR(INDEX($A$4:$A$593,MATCH(65,$X$4:$X$593,0)),"")</f>
        <v/>
      </c>
    </row>
    <row r="69">
      <c r="A69" s="93" t="inlineStr">
        <is>
          <t>KODEX 단기변동금리부채권액티브</t>
        </is>
      </c>
      <c r="B69" s="93" t="inlineStr">
        <is>
          <t>273140</t>
        </is>
      </c>
      <c r="C69" s="93" t="inlineStr">
        <is>
          <t>삼성자산운용(ETF)</t>
        </is>
      </c>
      <c r="D69" s="94" t="n">
        <v>114655</v>
      </c>
      <c r="E69" s="94" t="n">
        <v>279872855000</v>
      </c>
      <c r="F69" s="94" t="n">
        <v>507329800</v>
      </c>
      <c r="G69" s="74" t="n">
        <v>0.0015</v>
      </c>
      <c r="H69" s="74" t="n">
        <v>0.0077</v>
      </c>
      <c r="I69" s="74" t="n">
        <v>0.0023</v>
      </c>
      <c r="J69" s="74" t="n">
        <v>0.02552</v>
      </c>
      <c r="K69" s="94" t="n">
        <v>14</v>
      </c>
      <c r="L69" s="95" t="inlineStr">
        <is>
          <t>20260914</t>
        </is>
      </c>
      <c r="M69" s="93" t="inlineStr">
        <is>
          <t>채택</t>
        </is>
      </c>
      <c r="N69" s="93" t="inlineStr"/>
      <c r="O69" s="93" t="inlineStr">
        <is>
          <t>KAP 단기변동금리부 은행채</t>
        </is>
      </c>
      <c r="P69" s="93" t="inlineStr">
        <is>
          <t>일반</t>
        </is>
      </c>
      <c r="Q69" s="93" t="inlineStr">
        <is>
          <t>채권</t>
        </is>
      </c>
      <c r="R69" s="93" t="inlineStr">
        <is>
          <t>월배당</t>
        </is>
      </c>
      <c r="S69" s="94" t="n">
        <v>11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IFERROR(INDEX($A$4:$A$593,MATCH(66,$X$4:$X$593,0)),"")</f>
        <v/>
      </c>
    </row>
    <row r="70">
      <c r="A70" s="93" t="inlineStr">
        <is>
          <t>ACE 단기통안채</t>
        </is>
      </c>
      <c r="B70" s="93" t="inlineStr">
        <is>
          <t>190620</t>
        </is>
      </c>
      <c r="C70" s="93" t="inlineStr">
        <is>
          <t>한국투신운용(ETF)</t>
        </is>
      </c>
      <c r="D70" s="94" t="n">
        <v>102180</v>
      </c>
      <c r="E70" s="94" t="n">
        <v>261274260000</v>
      </c>
      <c r="F70" s="94" t="n">
        <v>2327377976</v>
      </c>
      <c r="G70" s="74" t="n">
        <v>0.0007000000000000001</v>
      </c>
      <c r="H70" s="74" t="n">
        <v>0.0255</v>
      </c>
      <c r="I70" s="74" t="n">
        <v>0.0251</v>
      </c>
      <c r="J70" s="74" t="n">
        <v>0.02525</v>
      </c>
      <c r="K70" s="94" t="n">
        <v>5</v>
      </c>
      <c r="L70" s="95" t="inlineStr">
        <is>
          <t>20251229</t>
        </is>
      </c>
      <c r="M70" s="93" t="inlineStr">
        <is>
          <t>채택</t>
        </is>
      </c>
      <c r="N70" s="93" t="inlineStr"/>
      <c r="O70" s="93" t="inlineStr">
        <is>
          <t>KIS MSB 단기 Index</t>
        </is>
      </c>
      <c r="P70" s="93" t="inlineStr">
        <is>
          <t>일반</t>
        </is>
      </c>
      <c r="Q70" s="93" t="inlineStr">
        <is>
          <t>채권</t>
        </is>
      </c>
      <c r="R70" s="93" t="inlineStr">
        <is>
          <t>연배당</t>
        </is>
      </c>
      <c r="S70" s="94" t="n">
        <v>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IFERROR(INDEX($A$4:$A$593,MATCH(67,$X$4:$X$593,0)),"")</f>
        <v/>
      </c>
    </row>
    <row r="71">
      <c r="A71" s="93" t="inlineStr">
        <is>
          <t>KODEX 단기채권</t>
        </is>
      </c>
      <c r="B71" s="93" t="inlineStr">
        <is>
          <t>153130</t>
        </is>
      </c>
      <c r="C71" s="93" t="inlineStr">
        <is>
          <t>삼성자산운용(ETF)</t>
        </is>
      </c>
      <c r="D71" s="94" t="n">
        <v>113245</v>
      </c>
      <c r="E71" s="94" t="n">
        <v>975605675000</v>
      </c>
      <c r="F71" s="94" t="n">
        <v>3822426139</v>
      </c>
      <c r="G71" s="74" t="n">
        <v>0.0015</v>
      </c>
      <c r="H71" s="74" t="n">
        <v>0.007800000000000001</v>
      </c>
      <c r="I71" s="74" t="n">
        <v>0.0022</v>
      </c>
      <c r="J71" s="74" t="n">
        <v>0.025149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KRW Cash Index</t>
        </is>
      </c>
      <c r="P71" s="93" t="inlineStr">
        <is>
          <t>일반</t>
        </is>
      </c>
      <c r="Q71" s="93" t="inlineStr">
        <is>
          <t>채권</t>
        </is>
      </c>
      <c r="R71" s="93" t="inlineStr">
        <is>
          <t>월배당</t>
        </is>
      </c>
      <c r="S71" s="94" t="n">
        <v>11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IFERROR(INDEX($A$4:$A$593,MATCH(68,$X$4:$X$593,0)),"")</f>
        <v/>
      </c>
    </row>
    <row r="72">
      <c r="A72" s="93" t="inlineStr">
        <is>
          <t>KODEX 차이나CSI300</t>
        </is>
      </c>
      <c r="B72" s="93" t="inlineStr">
        <is>
          <t>283580</t>
        </is>
      </c>
      <c r="C72" s="93" t="inlineStr">
        <is>
          <t>삼성자산운용(ETF)</t>
        </is>
      </c>
      <c r="D72" s="94" t="n">
        <v>14305</v>
      </c>
      <c r="E72" s="94" t="n">
        <v>234602000000</v>
      </c>
      <c r="F72" s="94" t="n">
        <v>1994235995</v>
      </c>
      <c r="G72" s="74" t="n">
        <v>0.0012</v>
      </c>
      <c r="H72" s="74" t="n">
        <v>0.2216</v>
      </c>
      <c r="I72" s="74" t="n">
        <v>0.007900000000000001</v>
      </c>
      <c r="J72" s="74" t="n">
        <v>0.024257</v>
      </c>
      <c r="K72" s="94" t="n">
        <v>7</v>
      </c>
      <c r="L72" s="95" t="inlineStr">
        <is>
          <t>20260730</t>
        </is>
      </c>
      <c r="M72" s="93" t="inlineStr">
        <is>
          <t>채택</t>
        </is>
      </c>
      <c r="N72" s="93" t="inlineStr"/>
      <c r="O72" s="93" t="inlineStr">
        <is>
          <t>CSI 300 INDEX</t>
        </is>
      </c>
      <c r="P72" s="93" t="inlineStr">
        <is>
          <t>일반</t>
        </is>
      </c>
      <c r="Q72" s="93" t="inlineStr">
        <is>
          <t>주식</t>
        </is>
      </c>
      <c r="R72" s="93" t="inlineStr">
        <is>
          <t>분기배당</t>
        </is>
      </c>
      <c r="S72" s="94" t="n">
        <v>3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IFERROR(INDEX($A$4:$A$593,MATCH(69,$X$4:$X$593,0)),"")</f>
        <v/>
      </c>
    </row>
    <row r="73">
      <c r="A73" s="93" t="inlineStr">
        <is>
          <t>ACE 미국S&amp;P500미국채혼합50액티브</t>
        </is>
      </c>
      <c r="B73" s="93" t="inlineStr">
        <is>
          <t>438080</t>
        </is>
      </c>
      <c r="C73" s="93" t="inlineStr">
        <is>
          <t>한국투자신탁운용</t>
        </is>
      </c>
      <c r="D73" s="94" t="n">
        <v>13835</v>
      </c>
      <c r="E73" s="94" t="n">
        <v>1238232500000</v>
      </c>
      <c r="F73" s="94" t="n">
        <v>6962535375</v>
      </c>
      <c r="G73" s="74" t="n">
        <v>0.0015</v>
      </c>
      <c r="H73" s="74" t="n">
        <v>0.0992</v>
      </c>
      <c r="I73" s="74" t="n">
        <v>0.0236</v>
      </c>
      <c r="J73" s="74" t="n">
        <v>0.024142</v>
      </c>
      <c r="K73" s="94" t="n">
        <v>1</v>
      </c>
      <c r="L73" s="95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S&amp;P 500 and Short-Term Treasury 50/50 Blend Index (USD)</t>
        </is>
      </c>
      <c r="P73" s="93" t="inlineStr">
        <is>
          <t>일반</t>
        </is>
      </c>
      <c r="Q73" s="93" t="inlineStr">
        <is>
          <t>멀티에셋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IFERROR(INDEX($A$4:$A$593,MATCH(70,$X$4:$X$593,0)),"")</f>
        <v/>
      </c>
    </row>
    <row r="74">
      <c r="A74" s="93" t="inlineStr">
        <is>
          <t>SOL 종합채권(AA-이상)액티브</t>
        </is>
      </c>
      <c r="B74" s="93" t="inlineStr">
        <is>
          <t>436140</t>
        </is>
      </c>
      <c r="C74" s="93" t="inlineStr">
        <is>
          <t>신한자산운용</t>
        </is>
      </c>
      <c r="D74" s="94" t="n">
        <v>106425</v>
      </c>
      <c r="E74" s="94" t="n">
        <v>1279122075000</v>
      </c>
      <c r="F74" s="94" t="n">
        <v>1186427801</v>
      </c>
      <c r="G74" s="74" t="n">
        <v>0.0004</v>
      </c>
      <c r="H74" s="74" t="n">
        <v>0.0455</v>
      </c>
      <c r="I74" s="74" t="n">
        <v>0.0212</v>
      </c>
      <c r="J74" s="74" t="n">
        <v>0.022363</v>
      </c>
      <c r="K74" s="94" t="n">
        <v>1</v>
      </c>
      <c r="L74" s="95" t="inlineStr">
        <is>
          <t>20251212</t>
        </is>
      </c>
      <c r="M74" s="93" t="inlineStr">
        <is>
          <t>채택</t>
        </is>
      </c>
      <c r="N74" s="93" t="inlineStr"/>
      <c r="O74" s="93" t="inlineStr">
        <is>
          <t>KAP K-종합채권지수(AA-이상, 총수익)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연배당</t>
        </is>
      </c>
      <c r="S74" s="94" t="n">
        <v>1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IFERROR(INDEX($A$4:$A$593,MATCH(71,$X$4:$X$593,0)),"")</f>
        <v/>
      </c>
    </row>
    <row r="75">
      <c r="A75" s="93" t="inlineStr">
        <is>
          <t>TIGER 미국S&amp;P500배당귀족</t>
        </is>
      </c>
      <c r="B75" s="93" t="inlineStr">
        <is>
          <t>429000</t>
        </is>
      </c>
      <c r="C75" s="93" t="inlineStr">
        <is>
          <t>미래에셋자산운용</t>
        </is>
      </c>
      <c r="D75" s="94" t="n">
        <v>12470</v>
      </c>
      <c r="E75" s="94" t="n">
        <v>179568000000</v>
      </c>
      <c r="F75" s="94" t="n">
        <v>1339326373</v>
      </c>
      <c r="G75" s="74" t="n">
        <v>0.0025</v>
      </c>
      <c r="H75" s="74" t="n">
        <v>0.1467</v>
      </c>
      <c r="I75" s="74" t="n">
        <v>0.002</v>
      </c>
      <c r="J75" s="74" t="n">
        <v>0.022133</v>
      </c>
      <c r="K75" s="94" t="n">
        <v>49</v>
      </c>
      <c r="L75" s="95" t="inlineStr">
        <is>
          <t>20260929</t>
        </is>
      </c>
      <c r="M75" s="93" t="inlineStr">
        <is>
          <t>채택</t>
        </is>
      </c>
      <c r="N75" s="93" t="inlineStr"/>
      <c r="O75" s="93" t="inlineStr">
        <is>
          <t>S&amp;P 500 Dividend Aristocrats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월배당</t>
        </is>
      </c>
      <c r="S75" s="94" t="n">
        <v>11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IFERROR(INDEX($A$4:$A$593,MATCH(72,$X$4:$X$593,0)),"")</f>
        <v/>
      </c>
    </row>
    <row r="76">
      <c r="A76" s="93" t="inlineStr">
        <is>
          <t>TIGER 일본엔선물</t>
        </is>
      </c>
      <c r="B76" s="93" t="inlineStr">
        <is>
          <t>292560</t>
        </is>
      </c>
      <c r="C76" s="93" t="inlineStr">
        <is>
          <t>미래에셋자산운용</t>
        </is>
      </c>
      <c r="D76" s="94" t="n">
        <v>7945</v>
      </c>
      <c r="E76" s="94" t="n">
        <v>51642500000</v>
      </c>
      <c r="F76" s="94" t="n">
        <v>657124972</v>
      </c>
      <c r="G76" s="74" t="n">
        <v>0.0025</v>
      </c>
      <c r="H76" s="74" t="n">
        <v>0.1028</v>
      </c>
      <c r="I76" s="74" t="n">
        <v>0.0194</v>
      </c>
      <c r="J76" s="74" t="n">
        <v>0.021397</v>
      </c>
      <c r="K76" s="94" t="n">
        <v>1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엔선물 지수</t>
        </is>
      </c>
      <c r="P76" s="93" t="inlineStr">
        <is>
          <t>일반</t>
        </is>
      </c>
      <c r="Q76" s="93" t="inlineStr">
        <is>
          <t>통화</t>
        </is>
      </c>
      <c r="R76" s="93" t="inlineStr">
        <is>
          <t>연배당</t>
        </is>
      </c>
      <c r="S76" s="94" t="n">
        <v>1</v>
      </c>
      <c r="T76" s="74" t="n">
        <v>0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IFERROR(INDEX($A$4:$A$593,MATCH(73,$X$4:$X$593,0)),"")</f>
        <v/>
      </c>
    </row>
    <row r="77">
      <c r="A77" s="93" t="inlineStr">
        <is>
          <t>KODEX 삼성전자채권혼합</t>
        </is>
      </c>
      <c r="B77" s="93" t="inlineStr">
        <is>
          <t>448330</t>
        </is>
      </c>
      <c r="C77" s="93" t="inlineStr">
        <is>
          <t>삼성자산운용(ETF)</t>
        </is>
      </c>
      <c r="D77" s="94" t="n">
        <v>17715</v>
      </c>
      <c r="E77" s="94" t="n">
        <v>1309138500000</v>
      </c>
      <c r="F77" s="94" t="n">
        <v>13365341431</v>
      </c>
      <c r="G77" s="74" t="n">
        <v>0.0007000000000000001</v>
      </c>
      <c r="H77" s="74" t="n">
        <v>0.2307</v>
      </c>
      <c r="I77" s="74" t="n">
        <v>0.0021</v>
      </c>
      <c r="J77" s="74" t="n">
        <v>0.020435</v>
      </c>
      <c r="K77" s="94" t="n">
        <v>24</v>
      </c>
      <c r="L77" s="95" t="inlineStr">
        <is>
          <t>20260914</t>
        </is>
      </c>
      <c r="M77" s="93" t="inlineStr">
        <is>
          <t>채택</t>
        </is>
      </c>
      <c r="N77" s="93" t="inlineStr"/>
      <c r="O77" s="93" t="inlineStr">
        <is>
          <t>Wise 삼성전자 채권혼합 지수</t>
        </is>
      </c>
      <c r="P77" s="93" t="inlineStr">
        <is>
          <t>일반</t>
        </is>
      </c>
      <c r="Q77" s="93" t="inlineStr">
        <is>
          <t>멀티에셋</t>
        </is>
      </c>
      <c r="R77" s="93" t="inlineStr">
        <is>
          <t>월배당</t>
        </is>
      </c>
      <c r="S77" s="94" t="n">
        <v>11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IFERROR(INDEX($A$4:$A$593,MATCH(74,$X$4:$X$593,0)),"")</f>
        <v/>
      </c>
    </row>
    <row r="78">
      <c r="A78" s="93" t="inlineStr">
        <is>
          <t>KODEX 미국S&amp;P500</t>
        </is>
      </c>
      <c r="B78" s="93" t="inlineStr">
        <is>
          <t>379800</t>
        </is>
      </c>
      <c r="C78" s="93" t="inlineStr">
        <is>
          <t>삼성자산운용(ETF)</t>
        </is>
      </c>
      <c r="D78" s="94" t="n">
        <v>23610</v>
      </c>
      <c r="E78" s="94" t="n">
        <v>10441522500000</v>
      </c>
      <c r="F78" s="94" t="n">
        <v>660669192978</v>
      </c>
      <c r="G78" s="74" t="n">
        <v>6.2e-05</v>
      </c>
      <c r="H78" s="74" t="n">
        <v>0.1473</v>
      </c>
      <c r="I78" s="74" t="n">
        <v>0.0054</v>
      </c>
      <c r="J78" s="74" t="n">
        <v>0.020288</v>
      </c>
      <c r="K78" s="94" t="n">
        <v>6</v>
      </c>
      <c r="L78" s="95" t="inlineStr">
        <is>
          <t>20260730</t>
        </is>
      </c>
      <c r="M78" s="93" t="inlineStr">
        <is>
          <t>채택</t>
        </is>
      </c>
      <c r="N78" s="93" t="inlineStr"/>
      <c r="O78" s="93" t="inlineStr">
        <is>
          <t>S&amp;P 500</t>
        </is>
      </c>
      <c r="P78" s="93" t="inlineStr">
        <is>
          <t>일반</t>
        </is>
      </c>
      <c r="Q78" s="93" t="inlineStr">
        <is>
          <t>주식</t>
        </is>
      </c>
      <c r="R78" s="93" t="inlineStr">
        <is>
          <t>분기배당</t>
        </is>
      </c>
      <c r="S78" s="94" t="n">
        <v>3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IFERROR(INDEX($A$4:$A$593,MATCH(75,$X$4:$X$593,0)),"")</f>
        <v/>
      </c>
    </row>
    <row r="79">
      <c r="A79" s="93" t="inlineStr">
        <is>
          <t>SOL 미국S&amp;P500미국채혼합50</t>
        </is>
      </c>
      <c r="B79" s="93" t="inlineStr">
        <is>
          <t>0080X0</t>
        </is>
      </c>
      <c r="C79" s="93" t="inlineStr">
        <is>
          <t>신한자산운용</t>
        </is>
      </c>
      <c r="D79" s="94" t="n">
        <v>10625</v>
      </c>
      <c r="E79" s="94" t="n">
        <v>74375000000</v>
      </c>
      <c r="F79" s="94" t="n">
        <v>707997400</v>
      </c>
      <c r="G79" s="74" t="n">
        <v>0.0015</v>
      </c>
      <c r="H79" s="74" t="n">
        <v>0.1094</v>
      </c>
      <c r="I79" s="74" t="n">
        <v>0.0019</v>
      </c>
      <c r="J79" s="74" t="n">
        <v>0.020235</v>
      </c>
      <c r="K79" s="94" t="n">
        <v>13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S&amp;P 500 and iBoxx $ Treasuries 7-10Y 50/50 Blend Index (USD)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11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IFERROR(INDEX($A$4:$A$593,MATCH(76,$X$4:$X$593,0)),"")</f>
        <v/>
      </c>
    </row>
    <row r="80">
      <c r="A80" s="93" t="inlineStr">
        <is>
          <t>KODEX 국고채30년액티브</t>
        </is>
      </c>
      <c r="B80" s="93" t="inlineStr">
        <is>
          <t>439870</t>
        </is>
      </c>
      <c r="C80" s="93" t="inlineStr">
        <is>
          <t>삼성자산운용(ETF)</t>
        </is>
      </c>
      <c r="D80" s="94" t="n">
        <v>88195</v>
      </c>
      <c r="E80" s="94" t="n">
        <v>273757280000</v>
      </c>
      <c r="F80" s="94" t="n">
        <v>658969170</v>
      </c>
      <c r="G80" s="74" t="n">
        <v>0.0005</v>
      </c>
      <c r="H80" s="74" t="n">
        <v>0.1387</v>
      </c>
      <c r="I80" s="74" t="n">
        <v>0.0154</v>
      </c>
      <c r="J80" s="74" t="n">
        <v>0.019309</v>
      </c>
      <c r="K80" s="94" t="n">
        <v>1</v>
      </c>
      <c r="L80" s="95" t="inlineStr">
        <is>
          <t>20251212</t>
        </is>
      </c>
      <c r="M80" s="93" t="inlineStr">
        <is>
          <t>채택</t>
        </is>
      </c>
      <c r="N80" s="93" t="inlineStr"/>
      <c r="O80" s="93" t="inlineStr">
        <is>
          <t>KAP 국고채 30년 총수익 지수</t>
        </is>
      </c>
      <c r="P80" s="93" t="inlineStr">
        <is>
          <t>일반</t>
        </is>
      </c>
      <c r="Q80" s="93" t="inlineStr">
        <is>
          <t>채권</t>
        </is>
      </c>
      <c r="R80" s="93" t="inlineStr">
        <is>
          <t>연배당</t>
        </is>
      </c>
      <c r="S80" s="94" t="n">
        <v>1</v>
      </c>
      <c r="T80" s="74" t="n">
        <v>1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IFERROR(INDEX($A$4:$A$593,MATCH(77,$X$4:$X$593,0)),"")</f>
        <v/>
      </c>
    </row>
    <row r="81">
      <c r="A81" s="93" t="inlineStr">
        <is>
          <t>ACE 미국나스닥100미국채혼합50액티브</t>
        </is>
      </c>
      <c r="B81" s="93" t="inlineStr">
        <is>
          <t>438100</t>
        </is>
      </c>
      <c r="C81" s="93" t="inlineStr">
        <is>
          <t>한국투자신탁운용</t>
        </is>
      </c>
      <c r="D81" s="94" t="n">
        <v>15300</v>
      </c>
      <c r="E81" s="94" t="n">
        <v>953190000000</v>
      </c>
      <c r="F81" s="94" t="n">
        <v>5153238513</v>
      </c>
      <c r="G81" s="74" t="n">
        <v>0.0015</v>
      </c>
      <c r="H81" s="74" t="n">
        <v>0.1143</v>
      </c>
      <c r="I81" s="74" t="n">
        <v>0.0193</v>
      </c>
      <c r="J81" s="74" t="n">
        <v>0.018824</v>
      </c>
      <c r="K81" s="94" t="n">
        <v>1</v>
      </c>
      <c r="L81" s="95" t="inlineStr">
        <is>
          <t>20251229</t>
        </is>
      </c>
      <c r="M81" s="93" t="inlineStr">
        <is>
          <t>채택</t>
        </is>
      </c>
      <c r="N81" s="93" t="inlineStr"/>
      <c r="O81" s="93" t="inlineStr">
        <is>
          <t>Nasdaq-100 US T-Bills 30/70 Index</t>
        </is>
      </c>
      <c r="P81" s="93" t="inlineStr">
        <is>
          <t>일반</t>
        </is>
      </c>
      <c r="Q81" s="93" t="inlineStr">
        <is>
          <t>멀티에셋</t>
        </is>
      </c>
      <c r="R81" s="93" t="inlineStr">
        <is>
          <t>연배당</t>
        </is>
      </c>
      <c r="S81" s="94" t="n">
        <v>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IFERROR(INDEX($A$4:$A$593,MATCH(78,$X$4:$X$593,0)),"")</f>
        <v/>
      </c>
    </row>
    <row r="82">
      <c r="A82" s="93" t="inlineStr">
        <is>
          <t>KIWOOM 미국원유에너지기업</t>
        </is>
      </c>
      <c r="B82" s="93" t="inlineStr">
        <is>
          <t>474800</t>
        </is>
      </c>
      <c r="C82" s="93" t="inlineStr">
        <is>
          <t>키움투자자산운용</t>
        </is>
      </c>
      <c r="D82" s="94" t="n">
        <v>15145</v>
      </c>
      <c r="E82" s="94" t="n">
        <v>31804500000</v>
      </c>
      <c r="F82" s="94" t="n">
        <v>952459522</v>
      </c>
      <c r="G82" s="74" t="n">
        <v>0.0029</v>
      </c>
      <c r="H82" s="74" t="n">
        <v>0.2423</v>
      </c>
      <c r="I82" s="74" t="n">
        <v>0.0046</v>
      </c>
      <c r="J82" s="74" t="n">
        <v>0.017894</v>
      </c>
      <c r="K82" s="94" t="n">
        <v>7</v>
      </c>
      <c r="L82" s="95" t="inlineStr">
        <is>
          <t>20260730</t>
        </is>
      </c>
      <c r="M82" s="93" t="inlineStr">
        <is>
          <t>채택</t>
        </is>
      </c>
      <c r="N82" s="93" t="inlineStr"/>
      <c r="O82" s="93" t="inlineStr">
        <is>
          <t>MSCI US IMI/ENERGY 25-50 Index(PR)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분기배당</t>
        </is>
      </c>
      <c r="S82" s="94" t="n">
        <v>3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IFERROR(INDEX($A$4:$A$593,MATCH(79,$X$4:$X$593,0)),"")</f>
        <v/>
      </c>
    </row>
    <row r="83">
      <c r="A83" s="93" t="inlineStr">
        <is>
          <t>KODEX TDF2040액티브 적격</t>
        </is>
      </c>
      <c r="B83" s="93" t="inlineStr">
        <is>
          <t>433980</t>
        </is>
      </c>
      <c r="C83" s="93" t="inlineStr">
        <is>
          <t>삼성자산운용(ETF)</t>
        </is>
      </c>
      <c r="D83" s="94" t="n">
        <v>15720</v>
      </c>
      <c r="E83" s="94" t="n">
        <v>191784000000</v>
      </c>
      <c r="F83" s="94" t="n">
        <v>901950235</v>
      </c>
      <c r="G83" s="74" t="n">
        <v>0.0025</v>
      </c>
      <c r="H83" s="74" t="n">
        <v>0.1006</v>
      </c>
      <c r="I83" s="74" t="n">
        <v>0.006500000000000001</v>
      </c>
      <c r="J83" s="74" t="n">
        <v>0.017748</v>
      </c>
      <c r="K83" s="94" t="n">
        <v>11</v>
      </c>
      <c r="L83" s="95" t="inlineStr">
        <is>
          <t>20260730</t>
        </is>
      </c>
      <c r="M83" s="93" t="inlineStr">
        <is>
          <t>채택</t>
        </is>
      </c>
      <c r="N83" s="93" t="inlineStr"/>
      <c r="O83" s="93" t="inlineStr">
        <is>
          <t>Samsung Korea Target Date 2040 Index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분기배당</t>
        </is>
      </c>
      <c r="S83" s="94" t="n">
        <v>3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IFERROR(INDEX($A$4:$A$593,MATCH(80,$X$4:$X$593,0)),"")</f>
        <v/>
      </c>
    </row>
    <row r="84">
      <c r="A84" s="93" t="inlineStr">
        <is>
          <t>TIGER 국고채30년스트립액티브</t>
        </is>
      </c>
      <c r="B84" s="93" t="inlineStr">
        <is>
          <t>451530</t>
        </is>
      </c>
      <c r="C84" s="93" t="inlineStr">
        <is>
          <t>미래에셋자산운용</t>
        </is>
      </c>
      <c r="D84" s="94" t="n">
        <v>35570</v>
      </c>
      <c r="E84" s="94" t="n">
        <v>140501500000</v>
      </c>
      <c r="F84" s="94" t="n">
        <v>1039933956</v>
      </c>
      <c r="G84" s="74" t="n">
        <v>0.0015</v>
      </c>
      <c r="H84" s="74" t="n">
        <v>0.2057</v>
      </c>
      <c r="I84" s="74" t="n">
        <v>0.0114</v>
      </c>
      <c r="J84" s="74" t="n">
        <v>0.017206</v>
      </c>
      <c r="K84" s="94" t="n">
        <v>1</v>
      </c>
      <c r="L84" s="95" t="inlineStr">
        <is>
          <t>20251127</t>
        </is>
      </c>
      <c r="M84" s="93" t="inlineStr">
        <is>
          <t>채택</t>
        </is>
      </c>
      <c r="N84" s="93" t="inlineStr"/>
      <c r="O84" s="93" t="inlineStr">
        <is>
          <t>KIS STRIP 30Y Index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IFERROR(INDEX($A$4:$A$593,MATCH(81,$X$4:$X$593,0)),"")</f>
        <v/>
      </c>
    </row>
    <row r="85">
      <c r="A85" s="93" t="inlineStr">
        <is>
          <t>TIGER 여행레저</t>
        </is>
      </c>
      <c r="B85" s="93" t="inlineStr">
        <is>
          <t>228800</t>
        </is>
      </c>
      <c r="C85" s="93" t="inlineStr">
        <is>
          <t>미래에셋자산운용</t>
        </is>
      </c>
      <c r="D85" s="94" t="n">
        <v>2630</v>
      </c>
      <c r="E85" s="94" t="n">
        <v>67617300000</v>
      </c>
      <c r="F85" s="94" t="n">
        <v>625047844</v>
      </c>
      <c r="G85" s="74" t="n">
        <v>0.005</v>
      </c>
      <c r="H85" s="74" t="n">
        <v>0.3287</v>
      </c>
      <c r="I85" s="74" t="n">
        <v>0.013</v>
      </c>
      <c r="J85" s="74" t="n">
        <v>0.01711</v>
      </c>
      <c r="K85" s="94" t="n">
        <v>5</v>
      </c>
      <c r="L85" s="95" t="inlineStr">
        <is>
          <t>20260429</t>
        </is>
      </c>
      <c r="M85" s="93" t="inlineStr">
        <is>
          <t>채택</t>
        </is>
      </c>
      <c r="N85" s="93" t="inlineStr"/>
      <c r="O85" s="93" t="inlineStr">
        <is>
          <t>WISE 여행레저 지수</t>
        </is>
      </c>
      <c r="P85" s="93" t="inlineStr">
        <is>
          <t>일반</t>
        </is>
      </c>
      <c r="Q85" s="93" t="inlineStr">
        <is>
          <t>주식</t>
        </is>
      </c>
      <c r="R85" s="93" t="inlineStr">
        <is>
          <t>연배당</t>
        </is>
      </c>
      <c r="S85" s="94" t="n">
        <v>1</v>
      </c>
      <c r="T85" s="74" t="n">
        <v>0.6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IFERROR(INDEX($A$4:$A$593,MATCH(82,$X$4:$X$593,0)),"")</f>
        <v/>
      </c>
    </row>
    <row r="86">
      <c r="A86" s="93" t="inlineStr">
        <is>
          <t>KODEX 200미국채혼합50</t>
        </is>
      </c>
      <c r="B86" s="93" t="inlineStr">
        <is>
          <t>284430</t>
        </is>
      </c>
      <c r="C86" s="93" t="inlineStr">
        <is>
          <t>삼성자산운용(ETF)</t>
        </is>
      </c>
      <c r="D86" s="94" t="n">
        <v>20680</v>
      </c>
      <c r="E86" s="94" t="n">
        <v>1991897600000</v>
      </c>
      <c r="F86" s="94" t="n">
        <v>21235189341</v>
      </c>
      <c r="G86" s="74" t="n">
        <v>0.0035</v>
      </c>
      <c r="H86" s="74" t="n">
        <v>0.2503</v>
      </c>
      <c r="I86" s="74" t="n">
        <v>0.0013</v>
      </c>
      <c r="J86" s="74" t="n">
        <v>0.016925</v>
      </c>
      <c r="K86" s="94" t="n">
        <v>14</v>
      </c>
      <c r="L86" s="95" t="inlineStr">
        <is>
          <t>20260914</t>
        </is>
      </c>
      <c r="M86" s="93" t="inlineStr">
        <is>
          <t>채택</t>
        </is>
      </c>
      <c r="N86" s="93" t="inlineStr"/>
      <c r="O86" s="93" t="inlineStr">
        <is>
          <t>코스피 200 미국채 혼합지수</t>
        </is>
      </c>
      <c r="P86" s="93" t="inlineStr">
        <is>
          <t>일반</t>
        </is>
      </c>
      <c r="Q86" s="93" t="inlineStr">
        <is>
          <t>멀티에셋</t>
        </is>
      </c>
      <c r="R86" s="93" t="inlineStr">
        <is>
          <t>월배당</t>
        </is>
      </c>
      <c r="S86" s="94" t="n">
        <v>11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IFERROR(INDEX($A$4:$A$593,MATCH(83,$X$4:$X$593,0)),"")</f>
        <v/>
      </c>
    </row>
    <row r="87">
      <c r="A87" s="93" t="inlineStr">
        <is>
          <t>RISE 버크셔포트폴리오TOP10</t>
        </is>
      </c>
      <c r="B87" s="93" t="inlineStr">
        <is>
          <t>475350</t>
        </is>
      </c>
      <c r="C87" s="93" t="inlineStr">
        <is>
          <t>KB자산운용</t>
        </is>
      </c>
      <c r="D87" s="94" t="n">
        <v>14065</v>
      </c>
      <c r="E87" s="94" t="n">
        <v>71731500000</v>
      </c>
      <c r="F87" s="94" t="n">
        <v>606291941</v>
      </c>
      <c r="G87" s="74" t="n">
        <v>0.0001</v>
      </c>
      <c r="H87" s="74" t="n">
        <v>0.1393</v>
      </c>
      <c r="I87" s="74" t="n">
        <v>0.0054</v>
      </c>
      <c r="J87" s="74" t="n">
        <v>0.01685</v>
      </c>
      <c r="K87" s="94" t="n">
        <v>2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Solactive Berkshire Portfolio Top10 Index PR</t>
        </is>
      </c>
      <c r="P87" s="93" t="inlineStr">
        <is>
          <t>일반</t>
        </is>
      </c>
      <c r="Q87" s="93" t="inlineStr">
        <is>
          <t>주식</t>
        </is>
      </c>
      <c r="R87" s="93" t="inlineStr">
        <is>
          <t>반기배당</t>
        </is>
      </c>
      <c r="S87" s="94" t="n">
        <v>2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IFERROR(INDEX($A$4:$A$593,MATCH(84,$X$4:$X$593,0)),"")</f>
        <v/>
      </c>
    </row>
    <row r="88">
      <c r="A88" s="93" t="inlineStr">
        <is>
          <t>PLUS 미국S&amp;P500미국채혼합50액티브</t>
        </is>
      </c>
      <c r="B88" s="93" t="inlineStr">
        <is>
          <t>0057H0</t>
        </is>
      </c>
      <c r="C88" s="93" t="inlineStr">
        <is>
          <t>한화자산운용</t>
        </is>
      </c>
      <c r="D88" s="94" t="n">
        <v>11465</v>
      </c>
      <c r="E88" s="94" t="n">
        <v>79108500000</v>
      </c>
      <c r="F88" s="94" t="n">
        <v>1022356027</v>
      </c>
      <c r="G88" s="74" t="n">
        <v>0.0015</v>
      </c>
      <c r="H88" s="74" t="n">
        <v>0.1019</v>
      </c>
      <c r="I88" s="74" t="n">
        <v>0.0012</v>
      </c>
      <c r="J88" s="74" t="n">
        <v>0.016834</v>
      </c>
      <c r="K88" s="94" t="n">
        <v>11</v>
      </c>
      <c r="L88" s="95" t="inlineStr">
        <is>
          <t>20260929</t>
        </is>
      </c>
      <c r="M88" s="93" t="inlineStr">
        <is>
          <t>채택</t>
        </is>
      </c>
      <c r="N88" s="93" t="inlineStr"/>
      <c r="O88" s="93" t="inlineStr">
        <is>
          <t>S&amp;P500 and U.S. Treasury Bill 0-3 Month 50/50 Blend Index (U</t>
        </is>
      </c>
      <c r="P88" s="93" t="inlineStr">
        <is>
          <t>일반</t>
        </is>
      </c>
      <c r="Q88" s="93" t="inlineStr">
        <is>
          <t>멀티에셋</t>
        </is>
      </c>
      <c r="R88" s="93" t="inlineStr">
        <is>
          <t>월배당</t>
        </is>
      </c>
      <c r="S88" s="94" t="n">
        <v>10</v>
      </c>
      <c r="T88" s="74" t="n">
        <v>1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IFERROR(INDEX($A$4:$A$593,MATCH(85,$X$4:$X$593,0)),"")</f>
        <v/>
      </c>
    </row>
    <row r="89">
      <c r="A89" s="93" t="inlineStr">
        <is>
          <t>1Q 단기금융채액티브</t>
        </is>
      </c>
      <c r="B89" s="93" t="inlineStr">
        <is>
          <t>463290</t>
        </is>
      </c>
      <c r="C89" s="93" t="inlineStr">
        <is>
          <t>하나자산운용</t>
        </is>
      </c>
      <c r="D89" s="94" t="n">
        <v>109520</v>
      </c>
      <c r="E89" s="94" t="n">
        <v>126276560000</v>
      </c>
      <c r="F89" s="94" t="n">
        <v>600398591</v>
      </c>
      <c r="G89" s="74" t="n">
        <v>0.0008</v>
      </c>
      <c r="H89" s="74" t="n">
        <v>0.0168</v>
      </c>
      <c r="I89" s="74" t="n">
        <v>0.0167</v>
      </c>
      <c r="J89" s="74" t="n">
        <v>0.016609</v>
      </c>
      <c r="K89" s="94" t="n">
        <v>1</v>
      </c>
      <c r="L89" s="95" t="inlineStr">
        <is>
          <t>20251229</t>
        </is>
      </c>
      <c r="M89" s="93" t="inlineStr">
        <is>
          <t>채택</t>
        </is>
      </c>
      <c r="N89" s="93" t="inlineStr"/>
      <c r="O89" s="93" t="inlineStr">
        <is>
          <t>MK Money Market지수</t>
        </is>
      </c>
      <c r="P89" s="93" t="inlineStr">
        <is>
          <t>일반</t>
        </is>
      </c>
      <c r="Q89" s="93" t="inlineStr">
        <is>
          <t>채권</t>
        </is>
      </c>
      <c r="R89" s="93" t="inlineStr">
        <is>
          <t>연배당</t>
        </is>
      </c>
      <c r="S89" s="94" t="n">
        <v>1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IFERROR(INDEX($A$4:$A$593,MATCH(86,$X$4:$X$593,0)),"")</f>
        <v/>
      </c>
    </row>
    <row r="90">
      <c r="A90" s="93" t="inlineStr">
        <is>
          <t>TIGER 토탈월드스탁액티브</t>
        </is>
      </c>
      <c r="B90" s="93" t="inlineStr">
        <is>
          <t>0060H0</t>
        </is>
      </c>
      <c r="C90" s="93" t="inlineStr">
        <is>
          <t>미래에셋자산운용</t>
        </is>
      </c>
      <c r="D90" s="94" t="n">
        <v>12475</v>
      </c>
      <c r="E90" s="94" t="n">
        <v>391715000000</v>
      </c>
      <c r="F90" s="94" t="n">
        <v>1886128064</v>
      </c>
      <c r="G90" s="74" t="n">
        <v>0.0025</v>
      </c>
      <c r="H90" s="74" t="n">
        <v>0.1355</v>
      </c>
      <c r="I90" s="74" t="n">
        <v>0.004099999999999999</v>
      </c>
      <c r="J90" s="74" t="n">
        <v>0.016513</v>
      </c>
      <c r="K90" s="94" t="n">
        <v>5</v>
      </c>
      <c r="L90" s="95" t="inlineStr">
        <is>
          <t>20260730</t>
        </is>
      </c>
      <c r="M90" s="93" t="inlineStr">
        <is>
          <t>채택</t>
        </is>
      </c>
      <c r="N90" s="93" t="inlineStr"/>
      <c r="O90" s="93" t="inlineStr">
        <is>
          <t>FTSE GLOBAL ALL CAP INDEX</t>
        </is>
      </c>
      <c r="P90" s="93" t="inlineStr">
        <is>
          <t>일반</t>
        </is>
      </c>
      <c r="Q90" s="93" t="inlineStr">
        <is>
          <t>주식</t>
        </is>
      </c>
      <c r="R90" s="93" t="inlineStr">
        <is>
          <t>분기배당</t>
        </is>
      </c>
      <c r="S90" s="94" t="n">
        <v>3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IFERROR(INDEX($A$4:$A$593,MATCH(87,$X$4:$X$593,0)),"")</f>
        <v/>
      </c>
    </row>
    <row r="91">
      <c r="A91" s="93" t="inlineStr">
        <is>
          <t>1Q 미국S&amp;P500미국채혼합50액티브</t>
        </is>
      </c>
      <c r="B91" s="93" t="inlineStr">
        <is>
          <t>0052S0</t>
        </is>
      </c>
      <c r="C91" s="93" t="inlineStr">
        <is>
          <t>하나자산운용</t>
        </is>
      </c>
      <c r="D91" s="94" t="n">
        <v>11420</v>
      </c>
      <c r="E91" s="94" t="n">
        <v>322044000000</v>
      </c>
      <c r="F91" s="94" t="n">
        <v>2333998995</v>
      </c>
      <c r="G91" s="74" t="n">
        <v>0.0015</v>
      </c>
      <c r="H91" s="74" t="n">
        <v>0.1106</v>
      </c>
      <c r="I91" s="74" t="n">
        <v>0.005</v>
      </c>
      <c r="J91" s="74" t="n">
        <v>0.016375</v>
      </c>
      <c r="K91" s="94" t="n">
        <v>4</v>
      </c>
      <c r="L91" s="95" t="inlineStr">
        <is>
          <t>20260730</t>
        </is>
      </c>
      <c r="M91" s="93" t="inlineStr">
        <is>
          <t>채택</t>
        </is>
      </c>
      <c r="N91" s="93" t="inlineStr"/>
      <c r="O91" s="93" t="inlineStr">
        <is>
          <t>S&amp;P 500 and Short-Term Treasury 50/50 Blend Index (USD)</t>
        </is>
      </c>
      <c r="P91" s="93" t="inlineStr">
        <is>
          <t>일반</t>
        </is>
      </c>
      <c r="Q91" s="93" t="inlineStr">
        <is>
          <t>멀티에셋</t>
        </is>
      </c>
      <c r="R91" s="93" t="inlineStr">
        <is>
          <t>분기배당</t>
        </is>
      </c>
      <c r="S91" s="94" t="n">
        <v>3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IFERROR(INDEX($A$4:$A$593,MATCH(88,$X$4:$X$593,0)),"")</f>
        <v/>
      </c>
    </row>
    <row r="92">
      <c r="A92" s="93" t="inlineStr">
        <is>
          <t>KODEX TDF2050액티브 적격</t>
        </is>
      </c>
      <c r="B92" s="93" t="inlineStr">
        <is>
          <t>434060</t>
        </is>
      </c>
      <c r="C92" s="93" t="inlineStr">
        <is>
          <t>삼성자산운용(ETF)</t>
        </is>
      </c>
      <c r="D92" s="94" t="n">
        <v>16755</v>
      </c>
      <c r="E92" s="94" t="n">
        <v>635014500000</v>
      </c>
      <c r="F92" s="94" t="n">
        <v>2309791963</v>
      </c>
      <c r="G92" s="74" t="n">
        <v>0.003</v>
      </c>
      <c r="H92" s="74" t="n">
        <v>0.1243</v>
      </c>
      <c r="I92" s="74" t="n">
        <v>0.006999999999999999</v>
      </c>
      <c r="J92" s="74" t="n">
        <v>0.016294</v>
      </c>
      <c r="K92" s="94" t="n">
        <v>11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Samsung Korea Target Date 2050 Index</t>
        </is>
      </c>
      <c r="P92" s="93" t="inlineStr">
        <is>
          <t>일반</t>
        </is>
      </c>
      <c r="Q92" s="93" t="inlineStr">
        <is>
          <t>멀티에셋</t>
        </is>
      </c>
      <c r="R92" s="93" t="inlineStr">
        <is>
          <t>분기배당</t>
        </is>
      </c>
      <c r="S92" s="94" t="n">
        <v>3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IFERROR(INDEX($A$4:$A$593,MATCH(89,$X$4:$X$593,0)),"")</f>
        <v/>
      </c>
    </row>
    <row r="93">
      <c r="A93" s="93" t="inlineStr">
        <is>
          <t>KODEX 인도Nifty50</t>
        </is>
      </c>
      <c r="B93" s="93" t="inlineStr">
        <is>
          <t>453810</t>
        </is>
      </c>
      <c r="C93" s="93" t="inlineStr">
        <is>
          <t>삼성자산운용(ETF)</t>
        </is>
      </c>
      <c r="D93" s="94" t="n">
        <v>10725</v>
      </c>
      <c r="E93" s="94" t="n">
        <v>310488750000</v>
      </c>
      <c r="F93" s="94" t="n">
        <v>1707614181</v>
      </c>
      <c r="G93" s="74" t="n">
        <v>0.0019</v>
      </c>
      <c r="H93" s="74" t="n">
        <v>0.1734</v>
      </c>
      <c r="I93" s="74" t="n">
        <v>0.0062</v>
      </c>
      <c r="J93" s="74" t="n">
        <v>0.016131</v>
      </c>
      <c r="K93" s="94" t="n">
        <v>13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CNX NIFTY INDEX</t>
        </is>
      </c>
      <c r="P93" s="93" t="inlineStr">
        <is>
          <t>일반</t>
        </is>
      </c>
      <c r="Q93" s="93" t="inlineStr">
        <is>
          <t>주식</t>
        </is>
      </c>
      <c r="R93" s="93" t="inlineStr">
        <is>
          <t>분기배당</t>
        </is>
      </c>
      <c r="S93" s="94" t="n">
        <v>3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IFERROR(INDEX($A$4:$A$593,MATCH(90,$X$4:$X$593,0)),"")</f>
        <v/>
      </c>
    </row>
    <row r="94">
      <c r="A94" s="93" t="inlineStr">
        <is>
          <t>KODEX 종합채권(AA-이상)액티브</t>
        </is>
      </c>
      <c r="B94" s="93" t="inlineStr">
        <is>
          <t>273130</t>
        </is>
      </c>
      <c r="C94" s="93" t="inlineStr">
        <is>
          <t>삼성자산운용(ETF)</t>
        </is>
      </c>
      <c r="D94" s="94" t="n">
        <v>110025</v>
      </c>
      <c r="E94" s="94" t="n">
        <v>3562499475000</v>
      </c>
      <c r="F94" s="94" t="n">
        <v>3369120737</v>
      </c>
      <c r="G94" s="74" t="n">
        <v>0.00045</v>
      </c>
      <c r="H94" s="74" t="n">
        <v>0.04099999999999999</v>
      </c>
      <c r="I94" s="74" t="n">
        <v>0.0149</v>
      </c>
      <c r="J94" s="74" t="n">
        <v>0.015696</v>
      </c>
      <c r="K94" s="94" t="n">
        <v>1</v>
      </c>
      <c r="L94" s="95" t="inlineStr">
        <is>
          <t>20251212</t>
        </is>
      </c>
      <c r="M94" s="93" t="inlineStr">
        <is>
          <t>채택</t>
        </is>
      </c>
      <c r="N94" s="93" t="inlineStr"/>
      <c r="O94" s="93" t="inlineStr">
        <is>
          <t>KAP 한국종합채권</t>
        </is>
      </c>
      <c r="P94" s="93" t="inlineStr">
        <is>
          <t>일반</t>
        </is>
      </c>
      <c r="Q94" s="93" t="inlineStr">
        <is>
          <t>채권</t>
        </is>
      </c>
      <c r="R94" s="93" t="inlineStr">
        <is>
          <t>연배당</t>
        </is>
      </c>
      <c r="S94" s="94" t="n">
        <v>1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IFERROR(INDEX($A$4:$A$593,MATCH(91,$X$4:$X$593,0)),"")</f>
        <v/>
      </c>
    </row>
    <row r="95">
      <c r="A95" s="93" t="inlineStr">
        <is>
          <t>KODEX 국고채10년액티브</t>
        </is>
      </c>
      <c r="B95" s="93" t="inlineStr">
        <is>
          <t>471230</t>
        </is>
      </c>
      <c r="C95" s="93" t="inlineStr">
        <is>
          <t>삼성자산운용(ETF)</t>
        </is>
      </c>
      <c r="D95" s="94" t="n">
        <v>103380</v>
      </c>
      <c r="E95" s="94" t="n">
        <v>458386920000</v>
      </c>
      <c r="F95" s="94" t="n">
        <v>1872014139</v>
      </c>
      <c r="G95" s="74" t="n">
        <v>0.00015</v>
      </c>
      <c r="H95" s="74" t="n">
        <v>0.06610000000000001</v>
      </c>
      <c r="I95" s="74" t="n">
        <v>0.0147</v>
      </c>
      <c r="J95" s="74" t="n">
        <v>0.015603</v>
      </c>
      <c r="K95" s="94" t="n">
        <v>1</v>
      </c>
      <c r="L95" s="95" t="inlineStr">
        <is>
          <t>20251212</t>
        </is>
      </c>
      <c r="M95" s="93" t="inlineStr">
        <is>
          <t>채택</t>
        </is>
      </c>
      <c r="N95" s="93" t="inlineStr"/>
      <c r="O95" s="93" t="inlineStr">
        <is>
          <t>KAP 국고채 10년 지수(TR)</t>
        </is>
      </c>
      <c r="P95" s="93" t="inlineStr">
        <is>
          <t>일반</t>
        </is>
      </c>
      <c r="Q95" s="93" t="inlineStr">
        <is>
          <t>채권</t>
        </is>
      </c>
      <c r="R95" s="93" t="inlineStr">
        <is>
          <t>연배당</t>
        </is>
      </c>
      <c r="S95" s="94" t="n">
        <v>1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IFERROR(INDEX($A$4:$A$593,MATCH(92,$X$4:$X$593,0)),"")</f>
        <v/>
      </c>
    </row>
    <row r="96">
      <c r="A96" s="93" t="inlineStr">
        <is>
          <t>SOL 초단기채권액티브</t>
        </is>
      </c>
      <c r="B96" s="93" t="inlineStr">
        <is>
          <t>469830</t>
        </is>
      </c>
      <c r="C96" s="93" t="inlineStr">
        <is>
          <t>신한자산운용</t>
        </is>
      </c>
      <c r="D96" s="94" t="n">
        <v>54535</v>
      </c>
      <c r="E96" s="94" t="n">
        <v>1050889450000</v>
      </c>
      <c r="F96" s="94" t="n">
        <v>12016214149</v>
      </c>
      <c r="G96" s="74" t="n">
        <v>0.0005</v>
      </c>
      <c r="H96" s="74" t="n">
        <v>0.0161</v>
      </c>
      <c r="I96" s="74" t="n">
        <v>0.0158</v>
      </c>
      <c r="J96" s="74" t="n">
        <v>0.015586</v>
      </c>
      <c r="K96" s="94" t="n">
        <v>1</v>
      </c>
      <c r="L96" s="95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단기자금시장 지수</t>
        </is>
      </c>
      <c r="P96" s="93" t="inlineStr">
        <is>
          <t>일반</t>
        </is>
      </c>
      <c r="Q96" s="93" t="inlineStr">
        <is>
          <t>단기자금(파킹형)</t>
        </is>
      </c>
      <c r="R96" s="93" t="inlineStr">
        <is>
          <t>연배당</t>
        </is>
      </c>
      <c r="S96" s="94" t="n">
        <v>1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IFERROR(INDEX($A$4:$A$593,MATCH(93,$X$4:$X$593,0)),"")</f>
        <v/>
      </c>
    </row>
    <row r="97">
      <c r="A97" s="93" t="inlineStr">
        <is>
          <t>TIGER 차이나전기차SOLACTIVE</t>
        </is>
      </c>
      <c r="B97" s="93" t="inlineStr">
        <is>
          <t>371460</t>
        </is>
      </c>
      <c r="C97" s="93" t="inlineStr">
        <is>
          <t>미래에셋자산운용</t>
        </is>
      </c>
      <c r="D97" s="94" t="n">
        <v>9065</v>
      </c>
      <c r="E97" s="94" t="n">
        <v>650141800000</v>
      </c>
      <c r="F97" s="94" t="n">
        <v>2467826711</v>
      </c>
      <c r="G97" s="74" t="n">
        <v>0.0049</v>
      </c>
      <c r="H97" s="74" t="n">
        <v>0.2928</v>
      </c>
      <c r="I97" s="74" t="n">
        <v>0.011</v>
      </c>
      <c r="J97" s="74" t="n">
        <v>0.015444</v>
      </c>
      <c r="K97" s="94" t="n">
        <v>1</v>
      </c>
      <c r="L97" s="95" t="inlineStr">
        <is>
          <t>20251229</t>
        </is>
      </c>
      <c r="M97" s="93" t="inlineStr">
        <is>
          <t>채택</t>
        </is>
      </c>
      <c r="N97" s="93" t="inlineStr"/>
      <c r="O97" s="93" t="inlineStr">
        <is>
          <t>Solactive China Electric Vehicle and Battery Index PR</t>
        </is>
      </c>
      <c r="P97" s="93" t="inlineStr">
        <is>
          <t>일반</t>
        </is>
      </c>
      <c r="Q97" s="93" t="inlineStr">
        <is>
          <t>주식</t>
        </is>
      </c>
      <c r="R97" s="93" t="inlineStr">
        <is>
          <t>연배당</t>
        </is>
      </c>
      <c r="S97" s="94" t="n">
        <v>1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IFERROR(INDEX($A$4:$A$593,MATCH(94,$X$4:$X$593,0)),"")</f>
        <v/>
      </c>
    </row>
    <row r="98">
      <c r="A98" s="93" t="inlineStr">
        <is>
          <t>TIGER 미국S&amp;P500동일가중</t>
        </is>
      </c>
      <c r="B98" s="93" t="inlineStr">
        <is>
          <t>488500</t>
        </is>
      </c>
      <c r="C98" s="93" t="inlineStr">
        <is>
          <t>미래에셋자산운용</t>
        </is>
      </c>
      <c r="D98" s="94" t="n">
        <v>11995</v>
      </c>
      <c r="E98" s="94" t="n">
        <v>108554750000</v>
      </c>
      <c r="F98" s="94" t="n">
        <v>974190304</v>
      </c>
      <c r="G98" s="74" t="n">
        <v>0.002</v>
      </c>
      <c r="H98" s="74" t="n">
        <v>0.1389</v>
      </c>
      <c r="I98" s="74" t="n">
        <v>0.0037</v>
      </c>
      <c r="J98" s="74" t="n">
        <v>0.015256</v>
      </c>
      <c r="K98" s="94" t="n">
        <v>8</v>
      </c>
      <c r="L98" s="95" t="inlineStr">
        <is>
          <t>20260730</t>
        </is>
      </c>
      <c r="M98" s="93" t="inlineStr">
        <is>
          <t>채택</t>
        </is>
      </c>
      <c r="N98" s="93" t="inlineStr"/>
      <c r="O98" s="93" t="inlineStr">
        <is>
          <t>S&amp;P 500 EQUAL WEIGHTED</t>
        </is>
      </c>
      <c r="P98" s="93" t="inlineStr">
        <is>
          <t>일반</t>
        </is>
      </c>
      <c r="Q98" s="93" t="inlineStr">
        <is>
          <t>주식</t>
        </is>
      </c>
      <c r="R98" s="93" t="inlineStr">
        <is>
          <t>분기배당</t>
        </is>
      </c>
      <c r="S98" s="94" t="n">
        <v>3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IFERROR(INDEX($A$4:$A$593,MATCH(95,$X$4:$X$593,0)),"")</f>
        <v/>
      </c>
    </row>
    <row r="99">
      <c r="A99" s="93" t="inlineStr">
        <is>
          <t>KODEX TDF2060액티브 적격</t>
        </is>
      </c>
      <c r="B99" s="93" t="inlineStr">
        <is>
          <t>0082V0</t>
        </is>
      </c>
      <c r="C99" s="93" t="inlineStr">
        <is>
          <t>삼성자산운용(ETF)</t>
        </is>
      </c>
      <c r="D99" s="94" t="n">
        <v>11225</v>
      </c>
      <c r="E99" s="94" t="n">
        <v>188580000000</v>
      </c>
      <c r="F99" s="94" t="n">
        <v>1013902651</v>
      </c>
      <c r="G99" s="74" t="n">
        <v>0.003</v>
      </c>
      <c r="H99" s="74" t="n">
        <v>0.1203</v>
      </c>
      <c r="I99" s="74" t="n">
        <v>0.0071</v>
      </c>
      <c r="J99" s="74" t="n">
        <v>0.015145</v>
      </c>
      <c r="K99" s="94" t="n">
        <v>4</v>
      </c>
      <c r="L99" s="95" t="inlineStr">
        <is>
          <t>20260730</t>
        </is>
      </c>
      <c r="M99" s="93" t="inlineStr">
        <is>
          <t>채택</t>
        </is>
      </c>
      <c r="N99" s="93" t="inlineStr"/>
      <c r="O99" s="93" t="inlineStr">
        <is>
          <t>Samsung Korea Target Date 2060 Index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분기배당</t>
        </is>
      </c>
      <c r="S99" s="94" t="n">
        <v>3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IFERROR(INDEX($A$4:$A$593,MATCH(96,$X$4:$X$593,0)),"")</f>
        <v/>
      </c>
    </row>
    <row r="100">
      <c r="A100" s="93" t="inlineStr">
        <is>
          <t>TIGER 테슬라채권혼합Fn</t>
        </is>
      </c>
      <c r="B100" s="93" t="inlineStr">
        <is>
          <t>447770</t>
        </is>
      </c>
      <c r="C100" s="93" t="inlineStr">
        <is>
          <t>미래에셋자산운용</t>
        </is>
      </c>
      <c r="D100" s="94" t="n">
        <v>13705</v>
      </c>
      <c r="E100" s="94" t="n">
        <v>433078000000</v>
      </c>
      <c r="F100" s="94" t="n">
        <v>2191244296</v>
      </c>
      <c r="G100" s="74" t="n">
        <v>0.0025</v>
      </c>
      <c r="H100" s="74" t="n">
        <v>0.1464</v>
      </c>
      <c r="I100" s="74" t="n">
        <v>0.0049</v>
      </c>
      <c r="J100" s="74" t="n">
        <v>0.014593</v>
      </c>
      <c r="K100" s="94" t="n">
        <v>11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FnGuide 테슬라채권혼합 지수</t>
        </is>
      </c>
      <c r="P100" s="93" t="inlineStr">
        <is>
          <t>일반</t>
        </is>
      </c>
      <c r="Q100" s="93" t="inlineStr">
        <is>
          <t>멀티에셋</t>
        </is>
      </c>
      <c r="R100" s="93" t="inlineStr">
        <is>
          <t>분기배당</t>
        </is>
      </c>
      <c r="S100" s="94" t="n">
        <v>3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IFERROR(INDEX($A$4:$A$593,MATCH(97,$X$4:$X$593,0)),"")</f>
        <v/>
      </c>
    </row>
    <row r="101">
      <c r="A101" s="93" t="inlineStr">
        <is>
          <t>KODEX 미국S&amp;P500헬스케어</t>
        </is>
      </c>
      <c r="B101" s="93" t="inlineStr">
        <is>
          <t>453640</t>
        </is>
      </c>
      <c r="C101" s="93" t="inlineStr">
        <is>
          <t>삼성자산운용(ETF)</t>
        </is>
      </c>
      <c r="D101" s="94" t="n">
        <v>13935</v>
      </c>
      <c r="E101" s="94" t="n">
        <v>59920500000</v>
      </c>
      <c r="F101" s="94" t="n">
        <v>587768175</v>
      </c>
      <c r="G101" s="74" t="n">
        <v>0.0025</v>
      </c>
      <c r="H101" s="74" t="n">
        <v>0.1842</v>
      </c>
      <c r="I101" s="74" t="n">
        <v>0.0038</v>
      </c>
      <c r="J101" s="74" t="n">
        <v>0.014568</v>
      </c>
      <c r="K101" s="94" t="n">
        <v>13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S&amp;P Health Care Select Sector Index</t>
        </is>
      </c>
      <c r="P101" s="93" t="inlineStr">
        <is>
          <t>일반</t>
        </is>
      </c>
      <c r="Q101" s="93" t="inlineStr">
        <is>
          <t>주식</t>
        </is>
      </c>
      <c r="R101" s="93" t="inlineStr">
        <is>
          <t>분기배당</t>
        </is>
      </c>
      <c r="S101" s="94" t="n">
        <v>3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IFERROR(INDEX($A$4:$A$593,MATCH(98,$X$4:$X$593,0)),"")</f>
        <v/>
      </c>
    </row>
    <row r="102">
      <c r="A102" s="93" t="inlineStr">
        <is>
          <t>KODEX 머니마켓액티브</t>
        </is>
      </c>
      <c r="B102" s="93" t="inlineStr">
        <is>
          <t>488770</t>
        </is>
      </c>
      <c r="C102" s="93" t="inlineStr">
        <is>
          <t>삼성자산운용(ETF)</t>
        </is>
      </c>
      <c r="D102" s="94" t="n">
        <v>105690</v>
      </c>
      <c r="E102" s="94" t="n">
        <v>10049005200000</v>
      </c>
      <c r="F102" s="94" t="n">
        <v>75505372886</v>
      </c>
      <c r="G102" s="74" t="n">
        <v>0.0005</v>
      </c>
      <c r="H102" s="74" t="n">
        <v>0.0146</v>
      </c>
      <c r="I102" s="74" t="n">
        <v>0.0143</v>
      </c>
      <c r="J102" s="74" t="n">
        <v>0.014174</v>
      </c>
      <c r="K102" s="94" t="n">
        <v>1</v>
      </c>
      <c r="L102" s="95" t="inlineStr">
        <is>
          <t>20251212</t>
        </is>
      </c>
      <c r="M102" s="93" t="inlineStr">
        <is>
          <t>채택</t>
        </is>
      </c>
      <c r="N102" s="93" t="inlineStr"/>
      <c r="O102" s="93" t="inlineStr">
        <is>
          <t>KAP MMF 지수</t>
        </is>
      </c>
      <c r="P102" s="93" t="inlineStr">
        <is>
          <t>일반</t>
        </is>
      </c>
      <c r="Q102" s="93" t="inlineStr">
        <is>
          <t>단기자금(파킹형)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IFERROR(INDEX($A$4:$A$593,MATCH(99,$X$4:$X$593,0)),"")</f>
        <v/>
      </c>
    </row>
    <row r="103">
      <c r="A103" s="93" t="inlineStr">
        <is>
          <t>TIGER 미국다우존스30</t>
        </is>
      </c>
      <c r="B103" s="93" t="inlineStr">
        <is>
          <t>245340</t>
        </is>
      </c>
      <c r="C103" s="93" t="inlineStr">
        <is>
          <t>미래에셋자산운용</t>
        </is>
      </c>
      <c r="D103" s="94" t="n">
        <v>33735</v>
      </c>
      <c r="E103" s="94" t="n">
        <v>136289400000</v>
      </c>
      <c r="F103" s="94" t="n">
        <v>839074475</v>
      </c>
      <c r="G103" s="74" t="n">
        <v>0.0035</v>
      </c>
      <c r="H103" s="74" t="n">
        <v>0.1455</v>
      </c>
      <c r="I103" s="74" t="n">
        <v>0.0015</v>
      </c>
      <c r="J103" s="74" t="n">
        <v>0.014021</v>
      </c>
      <c r="K103" s="94" t="n">
        <v>53</v>
      </c>
      <c r="L103" s="95" t="inlineStr">
        <is>
          <t>20260929</t>
        </is>
      </c>
      <c r="M103" s="93" t="inlineStr">
        <is>
          <t>채택</t>
        </is>
      </c>
      <c r="N103" s="93" t="inlineStr"/>
      <c r="O103" s="93" t="inlineStr">
        <is>
          <t>DowJones Industrial Average Index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월배당</t>
        </is>
      </c>
      <c r="S103" s="94" t="n">
        <v>11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IFERROR(INDEX($A$4:$A$593,MATCH(100,$X$4:$X$593,0)),"")</f>
        <v/>
      </c>
    </row>
    <row r="104">
      <c r="A104" s="93" t="inlineStr">
        <is>
          <t>RISE 머니마켓액티브</t>
        </is>
      </c>
      <c r="B104" s="93" t="inlineStr">
        <is>
          <t>455890</t>
        </is>
      </c>
      <c r="C104" s="93" t="inlineStr">
        <is>
          <t>KB자산운용</t>
        </is>
      </c>
      <c r="D104" s="94" t="n">
        <v>55635</v>
      </c>
      <c r="E104" s="94" t="n">
        <v>2768508870000</v>
      </c>
      <c r="F104" s="94" t="n">
        <v>11998818059</v>
      </c>
      <c r="G104" s="74" t="n">
        <v>0.0005</v>
      </c>
      <c r="H104" s="74" t="n">
        <v>0.0142</v>
      </c>
      <c r="I104" s="74" t="n">
        <v>0.0139</v>
      </c>
      <c r="J104" s="74" t="n">
        <v>0.01375</v>
      </c>
      <c r="K104" s="94" t="n">
        <v>1</v>
      </c>
      <c r="L104" s="95" t="inlineStr">
        <is>
          <t>20251212</t>
        </is>
      </c>
      <c r="M104" s="93" t="inlineStr">
        <is>
          <t>채택</t>
        </is>
      </c>
      <c r="N104" s="93" t="inlineStr"/>
      <c r="O104" s="93" t="inlineStr">
        <is>
          <t>KIS 시가평가 MMF 지수</t>
        </is>
      </c>
      <c r="P104" s="93" t="inlineStr">
        <is>
          <t>일반</t>
        </is>
      </c>
      <c r="Q104" s="93" t="inlineStr">
        <is>
          <t>단기자금(파킹형)</t>
        </is>
      </c>
      <c r="R104" s="93" t="inlineStr">
        <is>
          <t>연배당</t>
        </is>
      </c>
      <c r="S104" s="94" t="n">
        <v>1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IFERROR(INDEX($A$4:$A$593,MATCH(101,$X$4:$X$593,0)),"")</f>
        <v/>
      </c>
    </row>
    <row r="105">
      <c r="A105" s="93" t="inlineStr">
        <is>
          <t>KODEX MSCI선진국</t>
        </is>
      </c>
      <c r="B105" s="93" t="inlineStr">
        <is>
          <t>251350</t>
        </is>
      </c>
      <c r="C105" s="93" t="inlineStr">
        <is>
          <t>삼성자산운용(ETF)</t>
        </is>
      </c>
      <c r="D105" s="94" t="n">
        <v>38370</v>
      </c>
      <c r="E105" s="94" t="n">
        <v>491136000000</v>
      </c>
      <c r="F105" s="94" t="n">
        <v>1274119106</v>
      </c>
      <c r="G105" s="74" t="n">
        <v>0.003</v>
      </c>
      <c r="H105" s="74" t="n">
        <v>0.1325</v>
      </c>
      <c r="I105" s="74" t="n">
        <v>0.004500000000000001</v>
      </c>
      <c r="J105" s="74" t="n">
        <v>0.013604</v>
      </c>
      <c r="K105" s="94" t="n">
        <v>14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MSCI World Markets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3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IFERROR(INDEX($A$4:$A$593,MATCH(102,$X$4:$X$593,0)),"")</f>
        <v/>
      </c>
    </row>
    <row r="106">
      <c r="A106" s="93" t="inlineStr">
        <is>
          <t>TIGER 인도니프티50</t>
        </is>
      </c>
      <c r="B106" s="93" t="inlineStr">
        <is>
          <t>453870</t>
        </is>
      </c>
      <c r="C106" s="93" t="inlineStr">
        <is>
          <t>미래에셋자산운용</t>
        </is>
      </c>
      <c r="D106" s="94" t="n">
        <v>10515</v>
      </c>
      <c r="E106" s="94" t="n">
        <v>263400750000</v>
      </c>
      <c r="F106" s="94" t="n">
        <v>989929718</v>
      </c>
      <c r="G106" s="74" t="n">
        <v>0.0019</v>
      </c>
      <c r="H106" s="74" t="n">
        <v>0.1769</v>
      </c>
      <c r="I106" s="74" t="n">
        <v>0.004099999999999999</v>
      </c>
      <c r="J106" s="74" t="n">
        <v>0.013314</v>
      </c>
      <c r="K106" s="94" t="n">
        <v>13</v>
      </c>
      <c r="L106" s="95" t="inlineStr">
        <is>
          <t>20260730</t>
        </is>
      </c>
      <c r="M106" s="93" t="inlineStr">
        <is>
          <t>채택</t>
        </is>
      </c>
      <c r="N106" s="93" t="inlineStr"/>
      <c r="O106" s="93" t="inlineStr">
        <is>
          <t>CNX NIFTY INDEX</t>
        </is>
      </c>
      <c r="P106" s="93" t="inlineStr">
        <is>
          <t>일반</t>
        </is>
      </c>
      <c r="Q106" s="93" t="inlineStr">
        <is>
          <t>주식</t>
        </is>
      </c>
      <c r="R106" s="93" t="inlineStr">
        <is>
          <t>분기배당</t>
        </is>
      </c>
      <c r="S106" s="94" t="n">
        <v>3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IFERROR(INDEX($A$4:$A$593,MATCH(103,$X$4:$X$593,0)),"")</f>
        <v/>
      </c>
    </row>
    <row r="107">
      <c r="A107" s="93" t="inlineStr">
        <is>
          <t>TIGER 종합채권(AA-이상)액티브</t>
        </is>
      </c>
      <c r="B107" s="93" t="inlineStr">
        <is>
          <t>451540</t>
        </is>
      </c>
      <c r="C107" s="93" t="inlineStr">
        <is>
          <t>미래에셋자산운용</t>
        </is>
      </c>
      <c r="D107" s="94" t="n">
        <v>52935</v>
      </c>
      <c r="E107" s="94" t="n">
        <v>1042290150000</v>
      </c>
      <c r="F107" s="94" t="n">
        <v>861706706</v>
      </c>
      <c r="G107" s="74" t="n">
        <v>0.0003</v>
      </c>
      <c r="H107" s="74" t="n">
        <v>0.043</v>
      </c>
      <c r="I107" s="74" t="n">
        <v>0.0125</v>
      </c>
      <c r="J107" s="74" t="n">
        <v>0.013224</v>
      </c>
      <c r="K107" s="94" t="n">
        <v>1</v>
      </c>
      <c r="L107" s="95" t="inlineStr">
        <is>
          <t>20251127</t>
        </is>
      </c>
      <c r="M107" s="93" t="inlineStr">
        <is>
          <t>채택</t>
        </is>
      </c>
      <c r="N107" s="93" t="inlineStr"/>
      <c r="O107" s="93" t="inlineStr">
        <is>
          <t>KIS 종합채권형 지수(AA-이상)</t>
        </is>
      </c>
      <c r="P107" s="93" t="inlineStr">
        <is>
          <t>일반</t>
        </is>
      </c>
      <c r="Q107" s="93" t="inlineStr">
        <is>
          <t>채권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IFERROR(INDEX($A$4:$A$593,MATCH(104,$X$4:$X$593,0)),"")</f>
        <v/>
      </c>
    </row>
    <row r="108">
      <c r="A108" s="93" t="inlineStr">
        <is>
          <t>SOL 중단기회사채(A-이상)액티브</t>
        </is>
      </c>
      <c r="B108" s="93" t="inlineStr">
        <is>
          <t>0016X0</t>
        </is>
      </c>
      <c r="C108" s="93" t="inlineStr">
        <is>
          <t>신한자산운용</t>
        </is>
      </c>
      <c r="D108" s="94" t="n">
        <v>51545</v>
      </c>
      <c r="E108" s="94" t="n">
        <v>422669000000</v>
      </c>
      <c r="F108" s="94" t="n">
        <v>508474757</v>
      </c>
      <c r="G108" s="74" t="n">
        <v>0.0005</v>
      </c>
      <c r="H108" s="74" t="n">
        <v>0.0157</v>
      </c>
      <c r="I108" s="74" t="n">
        <v>0.0132</v>
      </c>
      <c r="J108" s="74" t="n">
        <v>0.013095</v>
      </c>
      <c r="K108" s="94" t="n">
        <v>1</v>
      </c>
      <c r="L108" s="95" t="inlineStr">
        <is>
          <t>20251212</t>
        </is>
      </c>
      <c r="M108" s="93" t="inlineStr">
        <is>
          <t>채택</t>
        </is>
      </c>
      <c r="N108" s="93" t="inlineStr"/>
      <c r="O108" s="93" t="inlineStr">
        <is>
          <t>KIS 중단기크레딧플러스채권(AA+~A-)지수(총수익)</t>
        </is>
      </c>
      <c r="P108" s="93" t="inlineStr">
        <is>
          <t>일반</t>
        </is>
      </c>
      <c r="Q108" s="93" t="inlineStr">
        <is>
          <t>채권</t>
        </is>
      </c>
      <c r="R108" s="93" t="inlineStr">
        <is>
          <t>연배당</t>
        </is>
      </c>
      <c r="S108" s="94" t="n">
        <v>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IFERROR(INDEX($A$4:$A$593,MATCH(105,$X$4:$X$593,0)),"")</f>
        <v/>
      </c>
    </row>
    <row r="109">
      <c r="A109" s="93" t="inlineStr">
        <is>
          <t>KODEX 국고채3년</t>
        </is>
      </c>
      <c r="B109" s="93" t="inlineStr">
        <is>
          <t>114260</t>
        </is>
      </c>
      <c r="C109" s="93" t="inlineStr">
        <is>
          <t>삼성자산운용(ETF)</t>
        </is>
      </c>
      <c r="D109" s="94" t="n">
        <v>61775</v>
      </c>
      <c r="E109" s="94" t="n">
        <v>498277150000</v>
      </c>
      <c r="F109" s="94" t="n">
        <v>1449620262</v>
      </c>
      <c r="G109" s="74" t="n">
        <v>0.0015</v>
      </c>
      <c r="H109" s="74" t="n">
        <v>0.0258</v>
      </c>
      <c r="I109" s="74" t="n">
        <v>0.013</v>
      </c>
      <c r="J109" s="74" t="n">
        <v>0.013064</v>
      </c>
      <c r="K109" s="94" t="n">
        <v>1</v>
      </c>
      <c r="L109" s="95" t="inlineStr">
        <is>
          <t>20251212</t>
        </is>
      </c>
      <c r="M109" s="93" t="inlineStr">
        <is>
          <t>채택</t>
        </is>
      </c>
      <c r="N109" s="93" t="inlineStr"/>
      <c r="O109" s="93" t="inlineStr">
        <is>
          <t>MKF TB Index</t>
        </is>
      </c>
      <c r="P109" s="93" t="inlineStr">
        <is>
          <t>일반</t>
        </is>
      </c>
      <c r="Q109" s="93" t="inlineStr">
        <is>
          <t>채권</t>
        </is>
      </c>
      <c r="R109" s="93" t="inlineStr">
        <is>
          <t>연배당</t>
        </is>
      </c>
      <c r="S109" s="94" t="n">
        <v>1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IFERROR(INDEX($A$4:$A$593,MATCH(106,$X$4:$X$593,0)),"")</f>
        <v/>
      </c>
    </row>
    <row r="110">
      <c r="A110" s="93" t="inlineStr">
        <is>
          <t>ACE 머니마켓액티브</t>
        </is>
      </c>
      <c r="B110" s="93" t="inlineStr">
        <is>
          <t>487340</t>
        </is>
      </c>
      <c r="C110" s="93" t="inlineStr">
        <is>
          <t>한국투신운용(ETF)</t>
        </is>
      </c>
      <c r="D110" s="94" t="n">
        <v>106185</v>
      </c>
      <c r="E110" s="94" t="n">
        <v>1067265435000</v>
      </c>
      <c r="F110" s="94" t="n">
        <v>1981407591</v>
      </c>
      <c r="G110" s="74" t="n">
        <v>0.0005</v>
      </c>
      <c r="H110" s="74" t="n">
        <v>0.0135</v>
      </c>
      <c r="I110" s="74" t="n">
        <v>0.0132</v>
      </c>
      <c r="J110" s="74" t="n">
        <v>0.012968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MK-KAP 머니마켓 총수익 지수</t>
        </is>
      </c>
      <c r="P110" s="93" t="inlineStr">
        <is>
          <t>일반</t>
        </is>
      </c>
      <c r="Q110" s="93" t="inlineStr">
        <is>
          <t>단기자금(파킹형)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IFERROR(INDEX($A$4:$A$593,MATCH(107,$X$4:$X$593,0)),"")</f>
        <v/>
      </c>
    </row>
    <row r="111">
      <c r="A111" s="93" t="inlineStr">
        <is>
          <t>PLUS 머니마켓액티브</t>
        </is>
      </c>
      <c r="B111" s="93" t="inlineStr">
        <is>
          <t>477050</t>
        </is>
      </c>
      <c r="C111" s="93" t="inlineStr">
        <is>
          <t>한화자산운용</t>
        </is>
      </c>
      <c r="D111" s="94" t="n">
        <v>53650</v>
      </c>
      <c r="E111" s="94" t="n">
        <v>452913300000</v>
      </c>
      <c r="F111" s="94" t="n">
        <v>1188258523</v>
      </c>
      <c r="G111" s="74" t="n">
        <v>0.0005</v>
      </c>
      <c r="H111" s="74" t="n">
        <v>0.0133</v>
      </c>
      <c r="I111" s="74" t="n">
        <v>0.013</v>
      </c>
      <c r="J111" s="74" t="n">
        <v>0.012842</v>
      </c>
      <c r="K111" s="94" t="n">
        <v>1</v>
      </c>
      <c r="L111" s="95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KAP 시가평가 MMF 지수(총수익)</t>
        </is>
      </c>
      <c r="P111" s="93" t="inlineStr">
        <is>
          <t>일반</t>
        </is>
      </c>
      <c r="Q111" s="93" t="inlineStr">
        <is>
          <t>단기자금(파킹형)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IFERROR(INDEX($A$4:$A$593,MATCH(108,$X$4:$X$593,0)),"")</f>
        <v/>
      </c>
    </row>
    <row r="112">
      <c r="A112" s="93" t="inlineStr">
        <is>
          <t>RISE 단기국공채액티브</t>
        </is>
      </c>
      <c r="B112" s="93" t="inlineStr">
        <is>
          <t>272560</t>
        </is>
      </c>
      <c r="C112" s="93" t="inlineStr">
        <is>
          <t>KB자산운용</t>
        </is>
      </c>
      <c r="D112" s="94" t="n">
        <v>114955</v>
      </c>
      <c r="E112" s="94" t="n">
        <v>165880065000</v>
      </c>
      <c r="F112" s="94" t="n">
        <v>545976458</v>
      </c>
      <c r="G112" s="74" t="n">
        <v>0.0007000000000000001</v>
      </c>
      <c r="H112" s="74" t="n">
        <v>0.0134</v>
      </c>
      <c r="I112" s="74" t="n">
        <v>0.0129</v>
      </c>
      <c r="J112" s="74" t="n">
        <v>0.01284</v>
      </c>
      <c r="K112" s="94" t="n">
        <v>1</v>
      </c>
      <c r="L112" s="95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KIS 종합채권 국공채 3M-1.5Y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IFERROR(INDEX($A$4:$A$593,MATCH(109,$X$4:$X$593,0)),"")</f>
        <v/>
      </c>
    </row>
    <row r="113">
      <c r="A113" s="93" t="inlineStr">
        <is>
          <t>ACE 종합채권(AA-이상)액티브</t>
        </is>
      </c>
      <c r="B113" s="93" t="inlineStr">
        <is>
          <t>356540</t>
        </is>
      </c>
      <c r="C113" s="93" t="inlineStr">
        <is>
          <t>한국투신운용(ETF)</t>
        </is>
      </c>
      <c r="D113" s="94" t="n">
        <v>101465</v>
      </c>
      <c r="E113" s="94" t="n">
        <v>1192112285000</v>
      </c>
      <c r="F113" s="94" t="n">
        <v>758266610</v>
      </c>
      <c r="G113" s="74" t="n">
        <v>0.0002</v>
      </c>
      <c r="H113" s="74" t="n">
        <v>0.04190000000000001</v>
      </c>
      <c r="I113" s="74" t="n">
        <v>0.0122</v>
      </c>
      <c r="J113" s="74" t="n">
        <v>0.012832</v>
      </c>
      <c r="K113" s="94" t="n">
        <v>1</v>
      </c>
      <c r="L113" s="95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KIS 종합채권AA-이상</t>
        </is>
      </c>
      <c r="P113" s="93" t="inlineStr">
        <is>
          <t>일반</t>
        </is>
      </c>
      <c r="Q113" s="93" t="inlineStr">
        <is>
          <t>채권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IFERROR(INDEX($A$4:$A$593,MATCH(110,$X$4:$X$593,0)),"")</f>
        <v/>
      </c>
    </row>
    <row r="114">
      <c r="A114" s="93" t="inlineStr">
        <is>
          <t>RISE 단기통안채</t>
        </is>
      </c>
      <c r="B114" s="93" t="inlineStr">
        <is>
          <t>196230</t>
        </is>
      </c>
      <c r="C114" s="93" t="inlineStr">
        <is>
          <t>KB자산운용</t>
        </is>
      </c>
      <c r="D114" s="94" t="n">
        <v>117100</v>
      </c>
      <c r="E114" s="94" t="n">
        <v>268744500000</v>
      </c>
      <c r="F114" s="94" t="n">
        <v>592956283</v>
      </c>
      <c r="G114" s="74" t="n">
        <v>0.0013</v>
      </c>
      <c r="H114" s="74" t="n">
        <v>0.0127</v>
      </c>
      <c r="I114" s="74" t="n">
        <v>0.0125</v>
      </c>
      <c r="J114" s="74" t="n">
        <v>0.012451</v>
      </c>
      <c r="K114" s="94" t="n">
        <v>1</v>
      </c>
      <c r="L114" s="95" t="inlineStr">
        <is>
          <t>20251212</t>
        </is>
      </c>
      <c r="M114" s="93" t="inlineStr">
        <is>
          <t>채택</t>
        </is>
      </c>
      <c r="N114" s="93" t="inlineStr"/>
      <c r="O114" s="93" t="inlineStr">
        <is>
          <t>KIS MSB 5M Index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IFERROR(INDEX($A$4:$A$593,MATCH(111,$X$4:$X$593,0)),"")</f>
        <v/>
      </c>
    </row>
    <row r="115">
      <c r="A115" s="93" t="inlineStr">
        <is>
          <t>KODEX 차이나항셍테크</t>
        </is>
      </c>
      <c r="B115" s="93" t="inlineStr">
        <is>
          <t>372330</t>
        </is>
      </c>
      <c r="C115" s="93" t="inlineStr">
        <is>
          <t>삼성자산운용(ETF)</t>
        </is>
      </c>
      <c r="D115" s="94" t="n">
        <v>6275</v>
      </c>
      <c r="E115" s="94" t="n">
        <v>103851250000</v>
      </c>
      <c r="F115" s="94" t="n">
        <v>967992188</v>
      </c>
      <c r="G115" s="74" t="n">
        <v>0.0012</v>
      </c>
      <c r="H115" s="74" t="n">
        <v>0.2958</v>
      </c>
      <c r="I115" s="74" t="n">
        <v>0.0066</v>
      </c>
      <c r="J115" s="74" t="n">
        <v>0.012112</v>
      </c>
      <c r="K115" s="94" t="n">
        <v>9</v>
      </c>
      <c r="L115" s="95" t="inlineStr">
        <is>
          <t>20260730</t>
        </is>
      </c>
      <c r="M115" s="93" t="inlineStr">
        <is>
          <t>채택</t>
        </is>
      </c>
      <c r="N115" s="93" t="inlineStr"/>
      <c r="O115" s="93" t="inlineStr">
        <is>
          <t>항셍 테크</t>
        </is>
      </c>
      <c r="P115" s="93" t="inlineStr">
        <is>
          <t>일반</t>
        </is>
      </c>
      <c r="Q115" s="93" t="inlineStr">
        <is>
          <t>주식</t>
        </is>
      </c>
      <c r="R115" s="93" t="inlineStr">
        <is>
          <t>분기배당</t>
        </is>
      </c>
      <c r="S115" s="94" t="n">
        <v>3</v>
      </c>
      <c r="T115" s="74" t="n">
        <v>0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IFERROR(INDEX($A$4:$A$593,MATCH(112,$X$4:$X$593,0)),"")</f>
        <v/>
      </c>
    </row>
    <row r="116">
      <c r="A116" s="93" t="inlineStr">
        <is>
          <t>PLUS 국공채머니마켓액티브</t>
        </is>
      </c>
      <c r="B116" s="93" t="inlineStr">
        <is>
          <t>491230</t>
        </is>
      </c>
      <c r="C116" s="93" t="inlineStr">
        <is>
          <t>한화자산운용</t>
        </is>
      </c>
      <c r="D116" s="94" t="n">
        <v>52635</v>
      </c>
      <c r="E116" s="94" t="n">
        <v>116112810000</v>
      </c>
      <c r="F116" s="94" t="n">
        <v>769225805</v>
      </c>
      <c r="G116" s="74" t="n">
        <v>0.0005</v>
      </c>
      <c r="H116" s="74" t="n">
        <v>0.0123</v>
      </c>
      <c r="I116" s="74" t="n">
        <v>0.0121</v>
      </c>
      <c r="J116" s="74" t="n">
        <v>0.011912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KAP 국공채 MMF 지수(총수익)</t>
        </is>
      </c>
      <c r="P116" s="93" t="inlineStr">
        <is>
          <t>일반</t>
        </is>
      </c>
      <c r="Q116" s="93" t="inlineStr">
        <is>
          <t>단기자금(파킹형)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IFERROR(INDEX($A$4:$A$593,MATCH(113,$X$4:$X$593,0)),"")</f>
        <v/>
      </c>
    </row>
    <row r="117">
      <c r="A117" s="93" t="inlineStr">
        <is>
          <t>TIGER TDF2045 적격</t>
        </is>
      </c>
      <c r="B117" s="93" t="inlineStr">
        <is>
          <t>0025N0</t>
        </is>
      </c>
      <c r="C117" s="93" t="inlineStr">
        <is>
          <t>미래에셋자산운용</t>
        </is>
      </c>
      <c r="D117" s="94" t="n">
        <v>11870</v>
      </c>
      <c r="E117" s="94" t="n">
        <v>781046000000</v>
      </c>
      <c r="F117" s="94" t="n">
        <v>3795514090</v>
      </c>
      <c r="G117" s="74" t="n">
        <v>0.0019</v>
      </c>
      <c r="H117" s="74" t="n">
        <v>0.1188</v>
      </c>
      <c r="I117" s="74" t="n">
        <v>0.012</v>
      </c>
      <c r="J117" s="74" t="n">
        <v>0.011794</v>
      </c>
      <c r="K117" s="94" t="n">
        <v>1</v>
      </c>
      <c r="L117" s="95" t="inlineStr">
        <is>
          <t>20251229</t>
        </is>
      </c>
      <c r="M117" s="93" t="inlineStr">
        <is>
          <t>채택</t>
        </is>
      </c>
      <c r="N117" s="93" t="inlineStr"/>
      <c r="O117" s="93" t="inlineStr">
        <is>
          <t>S&amp;P Korea Target Date 2045 Global Index</t>
        </is>
      </c>
      <c r="P117" s="93" t="inlineStr">
        <is>
          <t>일반</t>
        </is>
      </c>
      <c r="Q117" s="93" t="inlineStr">
        <is>
          <t>멀티에셋</t>
        </is>
      </c>
      <c r="R117" s="93" t="inlineStr">
        <is>
          <t>연배당</t>
        </is>
      </c>
      <c r="S117" s="94" t="n">
        <v>1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IFERROR(INDEX($A$4:$A$593,MATCH(114,$X$4:$X$593,0)),"")</f>
        <v/>
      </c>
    </row>
    <row r="118">
      <c r="A118" s="93" t="inlineStr">
        <is>
          <t>RISE 미국S&amp;P500</t>
        </is>
      </c>
      <c r="B118" s="93" t="inlineStr">
        <is>
          <t>379780</t>
        </is>
      </c>
      <c r="C118" s="93" t="inlineStr">
        <is>
          <t>KB자산운용</t>
        </is>
      </c>
      <c r="D118" s="94" t="n">
        <v>22655</v>
      </c>
      <c r="E118" s="94" t="n">
        <v>1490699000000</v>
      </c>
      <c r="F118" s="94" t="n">
        <v>5668077148</v>
      </c>
      <c r="G118" s="74" t="n">
        <v>4.7e-05</v>
      </c>
      <c r="H118" s="74" t="n">
        <v>0.1462</v>
      </c>
      <c r="I118" s="74" t="n">
        <v>0.0025</v>
      </c>
      <c r="J118" s="74" t="n">
        <v>0.011432</v>
      </c>
      <c r="K118" s="94" t="n">
        <v>19</v>
      </c>
      <c r="L118" s="95" t="inlineStr">
        <is>
          <t>20260929</t>
        </is>
      </c>
      <c r="M118" s="93" t="inlineStr">
        <is>
          <t>채택</t>
        </is>
      </c>
      <c r="N118" s="93" t="inlineStr"/>
      <c r="O118" s="93" t="inlineStr">
        <is>
          <t>S&amp;P 500</t>
        </is>
      </c>
      <c r="P118" s="93" t="inlineStr">
        <is>
          <t>일반</t>
        </is>
      </c>
      <c r="Q118" s="93" t="inlineStr">
        <is>
          <t>주식</t>
        </is>
      </c>
      <c r="R118" s="93" t="inlineStr">
        <is>
          <t>분기배당</t>
        </is>
      </c>
      <c r="S118" s="94" t="n">
        <v>4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IFERROR(INDEX($A$4:$A$593,MATCH(115,$X$4:$X$593,0)),"")</f>
        <v/>
      </c>
    </row>
    <row r="119">
      <c r="A119" s="93" t="inlineStr">
        <is>
          <t>RISE 국채선물10년인버스</t>
        </is>
      </c>
      <c r="B119" s="93" t="inlineStr">
        <is>
          <t>295020</t>
        </is>
      </c>
      <c r="C119" s="93" t="inlineStr">
        <is>
          <t>KB자산운용</t>
        </is>
      </c>
      <c r="D119" s="94" t="n">
        <v>61060</v>
      </c>
      <c r="E119" s="94" t="n">
        <v>34193600000</v>
      </c>
      <c r="F119" s="94" t="n">
        <v>2680898639</v>
      </c>
      <c r="G119" s="74" t="n">
        <v>0.0007000000000000001</v>
      </c>
      <c r="H119" s="74" t="n">
        <v>0.0704</v>
      </c>
      <c r="I119" s="74" t="n">
        <v>0.0121</v>
      </c>
      <c r="J119" s="74" t="n">
        <v>0.011431</v>
      </c>
      <c r="K119" s="94" t="n">
        <v>1</v>
      </c>
      <c r="L119" s="95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F-LKTB</t>
        </is>
      </c>
      <c r="P119" s="93" t="inlineStr">
        <is>
          <t>일반</t>
        </is>
      </c>
      <c r="Q119" s="93" t="inlineStr">
        <is>
          <t>채권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IFERROR(INDEX($A$4:$A$593,MATCH(116,$X$4:$X$593,0)),"")</f>
        <v/>
      </c>
    </row>
    <row r="120">
      <c r="A120" s="93" t="inlineStr">
        <is>
          <t>TIGER 미국나스닥100채권혼합50</t>
        </is>
      </c>
      <c r="B120" s="93" t="inlineStr">
        <is>
          <t>435420</t>
        </is>
      </c>
      <c r="C120" s="93" t="inlineStr">
        <is>
          <t>미래에셋자산운용</t>
        </is>
      </c>
      <c r="D120" s="94" t="n">
        <v>14225</v>
      </c>
      <c r="E120" s="94" t="n">
        <v>520635000000</v>
      </c>
      <c r="F120" s="94" t="n">
        <v>3769794562</v>
      </c>
      <c r="G120" s="74" t="n">
        <v>0.0025</v>
      </c>
      <c r="H120" s="74" t="n">
        <v>0.096</v>
      </c>
      <c r="I120" s="74" t="n">
        <v>0.003</v>
      </c>
      <c r="J120" s="74" t="n">
        <v>0.011248</v>
      </c>
      <c r="K120" s="94" t="n">
        <v>11</v>
      </c>
      <c r="L120" s="95" t="inlineStr">
        <is>
          <t>20260730</t>
        </is>
      </c>
      <c r="M120" s="93" t="inlineStr">
        <is>
          <t>채택</t>
        </is>
      </c>
      <c r="N120" s="93" t="inlineStr"/>
      <c r="O120" s="93" t="inlineStr">
        <is>
          <t>FnGuide 나스닥100채권혼합50 지수</t>
        </is>
      </c>
      <c r="P120" s="93" t="inlineStr">
        <is>
          <t>일반</t>
        </is>
      </c>
      <c r="Q120" s="93" t="inlineStr">
        <is>
          <t>멀티에셋</t>
        </is>
      </c>
      <c r="R120" s="93" t="inlineStr">
        <is>
          <t>분기배당</t>
        </is>
      </c>
      <c r="S120" s="94" t="n">
        <v>3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IFERROR(INDEX($A$4:$A$593,MATCH(117,$X$4:$X$593,0)),"")</f>
        <v/>
      </c>
    </row>
    <row r="121">
      <c r="A121" s="93" t="inlineStr">
        <is>
          <t>TIGER 차이나항셍테크</t>
        </is>
      </c>
      <c r="B121" s="93" t="inlineStr">
        <is>
          <t>371160</t>
        </is>
      </c>
      <c r="C121" s="93" t="inlineStr">
        <is>
          <t>미래에셋자산운용</t>
        </is>
      </c>
      <c r="D121" s="94" t="n">
        <v>6290</v>
      </c>
      <c r="E121" s="94" t="n">
        <v>510119000000</v>
      </c>
      <c r="F121" s="94" t="n">
        <v>4547953736</v>
      </c>
      <c r="G121" s="74" t="n">
        <v>0.0009</v>
      </c>
      <c r="H121" s="74" t="n">
        <v>0.2972</v>
      </c>
      <c r="I121" s="74" t="n">
        <v>0.0033</v>
      </c>
      <c r="J121" s="74" t="n">
        <v>0.011129</v>
      </c>
      <c r="K121" s="94" t="n">
        <v>6</v>
      </c>
      <c r="L121" s="95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항셍 테크</t>
        </is>
      </c>
      <c r="P121" s="93" t="inlineStr">
        <is>
          <t>일반</t>
        </is>
      </c>
      <c r="Q121" s="93" t="inlineStr">
        <is>
          <t>주식</t>
        </is>
      </c>
      <c r="R121" s="93" t="inlineStr">
        <is>
          <t>분기배당</t>
        </is>
      </c>
      <c r="S121" s="94" t="n">
        <v>3</v>
      </c>
      <c r="T121" s="74" t="n">
        <v>0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IFERROR(INDEX($A$4:$A$593,MATCH(118,$X$4:$X$593,0)),"")</f>
        <v/>
      </c>
    </row>
    <row r="122">
      <c r="A122" s="93" t="inlineStr">
        <is>
          <t>KODEX 국채선물3년인버스</t>
        </is>
      </c>
      <c r="B122" s="93" t="inlineStr">
        <is>
          <t>292770</t>
        </is>
      </c>
      <c r="C122" s="93" t="inlineStr">
        <is>
          <t>삼성자산운용(ETF)</t>
        </is>
      </c>
      <c r="D122" s="94" t="n">
        <v>58040</v>
      </c>
      <c r="E122" s="94" t="n">
        <v>72452640000</v>
      </c>
      <c r="F122" s="94" t="n">
        <v>744373679</v>
      </c>
      <c r="G122" s="74" t="n">
        <v>0.0007000000000000001</v>
      </c>
      <c r="H122" s="74" t="n">
        <v>0.0261</v>
      </c>
      <c r="I122" s="74" t="n">
        <v>0.011</v>
      </c>
      <c r="J122" s="74" t="n">
        <v>0.010768</v>
      </c>
      <c r="K122" s="94" t="n">
        <v>1</v>
      </c>
      <c r="L122" s="95" t="inlineStr">
        <is>
          <t>20251229</t>
        </is>
      </c>
      <c r="M122" s="93" t="inlineStr">
        <is>
          <t>채택</t>
        </is>
      </c>
      <c r="N122" s="93" t="inlineStr"/>
      <c r="O122" s="93" t="inlineStr">
        <is>
          <t>F-KTB</t>
        </is>
      </c>
      <c r="P122" s="93" t="inlineStr">
        <is>
          <t>일반</t>
        </is>
      </c>
      <c r="Q122" s="93" t="inlineStr">
        <is>
          <t>채권</t>
        </is>
      </c>
      <c r="R122" s="93" t="inlineStr">
        <is>
          <t>연배당</t>
        </is>
      </c>
      <c r="S122" s="94" t="n">
        <v>1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IFERROR(INDEX($A$4:$A$593,MATCH(119,$X$4:$X$593,0)),"")</f>
        <v/>
      </c>
    </row>
    <row r="123">
      <c r="A123" s="93" t="inlineStr">
        <is>
          <t>PLUS 국채선물3년</t>
        </is>
      </c>
      <c r="B123" s="93" t="inlineStr">
        <is>
          <t>298340</t>
        </is>
      </c>
      <c r="C123" s="93" t="inlineStr">
        <is>
          <t>한화자산운용</t>
        </is>
      </c>
      <c r="D123" s="94" t="n">
        <v>56500</v>
      </c>
      <c r="E123" s="94" t="n">
        <v>73450000000</v>
      </c>
      <c r="F123" s="94" t="n">
        <v>1139752516</v>
      </c>
      <c r="G123" s="74" t="n">
        <v>0.001</v>
      </c>
      <c r="H123" s="74" t="n">
        <v>0.0261</v>
      </c>
      <c r="I123" s="74" t="n">
        <v>0.0106</v>
      </c>
      <c r="J123" s="74" t="n">
        <v>0.010655</v>
      </c>
      <c r="K123" s="94" t="n">
        <v>1</v>
      </c>
      <c r="L123" s="95" t="inlineStr">
        <is>
          <t>20251212</t>
        </is>
      </c>
      <c r="M123" s="93" t="inlineStr">
        <is>
          <t>채택</t>
        </is>
      </c>
      <c r="N123" s="93" t="inlineStr"/>
      <c r="O123" s="93" t="inlineStr">
        <is>
          <t>F-KTB</t>
        </is>
      </c>
      <c r="P123" s="93" t="inlineStr">
        <is>
          <t>일반</t>
        </is>
      </c>
      <c r="Q123" s="93" t="inlineStr">
        <is>
          <t>채권</t>
        </is>
      </c>
      <c r="R123" s="93" t="inlineStr">
        <is>
          <t>연배당</t>
        </is>
      </c>
      <c r="S123" s="94" t="n">
        <v>1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IFERROR(INDEX($A$4:$A$593,MATCH(120,$X$4:$X$593,0)),"")</f>
        <v/>
      </c>
    </row>
    <row r="124">
      <c r="A124" s="93" t="inlineStr">
        <is>
          <t>KIWOOM 미국S&amp;P500</t>
        </is>
      </c>
      <c r="B124" s="93" t="inlineStr">
        <is>
          <t>449770</t>
        </is>
      </c>
      <c r="C124" s="93" t="inlineStr">
        <is>
          <t>키움투자자산운용</t>
        </is>
      </c>
      <c r="D124" s="94" t="n">
        <v>20795</v>
      </c>
      <c r="E124" s="94" t="n">
        <v>81100500000</v>
      </c>
      <c r="F124" s="94" t="n">
        <v>2299845494</v>
      </c>
      <c r="G124" s="74" t="n">
        <v>0.00021</v>
      </c>
      <c r="H124" s="74" t="n">
        <v>0.1463</v>
      </c>
      <c r="I124" s="74" t="n">
        <v>0.0022</v>
      </c>
      <c r="J124" s="74" t="n">
        <v>0.010195</v>
      </c>
      <c r="K124" s="94" t="n">
        <v>13</v>
      </c>
      <c r="L124" s="95" t="inlineStr">
        <is>
          <t>20260730</t>
        </is>
      </c>
      <c r="M124" s="93" t="inlineStr">
        <is>
          <t>채택</t>
        </is>
      </c>
      <c r="N124" s="93" t="inlineStr"/>
      <c r="O124" s="93" t="inlineStr">
        <is>
          <t>S&amp;P 500</t>
        </is>
      </c>
      <c r="P124" s="93" t="inlineStr">
        <is>
          <t>일반</t>
        </is>
      </c>
      <c r="Q124" s="93" t="inlineStr">
        <is>
          <t>주식</t>
        </is>
      </c>
      <c r="R124" s="93" t="inlineStr">
        <is>
          <t>분기배당</t>
        </is>
      </c>
      <c r="S124" s="94" t="n">
        <v>3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IFERROR(INDEX($A$4:$A$593,MATCH(121,$X$4:$X$593,0)),"")</f>
        <v/>
      </c>
    </row>
    <row r="125">
      <c r="A125" s="93" t="inlineStr">
        <is>
          <t>KODEX 미국나스닥100</t>
        </is>
      </c>
      <c r="B125" s="93" t="inlineStr">
        <is>
          <t>379810</t>
        </is>
      </c>
      <c r="C125" s="93" t="inlineStr">
        <is>
          <t>삼성자산운용(ETF)</t>
        </is>
      </c>
      <c r="D125" s="94" t="n">
        <v>27755</v>
      </c>
      <c r="E125" s="94" t="n">
        <v>10014004000000</v>
      </c>
      <c r="F125" s="94" t="n">
        <v>387823402925</v>
      </c>
      <c r="G125" s="74" t="n">
        <v>6.2e-05</v>
      </c>
      <c r="H125" s="74" t="n">
        <v>0.2068</v>
      </c>
      <c r="I125" s="74" t="n">
        <v>0.0031</v>
      </c>
      <c r="J125" s="74" t="n">
        <v>0.01016</v>
      </c>
      <c r="K125" s="94" t="n">
        <v>6</v>
      </c>
      <c r="L125" s="95" t="inlineStr">
        <is>
          <t>20260730</t>
        </is>
      </c>
      <c r="M125" s="93" t="inlineStr">
        <is>
          <t>채택</t>
        </is>
      </c>
      <c r="N125" s="93" t="inlineStr"/>
      <c r="O125" s="93" t="inlineStr">
        <is>
          <t>나스닥 100</t>
        </is>
      </c>
      <c r="P125" s="93" t="inlineStr">
        <is>
          <t>일반</t>
        </is>
      </c>
      <c r="Q125" s="93" t="inlineStr">
        <is>
          <t>주식</t>
        </is>
      </c>
      <c r="R125" s="93" t="inlineStr">
        <is>
          <t>분기배당</t>
        </is>
      </c>
      <c r="S125" s="94" t="n">
        <v>3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IFERROR(INDEX($A$4:$A$593,MATCH(122,$X$4:$X$593,0)),"")</f>
        <v/>
      </c>
    </row>
    <row r="126">
      <c r="A126" s="93" t="inlineStr">
        <is>
          <t>TIGER 단기통안채</t>
        </is>
      </c>
      <c r="B126" s="93" t="inlineStr">
        <is>
          <t>157450</t>
        </is>
      </c>
      <c r="C126" s="93" t="inlineStr">
        <is>
          <t>미래에셋자산운용</t>
        </is>
      </c>
      <c r="D126" s="94" t="n">
        <v>112760</v>
      </c>
      <c r="E126" s="94" t="n">
        <v>1289410600000</v>
      </c>
      <c r="F126" s="94" t="n">
        <v>2408711568</v>
      </c>
      <c r="G126" s="74" t="n">
        <v>0.0009</v>
      </c>
      <c r="H126" s="74" t="n">
        <v>0.0104</v>
      </c>
      <c r="I126" s="74" t="n">
        <v>0.0101</v>
      </c>
      <c r="J126" s="74" t="n">
        <v>0.01003</v>
      </c>
      <c r="K126" s="94" t="n">
        <v>1</v>
      </c>
      <c r="L126" s="95" t="inlineStr">
        <is>
          <t>20251127</t>
        </is>
      </c>
      <c r="M126" s="93" t="inlineStr">
        <is>
          <t>채택</t>
        </is>
      </c>
      <c r="N126" s="93" t="inlineStr"/>
      <c r="O126" s="93" t="inlineStr">
        <is>
          <t>KIS 통안채 6개월 지수</t>
        </is>
      </c>
      <c r="P126" s="93" t="inlineStr">
        <is>
          <t>일반</t>
        </is>
      </c>
      <c r="Q126" s="93" t="inlineStr">
        <is>
          <t>채권</t>
        </is>
      </c>
      <c r="R126" s="93" t="inlineStr">
        <is>
          <t>연배당</t>
        </is>
      </c>
      <c r="S126" s="94" t="n">
        <v>1</v>
      </c>
      <c r="T126" s="74" t="n">
        <v>1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IFERROR(INDEX($A$4:$A$593,MATCH(123,$X$4:$X$593,0)),"")</f>
        <v/>
      </c>
    </row>
    <row r="127">
      <c r="A127" s="93" t="inlineStr">
        <is>
          <t>TIGER 일본니케이225</t>
        </is>
      </c>
      <c r="B127" s="93" t="inlineStr">
        <is>
          <t>241180</t>
        </is>
      </c>
      <c r="C127" s="93" t="inlineStr">
        <is>
          <t>미래에셋자산운용</t>
        </is>
      </c>
      <c r="D127" s="94" t="n">
        <v>35860</v>
      </c>
      <c r="E127" s="94" t="n">
        <v>401632000000</v>
      </c>
      <c r="F127" s="94" t="n">
        <v>2062660723</v>
      </c>
      <c r="G127" s="74" t="n">
        <v>0.0035</v>
      </c>
      <c r="H127" s="74" t="n">
        <v>0.3245</v>
      </c>
      <c r="I127" s="74" t="n">
        <v>0.0122</v>
      </c>
      <c r="J127" s="74" t="n">
        <v>0.00976</v>
      </c>
      <c r="K127" s="94" t="n">
        <v>4</v>
      </c>
      <c r="L127" s="95" t="inlineStr">
        <is>
          <t>20251229</t>
        </is>
      </c>
      <c r="M127" s="93" t="inlineStr">
        <is>
          <t>채택</t>
        </is>
      </c>
      <c r="N127" s="93" t="inlineStr"/>
      <c r="O127" s="93" t="inlineStr">
        <is>
          <t>니케이225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연배당</t>
        </is>
      </c>
      <c r="S127" s="94" t="n">
        <v>1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IFERROR(INDEX($A$4:$A$593,MATCH(124,$X$4:$X$593,0)),"")</f>
        <v/>
      </c>
    </row>
    <row r="128">
      <c r="A128" s="93" t="inlineStr">
        <is>
          <t>TIGER 미국S&amp;P500</t>
        </is>
      </c>
      <c r="B128" s="93" t="inlineStr">
        <is>
          <t>360750</t>
        </is>
      </c>
      <c r="C128" s="93" t="inlineStr">
        <is>
          <t>미래에셋자산운용</t>
        </is>
      </c>
      <c r="D128" s="94" t="n">
        <v>25965</v>
      </c>
      <c r="E128" s="94" t="n">
        <v>20932983000000</v>
      </c>
      <c r="F128" s="94" t="n">
        <v>979506154608</v>
      </c>
      <c r="G128" s="74" t="n">
        <v>6.8e-05</v>
      </c>
      <c r="H128" s="74" t="n">
        <v>0.1464</v>
      </c>
      <c r="I128" s="74" t="n">
        <v>0.0025</v>
      </c>
      <c r="J128" s="74" t="n">
        <v>0.009744000000000001</v>
      </c>
      <c r="K128" s="94" t="n">
        <v>20</v>
      </c>
      <c r="L128" s="95" t="inlineStr">
        <is>
          <t>20260730</t>
        </is>
      </c>
      <c r="M128" s="93" t="inlineStr">
        <is>
          <t>채택</t>
        </is>
      </c>
      <c r="N128" s="93" t="inlineStr"/>
      <c r="O128" s="93" t="inlineStr">
        <is>
          <t>S&amp;P 500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분기배당</t>
        </is>
      </c>
      <c r="S128" s="94" t="n">
        <v>3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IFERROR(INDEX($A$4:$A$593,MATCH(125,$X$4:$X$593,0)),"")</f>
        <v/>
      </c>
    </row>
    <row r="129">
      <c r="A129" s="93" t="inlineStr">
        <is>
          <t>ACE 미국S&amp;P500</t>
        </is>
      </c>
      <c r="B129" s="93" t="inlineStr">
        <is>
          <t>360200</t>
        </is>
      </c>
      <c r="C129" s="93" t="inlineStr">
        <is>
          <t>한국투신운용(ETF)</t>
        </is>
      </c>
      <c r="D129" s="94" t="n">
        <v>26255</v>
      </c>
      <c r="E129" s="94" t="n">
        <v>3980258000000</v>
      </c>
      <c r="F129" s="94" t="n">
        <v>20698715387</v>
      </c>
      <c r="G129" s="74" t="n">
        <v>4.7e-05</v>
      </c>
      <c r="H129" s="74" t="n">
        <v>0.1464</v>
      </c>
      <c r="I129" s="74" t="n">
        <v>0.0024</v>
      </c>
      <c r="J129" s="74" t="n">
        <v>0.009636</v>
      </c>
      <c r="K129" s="94" t="n">
        <v>20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3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IFERROR(INDEX($A$4:$A$593,MATCH(126,$X$4:$X$593,0)),"")</f>
        <v/>
      </c>
    </row>
    <row r="130">
      <c r="A130" s="93" t="inlineStr">
        <is>
          <t>1Q 미국S&amp;P500</t>
        </is>
      </c>
      <c r="B130" s="93" t="inlineStr">
        <is>
          <t>0026S0</t>
        </is>
      </c>
      <c r="C130" s="93" t="inlineStr">
        <is>
          <t>하나자산운용</t>
        </is>
      </c>
      <c r="D130" s="94" t="n">
        <v>12670</v>
      </c>
      <c r="E130" s="94" t="n">
        <v>340823000000</v>
      </c>
      <c r="F130" s="94" t="n">
        <v>2584298538</v>
      </c>
      <c r="G130" s="74" t="n">
        <v>5.5e-05</v>
      </c>
      <c r="H130" s="74" t="n">
        <v>0.1459</v>
      </c>
      <c r="I130" s="74" t="n">
        <v>0.0022</v>
      </c>
      <c r="J130" s="74" t="n">
        <v>0.009629</v>
      </c>
      <c r="K130" s="94" t="n">
        <v>6</v>
      </c>
      <c r="L130" s="95" t="inlineStr">
        <is>
          <t>20260914</t>
        </is>
      </c>
      <c r="M130" s="93" t="inlineStr">
        <is>
          <t>채택</t>
        </is>
      </c>
      <c r="N130" s="93" t="inlineStr"/>
      <c r="O130" s="93" t="inlineStr">
        <is>
          <t>S&amp;P 500</t>
        </is>
      </c>
      <c r="P130" s="93" t="inlineStr">
        <is>
          <t>일반</t>
        </is>
      </c>
      <c r="Q130" s="93" t="inlineStr">
        <is>
          <t>주식</t>
        </is>
      </c>
      <c r="R130" s="93" t="inlineStr">
        <is>
          <t>분기배당</t>
        </is>
      </c>
      <c r="S130" s="94" t="n">
        <v>4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IFERROR(INDEX($A$4:$A$593,MATCH(127,$X$4:$X$593,0)),"")</f>
        <v/>
      </c>
    </row>
    <row r="131">
      <c r="A131" s="93" t="inlineStr">
        <is>
          <t>KODEX 미국달러선물</t>
        </is>
      </c>
      <c r="B131" s="93" t="inlineStr">
        <is>
          <t>261240</t>
        </is>
      </c>
      <c r="C131" s="93" t="inlineStr">
        <is>
          <t>삼성자산운용(ETF)</t>
        </is>
      </c>
      <c r="D131" s="94" t="n">
        <v>14065</v>
      </c>
      <c r="E131" s="94" t="n">
        <v>63011200000</v>
      </c>
      <c r="F131" s="94" t="n">
        <v>1316133100</v>
      </c>
      <c r="G131" s="74" t="n">
        <v>0.0025</v>
      </c>
      <c r="H131" s="74" t="n">
        <v>0.1056</v>
      </c>
      <c r="I131" s="74" t="n">
        <v>0.0092</v>
      </c>
      <c r="J131" s="74" t="n">
        <v>0.009598000000000001</v>
      </c>
      <c r="K131" s="94" t="n">
        <v>1</v>
      </c>
      <c r="L131" s="95" t="inlineStr">
        <is>
          <t>20251229</t>
        </is>
      </c>
      <c r="M131" s="93" t="inlineStr">
        <is>
          <t>채택</t>
        </is>
      </c>
      <c r="N131" s="93" t="inlineStr"/>
      <c r="O131" s="93" t="inlineStr">
        <is>
          <t>F-USDKRW</t>
        </is>
      </c>
      <c r="P131" s="93" t="inlineStr">
        <is>
          <t>일반</t>
        </is>
      </c>
      <c r="Q131" s="93" t="inlineStr">
        <is>
          <t>통화</t>
        </is>
      </c>
      <c r="R131" s="93" t="inlineStr">
        <is>
          <t>연배당</t>
        </is>
      </c>
      <c r="S131" s="94" t="n">
        <v>1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IFERROR(INDEX($A$4:$A$593,MATCH(128,$X$4:$X$593,0)),"")</f>
        <v/>
      </c>
    </row>
    <row r="132">
      <c r="A132" s="93" t="inlineStr">
        <is>
          <t>KODEX 미국S&amp;P500(H)</t>
        </is>
      </c>
      <c r="B132" s="93" t="inlineStr">
        <is>
          <t>449180</t>
        </is>
      </c>
      <c r="C132" s="93" t="inlineStr">
        <is>
          <t>삼성자산운용(ETF)</t>
        </is>
      </c>
      <c r="D132" s="94" t="n">
        <v>17210</v>
      </c>
      <c r="E132" s="94" t="n">
        <v>1034321000000</v>
      </c>
      <c r="F132" s="94" t="n">
        <v>7599967426</v>
      </c>
      <c r="G132" s="74" t="n">
        <v>9.900000000000001e-05</v>
      </c>
      <c r="H132" s="74" t="n">
        <v>0.1303</v>
      </c>
      <c r="I132" s="74" t="n">
        <v>0.0024</v>
      </c>
      <c r="J132" s="74" t="n">
        <v>0.009297</v>
      </c>
      <c r="K132" s="94" t="n">
        <v>14</v>
      </c>
      <c r="L132" s="95" t="inlineStr">
        <is>
          <t>20260730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3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IFERROR(INDEX($A$4:$A$593,MATCH(129,$X$4:$X$593,0)),"")</f>
        <v/>
      </c>
    </row>
    <row r="133">
      <c r="A133" s="93" t="inlineStr">
        <is>
          <t>RISE TDF2050액티브 적격</t>
        </is>
      </c>
      <c r="B133" s="93" t="inlineStr">
        <is>
          <t>442570</t>
        </is>
      </c>
      <c r="C133" s="93" t="inlineStr">
        <is>
          <t>KB자산운용</t>
        </is>
      </c>
      <c r="D133" s="94" t="n">
        <v>17460</v>
      </c>
      <c r="E133" s="94" t="n">
        <v>353565000000</v>
      </c>
      <c r="F133" s="94" t="n">
        <v>2697969301</v>
      </c>
      <c r="G133" s="74" t="n">
        <v>0.0001</v>
      </c>
      <c r="H133" s="74" t="n">
        <v>0.1329</v>
      </c>
      <c r="I133" s="74" t="n">
        <v>0.0032</v>
      </c>
      <c r="J133" s="74" t="n">
        <v>0.009221</v>
      </c>
      <c r="K133" s="94" t="n">
        <v>2</v>
      </c>
      <c r="L133" s="95" t="inlineStr">
        <is>
          <t>20260730</t>
        </is>
      </c>
      <c r="M133" s="93" t="inlineStr">
        <is>
          <t>채택</t>
        </is>
      </c>
      <c r="N133" s="93" t="inlineStr"/>
      <c r="O133" s="93" t="inlineStr">
        <is>
          <t>iSelect Tactical Asset Allocation TDF 2050 PR Index</t>
        </is>
      </c>
      <c r="P133" s="93" t="inlineStr">
        <is>
          <t>일반</t>
        </is>
      </c>
      <c r="Q133" s="93" t="inlineStr">
        <is>
          <t>멀티에셋</t>
        </is>
      </c>
      <c r="R133" s="93" t="inlineStr">
        <is>
          <t>반기배당</t>
        </is>
      </c>
      <c r="S133" s="94" t="n">
        <v>2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IFERROR(INDEX($A$4:$A$593,MATCH(130,$X$4:$X$593,0)),"")</f>
        <v/>
      </c>
    </row>
    <row r="134">
      <c r="A134" s="93" t="inlineStr">
        <is>
          <t>TIGER 미국S&amp;P500(H)</t>
        </is>
      </c>
      <c r="B134" s="93" t="inlineStr">
        <is>
          <t>448290</t>
        </is>
      </c>
      <c r="C134" s="93" t="inlineStr">
        <is>
          <t>미래에셋자산운용</t>
        </is>
      </c>
      <c r="D134" s="94" t="n">
        <v>17825</v>
      </c>
      <c r="E134" s="94" t="n">
        <v>486622500000</v>
      </c>
      <c r="F134" s="94" t="n">
        <v>2315478022</v>
      </c>
      <c r="G134" s="74" t="n">
        <v>0.0007000000000000001</v>
      </c>
      <c r="H134" s="74" t="n">
        <v>0.1302</v>
      </c>
      <c r="I134" s="74" t="n">
        <v>0.0024</v>
      </c>
      <c r="J134" s="74" t="n">
        <v>0.009143999999999999</v>
      </c>
      <c r="K134" s="94" t="n">
        <v>6</v>
      </c>
      <c r="L134" s="95" t="inlineStr">
        <is>
          <t>20260730</t>
        </is>
      </c>
      <c r="M134" s="93" t="inlineStr">
        <is>
          <t>채택</t>
        </is>
      </c>
      <c r="N134" s="93" t="inlineStr"/>
      <c r="O134" s="93" t="inlineStr">
        <is>
          <t>S&amp;P 500</t>
        </is>
      </c>
      <c r="P134" s="93" t="inlineStr">
        <is>
          <t>일반</t>
        </is>
      </c>
      <c r="Q134" s="93" t="inlineStr">
        <is>
          <t>주식</t>
        </is>
      </c>
      <c r="R134" s="93" t="inlineStr">
        <is>
          <t>분기배당</t>
        </is>
      </c>
      <c r="S134" s="94" t="n">
        <v>3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IFERROR(INDEX($A$4:$A$593,MATCH(131,$X$4:$X$593,0)),"")</f>
        <v/>
      </c>
    </row>
    <row r="135">
      <c r="A135" s="93" t="inlineStr">
        <is>
          <t>SOL 미국S&amp;P500</t>
        </is>
      </c>
      <c r="B135" s="93" t="inlineStr">
        <is>
          <t>433330</t>
        </is>
      </c>
      <c r="C135" s="93" t="inlineStr">
        <is>
          <t>신한자산운용</t>
        </is>
      </c>
      <c r="D135" s="94" t="n">
        <v>21660</v>
      </c>
      <c r="E135" s="94" t="n">
        <v>298908000000</v>
      </c>
      <c r="F135" s="94" t="n">
        <v>1988183132</v>
      </c>
      <c r="G135" s="74" t="n">
        <v>4.7e-05</v>
      </c>
      <c r="H135" s="74" t="n">
        <v>0.1459</v>
      </c>
      <c r="I135" s="74" t="n">
        <v>0.0009</v>
      </c>
      <c r="J135" s="74" t="n">
        <v>0.009094999999999999</v>
      </c>
      <c r="K135" s="94" t="n">
        <v>51</v>
      </c>
      <c r="L135" s="95" t="inlineStr">
        <is>
          <t>20260929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월배당</t>
        </is>
      </c>
      <c r="S135" s="94" t="n">
        <v>11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IFERROR(INDEX($A$4:$A$593,MATCH(132,$X$4:$X$593,0)),"")</f>
        <v/>
      </c>
    </row>
    <row r="136">
      <c r="A136" s="93" t="inlineStr">
        <is>
          <t>KODEX 미국달러선물레버리지</t>
        </is>
      </c>
      <c r="B136" s="93" t="inlineStr">
        <is>
          <t>261250</t>
        </is>
      </c>
      <c r="C136" s="93" t="inlineStr">
        <is>
          <t>삼성자산운용(ETF)</t>
        </is>
      </c>
      <c r="D136" s="94" t="n">
        <v>15430</v>
      </c>
      <c r="E136" s="94" t="n">
        <v>33328800000</v>
      </c>
      <c r="F136" s="94" t="n">
        <v>1429374641</v>
      </c>
      <c r="G136" s="74" t="n">
        <v>0.004500000000000001</v>
      </c>
      <c r="H136" s="74" t="n">
        <v>0.208</v>
      </c>
      <c r="I136" s="74" t="n">
        <v>0.007800000000000001</v>
      </c>
      <c r="J136" s="74" t="n">
        <v>0.008749</v>
      </c>
      <c r="K136" s="94" t="n">
        <v>1</v>
      </c>
      <c r="L136" s="95" t="inlineStr">
        <is>
          <t>20251229</t>
        </is>
      </c>
      <c r="M136" s="93" t="inlineStr">
        <is>
          <t>채택</t>
        </is>
      </c>
      <c r="N136" s="93" t="inlineStr"/>
      <c r="O136" s="93" t="inlineStr">
        <is>
          <t>F-USDKRW</t>
        </is>
      </c>
      <c r="P136" s="93" t="inlineStr">
        <is>
          <t>일반</t>
        </is>
      </c>
      <c r="Q136" s="93" t="inlineStr">
        <is>
          <t>통화</t>
        </is>
      </c>
      <c r="R136" s="93" t="inlineStr">
        <is>
          <t>연배당</t>
        </is>
      </c>
      <c r="S136" s="94" t="n">
        <v>1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IFERROR(INDEX($A$4:$A$593,MATCH(133,$X$4:$X$593,0)),"")</f>
        <v/>
      </c>
    </row>
    <row r="137">
      <c r="A137" s="93" t="inlineStr">
        <is>
          <t>ACE 엔비디아채권혼합</t>
        </is>
      </c>
      <c r="B137" s="93" t="inlineStr">
        <is>
          <t>448540</t>
        </is>
      </c>
      <c r="C137" s="93" t="inlineStr">
        <is>
          <t>한국투신운용(ETF)</t>
        </is>
      </c>
      <c r="D137" s="94" t="n">
        <v>26725</v>
      </c>
      <c r="E137" s="94" t="n">
        <v>208455000000</v>
      </c>
      <c r="F137" s="94" t="n">
        <v>884647809</v>
      </c>
      <c r="G137" s="74" t="n">
        <v>0.0007000000000000001</v>
      </c>
      <c r="H137" s="74" t="n">
        <v>0.1196</v>
      </c>
      <c r="I137" s="74" t="n">
        <v>0.0092</v>
      </c>
      <c r="J137" s="74" t="n">
        <v>0.008718</v>
      </c>
      <c r="K137" s="94" t="n">
        <v>1</v>
      </c>
      <c r="L137" s="95" t="inlineStr">
        <is>
          <t>20251229</t>
        </is>
      </c>
      <c r="M137" s="93" t="inlineStr">
        <is>
          <t>채택</t>
        </is>
      </c>
      <c r="N137" s="93" t="inlineStr"/>
      <c r="O137" s="93" t="inlineStr">
        <is>
          <t>Bloomberg Blended NVIDIA and Korean Bond Index</t>
        </is>
      </c>
      <c r="P137" s="93" t="inlineStr">
        <is>
          <t>일반</t>
        </is>
      </c>
      <c r="Q137" s="93" t="inlineStr">
        <is>
          <t>멀티에셋</t>
        </is>
      </c>
      <c r="R137" s="93" t="inlineStr">
        <is>
          <t>연배당</t>
        </is>
      </c>
      <c r="S137" s="94" t="n">
        <v>1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IFERROR(INDEX($A$4:$A$593,MATCH(134,$X$4:$X$593,0)),"")</f>
        <v/>
      </c>
    </row>
    <row r="138">
      <c r="A138" s="93" t="inlineStr">
        <is>
          <t>1Q 머니마켓액티브</t>
        </is>
      </c>
      <c r="B138" s="93" t="inlineStr">
        <is>
          <t>479080</t>
        </is>
      </c>
      <c r="C138" s="93" t="inlineStr">
        <is>
          <t>하나자산운용</t>
        </is>
      </c>
      <c r="D138" s="94" t="n">
        <v>53925</v>
      </c>
      <c r="E138" s="94" t="n">
        <v>918019200000</v>
      </c>
      <c r="F138" s="94" t="n">
        <v>2791902226</v>
      </c>
      <c r="G138" s="74" t="n">
        <v>0.0005</v>
      </c>
      <c r="H138" s="74" t="n">
        <v>0.0089</v>
      </c>
      <c r="I138" s="74" t="n">
        <v>0.0086</v>
      </c>
      <c r="J138" s="74" t="n">
        <v>0.008437999999999999</v>
      </c>
      <c r="K138" s="94" t="n">
        <v>1</v>
      </c>
      <c r="L138" s="95" t="inlineStr">
        <is>
          <t>20251113</t>
        </is>
      </c>
      <c r="M138" s="93" t="inlineStr">
        <is>
          <t>채택</t>
        </is>
      </c>
      <c r="N138" s="93" t="inlineStr"/>
      <c r="O138" s="93" t="inlineStr">
        <is>
          <t>KIS-하나 MMF지수</t>
        </is>
      </c>
      <c r="P138" s="93" t="inlineStr">
        <is>
          <t>일반</t>
        </is>
      </c>
      <c r="Q138" s="93" t="inlineStr">
        <is>
          <t>단기자금(파킹형)</t>
        </is>
      </c>
      <c r="R138" s="93" t="inlineStr">
        <is>
          <t>연배당</t>
        </is>
      </c>
      <c r="S138" s="94" t="n">
        <v>1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IFERROR(INDEX($A$4:$A$593,MATCH(135,$X$4:$X$593,0)),"")</f>
        <v/>
      </c>
    </row>
    <row r="139">
      <c r="A139" s="93" t="inlineStr">
        <is>
          <t>TIGER 미국달러단기채권액티브</t>
        </is>
      </c>
      <c r="B139" s="93" t="inlineStr">
        <is>
          <t>329750</t>
        </is>
      </c>
      <c r="C139" s="93" t="inlineStr">
        <is>
          <t>미래에셋자산운용</t>
        </is>
      </c>
      <c r="D139" s="94" t="n">
        <v>12860</v>
      </c>
      <c r="E139" s="94" t="n">
        <v>726204200000</v>
      </c>
      <c r="F139" s="94" t="n">
        <v>5262916531</v>
      </c>
      <c r="G139" s="74" t="n">
        <v>0.003</v>
      </c>
      <c r="H139" s="74" t="n">
        <v>0.1043</v>
      </c>
      <c r="I139" s="74" t="n">
        <v>0.007800000000000001</v>
      </c>
      <c r="J139" s="74" t="n">
        <v>0.008243</v>
      </c>
      <c r="K139" s="94" t="n">
        <v>4</v>
      </c>
      <c r="L139" s="95" t="inlineStr">
        <is>
          <t>20251127</t>
        </is>
      </c>
      <c r="M139" s="93" t="inlineStr">
        <is>
          <t>채택</t>
        </is>
      </c>
      <c r="N139" s="93" t="inlineStr"/>
      <c r="O139" s="93" t="inlineStr">
        <is>
          <t>KIS U.S. TREASURY BOND 0-1Y</t>
        </is>
      </c>
      <c r="P139" s="93" t="inlineStr">
        <is>
          <t>일반</t>
        </is>
      </c>
      <c r="Q139" s="93" t="inlineStr">
        <is>
          <t>채권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IFERROR(INDEX($A$4:$A$593,MATCH(136,$X$4:$X$593,0)),"")</f>
        <v/>
      </c>
    </row>
    <row r="140">
      <c r="A140" s="93" t="inlineStr">
        <is>
          <t>1Q 미국나스닥100미국채혼합50액티브</t>
        </is>
      </c>
      <c r="B140" s="93" t="inlineStr">
        <is>
          <t>0111P0</t>
        </is>
      </c>
      <c r="C140" s="93" t="inlineStr">
        <is>
          <t>하나자산운용</t>
        </is>
      </c>
      <c r="D140" s="94" t="n">
        <v>10880</v>
      </c>
      <c r="E140" s="94" t="n">
        <v>311168000000</v>
      </c>
      <c r="F140" s="94" t="n">
        <v>1831318457</v>
      </c>
      <c r="G140" s="74" t="n">
        <v>0.0005</v>
      </c>
      <c r="H140" s="74" t="n">
        <v>0.1323</v>
      </c>
      <c r="I140" s="74" t="n">
        <v>0.0026</v>
      </c>
      <c r="J140" s="74" t="n">
        <v>0.007996</v>
      </c>
      <c r="K140" s="94" t="n">
        <v>3</v>
      </c>
      <c r="L140" s="95" t="inlineStr">
        <is>
          <t>20260730</t>
        </is>
      </c>
      <c r="M140" s="93" t="inlineStr">
        <is>
          <t>채택</t>
        </is>
      </c>
      <c r="N140" s="93" t="inlineStr"/>
      <c r="O140" s="93" t="inlineStr">
        <is>
          <t>Nasdaq-100 US T-Bills 0-6 Month 50/50 Index</t>
        </is>
      </c>
      <c r="P140" s="93" t="inlineStr">
        <is>
          <t>일반</t>
        </is>
      </c>
      <c r="Q140" s="93" t="inlineStr">
        <is>
          <t>멀티에셋</t>
        </is>
      </c>
      <c r="R140" s="93" t="inlineStr">
        <is>
          <t>분기배당</t>
        </is>
      </c>
      <c r="S140" s="94" t="n">
        <v>3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IFERROR(INDEX($A$4:$A$593,MATCH(137,$X$4:$X$593,0)),"")</f>
        <v/>
      </c>
    </row>
    <row r="141">
      <c r="A141" s="93" t="inlineStr">
        <is>
          <t>RISE 글로벌자산배분액티브</t>
        </is>
      </c>
      <c r="B141" s="93" t="inlineStr">
        <is>
          <t>461490</t>
        </is>
      </c>
      <c r="C141" s="93" t="inlineStr">
        <is>
          <t>KB자산운용</t>
        </is>
      </c>
      <c r="D141" s="94" t="n">
        <v>14515</v>
      </c>
      <c r="E141" s="94" t="n">
        <v>278688000000</v>
      </c>
      <c r="F141" s="94" t="n">
        <v>1014487436</v>
      </c>
      <c r="G141" s="74" t="n">
        <v>0.0001</v>
      </c>
      <c r="H141" s="74" t="n">
        <v>0.07870000000000001</v>
      </c>
      <c r="I141" s="74" t="n">
        <v>0.0009</v>
      </c>
      <c r="J141" s="74" t="n">
        <v>0.007784999999999999</v>
      </c>
      <c r="K141" s="94" t="n">
        <v>2</v>
      </c>
      <c r="L141" s="95" t="inlineStr">
        <is>
          <t>20260429</t>
        </is>
      </c>
      <c r="M141" s="93" t="inlineStr">
        <is>
          <t>채택</t>
        </is>
      </c>
      <c r="N141" s="93" t="inlineStr"/>
      <c r="O141" s="93" t="inlineStr">
        <is>
          <t>Bloomberg Multi-Asset Weighted KRW ETFs Index</t>
        </is>
      </c>
      <c r="P141" s="93" t="inlineStr">
        <is>
          <t>일반</t>
        </is>
      </c>
      <c r="Q141" s="93" t="inlineStr">
        <is>
          <t>멀티에셋</t>
        </is>
      </c>
      <c r="R141" s="93" t="inlineStr">
        <is>
          <t>연배당</t>
        </is>
      </c>
      <c r="S141" s="94" t="n">
        <v>2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IFERROR(INDEX($A$4:$A$593,MATCH(138,$X$4:$X$593,0)),"")</f>
        <v/>
      </c>
    </row>
    <row r="142">
      <c r="A142" s="93" t="inlineStr">
        <is>
          <t>TIGER 단기채권액티브</t>
        </is>
      </c>
      <c r="B142" s="93" t="inlineStr">
        <is>
          <t>272580</t>
        </is>
      </c>
      <c r="C142" s="93" t="inlineStr">
        <is>
          <t>미래에셋자산운용</t>
        </is>
      </c>
      <c r="D142" s="94" t="n">
        <v>57230</v>
      </c>
      <c r="E142" s="94" t="n">
        <v>794924700000</v>
      </c>
      <c r="F142" s="94" t="n">
        <v>3263360113</v>
      </c>
      <c r="G142" s="74" t="n">
        <v>0.0007000000000000001</v>
      </c>
      <c r="H142" s="74" t="n">
        <v>0.008</v>
      </c>
      <c r="I142" s="74" t="n">
        <v>0.007800000000000001</v>
      </c>
      <c r="J142" s="74" t="n">
        <v>0.007636</v>
      </c>
      <c r="K142" s="94" t="n">
        <v>1</v>
      </c>
      <c r="L142" s="95" t="inlineStr">
        <is>
          <t>20251127</t>
        </is>
      </c>
      <c r="M142" s="93" t="inlineStr">
        <is>
          <t>채택</t>
        </is>
      </c>
      <c r="N142" s="93" t="inlineStr"/>
      <c r="O142" s="93" t="inlineStr">
        <is>
          <t>KIS 통안채 6개월 플러스 지수</t>
        </is>
      </c>
      <c r="P142" s="93" t="inlineStr">
        <is>
          <t>일반</t>
        </is>
      </c>
      <c r="Q142" s="93" t="inlineStr">
        <is>
          <t>채권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IFERROR(INDEX($A$4:$A$593,MATCH(139,$X$4:$X$593,0)),"")</f>
        <v/>
      </c>
    </row>
    <row r="143">
      <c r="A143" s="93" t="inlineStr">
        <is>
          <t>TIGER 미국S&amp;P500레버리지(합성 H)</t>
        </is>
      </c>
      <c r="B143" s="93" t="inlineStr">
        <is>
          <t>225040</t>
        </is>
      </c>
      <c r="C143" s="93" t="inlineStr">
        <is>
          <t>미래에셋자산운용</t>
        </is>
      </c>
      <c r="D143" s="94" t="n">
        <v>67785</v>
      </c>
      <c r="E143" s="94" t="n">
        <v>56939400000</v>
      </c>
      <c r="F143" s="94" t="n">
        <v>576684085</v>
      </c>
      <c r="G143" s="74" t="n">
        <v>0.0025</v>
      </c>
      <c r="H143" s="74" t="n">
        <v>0.2663</v>
      </c>
      <c r="I143" s="74" t="n">
        <v>0.008800000000000001</v>
      </c>
      <c r="J143" s="74" t="n">
        <v>0.007523999999999999</v>
      </c>
      <c r="K143" s="94" t="n">
        <v>1</v>
      </c>
      <c r="L143" s="95" t="inlineStr">
        <is>
          <t>20251229</t>
        </is>
      </c>
      <c r="M143" s="93" t="inlineStr">
        <is>
          <t>채택</t>
        </is>
      </c>
      <c r="N143" s="93" t="inlineStr"/>
      <c r="O143" s="93" t="inlineStr">
        <is>
          <t>S&amp;P 500</t>
        </is>
      </c>
      <c r="P143" s="93" t="inlineStr">
        <is>
          <t>일반</t>
        </is>
      </c>
      <c r="Q143" s="93" t="inlineStr">
        <is>
          <t>주식</t>
        </is>
      </c>
      <c r="R143" s="93" t="inlineStr">
        <is>
          <t>연배당</t>
        </is>
      </c>
      <c r="S143" s="94" t="n">
        <v>1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IFERROR(INDEX($A$4:$A$593,MATCH(140,$X$4:$X$593,0)),"")</f>
        <v/>
      </c>
    </row>
    <row r="144">
      <c r="A144" s="93" t="inlineStr">
        <is>
          <t>ACE 우량회사채(AA-이상)액티브</t>
        </is>
      </c>
      <c r="B144" s="93" t="inlineStr">
        <is>
          <t>0099L0</t>
        </is>
      </c>
      <c r="C144" s="93" t="inlineStr">
        <is>
          <t>한국투신운용(ETF)</t>
        </is>
      </c>
      <c r="D144" s="94" t="n">
        <v>99640</v>
      </c>
      <c r="E144" s="94" t="n">
        <v>174768560000</v>
      </c>
      <c r="F144" s="94" t="n">
        <v>1706149102</v>
      </c>
      <c r="G144" s="74" t="n">
        <v>0.00095</v>
      </c>
      <c r="H144" s="74" t="n">
        <v>0.0186</v>
      </c>
      <c r="I144" s="74" t="n">
        <v>0.0075</v>
      </c>
      <c r="J144" s="74" t="n">
        <v>0.007467000000000001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1~3년 우량크레딧(AA-이상) 총수익지수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 s="74" t="n">
        <v>0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IFERROR(INDEX($A$4:$A$593,MATCH(141,$X$4:$X$593,0)),"")</f>
        <v/>
      </c>
    </row>
    <row r="145">
      <c r="A145" s="93" t="inlineStr">
        <is>
          <t>KODEX 미국S&amp;P500액티브</t>
        </is>
      </c>
      <c r="B145" s="93" t="inlineStr">
        <is>
          <t>0041E0</t>
        </is>
      </c>
      <c r="C145" s="93" t="inlineStr">
        <is>
          <t>삼성자산운용(ETF)</t>
        </is>
      </c>
      <c r="D145" s="94" t="n">
        <v>16255</v>
      </c>
      <c r="E145" s="94" t="n">
        <v>138167500000</v>
      </c>
      <c r="F145" s="94" t="n">
        <v>1763955505</v>
      </c>
      <c r="G145" s="74" t="n">
        <v>0.004500000000000001</v>
      </c>
      <c r="H145" s="74" t="n">
        <v>0.2228</v>
      </c>
      <c r="I145" s="74" t="n">
        <v>0.0012</v>
      </c>
      <c r="J145" s="74" t="n">
        <v>0.007382</v>
      </c>
      <c r="K145" s="94" t="n">
        <v>5</v>
      </c>
      <c r="L145" s="95" t="inlineStr">
        <is>
          <t>20260730</t>
        </is>
      </c>
      <c r="M145" s="93" t="inlineStr">
        <is>
          <t>채택</t>
        </is>
      </c>
      <c r="N145" s="93" t="inlineStr"/>
      <c r="O145" s="93" t="inlineStr">
        <is>
          <t>S&amp;P 500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분기배당</t>
        </is>
      </c>
      <c r="S145" s="94" t="n">
        <v>3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IFERROR(INDEX($A$4:$A$593,MATCH(142,$X$4:$X$593,0)),"")</f>
        <v/>
      </c>
    </row>
    <row r="146">
      <c r="A146" s="93" t="inlineStr">
        <is>
          <t>1Q CD금리액티브(합성)</t>
        </is>
      </c>
      <c r="B146" s="93" t="inlineStr">
        <is>
          <t>491610</t>
        </is>
      </c>
      <c r="C146" s="93" t="inlineStr">
        <is>
          <t>하나자산운용</t>
        </is>
      </c>
      <c r="D146" s="94" t="n">
        <v>105140</v>
      </c>
      <c r="E146" s="94" t="n">
        <v>145408620000</v>
      </c>
      <c r="F146" s="94" t="n">
        <v>674278299</v>
      </c>
      <c r="G146" s="74" t="n">
        <v>0.0002</v>
      </c>
      <c r="H146" s="74" t="n">
        <v>0.0075</v>
      </c>
      <c r="I146" s="74" t="n">
        <v>0.0072</v>
      </c>
      <c r="J146" s="74" t="n">
        <v>0.007057</v>
      </c>
      <c r="K146" s="94" t="n">
        <v>1</v>
      </c>
      <c r="L146" s="95" t="inlineStr">
        <is>
          <t>20251113</t>
        </is>
      </c>
      <c r="M146" s="93" t="inlineStr">
        <is>
          <t>채택</t>
        </is>
      </c>
      <c r="N146" s="93" t="inlineStr"/>
      <c r="O146" s="93" t="inlineStr">
        <is>
          <t>KIS-하나 CD금리 총수익지수</t>
        </is>
      </c>
      <c r="P146" s="93" t="inlineStr">
        <is>
          <t>일반</t>
        </is>
      </c>
      <c r="Q146" s="93" t="inlineStr">
        <is>
          <t>단기자금(파킹형)</t>
        </is>
      </c>
      <c r="R146" s="93" t="inlineStr">
        <is>
          <t>연배당</t>
        </is>
      </c>
      <c r="S146" s="94" t="n">
        <v>1</v>
      </c>
      <c r="T146" s="74" t="n">
        <v>1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IFERROR(INDEX($A$4:$A$593,MATCH(143,$X$4:$X$593,0)),"")</f>
        <v/>
      </c>
    </row>
    <row r="147">
      <c r="A147" s="93" t="inlineStr">
        <is>
          <t>TIGER 머니마켓액티브</t>
        </is>
      </c>
      <c r="B147" s="93" t="inlineStr">
        <is>
          <t>0043B0</t>
        </is>
      </c>
      <c r="C147" s="93" t="inlineStr">
        <is>
          <t>미래에셋자산운용</t>
        </is>
      </c>
      <c r="D147" s="94" t="n">
        <v>103850</v>
      </c>
      <c r="E147" s="94" t="n">
        <v>3253724350000</v>
      </c>
      <c r="F147" s="94" t="n">
        <v>14845420901</v>
      </c>
      <c r="G147" s="74" t="n">
        <v>0.0004</v>
      </c>
      <c r="H147" s="74" t="n">
        <v>0.0073</v>
      </c>
      <c r="I147" s="74" t="n">
        <v>0.0071</v>
      </c>
      <c r="J147" s="74" t="n">
        <v>0.006943</v>
      </c>
      <c r="K147" s="94" t="n">
        <v>1</v>
      </c>
      <c r="L147" s="95" t="inlineStr">
        <is>
          <t>20251127</t>
        </is>
      </c>
      <c r="M147" s="93" t="inlineStr">
        <is>
          <t>채택</t>
        </is>
      </c>
      <c r="N147" s="93" t="inlineStr"/>
      <c r="O147" s="93" t="inlineStr">
        <is>
          <t>KIS-미래에셋 MMF지수</t>
        </is>
      </c>
      <c r="P147" s="93" t="inlineStr">
        <is>
          <t>일반</t>
        </is>
      </c>
      <c r="Q147" s="93" t="inlineStr">
        <is>
          <t>단기자금(파킹형)</t>
        </is>
      </c>
      <c r="R147" s="93" t="inlineStr">
        <is>
          <t>연배당</t>
        </is>
      </c>
      <c r="S147" s="94" t="n">
        <v>1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IFERROR(INDEX($A$4:$A$593,MATCH(144,$X$4:$X$593,0)),"")</f>
        <v/>
      </c>
    </row>
    <row r="148">
      <c r="A148" s="93" t="inlineStr">
        <is>
          <t>TIGER 글로벌AI&amp;로보틱스 INDXX</t>
        </is>
      </c>
      <c r="B148" s="93" t="inlineStr">
        <is>
          <t>464310</t>
        </is>
      </c>
      <c r="C148" s="93" t="inlineStr">
        <is>
          <t>미래에셋자산운용</t>
        </is>
      </c>
      <c r="D148" s="94" t="n">
        <v>13640</v>
      </c>
      <c r="E148" s="94" t="n">
        <v>106392000000</v>
      </c>
      <c r="F148" s="94" t="n">
        <v>567297510</v>
      </c>
      <c r="G148" s="74" t="n">
        <v>0.0049</v>
      </c>
      <c r="H148" s="74" t="n">
        <v>0.2587</v>
      </c>
      <c r="I148" s="74" t="n">
        <v>0.0059</v>
      </c>
      <c r="J148" s="74" t="n">
        <v>0.006525</v>
      </c>
      <c r="K148" s="94" t="n">
        <v>1</v>
      </c>
      <c r="L148" s="95" t="inlineStr">
        <is>
          <t>20251229</t>
        </is>
      </c>
      <c r="M148" s="93" t="inlineStr">
        <is>
          <t>채택</t>
        </is>
      </c>
      <c r="N148" s="93" t="inlineStr"/>
      <c r="O148" s="93" t="inlineStr">
        <is>
          <t>Indxx Global Robotics &amp; Artificial Intelligence Thematic Ind</t>
        </is>
      </c>
      <c r="P148" s="93" t="inlineStr">
        <is>
          <t>일반</t>
        </is>
      </c>
      <c r="Q148" s="93" t="inlineStr">
        <is>
          <t>주식</t>
        </is>
      </c>
      <c r="R148" s="93" t="inlineStr">
        <is>
          <t>연배당</t>
        </is>
      </c>
      <c r="S148" s="94" t="n">
        <v>1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IFERROR(INDEX($A$4:$A$593,MATCH(145,$X$4:$X$593,0)),"")</f>
        <v/>
      </c>
    </row>
    <row r="149">
      <c r="A149" s="93" t="inlineStr">
        <is>
          <t>TIGER KOFR금리액티브(합성)</t>
        </is>
      </c>
      <c r="B149" s="93" t="inlineStr">
        <is>
          <t>449170</t>
        </is>
      </c>
      <c r="C149" s="93" t="inlineStr">
        <is>
          <t>미래에셋자산운용</t>
        </is>
      </c>
      <c r="D149" s="94" t="n">
        <v>112040</v>
      </c>
      <c r="E149" s="94" t="n">
        <v>2387684440000</v>
      </c>
      <c r="F149" s="94" t="n">
        <v>8582813608</v>
      </c>
      <c r="G149" s="74" t="n">
        <v>0.0003</v>
      </c>
      <c r="H149" s="74" t="n">
        <v>0.0064</v>
      </c>
      <c r="I149" s="74" t="n">
        <v>0.0062</v>
      </c>
      <c r="J149" s="74" t="n">
        <v>0.006069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KOFR 인덱스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IFERROR(INDEX($A$4:$A$593,MATCH(146,$X$4:$X$593,0)),"")</f>
        <v/>
      </c>
    </row>
    <row r="150">
      <c r="A150" s="93" t="inlineStr">
        <is>
          <t>TIGER 미국30년국채스트립액티브(합성 H)</t>
        </is>
      </c>
      <c r="B150" s="93" t="inlineStr">
        <is>
          <t>458250</t>
        </is>
      </c>
      <c r="C150" s="93" t="inlineStr">
        <is>
          <t>미래에셋자산운용</t>
        </is>
      </c>
      <c r="D150" s="94" t="n">
        <v>31590</v>
      </c>
      <c r="E150" s="94" t="n">
        <v>348311340000</v>
      </c>
      <c r="F150" s="94" t="n">
        <v>2611397621</v>
      </c>
      <c r="G150" s="74" t="n">
        <v>0.0015</v>
      </c>
      <c r="H150" s="74" t="n">
        <v>0.1516</v>
      </c>
      <c r="I150" s="74" t="n">
        <v>0.004699999999999999</v>
      </c>
      <c r="J150" s="74" t="n">
        <v>0.00592</v>
      </c>
      <c r="K150" s="94" t="n">
        <v>1</v>
      </c>
      <c r="L150" s="95" t="inlineStr">
        <is>
          <t>20251127</t>
        </is>
      </c>
      <c r="M150" s="93" t="inlineStr">
        <is>
          <t>채택</t>
        </is>
      </c>
      <c r="N150" s="93" t="inlineStr"/>
      <c r="O150" s="93" t="inlineStr">
        <is>
          <t>ICE BofA Long US Treasury Principal STRIPS Index</t>
        </is>
      </c>
      <c r="P150" s="93" t="inlineStr">
        <is>
          <t>일반</t>
        </is>
      </c>
      <c r="Q150" s="93" t="inlineStr">
        <is>
          <t>채권</t>
        </is>
      </c>
      <c r="R150" s="93" t="inlineStr">
        <is>
          <t>연배당</t>
        </is>
      </c>
      <c r="S150" s="94" t="n">
        <v>1</v>
      </c>
      <c r="T150" s="74" t="n">
        <v>0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IFERROR(INDEX($A$4:$A$593,MATCH(147,$X$4:$X$593,0)),"")</f>
        <v/>
      </c>
    </row>
    <row r="151">
      <c r="A151" s="93" t="inlineStr">
        <is>
          <t>RISE 미국나스닥100</t>
        </is>
      </c>
      <c r="B151" s="93" t="inlineStr">
        <is>
          <t>368590</t>
        </is>
      </c>
      <c r="C151" s="93" t="inlineStr">
        <is>
          <t>KB자산운용</t>
        </is>
      </c>
      <c r="D151" s="94" t="n">
        <v>30925</v>
      </c>
      <c r="E151" s="94" t="n">
        <v>1651395000000</v>
      </c>
      <c r="F151" s="94" t="n">
        <v>8143244838</v>
      </c>
      <c r="G151" s="74" t="n">
        <v>6.2e-05</v>
      </c>
      <c r="H151" s="74" t="n">
        <v>0.2062</v>
      </c>
      <c r="I151" s="74" t="n">
        <v>0.0014</v>
      </c>
      <c r="J151" s="74" t="n">
        <v>0.005853000000000001</v>
      </c>
      <c r="K151" s="94" t="n">
        <v>19</v>
      </c>
      <c r="L151" s="95" t="inlineStr">
        <is>
          <t>20260929</t>
        </is>
      </c>
      <c r="M151" s="93" t="inlineStr">
        <is>
          <t>채택</t>
        </is>
      </c>
      <c r="N151" s="93" t="inlineStr"/>
      <c r="O151" s="93" t="inlineStr">
        <is>
          <t>나스닥 100</t>
        </is>
      </c>
      <c r="P151" s="93" t="inlineStr">
        <is>
          <t>일반</t>
        </is>
      </c>
      <c r="Q151" s="93" t="inlineStr">
        <is>
          <t>주식</t>
        </is>
      </c>
      <c r="R151" s="93" t="inlineStr">
        <is>
          <t>분기배당</t>
        </is>
      </c>
      <c r="S151" s="94" t="n">
        <v>4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IFERROR(INDEX($A$4:$A$593,MATCH(148,$X$4:$X$593,0)),"")</f>
        <v/>
      </c>
    </row>
    <row r="152">
      <c r="A152" s="93" t="inlineStr">
        <is>
          <t>TIGER CD1년금리액티브(합성)</t>
        </is>
      </c>
      <c r="B152" s="93" t="inlineStr">
        <is>
          <t>475630</t>
        </is>
      </c>
      <c r="C152" s="93" t="inlineStr">
        <is>
          <t>미래에셋자산운용</t>
        </is>
      </c>
      <c r="D152" s="94" t="n">
        <v>1079095</v>
      </c>
      <c r="E152" s="94" t="n">
        <v>1312503248500</v>
      </c>
      <c r="F152" s="94" t="n">
        <v>51985590208</v>
      </c>
      <c r="G152" s="74" t="n">
        <v>9.8e-05</v>
      </c>
      <c r="H152" s="74" t="n">
        <v>0.006</v>
      </c>
      <c r="I152" s="74" t="n">
        <v>0.0058</v>
      </c>
      <c r="J152" s="74" t="n">
        <v>0.005683000000000001</v>
      </c>
      <c r="K152" s="94" t="n">
        <v>1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KIS CD 1Y 총수익지수</t>
        </is>
      </c>
      <c r="P152" s="93" t="inlineStr">
        <is>
          <t>일반</t>
        </is>
      </c>
      <c r="Q152" s="93" t="inlineStr">
        <is>
          <t>단기자금(파킹형)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IFERROR(INDEX($A$4:$A$593,MATCH(149,$X$4:$X$593,0)),"")</f>
        <v/>
      </c>
    </row>
    <row r="153">
      <c r="A153" s="93" t="inlineStr">
        <is>
          <t>TIGER 미국채10년선물</t>
        </is>
      </c>
      <c r="B153" s="93" t="inlineStr">
        <is>
          <t>305080</t>
        </is>
      </c>
      <c r="C153" s="93" t="inlineStr">
        <is>
          <t>미래에셋자산운용</t>
        </is>
      </c>
      <c r="D153" s="94" t="n">
        <v>11685</v>
      </c>
      <c r="E153" s="94" t="n">
        <v>211498500000</v>
      </c>
      <c r="F153" s="94" t="n">
        <v>990999953</v>
      </c>
      <c r="G153" s="74" t="n">
        <v>0.0029</v>
      </c>
      <c r="H153" s="74" t="n">
        <v>0.1082</v>
      </c>
      <c r="I153" s="74" t="n">
        <v>0.0048</v>
      </c>
      <c r="J153" s="74" t="n">
        <v>0.005563</v>
      </c>
      <c r="K153" s="94" t="n">
        <v>1</v>
      </c>
      <c r="L153" s="95" t="inlineStr">
        <is>
          <t>20251127</t>
        </is>
      </c>
      <c r="M153" s="93" t="inlineStr">
        <is>
          <t>채택</t>
        </is>
      </c>
      <c r="N153" s="93" t="inlineStr"/>
      <c r="O153" s="93" t="inlineStr">
        <is>
          <t>S&amp;P 10-Year U.S. Treasury Note Futures Excess Return Index</t>
        </is>
      </c>
      <c r="P153" s="93" t="inlineStr">
        <is>
          <t>일반</t>
        </is>
      </c>
      <c r="Q153" s="93" t="inlineStr">
        <is>
          <t>채권</t>
        </is>
      </c>
      <c r="R153" s="93" t="inlineStr">
        <is>
          <t>연배당</t>
        </is>
      </c>
      <c r="S153" s="94" t="n">
        <v>1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IFERROR(INDEX($A$4:$A$593,MATCH(150,$X$4:$X$593,0)),"")</f>
        <v/>
      </c>
    </row>
    <row r="154">
      <c r="A154" s="93" t="inlineStr">
        <is>
          <t>KODEX 골드선물(H)</t>
        </is>
      </c>
      <c r="B154" s="93" t="inlineStr">
        <is>
          <t>132030</t>
        </is>
      </c>
      <c r="C154" s="93" t="inlineStr">
        <is>
          <t>삼성자산운용(ETF)</t>
        </is>
      </c>
      <c r="D154" s="94" t="n">
        <v>23465</v>
      </c>
      <c r="E154" s="94" t="n">
        <v>354321500000</v>
      </c>
      <c r="F154" s="94" t="n">
        <v>3007114786</v>
      </c>
      <c r="G154" s="74" t="n">
        <v>0.0068</v>
      </c>
      <c r="H154" s="74" t="n">
        <v>0.2895</v>
      </c>
      <c r="I154" s="74" t="n">
        <v>0.0049</v>
      </c>
      <c r="J154" s="74" t="n">
        <v>0.005540000000000001</v>
      </c>
      <c r="K154" s="94" t="n">
        <v>1</v>
      </c>
      <c r="L154" s="95" t="inlineStr">
        <is>
          <t>20251229</t>
        </is>
      </c>
      <c r="M154" s="93" t="inlineStr">
        <is>
          <t>채택</t>
        </is>
      </c>
      <c r="N154" s="93" t="inlineStr"/>
      <c r="O154" s="93" t="inlineStr">
        <is>
          <t>S&amp;P GSCI Gold Index TR CME</t>
        </is>
      </c>
      <c r="P154" s="93" t="inlineStr">
        <is>
          <t>일반</t>
        </is>
      </c>
      <c r="Q154" s="93" t="inlineStr">
        <is>
          <t>원자재</t>
        </is>
      </c>
      <c r="R154" s="93" t="inlineStr">
        <is>
          <t>연배당</t>
        </is>
      </c>
      <c r="S154" s="94" t="n">
        <v>1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IFERROR(INDEX($A$4:$A$593,MATCH(151,$X$4:$X$593,0)),"")</f>
        <v/>
      </c>
    </row>
    <row r="155">
      <c r="A155" s="93" t="inlineStr">
        <is>
          <t>TIGER 국채3년</t>
        </is>
      </c>
      <c r="B155" s="93" t="inlineStr">
        <is>
          <t>114820</t>
        </is>
      </c>
      <c r="C155" s="93" t="inlineStr">
        <is>
          <t>미래에셋자산운용</t>
        </is>
      </c>
      <c r="D155" s="94" t="n">
        <v>105005</v>
      </c>
      <c r="E155" s="94" t="n">
        <v>117605600000</v>
      </c>
      <c r="F155" s="94" t="n">
        <v>849874613</v>
      </c>
      <c r="G155" s="74" t="n">
        <v>0.0015</v>
      </c>
      <c r="H155" s="74" t="n">
        <v>0.0222</v>
      </c>
      <c r="I155" s="74" t="n">
        <v>0.0052</v>
      </c>
      <c r="J155" s="74" t="n">
        <v>0.005266</v>
      </c>
      <c r="K155" s="94" t="n">
        <v>17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KTB Index</t>
        </is>
      </c>
      <c r="P155" s="93" t="inlineStr">
        <is>
          <t>일반</t>
        </is>
      </c>
      <c r="Q155" s="93" t="inlineStr">
        <is>
          <t>채권</t>
        </is>
      </c>
      <c r="R155" s="93" t="inlineStr">
        <is>
          <t>연배당</t>
        </is>
      </c>
      <c r="S155" s="94" t="n">
        <v>1</v>
      </c>
      <c r="T155" s="74" t="n">
        <v>1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IFERROR(INDEX($A$4:$A$593,MATCH(152,$X$4:$X$593,0)),"")</f>
        <v/>
      </c>
    </row>
    <row r="156">
      <c r="A156" s="93" t="inlineStr">
        <is>
          <t>KODEX 미국나스닥100(H)</t>
        </is>
      </c>
      <c r="B156" s="93" t="inlineStr">
        <is>
          <t>449190</t>
        </is>
      </c>
      <c r="C156" s="93" t="inlineStr">
        <is>
          <t>삼성자산운용(ETF)</t>
        </is>
      </c>
      <c r="D156" s="94" t="n">
        <v>23220</v>
      </c>
      <c r="E156" s="94" t="n">
        <v>574695000000</v>
      </c>
      <c r="F156" s="94" t="n">
        <v>5684498271</v>
      </c>
      <c r="G156" s="74" t="n">
        <v>9.900000000000001e-05</v>
      </c>
      <c r="H156" s="74" t="n">
        <v>0.1996</v>
      </c>
      <c r="I156" s="74" t="n">
        <v>0.0016</v>
      </c>
      <c r="J156" s="74" t="n">
        <v>0.005082</v>
      </c>
      <c r="K156" s="94" t="n">
        <v>14</v>
      </c>
      <c r="L156" s="95" t="inlineStr">
        <is>
          <t>20260730</t>
        </is>
      </c>
      <c r="M156" s="93" t="inlineStr">
        <is>
          <t>채택</t>
        </is>
      </c>
      <c r="N156" s="93" t="inlineStr"/>
      <c r="O156" s="93" t="inlineStr">
        <is>
          <t>나스닥 100</t>
        </is>
      </c>
      <c r="P156" s="93" t="inlineStr">
        <is>
          <t>일반</t>
        </is>
      </c>
      <c r="Q156" s="93" t="inlineStr">
        <is>
          <t>주식</t>
        </is>
      </c>
      <c r="R156" s="93" t="inlineStr">
        <is>
          <t>분기배당</t>
        </is>
      </c>
      <c r="S156" s="94" t="n">
        <v>3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IFERROR(INDEX($A$4:$A$593,MATCH(153,$X$4:$X$593,0)),"")</f>
        <v/>
      </c>
    </row>
    <row r="157">
      <c r="A157" s="93" t="inlineStr">
        <is>
          <t>TIGER 미국나스닥100</t>
        </is>
      </c>
      <c r="B157" s="93" t="inlineStr">
        <is>
          <t>133690</t>
        </is>
      </c>
      <c r="C157" s="93" t="inlineStr">
        <is>
          <t>미래에셋자산운용</t>
        </is>
      </c>
      <c r="D157" s="94" t="n">
        <v>185655</v>
      </c>
      <c r="E157" s="94" t="n">
        <v>12229094850000</v>
      </c>
      <c r="F157" s="94" t="n">
        <v>517691097024</v>
      </c>
      <c r="G157" s="74" t="n">
        <v>6.8e-05</v>
      </c>
      <c r="H157" s="74" t="n">
        <v>0.2064</v>
      </c>
      <c r="I157" s="74" t="n">
        <v>0.0014</v>
      </c>
      <c r="J157" s="74" t="n">
        <v>0.005047</v>
      </c>
      <c r="K157" s="94" t="n">
        <v>20</v>
      </c>
      <c r="L157" s="95" t="inlineStr">
        <is>
          <t>20260730</t>
        </is>
      </c>
      <c r="M157" s="93" t="inlineStr">
        <is>
          <t>채택</t>
        </is>
      </c>
      <c r="N157" s="93" t="inlineStr"/>
      <c r="O157" s="93" t="inlineStr">
        <is>
          <t>나스닥 100</t>
        </is>
      </c>
      <c r="P157" s="93" t="inlineStr">
        <is>
          <t>일반</t>
        </is>
      </c>
      <c r="Q157" s="93" t="inlineStr">
        <is>
          <t>주식</t>
        </is>
      </c>
      <c r="R157" s="93" t="inlineStr">
        <is>
          <t>분기배당</t>
        </is>
      </c>
      <c r="S157" s="94" t="n">
        <v>3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IFERROR(INDEX($A$4:$A$593,MATCH(154,$X$4:$X$593,0)),"")</f>
        <v/>
      </c>
    </row>
    <row r="158">
      <c r="A158" s="93" t="inlineStr">
        <is>
          <t>ACE 미국나스닥100</t>
        </is>
      </c>
      <c r="B158" s="93" t="inlineStr">
        <is>
          <t>367380</t>
        </is>
      </c>
      <c r="C158" s="93" t="inlineStr">
        <is>
          <t>한국투신운용(ETF)</t>
        </is>
      </c>
      <c r="D158" s="94" t="n">
        <v>31910</v>
      </c>
      <c r="E158" s="94" t="n">
        <v>3628167000000</v>
      </c>
      <c r="F158" s="94" t="n">
        <v>21362875099</v>
      </c>
      <c r="G158" s="74" t="n">
        <v>6.2e-05</v>
      </c>
      <c r="H158" s="74" t="n">
        <v>0.2063</v>
      </c>
      <c r="I158" s="74" t="n">
        <v>0.0015</v>
      </c>
      <c r="J158" s="74" t="n">
        <v>0.005044999999999999</v>
      </c>
      <c r="K158" s="94" t="n">
        <v>20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나스닥 100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3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IFERROR(INDEX($A$4:$A$593,MATCH(155,$X$4:$X$593,0)),"")</f>
        <v/>
      </c>
    </row>
    <row r="159">
      <c r="A159" s="93" t="inlineStr">
        <is>
          <t>1Q 미국나스닥100</t>
        </is>
      </c>
      <c r="B159" s="93" t="inlineStr">
        <is>
          <t>0069M0</t>
        </is>
      </c>
      <c r="C159" s="93" t="inlineStr">
        <is>
          <t>하나자산운용</t>
        </is>
      </c>
      <c r="D159" s="94" t="n">
        <v>13865</v>
      </c>
      <c r="E159" s="94" t="n">
        <v>201042500000</v>
      </c>
      <c r="F159" s="94" t="n">
        <v>2137686449</v>
      </c>
      <c r="G159" s="74" t="n">
        <v>5.5e-05</v>
      </c>
      <c r="H159" s="74" t="n">
        <v>0.2059</v>
      </c>
      <c r="I159" s="74" t="n">
        <v>0.0011</v>
      </c>
      <c r="J159" s="74" t="n">
        <v>0.004832</v>
      </c>
      <c r="K159" s="94" t="n">
        <v>5</v>
      </c>
      <c r="L159" s="95" t="inlineStr">
        <is>
          <t>20260914</t>
        </is>
      </c>
      <c r="M159" s="93" t="inlineStr">
        <is>
          <t>채택</t>
        </is>
      </c>
      <c r="N159" s="93" t="inlineStr"/>
      <c r="O159" s="93" t="inlineStr">
        <is>
          <t>나스닥 100</t>
        </is>
      </c>
      <c r="P159" s="93" t="inlineStr">
        <is>
          <t>일반</t>
        </is>
      </c>
      <c r="Q159" s="93" t="inlineStr">
        <is>
          <t>주식</t>
        </is>
      </c>
      <c r="R159" s="93" t="inlineStr">
        <is>
          <t>분기배당</t>
        </is>
      </c>
      <c r="S159" s="94" t="n">
        <v>4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IFERROR(INDEX($A$4:$A$593,MATCH(156,$X$4:$X$593,0)),"")</f>
        <v/>
      </c>
    </row>
    <row r="160">
      <c r="A160" s="93" t="inlineStr">
        <is>
          <t>TIME 글로벌우주테크&amp;방산액티브</t>
        </is>
      </c>
      <c r="B160" s="93" t="inlineStr">
        <is>
          <t>478150</t>
        </is>
      </c>
      <c r="C160" s="93" t="inlineStr">
        <is>
          <t>타임폴리오자산운용</t>
        </is>
      </c>
      <c r="D160" s="94" t="n">
        <v>17750</v>
      </c>
      <c r="E160" s="94" t="n">
        <v>213887500000</v>
      </c>
      <c r="F160" s="94" t="n">
        <v>1832451587</v>
      </c>
      <c r="G160" s="74" t="n">
        <v>0.008</v>
      </c>
      <c r="H160" s="74" t="n">
        <v>0.2714</v>
      </c>
      <c r="I160" s="74" t="n">
        <v>0.0042</v>
      </c>
      <c r="J160" s="74" t="n">
        <v>0.004789</v>
      </c>
      <c r="K160" s="94" t="n">
        <v>1</v>
      </c>
      <c r="L160" s="95" t="inlineStr">
        <is>
          <t>20251229</t>
        </is>
      </c>
      <c r="M160" s="93" t="inlineStr">
        <is>
          <t>채택</t>
        </is>
      </c>
      <c r="N160" s="93" t="inlineStr"/>
      <c r="O160" s="93" t="inlineStr">
        <is>
          <t>Solactive Aerospace and Defense USD Index PR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연배당</t>
        </is>
      </c>
      <c r="S160" s="94" t="n">
        <v>1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IFERROR(INDEX($A$4:$A$593,MATCH(157,$X$4:$X$593,0)),"")</f>
        <v/>
      </c>
    </row>
    <row r="161">
      <c r="A161" s="93" t="inlineStr">
        <is>
          <t>TIGER 미국나스닥100(H)</t>
        </is>
      </c>
      <c r="B161" s="93" t="inlineStr">
        <is>
          <t>448300</t>
        </is>
      </c>
      <c r="C161" s="93" t="inlineStr">
        <is>
          <t>미래에셋자산운용</t>
        </is>
      </c>
      <c r="D161" s="94" t="n">
        <v>23945</v>
      </c>
      <c r="E161" s="94" t="n">
        <v>428615500000</v>
      </c>
      <c r="F161" s="94" t="n">
        <v>2632290321</v>
      </c>
      <c r="G161" s="74" t="n">
        <v>0.0007000000000000001</v>
      </c>
      <c r="H161" s="74" t="n">
        <v>0.199</v>
      </c>
      <c r="I161" s="74" t="n">
        <v>0.0014</v>
      </c>
      <c r="J161" s="74" t="n">
        <v>0.004761</v>
      </c>
      <c r="K161" s="94" t="n">
        <v>6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3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IFERROR(INDEX($A$4:$A$593,MATCH(158,$X$4:$X$593,0)),"")</f>
        <v/>
      </c>
    </row>
    <row r="162">
      <c r="A162" s="93" t="inlineStr">
        <is>
          <t>TIGER 미국나스닥바이오</t>
        </is>
      </c>
      <c r="B162" s="93" t="inlineStr">
        <is>
          <t>203780</t>
        </is>
      </c>
      <c r="C162" s="93" t="inlineStr">
        <is>
          <t>미래에셋자산운용</t>
        </is>
      </c>
      <c r="D162" s="94" t="n">
        <v>35440</v>
      </c>
      <c r="E162" s="94" t="n">
        <v>107737600000</v>
      </c>
      <c r="F162" s="94" t="n">
        <v>1166884873</v>
      </c>
      <c r="G162" s="74" t="n">
        <v>0.003</v>
      </c>
      <c r="H162" s="74" t="n">
        <v>0.2202</v>
      </c>
      <c r="I162" s="74" t="n">
        <v>0.0052</v>
      </c>
      <c r="J162" s="74" t="n">
        <v>0.004515</v>
      </c>
      <c r="K162" s="94" t="n">
        <v>5</v>
      </c>
      <c r="L162" s="95" t="inlineStr">
        <is>
          <t>20251229</t>
        </is>
      </c>
      <c r="M162" s="93" t="inlineStr">
        <is>
          <t>채택</t>
        </is>
      </c>
      <c r="N162" s="93" t="inlineStr"/>
      <c r="O162" s="93" t="inlineStr">
        <is>
          <t>나스닥 생명과학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연배당</t>
        </is>
      </c>
      <c r="S162" s="94" t="n">
        <v>1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IFERROR(INDEX($A$4:$A$593,MATCH(159,$X$4:$X$593,0)),"")</f>
        <v/>
      </c>
    </row>
    <row r="163">
      <c r="A163" s="93" t="inlineStr">
        <is>
          <t>KODEX 미국빅테크10(H)</t>
        </is>
      </c>
      <c r="B163" s="93" t="inlineStr">
        <is>
          <t>314250</t>
        </is>
      </c>
      <c r="C163" s="93" t="inlineStr">
        <is>
          <t>삼성자산운용(ETF)</t>
        </is>
      </c>
      <c r="D163" s="94" t="n">
        <v>64805</v>
      </c>
      <c r="E163" s="94" t="n">
        <v>673972000000</v>
      </c>
      <c r="F163" s="94" t="n">
        <v>3546415457</v>
      </c>
      <c r="G163" s="74" t="n">
        <v>0.004500000000000001</v>
      </c>
      <c r="H163" s="74" t="n">
        <v>0.2299</v>
      </c>
      <c r="I163" s="74" t="n">
        <v>0.0013</v>
      </c>
      <c r="J163" s="74" t="n">
        <v>0.004398</v>
      </c>
      <c r="K163" s="94" t="n">
        <v>4</v>
      </c>
      <c r="L163" s="95" t="inlineStr">
        <is>
          <t>20260730</t>
        </is>
      </c>
      <c r="M163" s="93" t="inlineStr">
        <is>
          <t>채택</t>
        </is>
      </c>
      <c r="N163" s="93" t="inlineStr"/>
      <c r="O163" s="93" t="inlineStr">
        <is>
          <t>NYSE FANG+TM Index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3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IFERROR(INDEX($A$4:$A$593,MATCH(160,$X$4:$X$593,0)),"")</f>
        <v/>
      </c>
    </row>
    <row r="164">
      <c r="A164" s="93" t="inlineStr">
        <is>
          <t>KODEX 미국S&amp;P500테크놀로지</t>
        </is>
      </c>
      <c r="B164" s="93" t="inlineStr">
        <is>
          <t>463680</t>
        </is>
      </c>
      <c r="C164" s="93" t="inlineStr">
        <is>
          <t>삼성자산운용(ETF)</t>
        </is>
      </c>
      <c r="D164" s="94" t="n">
        <v>23370</v>
      </c>
      <c r="E164" s="94" t="n">
        <v>134377500000</v>
      </c>
      <c r="F164" s="94" t="n">
        <v>945719671</v>
      </c>
      <c r="G164" s="74" t="n">
        <v>0.0025</v>
      </c>
      <c r="H164" s="74" t="n">
        <v>0.2667</v>
      </c>
      <c r="I164" s="74" t="n">
        <v>0.0011</v>
      </c>
      <c r="J164" s="74" t="n">
        <v>0.004365</v>
      </c>
      <c r="K164" s="94" t="n">
        <v>12</v>
      </c>
      <c r="L164" s="95" t="inlineStr">
        <is>
          <t>20260730</t>
        </is>
      </c>
      <c r="M164" s="93" t="inlineStr">
        <is>
          <t>채택</t>
        </is>
      </c>
      <c r="N164" s="93" t="inlineStr"/>
      <c r="O164" s="93" t="inlineStr">
        <is>
          <t>Technology Select Sector Index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분기배당</t>
        </is>
      </c>
      <c r="S164" s="94" t="n">
        <v>3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IFERROR(INDEX($A$4:$A$593,MATCH(161,$X$4:$X$593,0)),"")</f>
        <v/>
      </c>
    </row>
    <row r="165">
      <c r="A165" s="93" t="inlineStr">
        <is>
          <t>SOL 미국나스닥100</t>
        </is>
      </c>
      <c r="B165" s="93" t="inlineStr">
        <is>
          <t>476030</t>
        </is>
      </c>
      <c r="C165" s="93" t="inlineStr">
        <is>
          <t>신한자산운용</t>
        </is>
      </c>
      <c r="D165" s="94" t="n">
        <v>17595</v>
      </c>
      <c r="E165" s="94" t="n">
        <v>139000500000</v>
      </c>
      <c r="F165" s="94" t="n">
        <v>1368252767</v>
      </c>
      <c r="G165" s="74" t="n">
        <v>5.5e-05</v>
      </c>
      <c r="H165" s="74" t="n">
        <v>0.2061</v>
      </c>
      <c r="I165" s="74" t="n">
        <v>0.001</v>
      </c>
      <c r="J165" s="74" t="n">
        <v>0.004319</v>
      </c>
      <c r="K165" s="94" t="n">
        <v>9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나스닥 100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3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IFERROR(INDEX($A$4:$A$593,MATCH(162,$X$4:$X$593,0)),"")</f>
        <v/>
      </c>
    </row>
    <row r="166">
      <c r="A166" s="93" t="inlineStr">
        <is>
          <t>SOL 미국TOP5채권혼합50</t>
        </is>
      </c>
      <c r="B166" s="93" t="inlineStr">
        <is>
          <t>447620</t>
        </is>
      </c>
      <c r="C166" s="93" t="inlineStr">
        <is>
          <t>신한자산운용</t>
        </is>
      </c>
      <c r="D166" s="94" t="n">
        <v>15960</v>
      </c>
      <c r="E166" s="94" t="n">
        <v>126084000000</v>
      </c>
      <c r="F166" s="94" t="n">
        <v>953166251</v>
      </c>
      <c r="G166" s="74" t="n">
        <v>0.0025</v>
      </c>
      <c r="H166" s="74" t="n">
        <v>0.09609999999999999</v>
      </c>
      <c r="I166" s="74" t="n">
        <v>0.004099999999999999</v>
      </c>
      <c r="J166" s="74" t="n">
        <v>0.004073</v>
      </c>
      <c r="K166" s="94" t="n">
        <v>4</v>
      </c>
      <c r="L166" s="95" t="inlineStr">
        <is>
          <t>20260429</t>
        </is>
      </c>
      <c r="M166" s="93" t="inlineStr">
        <is>
          <t>채택</t>
        </is>
      </c>
      <c r="N166" s="93" t="inlineStr"/>
      <c r="O166" s="93" t="inlineStr">
        <is>
          <t>Solactive US Top 5 Balanced 50 Index</t>
        </is>
      </c>
      <c r="P166" s="93" t="inlineStr">
        <is>
          <t>일반</t>
        </is>
      </c>
      <c r="Q166" s="93" t="inlineStr">
        <is>
          <t>멀티에셋</t>
        </is>
      </c>
      <c r="R166" s="93" t="inlineStr">
        <is>
          <t>연배당</t>
        </is>
      </c>
      <c r="S166" s="94" t="n">
        <v>1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IFERROR(INDEX($A$4:$A$593,MATCH(163,$X$4:$X$593,0)),"")</f>
        <v/>
      </c>
    </row>
    <row r="167">
      <c r="A167" s="93" t="inlineStr">
        <is>
          <t>TIGER 우량회사채액티브</t>
        </is>
      </c>
      <c r="B167" s="93" t="inlineStr">
        <is>
          <t>438330</t>
        </is>
      </c>
      <c r="C167" s="93" t="inlineStr">
        <is>
          <t>미래에셋자산운용</t>
        </is>
      </c>
      <c r="D167" s="94" t="n">
        <v>115540</v>
      </c>
      <c r="E167" s="94" t="n">
        <v>501096980000</v>
      </c>
      <c r="F167" s="94" t="n">
        <v>1110890078</v>
      </c>
      <c r="G167" s="74" t="n">
        <v>0.001</v>
      </c>
      <c r="H167" s="74" t="n">
        <v>0.0214</v>
      </c>
      <c r="I167" s="74" t="n">
        <v>0.002</v>
      </c>
      <c r="J167" s="74" t="n">
        <v>0.004042</v>
      </c>
      <c r="K167" s="94" t="n">
        <v>8</v>
      </c>
      <c r="L167" s="95" t="inlineStr">
        <is>
          <t>20251127</t>
        </is>
      </c>
      <c r="M167" s="93" t="inlineStr">
        <is>
          <t>채택</t>
        </is>
      </c>
      <c r="N167" s="93" t="inlineStr"/>
      <c r="O167" s="93" t="inlineStr">
        <is>
          <t>KIS 투자등급회사채 지수</t>
        </is>
      </c>
      <c r="P167" s="93" t="inlineStr">
        <is>
          <t>일반</t>
        </is>
      </c>
      <c r="Q167" s="93" t="inlineStr">
        <is>
          <t>채권</t>
        </is>
      </c>
      <c r="R167" s="93" t="inlineStr">
        <is>
          <t>연배당</t>
        </is>
      </c>
      <c r="S167" s="94" t="n">
        <v>1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IFERROR(INDEX($A$4:$A$593,MATCH(164,$X$4:$X$593,0)),"")</f>
        <v/>
      </c>
    </row>
    <row r="168">
      <c r="A168" s="93" t="inlineStr">
        <is>
          <t>KODEX 미국AI테크TOP10</t>
        </is>
      </c>
      <c r="B168" s="93" t="inlineStr">
        <is>
          <t>485540</t>
        </is>
      </c>
      <c r="C168" s="93" t="inlineStr">
        <is>
          <t>삼성자산운용(ETF)</t>
        </is>
      </c>
      <c r="D168" s="94" t="n">
        <v>15730</v>
      </c>
      <c r="E168" s="94" t="n">
        <v>316173000000</v>
      </c>
      <c r="F168" s="94" t="n">
        <v>3492937150</v>
      </c>
      <c r="G168" s="74" t="n">
        <v>0.003</v>
      </c>
      <c r="H168" s="74" t="n">
        <v>0.2459</v>
      </c>
      <c r="I168" s="74" t="n">
        <v>0.0013</v>
      </c>
      <c r="J168" s="74" t="n">
        <v>0.003814</v>
      </c>
      <c r="K168" s="94" t="n">
        <v>8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KEDI US AI Tech Top 10 Index (PR)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분기배당</t>
        </is>
      </c>
      <c r="S168" s="94" t="n">
        <v>3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IFERROR(INDEX($A$4:$A$593,MATCH(165,$X$4:$X$593,0)),"")</f>
        <v/>
      </c>
    </row>
    <row r="169">
      <c r="A169" s="93" t="inlineStr">
        <is>
          <t>TIGER 미국테크TOP10채권혼합</t>
        </is>
      </c>
      <c r="B169" s="93" t="inlineStr">
        <is>
          <t>472170</t>
        </is>
      </c>
      <c r="C169" s="93" t="inlineStr">
        <is>
          <t>미래에셋자산운용</t>
        </is>
      </c>
      <c r="D169" s="94" t="n">
        <v>14115</v>
      </c>
      <c r="E169" s="94" t="n">
        <v>342994500000</v>
      </c>
      <c r="F169" s="94" t="n">
        <v>1615498460</v>
      </c>
      <c r="G169" s="74" t="n">
        <v>0.0025</v>
      </c>
      <c r="H169" s="74" t="n">
        <v>0.1053</v>
      </c>
      <c r="I169" s="74" t="n">
        <v>0.0036</v>
      </c>
      <c r="J169" s="74" t="n">
        <v>0.003613</v>
      </c>
      <c r="K169" s="94" t="n">
        <v>3</v>
      </c>
      <c r="L169" s="95" t="inlineStr">
        <is>
          <t>20251127</t>
        </is>
      </c>
      <c r="M169" s="93" t="inlineStr">
        <is>
          <t>채택</t>
        </is>
      </c>
      <c r="N169" s="93" t="inlineStr"/>
      <c r="O169" s="93" t="inlineStr">
        <is>
          <t>FnGuide 미국테크TOP10채권혼합 지수</t>
        </is>
      </c>
      <c r="P169" s="93" t="inlineStr">
        <is>
          <t>일반</t>
        </is>
      </c>
      <c r="Q169" s="93" t="inlineStr">
        <is>
          <t>멀티에셋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IFERROR(INDEX($A$4:$A$593,MATCH(166,$X$4:$X$593,0)),"")</f>
        <v/>
      </c>
    </row>
    <row r="170">
      <c r="A170" s="93" t="inlineStr">
        <is>
          <t>KODEX 미국휴머노이드로봇</t>
        </is>
      </c>
      <c r="B170" s="93" t="inlineStr">
        <is>
          <t>0038A0</t>
        </is>
      </c>
      <c r="C170" s="93" t="inlineStr">
        <is>
          <t>삼성자산운용(ETF)</t>
        </is>
      </c>
      <c r="D170" s="94" t="n">
        <v>15600</v>
      </c>
      <c r="E170" s="94" t="n">
        <v>296400000000</v>
      </c>
      <c r="F170" s="94" t="n">
        <v>2167597064</v>
      </c>
      <c r="G170" s="74" t="n">
        <v>0.004500000000000001</v>
      </c>
      <c r="H170" s="74" t="n">
        <v>0.2903</v>
      </c>
      <c r="I170" s="74" t="n">
        <v>0.001</v>
      </c>
      <c r="J170" s="74" t="n">
        <v>0.003269</v>
      </c>
      <c r="K170" s="94" t="n">
        <v>5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iSelect U.S. Humanoid Robot Index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3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IFERROR(INDEX($A$4:$A$593,MATCH(167,$X$4:$X$593,0)),"")</f>
        <v/>
      </c>
    </row>
    <row r="171">
      <c r="A171" s="93" t="inlineStr">
        <is>
          <t>ACE 베트남VN30(합성)</t>
        </is>
      </c>
      <c r="B171" s="93" t="inlineStr">
        <is>
          <t>245710</t>
        </is>
      </c>
      <c r="C171" s="93" t="inlineStr">
        <is>
          <t>한국투신운용(ETF)</t>
        </is>
      </c>
      <c r="D171" s="94" t="n">
        <v>27650</v>
      </c>
      <c r="E171" s="94" t="n">
        <v>356685000000</v>
      </c>
      <c r="F171" s="94" t="n">
        <v>840897400</v>
      </c>
      <c r="G171" s="74" t="n">
        <v>0.006999999999999999</v>
      </c>
      <c r="H171" s="74" t="n">
        <v>0.2494</v>
      </c>
      <c r="I171" s="74" t="n">
        <v>0.003</v>
      </c>
      <c r="J171" s="74" t="n">
        <v>0.003219</v>
      </c>
      <c r="K171" s="94" t="n">
        <v>1</v>
      </c>
      <c r="L171" s="95" t="inlineStr">
        <is>
          <t>20251229</t>
        </is>
      </c>
      <c r="M171" s="93" t="inlineStr">
        <is>
          <t>채택</t>
        </is>
      </c>
      <c r="N171" s="93" t="inlineStr"/>
      <c r="O171" s="93" t="inlineStr">
        <is>
          <t>베트남 호치민 VN30</t>
        </is>
      </c>
      <c r="P171" s="93" t="inlineStr">
        <is>
          <t>일반</t>
        </is>
      </c>
      <c r="Q171" s="93" t="inlineStr">
        <is>
          <t>주식</t>
        </is>
      </c>
      <c r="R171" s="93" t="inlineStr">
        <is>
          <t>연배당</t>
        </is>
      </c>
      <c r="S171" s="94" t="n">
        <v>1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IFERROR(INDEX($A$4:$A$593,MATCH(168,$X$4:$X$593,0)),"")</f>
        <v/>
      </c>
    </row>
    <row r="172">
      <c r="A172" s="93" t="inlineStr">
        <is>
          <t>RISE 미국AI밸류체인TOP3Plus</t>
        </is>
      </c>
      <c r="B172" s="93" t="inlineStr">
        <is>
          <t>485690</t>
        </is>
      </c>
      <c r="C172" s="93" t="inlineStr">
        <is>
          <t>KB자산운용</t>
        </is>
      </c>
      <c r="D172" s="94" t="n">
        <v>23315</v>
      </c>
      <c r="E172" s="94" t="n">
        <v>85099750000</v>
      </c>
      <c r="F172" s="94" t="n">
        <v>522181070</v>
      </c>
      <c r="G172" s="74" t="n">
        <v>0.0001</v>
      </c>
      <c r="H172" s="74" t="n">
        <v>0.3429</v>
      </c>
      <c r="I172" s="74" t="n">
        <v>0.0015</v>
      </c>
      <c r="J172" s="74" t="n">
        <v>0.003217</v>
      </c>
      <c r="K172" s="94" t="n">
        <v>2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US AI Value Chain TOP3Plus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반기배당</t>
        </is>
      </c>
      <c r="S172" s="94" t="n">
        <v>2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IFERROR(INDEX($A$4:$A$593,MATCH(169,$X$4:$X$593,0)),"")</f>
        <v/>
      </c>
    </row>
    <row r="173">
      <c r="A173" s="93" t="inlineStr">
        <is>
          <t>TIGER 글로벌AI플랫폼액티브</t>
        </is>
      </c>
      <c r="B173" s="93" t="inlineStr">
        <is>
          <t>412770</t>
        </is>
      </c>
      <c r="C173" s="93" t="inlineStr">
        <is>
          <t>미래에셋자산운용</t>
        </is>
      </c>
      <c r="D173" s="94" t="n">
        <v>12985</v>
      </c>
      <c r="E173" s="94" t="n">
        <v>74274200000</v>
      </c>
      <c r="F173" s="94" t="n">
        <v>1280734710</v>
      </c>
      <c r="G173" s="74" t="n">
        <v>0.007900000000000001</v>
      </c>
      <c r="H173" s="74" t="n">
        <v>0.338</v>
      </c>
      <c r="I173" s="74" t="n">
        <v>0.0029</v>
      </c>
      <c r="J173" s="74" t="n">
        <v>0.00308</v>
      </c>
      <c r="K173" s="94" t="n">
        <v>1</v>
      </c>
      <c r="L173" s="95" t="inlineStr">
        <is>
          <t>20251229</t>
        </is>
      </c>
      <c r="M173" s="93" t="inlineStr">
        <is>
          <t>채택</t>
        </is>
      </c>
      <c r="N173" s="93" t="inlineStr"/>
      <c r="O173" s="93" t="inlineStr">
        <is>
          <t>Indxx Global Metaverse PR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연배당</t>
        </is>
      </c>
      <c r="S173" s="94" t="n">
        <v>1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IFERROR(INDEX($A$4:$A$593,MATCH(170,$X$4:$X$593,0)),"")</f>
        <v/>
      </c>
    </row>
    <row r="174">
      <c r="A174" s="93" t="inlineStr">
        <is>
          <t>RISE 미국휴머노이드로봇</t>
        </is>
      </c>
      <c r="B174" s="93" t="inlineStr">
        <is>
          <t>0036R0</t>
        </is>
      </c>
      <c r="C174" s="93" t="inlineStr">
        <is>
          <t>KB자산운용</t>
        </is>
      </c>
      <c r="D174" s="94" t="n">
        <v>20175</v>
      </c>
      <c r="E174" s="94" t="n">
        <v>112980000000</v>
      </c>
      <c r="F174" s="94" t="n">
        <v>722591620</v>
      </c>
      <c r="G174" s="74" t="n">
        <v>0.004</v>
      </c>
      <c r="H174" s="74" t="n">
        <v>0.2993</v>
      </c>
      <c r="I174" s="74" t="n">
        <v>0.002</v>
      </c>
      <c r="J174" s="74" t="n">
        <v>0.002974</v>
      </c>
      <c r="K174" s="94" t="n">
        <v>2</v>
      </c>
      <c r="L174" s="95" t="inlineStr">
        <is>
          <t>20260730</t>
        </is>
      </c>
      <c r="M174" s="93" t="inlineStr">
        <is>
          <t>채택</t>
        </is>
      </c>
      <c r="N174" s="93" t="inlineStr"/>
      <c r="O174" s="93" t="inlineStr">
        <is>
          <t>KEDI U.S. Humanoid Robot Index (Price Return)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반기배당</t>
        </is>
      </c>
      <c r="S174" s="94" t="n">
        <v>2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IFERROR(INDEX($A$4:$A$593,MATCH(171,$X$4:$X$593,0)),"")</f>
        <v/>
      </c>
    </row>
    <row r="175">
      <c r="A175" s="93" t="inlineStr">
        <is>
          <t>KODEX 미국테크TOP3플러스</t>
        </is>
      </c>
      <c r="B175" s="93" t="inlineStr">
        <is>
          <t>491090</t>
        </is>
      </c>
      <c r="C175" s="93" t="inlineStr">
        <is>
          <t>삼성자산운용(ETF)</t>
        </is>
      </c>
      <c r="D175" s="94" t="n">
        <v>18532</v>
      </c>
      <c r="E175" s="94" t="n">
        <v>33357600000</v>
      </c>
      <c r="F175" s="94" t="n">
        <v>643207540</v>
      </c>
      <c r="G175" s="74" t="n">
        <v>0.003</v>
      </c>
      <c r="H175" s="74" t="n">
        <v>0.2074</v>
      </c>
      <c r="I175" s="74" t="n">
        <v>0.001</v>
      </c>
      <c r="J175" s="74" t="n">
        <v>0.00286</v>
      </c>
      <c r="K175" s="94" t="n">
        <v>6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U.S. Tech Trillion-Dollar Companies Focus Index PR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분기배당</t>
        </is>
      </c>
      <c r="S175" s="94" t="n">
        <v>3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IFERROR(INDEX($A$4:$A$593,MATCH(172,$X$4:$X$593,0)),"")</f>
        <v/>
      </c>
    </row>
    <row r="176">
      <c r="A176" s="93" t="inlineStr">
        <is>
          <t>KoAct 미국나스닥채권혼합50액티브</t>
        </is>
      </c>
      <c r="B176" s="93" t="inlineStr">
        <is>
          <t>0104H0</t>
        </is>
      </c>
      <c r="C176" s="93" t="inlineStr">
        <is>
          <t>삼성액티브자산(ETF)</t>
        </is>
      </c>
      <c r="D176" s="94" t="n">
        <v>12010</v>
      </c>
      <c r="E176" s="94" t="n">
        <v>146522000000</v>
      </c>
      <c r="F176" s="94" t="n">
        <v>1312014263</v>
      </c>
      <c r="G176" s="74" t="n">
        <v>0.0025</v>
      </c>
      <c r="H176" s="74" t="n">
        <v>0.1963</v>
      </c>
      <c r="I176" s="74" t="n">
        <v>0.0031</v>
      </c>
      <c r="J176" s="74" t="n">
        <v>0.002748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FnGuide 미국나스닥 금융채권혼합 지수</t>
        </is>
      </c>
      <c r="P176" s="93" t="inlineStr">
        <is>
          <t>일반</t>
        </is>
      </c>
      <c r="Q176" s="93" t="inlineStr">
        <is>
          <t>멀티에셋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IFERROR(INDEX($A$4:$A$593,MATCH(173,$X$4:$X$593,0)),"")</f>
        <v/>
      </c>
    </row>
    <row r="177">
      <c r="A177" s="93" t="inlineStr">
        <is>
          <t>TIGER 미국테크TOP10 INDXX</t>
        </is>
      </c>
      <c r="B177" s="93" t="inlineStr">
        <is>
          <t>381170</t>
        </is>
      </c>
      <c r="C177" s="93" t="inlineStr">
        <is>
          <t>미래에셋자산운용</t>
        </is>
      </c>
      <c r="D177" s="94" t="n">
        <v>31880</v>
      </c>
      <c r="E177" s="94" t="n">
        <v>3919646000000</v>
      </c>
      <c r="F177" s="94" t="n">
        <v>23964141010</v>
      </c>
      <c r="G177" s="74" t="n">
        <v>0.0049</v>
      </c>
      <c r="H177" s="74" t="n">
        <v>0.2107</v>
      </c>
      <c r="I177" s="74" t="n">
        <v>0.0025</v>
      </c>
      <c r="J177" s="74" t="n">
        <v>0.002415</v>
      </c>
      <c r="K177" s="94" t="n">
        <v>1</v>
      </c>
      <c r="L177" s="95" t="inlineStr">
        <is>
          <t>20251229</t>
        </is>
      </c>
      <c r="M177" s="93" t="inlineStr">
        <is>
          <t>채택</t>
        </is>
      </c>
      <c r="N177" s="93" t="inlineStr"/>
      <c r="O177" s="93" t="inlineStr">
        <is>
          <t>Indxx US Tech Top10 Index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연배당</t>
        </is>
      </c>
      <c r="S177" s="94" t="n">
        <v>1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IFERROR(INDEX($A$4:$A$593,MATCH(174,$X$4:$X$593,0)),"")</f>
        <v/>
      </c>
    </row>
    <row r="178">
      <c r="A178" s="93" t="inlineStr">
        <is>
          <t>KODEX 미국나스닥AI테크액티브</t>
        </is>
      </c>
      <c r="B178" s="93" t="inlineStr">
        <is>
          <t>411420</t>
        </is>
      </c>
      <c r="C178" s="93" t="inlineStr">
        <is>
          <t>삼성자산운용(ETF)</t>
        </is>
      </c>
      <c r="D178" s="94" t="n">
        <v>27630</v>
      </c>
      <c r="E178" s="94" t="n">
        <v>131242500000</v>
      </c>
      <c r="F178" s="94" t="n">
        <v>1490907589</v>
      </c>
      <c r="G178" s="74" t="n">
        <v>0.005</v>
      </c>
      <c r="H178" s="74" t="n">
        <v>0.3314</v>
      </c>
      <c r="I178" s="74" t="n">
        <v>0.0014</v>
      </c>
      <c r="J178" s="74" t="n">
        <v>0.002316</v>
      </c>
      <c r="K178" s="94" t="n">
        <v>6</v>
      </c>
      <c r="L178" s="95" t="inlineStr">
        <is>
          <t>20260730</t>
        </is>
      </c>
      <c r="M178" s="93" t="inlineStr">
        <is>
          <t>채택</t>
        </is>
      </c>
      <c r="N178" s="93" t="inlineStr"/>
      <c r="O178" s="93" t="inlineStr">
        <is>
          <t>Nasdaq Yewno Metaverse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분기배당</t>
        </is>
      </c>
      <c r="S178" s="94" t="n">
        <v>3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IFERROR(INDEX($A$4:$A$593,MATCH(175,$X$4:$X$593,0)),"")</f>
        <v/>
      </c>
    </row>
    <row r="179">
      <c r="A179" s="93" t="inlineStr">
        <is>
          <t>TIGER 미국테크TOP10 INDXX(H)</t>
        </is>
      </c>
      <c r="B179" s="93" t="inlineStr">
        <is>
          <t>472160</t>
        </is>
      </c>
      <c r="C179" s="93" t="inlineStr">
        <is>
          <t>미래에셋자산운용</t>
        </is>
      </c>
      <c r="D179" s="94" t="n">
        <v>19710</v>
      </c>
      <c r="E179" s="94" t="n">
        <v>229621500000</v>
      </c>
      <c r="F179" s="94" t="n">
        <v>3714849211</v>
      </c>
      <c r="G179" s="74" t="n">
        <v>0.0049</v>
      </c>
      <c r="H179" s="74" t="n">
        <v>0.2048</v>
      </c>
      <c r="I179" s="74" t="n">
        <v>0.0025</v>
      </c>
      <c r="J179" s="74" t="n">
        <v>0.002283</v>
      </c>
      <c r="K179" s="94" t="n">
        <v>1</v>
      </c>
      <c r="L179" s="95" t="inlineStr">
        <is>
          <t>20251229</t>
        </is>
      </c>
      <c r="M179" s="93" t="inlineStr">
        <is>
          <t>채택</t>
        </is>
      </c>
      <c r="N179" s="93" t="inlineStr"/>
      <c r="O179" s="93" t="inlineStr">
        <is>
          <t>Indxx US Tech Top10 Index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연배당</t>
        </is>
      </c>
      <c r="S179" s="94" t="n">
        <v>1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IFERROR(INDEX($A$4:$A$593,MATCH(176,$X$4:$X$593,0)),"")</f>
        <v/>
      </c>
    </row>
    <row r="180">
      <c r="A180" s="93" t="inlineStr">
        <is>
          <t>TIGER 미국AI빅테크10</t>
        </is>
      </c>
      <c r="B180" s="93" t="inlineStr">
        <is>
          <t>490090</t>
        </is>
      </c>
      <c r="C180" s="93" t="inlineStr">
        <is>
          <t>미래에셋자산운용</t>
        </is>
      </c>
      <c r="D180" s="94" t="n">
        <v>16280</v>
      </c>
      <c r="E180" s="94" t="n">
        <v>212454000000</v>
      </c>
      <c r="F180" s="94" t="n">
        <v>2613308988</v>
      </c>
      <c r="G180" s="74" t="n">
        <v>0.003</v>
      </c>
      <c r="H180" s="74" t="n">
        <v>0.2155</v>
      </c>
      <c r="I180" s="74" t="n">
        <v>0.0025</v>
      </c>
      <c r="J180" s="74" t="n">
        <v>0.002273</v>
      </c>
      <c r="K180" s="94" t="n">
        <v>1</v>
      </c>
      <c r="L180" s="95" t="inlineStr">
        <is>
          <t>20251229</t>
        </is>
      </c>
      <c r="M180" s="93" t="inlineStr">
        <is>
          <t>채택</t>
        </is>
      </c>
      <c r="N180" s="93" t="inlineStr"/>
      <c r="O180" s="93" t="inlineStr">
        <is>
          <t>KEDI US AI Big Tech 10 Index PR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IFERROR(INDEX($A$4:$A$593,MATCH(177,$X$4:$X$593,0)),"")</f>
        <v/>
      </c>
    </row>
    <row r="181">
      <c r="A181" s="93" t="inlineStr">
        <is>
          <t>SOL 미국테크TOP10</t>
        </is>
      </c>
      <c r="B181" s="93" t="inlineStr">
        <is>
          <t>481190</t>
        </is>
      </c>
      <c r="C181" s="93" t="inlineStr">
        <is>
          <t>신한자산운용</t>
        </is>
      </c>
      <c r="D181" s="94" t="n">
        <v>17305</v>
      </c>
      <c r="E181" s="94" t="n">
        <v>299376500000</v>
      </c>
      <c r="F181" s="94" t="n">
        <v>3379384278</v>
      </c>
      <c r="G181" s="74" t="n">
        <v>0.0005</v>
      </c>
      <c r="H181" s="74" t="n">
        <v>0.2096</v>
      </c>
      <c r="I181" s="74" t="n">
        <v>0.0022</v>
      </c>
      <c r="J181" s="74" t="n">
        <v>0.002196</v>
      </c>
      <c r="K181" s="94" t="n">
        <v>2</v>
      </c>
      <c r="L181" s="95" t="inlineStr">
        <is>
          <t>20260429</t>
        </is>
      </c>
      <c r="M181" s="93" t="inlineStr">
        <is>
          <t>채택</t>
        </is>
      </c>
      <c r="N181" s="93" t="inlineStr"/>
      <c r="O181" s="93" t="inlineStr">
        <is>
          <t>Solactive US Tech Top 10 Custom Index(PR)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IFERROR(INDEX($A$4:$A$593,MATCH(178,$X$4:$X$593,0)),"")</f>
        <v/>
      </c>
    </row>
    <row r="182">
      <c r="A182" s="93" t="inlineStr">
        <is>
          <t>ACE 미국빅테크TOP7 Plus</t>
        </is>
      </c>
      <c r="B182" s="93" t="inlineStr">
        <is>
          <t>465580</t>
        </is>
      </c>
      <c r="C182" s="93" t="inlineStr">
        <is>
          <t>한국투신운용(ETF)</t>
        </is>
      </c>
      <c r="D182" s="94" t="n">
        <v>24650</v>
      </c>
      <c r="E182" s="94" t="n">
        <v>1250987500000</v>
      </c>
      <c r="F182" s="94" t="n">
        <v>15756048655</v>
      </c>
      <c r="G182" s="74" t="n">
        <v>0.003</v>
      </c>
      <c r="H182" s="74" t="n">
        <v>0.2144</v>
      </c>
      <c r="I182" s="74" t="n">
        <v>0.0024</v>
      </c>
      <c r="J182" s="74" t="n">
        <v>0.002191</v>
      </c>
      <c r="K182" s="94" t="n">
        <v>1</v>
      </c>
      <c r="L182" s="95" t="inlineStr">
        <is>
          <t>20251229</t>
        </is>
      </c>
      <c r="M182" s="93" t="inlineStr">
        <is>
          <t>채택</t>
        </is>
      </c>
      <c r="N182" s="93" t="inlineStr"/>
      <c r="O182" s="93" t="inlineStr">
        <is>
          <t>Solactive US Big Tech Top 7 Plus Index PR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IFERROR(INDEX($A$4:$A$593,MATCH(179,$X$4:$X$593,0)),"")</f>
        <v/>
      </c>
    </row>
    <row r="183">
      <c r="A183" s="93" t="inlineStr">
        <is>
          <t>KODEX 미국서학개미</t>
        </is>
      </c>
      <c r="B183" s="93" t="inlineStr">
        <is>
          <t>473460</t>
        </is>
      </c>
      <c r="C183" s="93" t="inlineStr">
        <is>
          <t>삼성자산운용(ETF)</t>
        </is>
      </c>
      <c r="D183" s="94" t="n">
        <v>24365</v>
      </c>
      <c r="E183" s="94" t="n">
        <v>185174000000</v>
      </c>
      <c r="F183" s="94" t="n">
        <v>1087567976</v>
      </c>
      <c r="G183" s="74" t="n">
        <v>0.0025</v>
      </c>
      <c r="H183" s="74" t="n">
        <v>0.3195</v>
      </c>
      <c r="I183" s="74" t="n">
        <v>0.0007000000000000001</v>
      </c>
      <c r="J183" s="74" t="n">
        <v>0.002134</v>
      </c>
      <c r="K183" s="94" t="n">
        <v>7</v>
      </c>
      <c r="L183" s="95" t="inlineStr">
        <is>
          <t>20260730</t>
        </is>
      </c>
      <c r="M183" s="93" t="inlineStr">
        <is>
          <t>채택</t>
        </is>
      </c>
      <c r="N183" s="93" t="inlineStr"/>
      <c r="O183" s="93" t="inlineStr">
        <is>
          <t>iSelect 서학개미 PR 지수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분기배당</t>
        </is>
      </c>
      <c r="S183" s="94" t="n">
        <v>3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IFERROR(INDEX($A$4:$A$593,MATCH(180,$X$4:$X$593,0)),"")</f>
        <v/>
      </c>
    </row>
    <row r="184">
      <c r="A184" s="93" t="inlineStr">
        <is>
          <t>TIME 미국S&amp;P500액티브</t>
        </is>
      </c>
      <c r="B184" s="93" t="inlineStr">
        <is>
          <t>426020</t>
        </is>
      </c>
      <c r="C184" s="93" t="inlineStr">
        <is>
          <t>타임폴리오자산운용</t>
        </is>
      </c>
      <c r="D184" s="94" t="n">
        <v>31970</v>
      </c>
      <c r="E184" s="94" t="n">
        <v>406658400000</v>
      </c>
      <c r="F184" s="94" t="n">
        <v>3298599882</v>
      </c>
      <c r="G184" s="74" t="n">
        <v>0.008</v>
      </c>
      <c r="H184" s="74" t="n">
        <v>0.2184</v>
      </c>
      <c r="I184" s="74" t="n">
        <v>0.0019</v>
      </c>
      <c r="J184" s="74" t="n">
        <v>0.001689</v>
      </c>
      <c r="K184" s="94" t="n">
        <v>1</v>
      </c>
      <c r="L184" s="95" t="inlineStr">
        <is>
          <t>20251229</t>
        </is>
      </c>
      <c r="M184" s="93" t="inlineStr">
        <is>
          <t>채택</t>
        </is>
      </c>
      <c r="N184" s="93" t="inlineStr"/>
      <c r="O184" s="93" t="inlineStr">
        <is>
          <t>S&amp;P 500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연배당</t>
        </is>
      </c>
      <c r="S184" s="94" t="n">
        <v>1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IFERROR(INDEX($A$4:$A$593,MATCH(181,$X$4:$X$593,0)),"")</f>
        <v/>
      </c>
    </row>
    <row r="185">
      <c r="A185" s="93" t="inlineStr">
        <is>
          <t>TIME 미국나스닥100채권혼합50액티브</t>
        </is>
      </c>
      <c r="B185" s="93" t="inlineStr">
        <is>
          <t>0019K0</t>
        </is>
      </c>
      <c r="C185" s="93" t="inlineStr">
        <is>
          <t>타임폴리오자산운용</t>
        </is>
      </c>
      <c r="D185" s="94" t="n">
        <v>13575</v>
      </c>
      <c r="E185" s="94" t="n">
        <v>587797500000</v>
      </c>
      <c r="F185" s="94" t="n">
        <v>6548401161</v>
      </c>
      <c r="G185" s="74" t="n">
        <v>0.0025</v>
      </c>
      <c r="H185" s="74" t="n">
        <v>0.1883</v>
      </c>
      <c r="I185" s="74" t="n">
        <v>0.0018</v>
      </c>
      <c r="J185" s="74" t="n">
        <v>0.001547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FnGuide 미국 나스닥100 단기채권혼합 지수</t>
        </is>
      </c>
      <c r="P185" s="93" t="inlineStr">
        <is>
          <t>일반</t>
        </is>
      </c>
      <c r="Q185" s="93" t="inlineStr">
        <is>
          <t>멀티에셋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IFERROR(INDEX($A$4:$A$593,MATCH(182,$X$4:$X$593,0)),"")</f>
        <v/>
      </c>
    </row>
    <row r="186">
      <c r="A186" s="93" t="inlineStr">
        <is>
          <t>TIGER CD금리투자KIS(합성)</t>
        </is>
      </c>
      <c r="B186" s="93" t="inlineStr">
        <is>
          <t>357870</t>
        </is>
      </c>
      <c r="C186" s="93" t="inlineStr">
        <is>
          <t>미래에셋자산운용</t>
        </is>
      </c>
      <c r="D186" s="94" t="n">
        <v>58150</v>
      </c>
      <c r="E186" s="94" t="n">
        <v>3940476600000</v>
      </c>
      <c r="F186" s="94" t="n">
        <v>13196255888</v>
      </c>
      <c r="G186" s="74" t="n">
        <v>0.0003</v>
      </c>
      <c r="H186" s="74" t="n">
        <v>0.0016</v>
      </c>
      <c r="I186" s="74" t="n">
        <v>0.0011</v>
      </c>
      <c r="J186" s="74" t="n">
        <v>0.001118</v>
      </c>
      <c r="K186" s="94" t="n">
        <v>1</v>
      </c>
      <c r="L186" s="95" t="inlineStr">
        <is>
          <t>20251127</t>
        </is>
      </c>
      <c r="M186" s="93" t="inlineStr">
        <is>
          <t>채택</t>
        </is>
      </c>
      <c r="N186" s="93" t="inlineStr"/>
      <c r="O186" s="93" t="inlineStr">
        <is>
          <t>KIS CD 금리투자</t>
        </is>
      </c>
      <c r="P186" s="93" t="inlineStr">
        <is>
          <t>일반</t>
        </is>
      </c>
      <c r="Q186" s="93" t="inlineStr">
        <is>
          <t>단기자금(파킹형)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IFERROR(INDEX($A$4:$A$593,MATCH(183,$X$4:$X$593,0)),"")</f>
        <v/>
      </c>
    </row>
    <row r="187">
      <c r="A187" s="93" t="inlineStr">
        <is>
          <t>RISE 삼성그룹Top3채권혼합</t>
        </is>
      </c>
      <c r="B187" s="93" t="inlineStr">
        <is>
          <t>448630</t>
        </is>
      </c>
      <c r="C187" s="93" t="inlineStr">
        <is>
          <t>KB자산운용</t>
        </is>
      </c>
      <c r="D187" s="94" t="n">
        <v>15340</v>
      </c>
      <c r="E187" s="94" t="n">
        <v>329810000000</v>
      </c>
      <c r="F187" s="94" t="n">
        <v>2124941181</v>
      </c>
      <c r="G187" s="74" t="n">
        <v>0.002</v>
      </c>
      <c r="H187" s="74" t="n">
        <v>0.1947</v>
      </c>
      <c r="I187" s="74" t="n">
        <v>0.0007000000000000001</v>
      </c>
      <c r="J187" s="74" t="n">
        <v>0.000717</v>
      </c>
      <c r="K187" s="94" t="n">
        <v>4</v>
      </c>
      <c r="L187" s="95" t="inlineStr">
        <is>
          <t>20260429</t>
        </is>
      </c>
      <c r="M187" s="93" t="inlineStr">
        <is>
          <t>채택</t>
        </is>
      </c>
      <c r="N187" s="93" t="inlineStr"/>
      <c r="O187" s="93" t="inlineStr">
        <is>
          <t>Bloomberg Blended Samsung Group Fixed Top 3 Equity and Korea</t>
        </is>
      </c>
      <c r="P187" s="93" t="inlineStr">
        <is>
          <t>일반</t>
        </is>
      </c>
      <c r="Q187" s="93" t="inlineStr">
        <is>
          <t>멀티에셋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IFERROR(INDEX($A$4:$A$593,MATCH(184,$X$4:$X$593,0)),"")</f>
        <v/>
      </c>
    </row>
    <row r="188">
      <c r="A188" s="93" t="inlineStr">
        <is>
          <t>TIGER 미국달러SOFR금리액티브(합성)</t>
        </is>
      </c>
      <c r="B188" s="93" t="inlineStr">
        <is>
          <t>456610</t>
        </is>
      </c>
      <c r="C188" s="93" t="inlineStr">
        <is>
          <t>미래에셋자산운용</t>
        </is>
      </c>
      <c r="D188" s="94" t="n">
        <v>59185</v>
      </c>
      <c r="E188" s="94" t="n">
        <v>741943160000</v>
      </c>
      <c r="F188" s="94" t="n">
        <v>2179199732</v>
      </c>
      <c r="G188" s="74" t="n">
        <v>0.0005</v>
      </c>
      <c r="H188" s="74" t="n">
        <v>0.1035</v>
      </c>
      <c r="I188" s="74" t="n">
        <v>0.0007000000000000001</v>
      </c>
      <c r="J188" s="74" t="n">
        <v>0.000693</v>
      </c>
      <c r="K188" s="94" t="n">
        <v>1</v>
      </c>
      <c r="L188" s="95" t="inlineStr">
        <is>
          <t>20251127</t>
        </is>
      </c>
      <c r="M188" s="93" t="inlineStr">
        <is>
          <t>채택</t>
        </is>
      </c>
      <c r="N188" s="93" t="inlineStr"/>
      <c r="O188" s="93" t="inlineStr">
        <is>
          <t>Solactive SOFR Daily Total Return Index</t>
        </is>
      </c>
      <c r="P188" s="93" t="inlineStr">
        <is>
          <t>일반</t>
        </is>
      </c>
      <c r="Q188" s="93" t="inlineStr">
        <is>
          <t>단기자금(파킹형)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IFERROR(INDEX($A$4:$A$593,MATCH(185,$X$4:$X$593,0)),"")</f>
        <v/>
      </c>
    </row>
    <row r="189">
      <c r="A189" s="93" t="inlineStr">
        <is>
          <t>SOL 국제금</t>
        </is>
      </c>
      <c r="B189" s="93" t="inlineStr">
        <is>
          <t>0066W0</t>
        </is>
      </c>
      <c r="C189" s="93" t="inlineStr">
        <is>
          <t>신한자산운용</t>
        </is>
      </c>
      <c r="D189" s="94" t="n">
        <v>12060</v>
      </c>
      <c r="E189" s="94" t="n">
        <v>88038000000</v>
      </c>
      <c r="F189" s="94" t="n">
        <v>951742409</v>
      </c>
      <c r="G189" s="74" t="n">
        <v>0.0005</v>
      </c>
      <c r="H189" s="74" t="n">
        <v>0.294</v>
      </c>
      <c r="I189" s="74" t="n">
        <v>0.0002</v>
      </c>
      <c r="J189" s="74" t="n">
        <v>0.000249</v>
      </c>
      <c r="K189" s="94" t="n">
        <v>1</v>
      </c>
      <c r="L189" s="95" t="inlineStr">
        <is>
          <t>20251229</t>
        </is>
      </c>
      <c r="M189" s="93" t="inlineStr">
        <is>
          <t>채택</t>
        </is>
      </c>
      <c r="N189" s="93" t="inlineStr"/>
      <c r="O189" s="93" t="inlineStr">
        <is>
          <t>KEDI Global Physical Gold ETF Index (PR)</t>
        </is>
      </c>
      <c r="P189" s="93" t="inlineStr">
        <is>
          <t>일반</t>
        </is>
      </c>
      <c r="Q189" s="93" t="inlineStr">
        <is>
          <t>원자재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IFERROR(INDEX($A$4:$A$593,MATCH(186,$X$4:$X$593,0)),"")</f>
        <v/>
      </c>
    </row>
    <row r="190">
      <c r="A190" s="93" t="inlineStr">
        <is>
          <t>RISE CD금리액티브(합성)</t>
        </is>
      </c>
      <c r="B190" s="93" t="inlineStr">
        <is>
          <t>477080</t>
        </is>
      </c>
      <c r="C190" s="93" t="inlineStr">
        <is>
          <t>KB자산운용</t>
        </is>
      </c>
      <c r="D190" s="94" t="n">
        <v>107760</v>
      </c>
      <c r="E190" s="94" t="n">
        <v>1506377040000</v>
      </c>
      <c r="F190" s="94" t="n">
        <v>807266590</v>
      </c>
      <c r="G190" s="74" t="n">
        <v>0.0002</v>
      </c>
      <c r="H190" s="74" t="n">
        <v>0.001</v>
      </c>
      <c r="I190" s="74" t="n">
        <v>0.0002</v>
      </c>
      <c r="J190" s="74" t="n">
        <v>0.000148</v>
      </c>
      <c r="K190" s="94" t="n">
        <v>1</v>
      </c>
      <c r="L190" s="95" t="inlineStr">
        <is>
          <t>20251212</t>
        </is>
      </c>
      <c r="M190" s="93" t="inlineStr">
        <is>
          <t>채택</t>
        </is>
      </c>
      <c r="N190" s="93" t="inlineStr"/>
      <c r="O190" s="93" t="inlineStr">
        <is>
          <t>FnGuide CD금리투자 지수</t>
        </is>
      </c>
      <c r="P190" s="93" t="inlineStr">
        <is>
          <t>일반</t>
        </is>
      </c>
      <c r="Q190" s="93" t="inlineStr">
        <is>
          <t>단기자금(파킹형)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IFERROR(INDEX($A$4:$A$593,MATCH(187,$X$4:$X$593,0)),"")</f>
        <v/>
      </c>
    </row>
    <row r="191">
      <c r="A191" s="93" t="inlineStr">
        <is>
          <t>TIGER 구리실물</t>
        </is>
      </c>
      <c r="B191" s="93" t="inlineStr">
        <is>
          <t>160580</t>
        </is>
      </c>
      <c r="C191" s="93" t="inlineStr">
        <is>
          <t>미래에셋자산운용</t>
        </is>
      </c>
      <c r="D191" s="94" t="n">
        <v>16075</v>
      </c>
      <c r="E191" s="94" t="n">
        <v>154721875000</v>
      </c>
      <c r="F191" s="94" t="n">
        <v>1222635940</v>
      </c>
      <c r="G191" s="74" t="n">
        <v>0.0083</v>
      </c>
      <c r="H191" s="74" t="n">
        <v>0.2382</v>
      </c>
      <c r="I191" s="74" t="n">
        <v>0.0001</v>
      </c>
      <c r="J191" s="74" t="n">
        <v>0.000124</v>
      </c>
      <c r="K191" s="94" t="n">
        <v>1</v>
      </c>
      <c r="L191" s="95" t="inlineStr">
        <is>
          <t>20251229</t>
        </is>
      </c>
      <c r="M191" s="93" t="inlineStr">
        <is>
          <t>채택</t>
        </is>
      </c>
      <c r="N191" s="93" t="inlineStr"/>
      <c r="O191" s="93" t="inlineStr">
        <is>
          <t>Cash Copper</t>
        </is>
      </c>
      <c r="P191" s="93" t="inlineStr">
        <is>
          <t>일반</t>
        </is>
      </c>
      <c r="Q191" s="93" t="inlineStr">
        <is>
          <t>원자재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IFERROR(INDEX($A$4:$A$593,MATCH(188,$X$4:$X$593,0)),"")</f>
        <v/>
      </c>
    </row>
    <row r="192">
      <c r="A192" s="93" t="inlineStr">
        <is>
          <t>ACE 미국달러SOFR금리(합성)</t>
        </is>
      </c>
      <c r="B192" s="93" t="inlineStr">
        <is>
          <t>456880</t>
        </is>
      </c>
      <c r="C192" s="93" t="inlineStr">
        <is>
          <t>한국투신운용(ETF)</t>
        </is>
      </c>
      <c r="D192" s="94" t="n">
        <v>11975</v>
      </c>
      <c r="E192" s="94" t="n">
        <v>330270500000</v>
      </c>
      <c r="F192" s="94" t="n">
        <v>887470986</v>
      </c>
      <c r="G192" s="74" t="n">
        <v>0.0005</v>
      </c>
      <c r="H192" s="74" t="n">
        <v>0.104</v>
      </c>
      <c r="I192" s="74" t="n">
        <v>0.0001</v>
      </c>
      <c r="J192" s="74" t="n">
        <v>8.4e-05</v>
      </c>
      <c r="K192" s="94" t="n">
        <v>1</v>
      </c>
      <c r="L192" s="95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Solactive SOFR Daily Total Return Index</t>
        </is>
      </c>
      <c r="P192" s="93" t="inlineStr">
        <is>
          <t>일반</t>
        </is>
      </c>
      <c r="Q192" s="93" t="inlineStr">
        <is>
          <t>단기자금(파킹형)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IFERROR(INDEX($A$4:$A$593,MATCH(189,$X$4:$X$593,0)),"")</f>
        <v/>
      </c>
    </row>
    <row r="193">
      <c r="A193" s="93" t="inlineStr">
        <is>
          <t>TIGER KRX금현물</t>
        </is>
      </c>
      <c r="B193" s="93" t="inlineStr">
        <is>
          <t>0072R0</t>
        </is>
      </c>
      <c r="C193" s="93" t="inlineStr">
        <is>
          <t>미래에셋자산운용</t>
        </is>
      </c>
      <c r="D193" s="94" t="n">
        <v>12250</v>
      </c>
      <c r="E193" s="94" t="n">
        <v>1143537500000</v>
      </c>
      <c r="F193" s="94" t="n">
        <v>9642312419</v>
      </c>
      <c r="G193" s="74" t="n">
        <v>0.0015</v>
      </c>
      <c r="H193" s="74" t="n">
        <v>0.3192</v>
      </c>
      <c r="I193" s="74" t="n">
        <v>0.0001</v>
      </c>
      <c r="J193" s="74" t="n">
        <v>8.2e-05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KRX 금현물지수</t>
        </is>
      </c>
      <c r="P193" s="93" t="inlineStr">
        <is>
          <t>일반</t>
        </is>
      </c>
      <c r="Q193" s="93" t="inlineStr">
        <is>
          <t>원자재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IFERROR(INDEX($A$4:$A$593,MATCH(190,$X$4:$X$593,0)),"")</f>
        <v/>
      </c>
    </row>
    <row r="194">
      <c r="A194" s="93" t="inlineStr">
        <is>
          <t>ACE KRX금현물</t>
        </is>
      </c>
      <c r="B194" s="93" t="inlineStr">
        <is>
          <t>411060</t>
        </is>
      </c>
      <c r="C194" s="93" t="inlineStr">
        <is>
          <t>한국투자신탁운용</t>
        </is>
      </c>
      <c r="D194" s="94" t="n">
        <v>25655</v>
      </c>
      <c r="E194" s="94" t="n">
        <v>3840553500000</v>
      </c>
      <c r="F194" s="94" t="n">
        <v>24979053303</v>
      </c>
      <c r="G194" s="74" t="n">
        <v>0.0019</v>
      </c>
      <c r="H194" s="74" t="n">
        <v>0.3191</v>
      </c>
      <c r="I194" s="74" t="n">
        <v>0</v>
      </c>
      <c r="J194" s="74" t="n">
        <v>3.9e-05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KRX 금현물지수</t>
        </is>
      </c>
      <c r="P194" s="93" t="inlineStr">
        <is>
          <t>일반</t>
        </is>
      </c>
      <c r="Q194" s="93" t="inlineStr">
        <is>
          <t>원자재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IFERROR(INDEX($A$4:$A$593,MATCH(191,$X$4:$X$593,0)),"")</f>
        <v/>
      </c>
    </row>
    <row r="195">
      <c r="A195" s="96" t="inlineStr">
        <is>
          <t>ACE 미국빅테크7+데일리타겟커버드콜(합성)</t>
        </is>
      </c>
      <c r="B195" s="96" t="inlineStr">
        <is>
          <t>480020</t>
        </is>
      </c>
      <c r="C195" s="96" t="inlineStr">
        <is>
          <t>한국투신운용(ETF)</t>
        </is>
      </c>
      <c r="D195" s="97" t="n">
        <v>10060</v>
      </c>
      <c r="E195" s="97" t="n">
        <v>180074000000</v>
      </c>
      <c r="F195" s="97" t="n">
        <v>2877921406</v>
      </c>
      <c r="G195" s="98" t="n">
        <v>0.004500000000000001</v>
      </c>
      <c r="H195" s="98" t="n">
        <v>0.2147</v>
      </c>
      <c r="I195" s="98" t="n">
        <v>0.0297</v>
      </c>
      <c r="J195" s="98" t="n">
        <v>0.263419</v>
      </c>
      <c r="K195" s="97" t="n">
        <v>29</v>
      </c>
      <c r="L195" s="99" t="inlineStr">
        <is>
          <t>20260914</t>
        </is>
      </c>
      <c r="M195" s="96" t="inlineStr">
        <is>
          <t>제외</t>
        </is>
      </c>
      <c r="N195" s="96" t="inlineStr">
        <is>
          <t>분배율 대조 불일치(연분배율 계산 26.3419% vs ETFCHECK 26.1858%)</t>
        </is>
      </c>
      <c r="O195" s="96" t="inlineStr">
        <is>
          <t>Bloomberg US Big Tech Top 7 Plus Premium(QQQ) Decrement 15%</t>
        </is>
      </c>
      <c r="P195" s="96" t="inlineStr">
        <is>
          <t>커버드콜</t>
        </is>
      </c>
      <c r="Q195" s="96" t="inlineStr">
        <is>
          <t>주식</t>
        </is>
      </c>
      <c r="R195" s="96" t="inlineStr">
        <is>
          <t>월배당</t>
        </is>
      </c>
      <c r="S195" s="97" t="n">
        <v>11</v>
      </c>
      <c r="T195" s="98" t="n">
        <v>0.9608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IFERROR(INDEX($A$4:$A$593,MATCH(192,$X$4:$X$593,0)),"")</f>
        <v/>
      </c>
    </row>
    <row r="196">
      <c r="A196" s="96" t="inlineStr">
        <is>
          <t>RISE 코리아밸류업위클리고정커버드콜</t>
        </is>
      </c>
      <c r="B196" s="96" t="inlineStr">
        <is>
          <t>0094M0</t>
        </is>
      </c>
      <c r="C196" s="96" t="inlineStr">
        <is>
          <t>KB자산운용</t>
        </is>
      </c>
      <c r="D196" s="97" t="n">
        <v>17355</v>
      </c>
      <c r="E196" s="97" t="n">
        <v>352306500000</v>
      </c>
      <c r="F196" s="97" t="n">
        <v>9664057511</v>
      </c>
      <c r="G196" s="98" t="n">
        <v>0.003</v>
      </c>
      <c r="H196" s="98" t="n">
        <v>0.458</v>
      </c>
      <c r="I196" s="98" t="n">
        <v>0.0299</v>
      </c>
      <c r="J196" s="98" t="n">
        <v>0.242005</v>
      </c>
      <c r="K196" s="97" t="n">
        <v>12</v>
      </c>
      <c r="L196" s="99" t="inlineStr">
        <is>
          <t>20260914</t>
        </is>
      </c>
      <c r="M196" s="96" t="inlineStr">
        <is>
          <t>제외</t>
        </is>
      </c>
      <c r="N196" s="96" t="inlineStr">
        <is>
          <t>변동성 45.8%(1년 기준, 기준 35% 초과), 분배율 대조 불일치(연분배율 계산 24.2005% vs ETFCHECK 24.3549%)</t>
        </is>
      </c>
      <c r="O196" s="96" t="inlineStr">
        <is>
          <t>코리아 밸류업 위클리 커버드콜 30% 지수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11</v>
      </c>
      <c r="T196" s="98" t="n">
        <v>0.0445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IFERROR(INDEX($A$4:$A$593,MATCH(193,$X$4:$X$593,0)),"")</f>
        <v/>
      </c>
    </row>
    <row r="197">
      <c r="A197" s="96" t="inlineStr">
        <is>
          <t>ACE 미국반도체데일리타겟커버드콜(합성)</t>
        </is>
      </c>
      <c r="B197" s="96" t="inlineStr">
        <is>
          <t>480040</t>
        </is>
      </c>
      <c r="C197" s="96" t="inlineStr">
        <is>
          <t>한국투신운용(ETF)</t>
        </is>
      </c>
      <c r="D197" s="97" t="n">
        <v>15160</v>
      </c>
      <c r="E197" s="97" t="n">
        <v>206176000000</v>
      </c>
      <c r="F197" s="97" t="n">
        <v>3364876438</v>
      </c>
      <c r="G197" s="98" t="n">
        <v>0.004500000000000001</v>
      </c>
      <c r="H197" s="98" t="n">
        <v>0.4422</v>
      </c>
      <c r="I197" s="98" t="n">
        <v>0.0303</v>
      </c>
      <c r="J197" s="98" t="n">
        <v>0.229683</v>
      </c>
      <c r="K197" s="97" t="n">
        <v>29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44.2%(1년 기준, 기준 35% 초과), 분배율 대조 불일치(연분배율 계산 22.9683% vs ETFCHECK 24.8537%)</t>
        </is>
      </c>
      <c r="O197" s="96" t="inlineStr">
        <is>
          <t>Bloomberg US Listed Semiconductor Premium(QQQ) Decrement 15%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11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IFERROR(INDEX($A$4:$A$593,MATCH(194,$X$4:$X$593,0)),"")</f>
        <v/>
      </c>
    </row>
    <row r="198">
      <c r="A198" s="96" t="inlineStr">
        <is>
          <t>TIGER 배당커버드콜액티브</t>
        </is>
      </c>
      <c r="B198" s="96" t="inlineStr">
        <is>
          <t>472150</t>
        </is>
      </c>
      <c r="C198" s="96" t="inlineStr">
        <is>
          <t>미래에셋자산운용</t>
        </is>
      </c>
      <c r="D198" s="97" t="n">
        <v>20415</v>
      </c>
      <c r="E198" s="97" t="n">
        <v>2810737200000</v>
      </c>
      <c r="F198" s="97" t="n">
        <v>97951996432</v>
      </c>
      <c r="G198" s="98" t="n">
        <v>0.005</v>
      </c>
      <c r="H198" s="98" t="n">
        <v>0.5734</v>
      </c>
      <c r="I198" s="98" t="n">
        <v>0.0206</v>
      </c>
      <c r="J198" s="98" t="n">
        <v>0.223414</v>
      </c>
      <c r="K198" s="97" t="n">
        <v>34</v>
      </c>
      <c r="L198" s="99" t="inlineStr">
        <is>
          <t>20260929</t>
        </is>
      </c>
      <c r="M198" s="96" t="inlineStr">
        <is>
          <t>제외</t>
        </is>
      </c>
      <c r="N198" s="96" t="inlineStr">
        <is>
          <t>변동성 57.3%(1년 기준, 기준 35% 초과)</t>
        </is>
      </c>
      <c r="O198" s="96" t="inlineStr">
        <is>
          <t>코스피 200 커버드콜 5% OTM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11</v>
      </c>
      <c r="T198" s="98" t="n">
        <v>0.0296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IFERROR(INDEX($A$4:$A$593,MATCH(195,$X$4:$X$593,0)),"")</f>
        <v/>
      </c>
    </row>
    <row r="199">
      <c r="A199" s="96" t="inlineStr">
        <is>
          <t>ACE 미국500데일리타겟커버드콜(합성)</t>
        </is>
      </c>
      <c r="B199" s="96" t="inlineStr">
        <is>
          <t>480030</t>
        </is>
      </c>
      <c r="C199" s="96" t="inlineStr">
        <is>
          <t>한국투신운용(ETF)</t>
        </is>
      </c>
      <c r="D199" s="97" t="n">
        <v>9590</v>
      </c>
      <c r="E199" s="97" t="n">
        <v>161112000000</v>
      </c>
      <c r="F199" s="97" t="n">
        <v>1350043605</v>
      </c>
      <c r="G199" s="98" t="n">
        <v>0.004500000000000001</v>
      </c>
      <c r="H199" s="98" t="n">
        <v>0.1508</v>
      </c>
      <c r="I199" s="98" t="n">
        <v>0.0199</v>
      </c>
      <c r="J199" s="98" t="n">
        <v>0.202607</v>
      </c>
      <c r="K199" s="97" t="n">
        <v>29</v>
      </c>
      <c r="L199" s="99" t="inlineStr">
        <is>
          <t>20260914</t>
        </is>
      </c>
      <c r="M199" s="96" t="inlineStr">
        <is>
          <t>제외</t>
        </is>
      </c>
      <c r="N199" s="96" t="inlineStr">
        <is>
          <t>분배율 대조 불일치(연분배율 계산 20.2607% vs ETFCHECK 20.0413%)</t>
        </is>
      </c>
      <c r="O199" s="96" t="inlineStr">
        <is>
          <t>Bloomberg US 500 Large Cap Premium(SPY) Decrement 15% Distri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0.9012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IFERROR(INDEX($A$4:$A$593,MATCH(196,$X$4:$X$593,0)),"")</f>
        <v/>
      </c>
    </row>
    <row r="200">
      <c r="A200" s="96" t="inlineStr">
        <is>
          <t>RISE 200위클리커버드콜</t>
        </is>
      </c>
      <c r="B200" s="96" t="inlineStr">
        <is>
          <t>475720</t>
        </is>
      </c>
      <c r="C200" s="96" t="inlineStr">
        <is>
          <t>KB자산운용</t>
        </is>
      </c>
      <c r="D200" s="97" t="n">
        <v>12695</v>
      </c>
      <c r="E200" s="97" t="n">
        <v>878494000000</v>
      </c>
      <c r="F200" s="97" t="n">
        <v>12067357781</v>
      </c>
      <c r="G200" s="98" t="n">
        <v>0.003</v>
      </c>
      <c r="H200" s="98" t="n">
        <v>0.4328</v>
      </c>
      <c r="I200" s="98" t="n">
        <v>0.0189</v>
      </c>
      <c r="J200" s="98" t="n">
        <v>0.202206</v>
      </c>
      <c r="K200" s="97" t="n">
        <v>31</v>
      </c>
      <c r="L200" s="99" t="inlineStr">
        <is>
          <t>20260929</t>
        </is>
      </c>
      <c r="M200" s="96" t="inlineStr">
        <is>
          <t>제외</t>
        </is>
      </c>
      <c r="N200" s="96" t="inlineStr">
        <is>
          <t>변동성 43.3%(1년 기준, 기준 35% 초과)</t>
        </is>
      </c>
      <c r="O200" s="96" t="inlineStr">
        <is>
          <t>코스피 200 위클리 커버드콜 ATM 지수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>
        <v>0.0421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IFERROR(INDEX($A$4:$A$593,MATCH(197,$X$4:$X$593,0)),"")</f>
        <v/>
      </c>
    </row>
    <row r="201">
      <c r="A201" s="96" t="inlineStr">
        <is>
          <t>RISE 테슬라미국채타겟커버드콜혼합(합성)</t>
        </is>
      </c>
      <c r="B201" s="96" t="inlineStr">
        <is>
          <t>0013R0</t>
        </is>
      </c>
      <c r="C201" s="96" t="inlineStr">
        <is>
          <t>KB자산운용</t>
        </is>
      </c>
      <c r="D201" s="97" t="n">
        <v>7340</v>
      </c>
      <c r="E201" s="97" t="n">
        <v>26424000000</v>
      </c>
      <c r="F201" s="97" t="n">
        <v>153765811</v>
      </c>
      <c r="G201" s="98" t="n">
        <v>0.0025</v>
      </c>
      <c r="H201" s="98" t="n">
        <v>0.1866</v>
      </c>
      <c r="I201" s="98" t="n">
        <v>0.0109</v>
      </c>
      <c r="J201" s="98" t="n">
        <v>0.183106</v>
      </c>
      <c r="K201" s="97" t="n">
        <v>19</v>
      </c>
      <c r="L201" s="99" t="inlineStr">
        <is>
          <t>20260929</t>
        </is>
      </c>
      <c r="M201" s="96" t="inlineStr">
        <is>
          <t>제외</t>
        </is>
      </c>
      <c r="N201" s="96" t="inlineStr">
        <is>
          <t>순자산 264억(기준 300억 미만), 60일 거래대금 1.5억(기준 5억 미만)</t>
        </is>
      </c>
      <c r="O201" s="96" t="inlineStr">
        <is>
          <t>KEDI Tesla U.S. 30Y Treasury 15% Target Premium Balanced Ind</t>
        </is>
      </c>
      <c r="P201" s="96" t="inlineStr">
        <is>
          <t>커버드콜</t>
        </is>
      </c>
      <c r="Q201" s="96" t="inlineStr">
        <is>
          <t>멀티에셋</t>
        </is>
      </c>
      <c r="R201" s="96" t="inlineStr">
        <is>
          <t>월배당</t>
        </is>
      </c>
      <c r="S201" s="97" t="n">
        <v>11</v>
      </c>
      <c r="T201" s="98" t="n">
        <v>0.7016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IFERROR(INDEX($A$4:$A$593,MATCH(198,$X$4:$X$593,0)),"")</f>
        <v/>
      </c>
    </row>
    <row r="202">
      <c r="A202" s="96" t="inlineStr">
        <is>
          <t>RISE 미국배당100데일리고정커버드콜</t>
        </is>
      </c>
      <c r="B202" s="96" t="inlineStr">
        <is>
          <t>490600</t>
        </is>
      </c>
      <c r="C202" s="96" t="inlineStr">
        <is>
          <t>KB자산운용</t>
        </is>
      </c>
      <c r="D202" s="97" t="n">
        <v>8415</v>
      </c>
      <c r="E202" s="97" t="n">
        <v>161568000000</v>
      </c>
      <c r="F202" s="97" t="n">
        <v>2318447076</v>
      </c>
      <c r="G202" s="98" t="n">
        <v>0.0025</v>
      </c>
      <c r="H202" s="98" t="n">
        <v>0.1459</v>
      </c>
      <c r="I202" s="98" t="n">
        <v>0.01</v>
      </c>
      <c r="J202" s="98" t="n">
        <v>0.173143</v>
      </c>
      <c r="K202" s="97" t="n">
        <v>24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17.3143% vs ETFCHECK 16.4819%)</t>
        </is>
      </c>
      <c r="O202" s="96" t="inlineStr">
        <is>
          <t>KEDI U.S. Dividend100 90% Participation + Daily Options Prem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11</v>
      </c>
      <c r="T202" s="98" t="n">
        <v>0.6891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IFERROR(INDEX($A$4:$A$593,MATCH(199,$X$4:$X$593,0)),"")</f>
        <v/>
      </c>
    </row>
    <row r="203">
      <c r="A203" s="96" t="inlineStr">
        <is>
          <t>PLUS 고배당주위클리고정커버드콜</t>
        </is>
      </c>
      <c r="B203" s="96" t="inlineStr">
        <is>
          <t>0018C0</t>
        </is>
      </c>
      <c r="C203" s="96" t="inlineStr">
        <is>
          <t>한화자산운용</t>
        </is>
      </c>
      <c r="D203" s="97" t="n">
        <v>10325</v>
      </c>
      <c r="E203" s="97" t="n">
        <v>78986250000</v>
      </c>
      <c r="F203" s="97" t="n">
        <v>1010270095</v>
      </c>
      <c r="G203" s="98" t="n">
        <v>0.003</v>
      </c>
      <c r="H203" s="98" t="n">
        <v>0.2664</v>
      </c>
      <c r="I203" s="98" t="n">
        <v>0.0124</v>
      </c>
      <c r="J203" s="98" t="n">
        <v>0.173075</v>
      </c>
      <c r="K203" s="97" t="n">
        <v>19</v>
      </c>
      <c r="L203" s="99" t="inlineStr">
        <is>
          <t>20260914</t>
        </is>
      </c>
      <c r="M203" s="96" t="inlineStr">
        <is>
          <t>제외</t>
        </is>
      </c>
      <c r="N203" s="96" t="inlineStr">
        <is>
          <t>분배율 대조 불일치(연분배율 계산 17.3075% vs ETFCHECK 16.9545%)</t>
        </is>
      </c>
      <c r="O203" s="96" t="inlineStr">
        <is>
          <t>코스피 고배당 위클리 고정 커버드콜 지수</t>
        </is>
      </c>
      <c r="P203" s="96" t="inlineStr">
        <is>
          <t>커버드콜</t>
        </is>
      </c>
      <c r="Q203" s="96" t="inlineStr">
        <is>
          <t>주식</t>
        </is>
      </c>
      <c r="R203" s="96" t="inlineStr">
        <is>
          <t>월배당</t>
        </is>
      </c>
      <c r="S203" s="97" t="n">
        <v>11</v>
      </c>
      <c r="T203" s="98" t="n">
        <v>0.2602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IFERROR(INDEX($A$4:$A$593,MATCH(200,$X$4:$X$593,0)),"")</f>
        <v/>
      </c>
    </row>
    <row r="204">
      <c r="A204" s="96" t="inlineStr">
        <is>
          <t>RISE 차이나테크TOP10위클리타겟커버드콜</t>
        </is>
      </c>
      <c r="B204" s="96" t="inlineStr">
        <is>
          <t>0094L0</t>
        </is>
      </c>
      <c r="C204" s="96" t="inlineStr">
        <is>
          <t>KB자산운용</t>
        </is>
      </c>
      <c r="D204" s="97" t="n">
        <v>6740</v>
      </c>
      <c r="E204" s="97" t="n">
        <v>9436000000</v>
      </c>
      <c r="F204" s="97" t="n">
        <v>58923009</v>
      </c>
      <c r="G204" s="98" t="n">
        <v>0.003</v>
      </c>
      <c r="H204" s="98" t="n">
        <v>0.2782</v>
      </c>
      <c r="I204" s="98" t="n">
        <v>0.0102</v>
      </c>
      <c r="J204" s="98" t="n">
        <v>0.156973</v>
      </c>
      <c r="K204" s="97" t="n">
        <v>13</v>
      </c>
      <c r="L204" s="99" t="inlineStr">
        <is>
          <t>20260929</t>
        </is>
      </c>
      <c r="M204" s="96" t="inlineStr">
        <is>
          <t>제외</t>
        </is>
      </c>
      <c r="N204" s="96" t="inlineStr">
        <is>
          <t>순자산 94억(기준 300억 미만), 60일 거래대금 0.6억(기준 5억 미만)</t>
        </is>
      </c>
      <c r="O204" s="96" t="inlineStr">
        <is>
          <t>Bloomberg China Tech Select Top 10 + 12% Target Premium Week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11</v>
      </c>
      <c r="T204" s="98" t="n">
        <v>0.2817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IFERROR(INDEX($A$4:$A$593,MATCH(201,$X$4:$X$593,0)),"")</f>
        <v/>
      </c>
    </row>
    <row r="205">
      <c r="A205" s="96" t="inlineStr">
        <is>
          <t>FOCUS 알리바바미국채커버드콜혼합</t>
        </is>
      </c>
      <c r="B205" s="96" t="inlineStr">
        <is>
          <t>0073X0</t>
        </is>
      </c>
      <c r="C205" s="96" t="inlineStr">
        <is>
          <t>브이아이자산운용</t>
        </is>
      </c>
      <c r="D205" s="97" t="n">
        <v>8280</v>
      </c>
      <c r="E205" s="97" t="n">
        <v>4554000000</v>
      </c>
      <c r="F205" s="97" t="n">
        <v>30173708</v>
      </c>
      <c r="G205" s="98" t="n">
        <v>0.0036</v>
      </c>
      <c r="H205" s="98" t="n">
        <v>0.1646</v>
      </c>
      <c r="I205" s="98" t="n">
        <v>0.0092</v>
      </c>
      <c r="J205" s="98" t="n">
        <v>0.150966</v>
      </c>
      <c r="K205" s="97" t="n">
        <v>15</v>
      </c>
      <c r="L205" s="99" t="inlineStr">
        <is>
          <t>20260929</t>
        </is>
      </c>
      <c r="M205" s="96" t="inlineStr">
        <is>
          <t>제외</t>
        </is>
      </c>
      <c r="N205" s="96" t="inlineStr">
        <is>
          <t>순자산 46억(기준 300억 미만), 60일 거래대금 0.3억(기준 5억 미만)</t>
        </is>
      </c>
      <c r="O205" s="96" t="inlineStr">
        <is>
          <t>KEDI 알리바바 미국채커버드콜혼합지수(TR)</t>
        </is>
      </c>
      <c r="P205" s="96" t="inlineStr">
        <is>
          <t>커버드콜</t>
        </is>
      </c>
      <c r="Q205" s="96" t="inlineStr">
        <is>
          <t>멀티에셋</t>
        </is>
      </c>
      <c r="R205" s="96" t="inlineStr">
        <is>
          <t>월배당</t>
        </is>
      </c>
      <c r="S205" s="97" t="n">
        <v>11</v>
      </c>
      <c r="T205" s="98" t="n">
        <v>0.7944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IFERROR(INDEX($A$4:$A$593,MATCH(202,$X$4:$X$593,0)),"")</f>
        <v/>
      </c>
    </row>
    <row r="206">
      <c r="A206" s="96" t="inlineStr">
        <is>
          <t>PLUS 미국배당증가성장주데일리커버드콜</t>
        </is>
      </c>
      <c r="B206" s="96" t="inlineStr">
        <is>
          <t>494420</t>
        </is>
      </c>
      <c r="C206" s="96" t="inlineStr">
        <is>
          <t>한화자산운용</t>
        </is>
      </c>
      <c r="D206" s="97" t="n">
        <v>8585</v>
      </c>
      <c r="E206" s="97" t="n">
        <v>16311500000</v>
      </c>
      <c r="F206" s="97" t="n">
        <v>113583939</v>
      </c>
      <c r="G206" s="98" t="n">
        <v>0.0039</v>
      </c>
      <c r="H206" s="98" t="n">
        <v>0.1441</v>
      </c>
      <c r="I206" s="98" t="n">
        <v>0.0119</v>
      </c>
      <c r="J206" s="98" t="n">
        <v>0.150728</v>
      </c>
      <c r="K206" s="97" t="n">
        <v>23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순자산 163억(기준 300억 미만), 60일 거래대금 1.1억(기준 5억 미만), 분배율 대조 불일치(연분배율 계산 15.0728% vs ETFCHECK 14.8055%)</t>
        </is>
      </c>
      <c r="O206" s="96" t="inlineStr">
        <is>
          <t>Bloomberg U.S. Dividend Growth Partial Covered Call Index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11</v>
      </c>
      <c r="T206" s="98" t="n">
        <v>0.9196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IFERROR(INDEX($A$4:$A$593,MATCH(203,$X$4:$X$593,0)),"")</f>
        <v/>
      </c>
    </row>
    <row r="207">
      <c r="A207" s="96" t="inlineStr">
        <is>
          <t>KODEX 200타겟위클리커버드콜</t>
        </is>
      </c>
      <c r="B207" s="96" t="inlineStr">
        <is>
          <t>498400</t>
        </is>
      </c>
      <c r="C207" s="96" t="inlineStr">
        <is>
          <t>삼성자산운용(ETF)</t>
        </is>
      </c>
      <c r="D207" s="97" t="n">
        <v>20745</v>
      </c>
      <c r="E207" s="97" t="n">
        <v>6026422500000</v>
      </c>
      <c r="F207" s="97" t="n">
        <v>169710236576</v>
      </c>
      <c r="G207" s="98" t="n">
        <v>0.0039</v>
      </c>
      <c r="H207" s="98" t="n">
        <v>0.5658</v>
      </c>
      <c r="I207" s="98" t="n">
        <v>0.0145</v>
      </c>
      <c r="J207" s="98" t="n">
        <v>0.150687</v>
      </c>
      <c r="K207" s="97" t="n">
        <v>21</v>
      </c>
      <c r="L207" s="99" t="inlineStr">
        <is>
          <t>20260914</t>
        </is>
      </c>
      <c r="M207" s="96" t="inlineStr">
        <is>
          <t>제외</t>
        </is>
      </c>
      <c r="N207" s="96" t="inlineStr">
        <is>
          <t>변동성 56.6%(1년 기준, 기준 35% 초과), 분배율 대조 불일치(연분배율 계산 15.0687% vs ETFCHECK 15.4180%)</t>
        </is>
      </c>
      <c r="O207" s="96" t="inlineStr">
        <is>
          <t>코스피 200 타겟 15% 위클리 커버드콜 지수</t>
        </is>
      </c>
      <c r="P207" s="96" t="inlineStr">
        <is>
          <t>커버드콜</t>
        </is>
      </c>
      <c r="Q207" s="96" t="inlineStr">
        <is>
          <t>주식</t>
        </is>
      </c>
      <c r="R207" s="96" t="inlineStr">
        <is>
          <t>월배당</t>
        </is>
      </c>
      <c r="S207" s="97" t="n">
        <v>11</v>
      </c>
      <c r="T207" s="98" t="n">
        <v>0.0384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IFERROR(INDEX($A$4:$A$593,MATCH(204,$X$4:$X$593,0)),"")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8620</v>
      </c>
      <c r="E208" s="97" t="n">
        <v>54306000000</v>
      </c>
      <c r="F208" s="97" t="n">
        <v>349137392</v>
      </c>
      <c r="G208" s="98" t="n">
        <v>0.0039</v>
      </c>
      <c r="H208" s="98" t="n">
        <v>0.1693</v>
      </c>
      <c r="I208" s="98" t="n">
        <v>0.01</v>
      </c>
      <c r="J208" s="98" t="n">
        <v>0.138283</v>
      </c>
      <c r="K208" s="97" t="n">
        <v>22</v>
      </c>
      <c r="L208" s="99" t="inlineStr">
        <is>
          <t>20260929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0.7701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IFERROR(INDEX($A$4:$A$593,MATCH(205,$X$4:$X$593,0)),"")</f>
        <v/>
      </c>
    </row>
    <row r="209">
      <c r="A209" s="96" t="inlineStr">
        <is>
          <t>KODEX 미국30년국채타겟커버드콜(합성 H)</t>
        </is>
      </c>
      <c r="B209" s="96" t="inlineStr">
        <is>
          <t>481060</t>
        </is>
      </c>
      <c r="C209" s="96" t="inlineStr">
        <is>
          <t>삼성자산운용(ETF)</t>
        </is>
      </c>
      <c r="D209" s="97" t="n">
        <v>7025</v>
      </c>
      <c r="E209" s="97" t="n">
        <v>713388750000</v>
      </c>
      <c r="F209" s="97" t="n">
        <v>4011978649</v>
      </c>
      <c r="G209" s="98" t="n">
        <v>0.0025</v>
      </c>
      <c r="H209" s="98" t="n">
        <v>0.0839</v>
      </c>
      <c r="I209" s="98" t="n">
        <v>0.0101</v>
      </c>
      <c r="J209" s="98" t="n">
        <v>0.137224</v>
      </c>
      <c r="K209" s="97" t="n">
        <v>29</v>
      </c>
      <c r="L209" s="99" t="inlineStr">
        <is>
          <t>20260914</t>
        </is>
      </c>
      <c r="M209" s="96" t="inlineStr">
        <is>
          <t>제외</t>
        </is>
      </c>
      <c r="N209" s="96" t="inlineStr">
        <is>
          <t>분배율 대조 불일치(연분배율 계산 13.7224% vs ETFCHECK 13.1604%)</t>
        </is>
      </c>
      <c r="O209" s="96" t="inlineStr">
        <is>
          <t>Bloomberg U.S. Treasury 20+ Year + 12% Premium (TLT) Covered</t>
        </is>
      </c>
      <c r="P209" s="96" t="inlineStr">
        <is>
          <t>커버드콜</t>
        </is>
      </c>
      <c r="Q209" s="96" t="inlineStr">
        <is>
          <t>채권</t>
        </is>
      </c>
      <c r="R209" s="96" t="inlineStr">
        <is>
          <t>월배당</t>
        </is>
      </c>
      <c r="S209" s="97" t="n">
        <v>11</v>
      </c>
      <c r="T209" s="98" t="n">
        <v>0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IFERROR(INDEX($A$4:$A$593,MATCH(206,$X$4:$X$593,0)),"")</f>
        <v/>
      </c>
    </row>
    <row r="210">
      <c r="A210" s="96" t="inlineStr">
        <is>
          <t>SOL 미국500타겟데일리커버드콜액티브</t>
        </is>
      </c>
      <c r="B210" s="96" t="inlineStr">
        <is>
          <t>494210</t>
        </is>
      </c>
      <c r="C210" s="96" t="inlineStr">
        <is>
          <t>신한자산운용</t>
        </is>
      </c>
      <c r="D210" s="97" t="n">
        <v>10555</v>
      </c>
      <c r="E210" s="97" t="n">
        <v>7388500000</v>
      </c>
      <c r="F210" s="97" t="n">
        <v>67302397</v>
      </c>
      <c r="G210" s="98" t="n">
        <v>0.0035</v>
      </c>
      <c r="H210" s="98" t="n">
        <v>0.1579</v>
      </c>
      <c r="I210" s="98" t="n">
        <v>0.01</v>
      </c>
      <c r="J210" s="98" t="n">
        <v>0.127333</v>
      </c>
      <c r="K210" s="97" t="n">
        <v>23</v>
      </c>
      <c r="L210" s="99" t="inlineStr">
        <is>
          <t>20260929</t>
        </is>
      </c>
      <c r="M210" s="96" t="inlineStr">
        <is>
          <t>제외</t>
        </is>
      </c>
      <c r="N210" s="96" t="inlineStr">
        <is>
          <t>순자산 74억(기준 300억 미만), 60일 거래대금 0.7억(기준 5억 미만)</t>
        </is>
      </c>
      <c r="O210" s="96" t="inlineStr">
        <is>
          <t>KEDI U.S. Quality500 + Monthly 1% Premium Index NTR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11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IFERROR(INDEX($A$4:$A$593,MATCH(207,$X$4:$X$593,0)),"")</f>
        <v/>
      </c>
    </row>
    <row r="211">
      <c r="A211" s="96" t="inlineStr">
        <is>
          <t>TIGER 미국배당다우존스타겟데일리커버드콜</t>
        </is>
      </c>
      <c r="B211" s="96" t="inlineStr">
        <is>
          <t>0008S0</t>
        </is>
      </c>
      <c r="C211" s="96" t="inlineStr">
        <is>
          <t>미래에셋자산운용</t>
        </is>
      </c>
      <c r="D211" s="97" t="n">
        <v>9280</v>
      </c>
      <c r="E211" s="97" t="n">
        <v>290928000000</v>
      </c>
      <c r="F211" s="97" t="n">
        <v>3345003711</v>
      </c>
      <c r="G211" s="98" t="n">
        <v>0.0025</v>
      </c>
      <c r="H211" s="98" t="n">
        <v>0.1435</v>
      </c>
      <c r="I211" s="98" t="n">
        <v>0.01</v>
      </c>
      <c r="J211" s="98" t="n">
        <v>0.126832</v>
      </c>
      <c r="K211" s="97" t="n">
        <v>20</v>
      </c>
      <c r="L211" s="99" t="inlineStr">
        <is>
          <t>20260914</t>
        </is>
      </c>
      <c r="M211" s="96" t="inlineStr">
        <is>
          <t>제외</t>
        </is>
      </c>
      <c r="N211" s="96" t="inlineStr">
        <is>
          <t>분배율 대조 불일치(연분배율 계산 12.6832% vs ETFCHECK 12.0656%)</t>
        </is>
      </c>
      <c r="O211" s="96" t="inlineStr">
        <is>
          <t>Dow Jones U.S. Dividend 100 10% Daily Premium Covered Call I</t>
        </is>
      </c>
      <c r="P211" s="96" t="inlineStr">
        <is>
          <t>커버드콜</t>
        </is>
      </c>
      <c r="Q211" s="96" t="inlineStr">
        <is>
          <t>주식</t>
        </is>
      </c>
      <c r="R211" s="96" t="inlineStr">
        <is>
          <t>월배당</t>
        </is>
      </c>
      <c r="S211" s="97" t="n">
        <v>11</v>
      </c>
      <c r="T211" s="98" t="n">
        <v>0.8505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IFERROR(INDEX($A$4:$A$593,MATCH(208,$X$4:$X$593,0)),"")</f>
        <v/>
      </c>
    </row>
    <row r="212">
      <c r="A212" s="96" t="inlineStr">
        <is>
          <t>TIGER 코리아배당다우존스위클리커버드콜</t>
        </is>
      </c>
      <c r="B212" s="96" t="inlineStr">
        <is>
          <t>0104P0</t>
        </is>
      </c>
      <c r="C212" s="96" t="inlineStr">
        <is>
          <t>미래에셋자산운용</t>
        </is>
      </c>
      <c r="D212" s="97" t="n">
        <v>10635</v>
      </c>
      <c r="E212" s="97" t="n">
        <v>18079500000</v>
      </c>
      <c r="F212" s="97" t="n">
        <v>260369085</v>
      </c>
      <c r="G212" s="98" t="n">
        <v>0.0025</v>
      </c>
      <c r="H212" s="98" t="n">
        <v>0.3098</v>
      </c>
      <c r="I212" s="98" t="n">
        <v>0.01</v>
      </c>
      <c r="J212" s="98" t="n">
        <v>0.120357</v>
      </c>
      <c r="K212" s="97" t="n">
        <v>12</v>
      </c>
      <c r="L212" s="99" t="inlineStr">
        <is>
          <t>20260929</t>
        </is>
      </c>
      <c r="M212" s="96" t="inlineStr">
        <is>
          <t>제외</t>
        </is>
      </c>
      <c r="N212" s="96" t="inlineStr">
        <is>
          <t>순자산 181억(기준 300억 미만), 60일 거래대금 2.6억(기준 5억 미만)</t>
        </is>
      </c>
      <c r="O212" s="96" t="inlineStr">
        <is>
          <t>KRX 다우존스 코리아 배당 30 타겟 7% 위클리 커버드콜 지수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0.2977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IFERROR(INDEX($A$4:$A$593,MATCH(209,$X$4:$X$593,0)),"")</f>
        <v/>
      </c>
    </row>
    <row r="213">
      <c r="A213" s="96" t="inlineStr">
        <is>
          <t>RISE 미국30년국채커버드콜(합성)</t>
        </is>
      </c>
      <c r="B213" s="96" t="inlineStr">
        <is>
          <t>472830</t>
        </is>
      </c>
      <c r="C213" s="96" t="inlineStr">
        <is>
          <t>KB자산운용</t>
        </is>
      </c>
      <c r="D213" s="97" t="n">
        <v>7300</v>
      </c>
      <c r="E213" s="97" t="n">
        <v>40515000000</v>
      </c>
      <c r="F213" s="97" t="n">
        <v>281314084</v>
      </c>
      <c r="G213" s="98" t="n">
        <v>0.0025</v>
      </c>
      <c r="H213" s="98" t="n">
        <v>0.1422</v>
      </c>
      <c r="I213" s="98" t="n">
        <v>0.0069</v>
      </c>
      <c r="J213" s="98" t="n">
        <v>0.114795</v>
      </c>
      <c r="K213" s="97" t="n">
        <v>33</v>
      </c>
      <c r="L213" s="99" t="inlineStr">
        <is>
          <t>20260929</t>
        </is>
      </c>
      <c r="M213" s="96" t="inlineStr">
        <is>
          <t>제외</t>
        </is>
      </c>
      <c r="N213" s="96" t="inlineStr">
        <is>
          <t>60일 거래대금 2.8억(기준 5억 미만)</t>
        </is>
      </c>
      <c r="O213" s="96" t="inlineStr">
        <is>
          <t>Bloomberg U.S. Treasury 20+ Year(TLT) 2% OTM Covered Call In</t>
        </is>
      </c>
      <c r="P213" s="96" t="inlineStr">
        <is>
          <t>커버드콜</t>
        </is>
      </c>
      <c r="Q213" s="96" t="inlineStr">
        <is>
          <t>채권</t>
        </is>
      </c>
      <c r="R213" s="96" t="inlineStr">
        <is>
          <t>월배당</t>
        </is>
      </c>
      <c r="S213" s="97" t="n">
        <v>11</v>
      </c>
      <c r="T213" s="98" t="n">
        <v>0.7017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IFERROR(INDEX($A$4:$A$593,MATCH(210,$X$4:$X$593,0)),"")</f>
        <v/>
      </c>
    </row>
    <row r="214">
      <c r="A214" s="96" t="inlineStr">
        <is>
          <t>RISE 200고배당커버드콜ATM</t>
        </is>
      </c>
      <c r="B214" s="96" t="inlineStr">
        <is>
          <t>290080</t>
        </is>
      </c>
      <c r="C214" s="96" t="inlineStr">
        <is>
          <t>KB자산운용</t>
        </is>
      </c>
      <c r="D214" s="97" t="n">
        <v>7200</v>
      </c>
      <c r="E214" s="97" t="n">
        <v>12600000000</v>
      </c>
      <c r="F214" s="97" t="n">
        <v>169491811</v>
      </c>
      <c r="G214" s="98" t="n">
        <v>0.004</v>
      </c>
      <c r="H214" s="98" t="n">
        <v>0.3097</v>
      </c>
      <c r="I214" s="98" t="n">
        <v>0.007800000000000001</v>
      </c>
      <c r="J214" s="98" t="n">
        <v>0.109028</v>
      </c>
      <c r="K214" s="97" t="n">
        <v>50</v>
      </c>
      <c r="L214" s="99" t="inlineStr">
        <is>
          <t>20260929</t>
        </is>
      </c>
      <c r="M214" s="96" t="inlineStr">
        <is>
          <t>제외</t>
        </is>
      </c>
      <c r="N214" s="96" t="inlineStr">
        <is>
          <t>순자산 126억(기준 300억 미만), 60일 거래대금 1.7억(기준 5억 미만)</t>
        </is>
      </c>
      <c r="O214" s="96" t="inlineStr">
        <is>
          <t>코스피 200 고배당 커버드콜 ATM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0.3605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IFERROR(INDEX($A$4:$A$593,MATCH(211,$X$4:$X$593,0)),"")</f>
        <v/>
      </c>
    </row>
    <row r="215">
      <c r="A215" s="96" t="inlineStr">
        <is>
          <t>KODEX 미국배당커버드콜액티브</t>
        </is>
      </c>
      <c r="B215" s="96" t="inlineStr">
        <is>
          <t>441640</t>
        </is>
      </c>
      <c r="C215" s="96" t="inlineStr">
        <is>
          <t>삼성자산운용(ETF)</t>
        </is>
      </c>
      <c r="D215" s="97" t="n">
        <v>12185</v>
      </c>
      <c r="E215" s="97" t="n">
        <v>1696152000000</v>
      </c>
      <c r="F215" s="97" t="n">
        <v>12098948775</v>
      </c>
      <c r="G215" s="98" t="n">
        <v>0.0019</v>
      </c>
      <c r="H215" s="98" t="n">
        <v>0.1238</v>
      </c>
      <c r="I215" s="98" t="n">
        <v>0.007800000000000001</v>
      </c>
      <c r="J215" s="98" t="n">
        <v>0.09716900000000001</v>
      </c>
      <c r="K215" s="97" t="n">
        <v>48</v>
      </c>
      <c r="L215" s="99" t="inlineStr">
        <is>
          <t>20260914</t>
        </is>
      </c>
      <c r="M215" s="96" t="inlineStr">
        <is>
          <t>제외</t>
        </is>
      </c>
      <c r="N215" s="96" t="inlineStr">
        <is>
          <t>분배율 대조 불일치(연분배율 계산 9.7169% vs ETFCHECK 9.5139%)</t>
        </is>
      </c>
      <c r="O215" s="96" t="inlineStr">
        <is>
          <t>S&amp;P 500</t>
        </is>
      </c>
      <c r="P215" s="96" t="inlineStr">
        <is>
          <t>커버드콜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1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IFERROR(INDEX($A$4:$A$593,MATCH(212,$X$4:$X$593,0)),"")</f>
        <v/>
      </c>
    </row>
    <row r="216">
      <c r="A216" s="96" t="inlineStr">
        <is>
          <t>PLUS K리츠</t>
        </is>
      </c>
      <c r="B216" s="96" t="inlineStr">
        <is>
          <t>429740</t>
        </is>
      </c>
      <c r="C216" s="96" t="inlineStr">
        <is>
          <t>한화자산운용</t>
        </is>
      </c>
      <c r="D216" s="97" t="n">
        <v>5980</v>
      </c>
      <c r="E216" s="97" t="n">
        <v>5980000000</v>
      </c>
      <c r="F216" s="97" t="n">
        <v>33524483</v>
      </c>
      <c r="G216" s="98" t="n">
        <v>0.0025</v>
      </c>
      <c r="H216" s="98" t="n">
        <v>0.2024</v>
      </c>
      <c r="I216" s="98" t="n">
        <v>0.0213</v>
      </c>
      <c r="J216" s="98" t="n">
        <v>0.082776</v>
      </c>
      <c r="K216" s="97" t="n">
        <v>36</v>
      </c>
      <c r="L216" s="99" t="inlineStr">
        <is>
          <t>20260929</t>
        </is>
      </c>
      <c r="M216" s="96" t="inlineStr">
        <is>
          <t>제외</t>
        </is>
      </c>
      <c r="N216" s="96" t="inlineStr">
        <is>
          <t>순자산 60억(기준 300억 미만), 60일 거래대금 0.3억(기준 5억 미만)</t>
        </is>
      </c>
      <c r="O216" s="96" t="inlineStr">
        <is>
          <t>FnGuide 리츠 지수</t>
        </is>
      </c>
      <c r="P216" s="96" t="inlineStr">
        <is>
          <t>일반</t>
        </is>
      </c>
      <c r="Q216" s="96" t="inlineStr">
        <is>
          <t>부동산</t>
        </is>
      </c>
      <c r="R216" s="96" t="inlineStr">
        <is>
          <t>월배당</t>
        </is>
      </c>
      <c r="S216" s="97" t="n">
        <v>11</v>
      </c>
      <c r="T216" s="98" t="n">
        <v>0.8788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IFERROR(INDEX($A$4:$A$593,MATCH(213,$X$4:$X$593,0)),"")</f>
        <v/>
      </c>
    </row>
    <row r="217">
      <c r="A217" s="96" t="inlineStr">
        <is>
          <t>TIME Korea플러스배당액티브</t>
        </is>
      </c>
      <c r="B217" s="96" t="inlineStr">
        <is>
          <t>441800</t>
        </is>
      </c>
      <c r="C217" s="96" t="inlineStr">
        <is>
          <t>타임폴리오자산운용</t>
        </is>
      </c>
      <c r="D217" s="97" t="n">
        <v>28525</v>
      </c>
      <c r="E217" s="97" t="n">
        <v>800411500000</v>
      </c>
      <c r="F217" s="97" t="n">
        <v>11028485492</v>
      </c>
      <c r="G217" s="98" t="n">
        <v>0.008</v>
      </c>
      <c r="H217" s="98" t="n">
        <v>0.489</v>
      </c>
      <c r="I217" s="98" t="n">
        <v>0.0102</v>
      </c>
      <c r="J217" s="98" t="n">
        <v>0.08028</v>
      </c>
      <c r="K217" s="97" t="n">
        <v>48</v>
      </c>
      <c r="L217" s="99" t="inlineStr">
        <is>
          <t>20260929</t>
        </is>
      </c>
      <c r="M217" s="96" t="inlineStr">
        <is>
          <t>제외</t>
        </is>
      </c>
      <c r="N217" s="96" t="inlineStr">
        <is>
          <t>변동성 48.9%(1년 기준, 기준 35% 초과)</t>
        </is>
      </c>
      <c r="O217" s="96" t="inlineStr">
        <is>
          <t>KOSPI 200</t>
        </is>
      </c>
      <c r="P217" s="96" t="inlineStr">
        <is>
          <t>일반</t>
        </is>
      </c>
      <c r="Q217" s="96" t="inlineStr">
        <is>
          <t>주식</t>
        </is>
      </c>
      <c r="R217" s="96" t="inlineStr">
        <is>
          <t>월배당</t>
        </is>
      </c>
      <c r="S217" s="97" t="n">
        <v>11</v>
      </c>
      <c r="T217" s="98" t="n">
        <v>0.1393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IFERROR(INDEX($A$4:$A$593,MATCH(214,$X$4:$X$593,0)),"")</f>
        <v/>
      </c>
    </row>
    <row r="218">
      <c r="A218" s="96" t="inlineStr">
        <is>
          <t>ACE 미국배당퀄리티+커버드콜액티브</t>
        </is>
      </c>
      <c r="B218" s="96" t="inlineStr">
        <is>
          <t>0049M0</t>
        </is>
      </c>
      <c r="C218" s="96" t="inlineStr">
        <is>
          <t>한국투신운용(ETF)</t>
        </is>
      </c>
      <c r="D218" s="97" t="n">
        <v>10995</v>
      </c>
      <c r="E218" s="97" t="n">
        <v>77514750000</v>
      </c>
      <c r="F218" s="97" t="n">
        <v>366232107</v>
      </c>
      <c r="G218" s="98" t="n">
        <v>0.0015</v>
      </c>
      <c r="H218" s="98" t="n">
        <v>0.1293</v>
      </c>
      <c r="I218" s="98" t="n">
        <v>0.006</v>
      </c>
      <c r="J218" s="98" t="n">
        <v>0.075944</v>
      </c>
      <c r="K218" s="97" t="n">
        <v>16</v>
      </c>
      <c r="L218" s="99" t="inlineStr">
        <is>
          <t>20260929</t>
        </is>
      </c>
      <c r="M218" s="96" t="inlineStr">
        <is>
          <t>제외</t>
        </is>
      </c>
      <c r="N218" s="96" t="inlineStr">
        <is>
          <t>60일 거래대금 3.7억(기준 5억 미만)</t>
        </is>
      </c>
      <c r="O218" s="96" t="inlineStr">
        <is>
          <t>Bloomberg WisdomTree U.S. Quality Dividend &amp; B500 Premium De</t>
        </is>
      </c>
      <c r="P218" s="96" t="inlineStr">
        <is>
          <t>커버드콜</t>
        </is>
      </c>
      <c r="Q218" s="96" t="inlineStr">
        <is>
          <t>주식</t>
        </is>
      </c>
      <c r="R218" s="96" t="inlineStr">
        <is>
          <t>월배당</t>
        </is>
      </c>
      <c r="S218" s="97" t="n">
        <v>11</v>
      </c>
      <c r="T218" s="98" t="n">
        <v>1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IFERROR(INDEX($A$4:$A$593,MATCH(215,$X$4:$X$593,0)),"")</f>
        <v/>
      </c>
    </row>
    <row r="219">
      <c r="A219" s="96" t="inlineStr">
        <is>
          <t>HK 종합채권(AA-이상)액티브</t>
        </is>
      </c>
      <c r="B219" s="96" t="inlineStr">
        <is>
          <t>472920</t>
        </is>
      </c>
      <c r="C219" s="96" t="inlineStr">
        <is>
          <t>흥국자산운용</t>
        </is>
      </c>
      <c r="D219" s="97" t="n">
        <v>98300</v>
      </c>
      <c r="E219" s="97" t="n">
        <v>254203800000</v>
      </c>
      <c r="F219" s="97" t="n">
        <v>2174968</v>
      </c>
      <c r="G219" s="98" t="n">
        <v>0.00036</v>
      </c>
      <c r="H219" s="98" t="n">
        <v>0.08210000000000001</v>
      </c>
      <c r="I219" s="98" t="n">
        <v>0.0674</v>
      </c>
      <c r="J219" s="98" t="n">
        <v>0.07495400000000001</v>
      </c>
      <c r="K219" s="97" t="n">
        <v>1</v>
      </c>
      <c r="L219" s="99" t="inlineStr">
        <is>
          <t>20251229</t>
        </is>
      </c>
      <c r="M219" s="96" t="inlineStr">
        <is>
          <t>제외</t>
        </is>
      </c>
      <c r="N219" s="96" t="inlineStr">
        <is>
          <t>60일 거래대금 0.0억(기준 5억 미만)</t>
        </is>
      </c>
      <c r="O219" s="96" t="inlineStr">
        <is>
          <t>KAP 종합채권 AA- 이상 지수(총수익)</t>
        </is>
      </c>
      <c r="P219" s="96" t="inlineStr">
        <is>
          <t>일반</t>
        </is>
      </c>
      <c r="Q219" s="96" t="inlineStr">
        <is>
          <t>채권</t>
        </is>
      </c>
      <c r="R219" s="96" t="inlineStr">
        <is>
          <t>연배당</t>
        </is>
      </c>
      <c r="S219" s="97" t="n">
        <v>1</v>
      </c>
      <c r="T219" s="98" t="n">
        <v>1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IFERROR(INDEX($A$4:$A$593,MATCH(216,$X$4:$X$593,0)),"")</f>
        <v/>
      </c>
    </row>
    <row r="220">
      <c r="A220" s="96" t="inlineStr">
        <is>
          <t>KoAct 배당성장액티브</t>
        </is>
      </c>
      <c r="B220" s="96" t="inlineStr">
        <is>
          <t>476850</t>
        </is>
      </c>
      <c r="C220" s="96" t="inlineStr">
        <is>
          <t>삼성액티브자산(ETF)</t>
        </is>
      </c>
      <c r="D220" s="97" t="n">
        <v>21955</v>
      </c>
      <c r="E220" s="97" t="n">
        <v>107579500000</v>
      </c>
      <c r="F220" s="97" t="n">
        <v>2110194536</v>
      </c>
      <c r="G220" s="98" t="n">
        <v>0.005</v>
      </c>
      <c r="H220" s="98" t="n">
        <v>0.5002</v>
      </c>
      <c r="I220" s="98" t="n">
        <v>0.005</v>
      </c>
      <c r="J220" s="98" t="n">
        <v>0.07283100000000001</v>
      </c>
      <c r="K220" s="97" t="n">
        <v>16</v>
      </c>
      <c r="L220" s="99" t="inlineStr">
        <is>
          <t>20260929</t>
        </is>
      </c>
      <c r="M220" s="96" t="inlineStr">
        <is>
          <t>제외</t>
        </is>
      </c>
      <c r="N220" s="96" t="inlineStr">
        <is>
          <t>변동성 50.0%(1년 기준, 기준 35% 초과)</t>
        </is>
      </c>
      <c r="O220" s="96" t="inlineStr">
        <is>
          <t>코스피</t>
        </is>
      </c>
      <c r="P220" s="96" t="inlineStr">
        <is>
          <t>일반</t>
        </is>
      </c>
      <c r="Q220" s="96" t="inlineStr">
        <is>
          <t>주식</t>
        </is>
      </c>
      <c r="R220" s="96" t="inlineStr">
        <is>
          <t>비정기</t>
        </is>
      </c>
      <c r="S220" s="97" t="n">
        <v>8</v>
      </c>
      <c r="T220" s="98" t="n">
        <v>0.0997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IFERROR(INDEX($A$4:$A$593,MATCH(217,$X$4:$X$593,0)),"")</f>
        <v/>
      </c>
    </row>
    <row r="221">
      <c r="A221" s="96" t="inlineStr">
        <is>
          <t>KODEX 일본부동산리츠(H)</t>
        </is>
      </c>
      <c r="B221" s="96" t="inlineStr">
        <is>
          <t>352540</t>
        </is>
      </c>
      <c r="C221" s="96" t="inlineStr">
        <is>
          <t>삼성자산운용(ETF)</t>
        </is>
      </c>
      <c r="D221" s="97" t="n">
        <v>10725</v>
      </c>
      <c r="E221" s="97" t="n">
        <v>36465000000</v>
      </c>
      <c r="F221" s="97" t="n">
        <v>148920935</v>
      </c>
      <c r="G221" s="98" t="n">
        <v>0.003</v>
      </c>
      <c r="H221" s="98" t="n">
        <v>0.1201</v>
      </c>
      <c r="I221" s="98" t="n">
        <v>0.008100000000000001</v>
      </c>
      <c r="J221" s="98" t="n">
        <v>0.071049</v>
      </c>
      <c r="K221" s="97" t="n">
        <v>48</v>
      </c>
      <c r="L221" s="99" t="inlineStr">
        <is>
          <t>20260929</t>
        </is>
      </c>
      <c r="M221" s="96" t="inlineStr">
        <is>
          <t>제외</t>
        </is>
      </c>
      <c r="N221" s="96" t="inlineStr">
        <is>
          <t>60일 거래대금 1.5억(기준 5억 미만)</t>
        </is>
      </c>
      <c r="O221" s="96" t="inlineStr">
        <is>
          <t>TSE 부동산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10</v>
      </c>
      <c r="T221" s="98" t="n">
        <v>1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IFERROR(INDEX($A$4:$A$593,MATCH(218,$X$4:$X$593,0)),"")</f>
        <v/>
      </c>
    </row>
    <row r="222">
      <c r="A222" s="96" t="inlineStr">
        <is>
          <t>ACE 미국하이일드액티브(H)</t>
        </is>
      </c>
      <c r="B222" s="96" t="inlineStr">
        <is>
          <t>455660</t>
        </is>
      </c>
      <c r="C222" s="96" t="inlineStr">
        <is>
          <t>한국투자신탁운용</t>
        </is>
      </c>
      <c r="D222" s="97" t="n">
        <v>9150</v>
      </c>
      <c r="E222" s="97" t="n">
        <v>61305000000</v>
      </c>
      <c r="F222" s="97" t="n">
        <v>204387413</v>
      </c>
      <c r="G222" s="98" t="n">
        <v>0.0024</v>
      </c>
      <c r="H222" s="98" t="n">
        <v>0.0395</v>
      </c>
      <c r="I222" s="98" t="n">
        <v>0.005500000000000001</v>
      </c>
      <c r="J222" s="98" t="n">
        <v>0.069727</v>
      </c>
      <c r="K222" s="97" t="n">
        <v>41</v>
      </c>
      <c r="L222" s="99" t="inlineStr">
        <is>
          <t>20260929</t>
        </is>
      </c>
      <c r="M222" s="96" t="inlineStr">
        <is>
          <t>제외</t>
        </is>
      </c>
      <c r="N222" s="96" t="inlineStr">
        <is>
          <t>60일 거래대금 2.0억(기준 5억 미만)</t>
        </is>
      </c>
      <c r="O222" s="96" t="inlineStr">
        <is>
          <t>iBoxx USD Liquid High Yield Total Return Index</t>
        </is>
      </c>
      <c r="P222" s="96" t="inlineStr">
        <is>
          <t>일반</t>
        </is>
      </c>
      <c r="Q222" s="96" t="inlineStr">
        <is>
          <t>채권</t>
        </is>
      </c>
      <c r="R222" s="96" t="inlineStr">
        <is>
          <t>월배당</t>
        </is>
      </c>
      <c r="S222" s="97" t="n">
        <v>11</v>
      </c>
      <c r="T222" s="98" t="n">
        <v>0.4514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IFERROR(INDEX($A$4:$A$593,MATCH(219,$X$4:$X$593,0)),"")</f>
        <v/>
      </c>
    </row>
    <row r="223">
      <c r="A223" s="96" t="inlineStr">
        <is>
          <t>TIGER 200커버드콜</t>
        </is>
      </c>
      <c r="B223" s="96" t="inlineStr">
        <is>
          <t>289480</t>
        </is>
      </c>
      <c r="C223" s="96" t="inlineStr">
        <is>
          <t>미래에셋자산운용</t>
        </is>
      </c>
      <c r="D223" s="97" t="n">
        <v>13325</v>
      </c>
      <c r="E223" s="97" t="n">
        <v>27982500000</v>
      </c>
      <c r="F223" s="97" t="n">
        <v>433405130</v>
      </c>
      <c r="G223" s="98" t="n">
        <v>0.0038</v>
      </c>
      <c r="H223" s="98" t="n">
        <v>0.3835</v>
      </c>
      <c r="I223" s="98" t="n">
        <v>0.0071</v>
      </c>
      <c r="J223" s="98" t="n">
        <v>0.069193</v>
      </c>
      <c r="K223" s="97" t="n">
        <v>52</v>
      </c>
      <c r="L223" s="99" t="inlineStr">
        <is>
          <t>20260929</t>
        </is>
      </c>
      <c r="M223" s="96" t="inlineStr">
        <is>
          <t>제외</t>
        </is>
      </c>
      <c r="N223" s="96" t="inlineStr">
        <is>
          <t>순자산 280억(기준 300억 미만), 60일 거래대금 4.3억(기준 5억 미만), 변동성 38.4%(1년 기준, 기준 35% 초과)</t>
        </is>
      </c>
      <c r="O223" s="96" t="inlineStr">
        <is>
          <t>코스피 200 커버드콜 ATM</t>
        </is>
      </c>
      <c r="P223" s="96" t="inlineStr">
        <is>
          <t>커버드콜</t>
        </is>
      </c>
      <c r="Q223" s="96" t="inlineStr">
        <is>
          <t>주식</t>
        </is>
      </c>
      <c r="R223" s="96" t="inlineStr">
        <is>
          <t>월배당</t>
        </is>
      </c>
      <c r="S223" s="97" t="n">
        <v>11</v>
      </c>
      <c r="T223" s="98" t="n">
        <v>0.0998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IFERROR(INDEX($A$4:$A$593,MATCH(220,$X$4:$X$593,0)),"")</f>
        <v/>
      </c>
    </row>
    <row r="224">
      <c r="A224" s="96" t="inlineStr">
        <is>
          <t>TIGER 리츠부동산인프라TOP10액티브</t>
        </is>
      </c>
      <c r="B224" s="96" t="inlineStr">
        <is>
          <t>0086B0</t>
        </is>
      </c>
      <c r="C224" s="96" t="inlineStr">
        <is>
          <t>미래에셋자산운용</t>
        </is>
      </c>
      <c r="D224" s="97" t="n">
        <v>9435</v>
      </c>
      <c r="E224" s="97" t="n">
        <v>46231500000</v>
      </c>
      <c r="F224" s="97" t="n">
        <v>219859122</v>
      </c>
      <c r="G224" s="98" t="n">
        <v>0.0005999999999999999</v>
      </c>
      <c r="H224" s="98" t="n">
        <v>0.1717</v>
      </c>
      <c r="I224" s="98" t="n">
        <v>0.005699999999999999</v>
      </c>
      <c r="J224" s="98" t="n">
        <v>0.06868</v>
      </c>
      <c r="K224" s="97" t="n">
        <v>13</v>
      </c>
      <c r="L224" s="99" t="inlineStr">
        <is>
          <t>20260914</t>
        </is>
      </c>
      <c r="M224" s="96" t="inlineStr">
        <is>
          <t>제외</t>
        </is>
      </c>
      <c r="N224" s="96" t="inlineStr">
        <is>
          <t>60일 거래대금 2.2억(기준 5억 미만)</t>
        </is>
      </c>
      <c r="O224" s="96" t="inlineStr">
        <is>
          <t>KEDI 리츠부동산인프라TOP10 지수</t>
        </is>
      </c>
      <c r="P224" s="96" t="inlineStr">
        <is>
          <t>일반</t>
        </is>
      </c>
      <c r="Q224" s="96" t="inlineStr">
        <is>
          <t>부동산</t>
        </is>
      </c>
      <c r="R224" s="96" t="inlineStr">
        <is>
          <t>월배당</t>
        </is>
      </c>
      <c r="S224" s="97" t="n">
        <v>11</v>
      </c>
      <c r="T224" s="98" t="n">
        <v>0.8889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IFERROR(INDEX($A$4:$A$593,MATCH(221,$X$4:$X$593,0)),"")</f>
        <v/>
      </c>
    </row>
    <row r="225">
      <c r="A225" s="96" t="inlineStr">
        <is>
          <t>WON 한국부동산TOP3플러스</t>
        </is>
      </c>
      <c r="B225" s="96" t="inlineStr">
        <is>
          <t>480460</t>
        </is>
      </c>
      <c r="C225" s="96" t="inlineStr">
        <is>
          <t>우리자산운용</t>
        </is>
      </c>
      <c r="D225" s="97" t="n">
        <v>9090</v>
      </c>
      <c r="E225" s="97" t="n">
        <v>7726500000</v>
      </c>
      <c r="F225" s="97" t="n">
        <v>26176484</v>
      </c>
      <c r="G225" s="98" t="n">
        <v>0.0025</v>
      </c>
      <c r="H225" s="98" t="n">
        <v>0.17</v>
      </c>
      <c r="I225" s="98" t="n">
        <v>0.0054</v>
      </c>
      <c r="J225" s="98" t="n">
        <v>0.066007</v>
      </c>
      <c r="K225" s="97" t="n">
        <v>28</v>
      </c>
      <c r="L225" s="99" t="inlineStr">
        <is>
          <t>20260929</t>
        </is>
      </c>
      <c r="M225" s="96" t="inlineStr">
        <is>
          <t>제외</t>
        </is>
      </c>
      <c r="N225" s="96" t="inlineStr">
        <is>
          <t>순자산 77억(기준 300억 미만), 60일 거래대금 0.3억(기준 5억 미만)</t>
        </is>
      </c>
      <c r="O225" s="96" t="inlineStr">
        <is>
          <t>DeepSearch 한국부동산 Top3 플러스 지수</t>
        </is>
      </c>
      <c r="P225" s="96" t="inlineStr">
        <is>
          <t>일반</t>
        </is>
      </c>
      <c r="Q225" s="96" t="inlineStr">
        <is>
          <t>부동산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IFERROR(INDEX($A$4:$A$593,MATCH(222,$X$4:$X$593,0)),"")</f>
        <v/>
      </c>
    </row>
    <row r="226">
      <c r="A226" s="96" t="inlineStr">
        <is>
          <t>TIGER 리츠부동산인프라채권</t>
        </is>
      </c>
      <c r="B226" s="96" t="inlineStr">
        <is>
          <t>341850</t>
        </is>
      </c>
      <c r="C226" s="96" t="inlineStr">
        <is>
          <t>미래에셋자산운용</t>
        </is>
      </c>
      <c r="D226" s="97" t="n">
        <v>4550</v>
      </c>
      <c r="E226" s="97" t="n">
        <v>9100000000</v>
      </c>
      <c r="F226" s="97" t="n">
        <v>33472987</v>
      </c>
      <c r="G226" s="98" t="n">
        <v>0.0022</v>
      </c>
      <c r="H226" s="98" t="n">
        <v>0.1327</v>
      </c>
      <c r="I226" s="98" t="n">
        <v>0.0052</v>
      </c>
      <c r="J226" s="98" t="n">
        <v>0.06329699999999999</v>
      </c>
      <c r="K226" s="97" t="n">
        <v>52</v>
      </c>
      <c r="L226" s="99" t="inlineStr">
        <is>
          <t>20260929</t>
        </is>
      </c>
      <c r="M226" s="96" t="inlineStr">
        <is>
          <t>제외</t>
        </is>
      </c>
      <c r="N226" s="96" t="inlineStr">
        <is>
          <t>순자산 91억(기준 300억 미만), 60일 거래대금 0.3억(기준 5억 미만)</t>
        </is>
      </c>
      <c r="O226" s="96" t="inlineStr">
        <is>
          <t>KIS 리츠부동산인프라채권 지수</t>
        </is>
      </c>
      <c r="P226" s="96" t="inlineStr">
        <is>
          <t>일반</t>
        </is>
      </c>
      <c r="Q226" s="96" t="inlineStr">
        <is>
          <t>멀티에셋</t>
        </is>
      </c>
      <c r="R226" s="96" t="inlineStr">
        <is>
          <t>월배당</t>
        </is>
      </c>
      <c r="S226" s="97" t="n">
        <v>11</v>
      </c>
      <c r="T226" s="98" t="n">
        <v>1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IFERROR(INDEX($A$4:$A$593,MATCH(223,$X$4:$X$593,0)),"")</f>
        <v/>
      </c>
    </row>
    <row r="227">
      <c r="A227" s="96" t="inlineStr">
        <is>
          <t>TIGER 미국배당다우존스타겟커버드콜1호</t>
        </is>
      </c>
      <c r="B227" s="96" t="inlineStr">
        <is>
          <t>458750</t>
        </is>
      </c>
      <c r="C227" s="96" t="inlineStr">
        <is>
          <t>미래에셋자산운용</t>
        </is>
      </c>
      <c r="D227" s="97" t="n">
        <v>12150</v>
      </c>
      <c r="E227" s="97" t="n">
        <v>63180000000</v>
      </c>
      <c r="F227" s="97" t="n">
        <v>406106790</v>
      </c>
      <c r="G227" s="98" t="n">
        <v>0.0039</v>
      </c>
      <c r="H227" s="98" t="n">
        <v>0.1446</v>
      </c>
      <c r="I227" s="98" t="n">
        <v>0.0052</v>
      </c>
      <c r="J227" s="98" t="n">
        <v>0.063128</v>
      </c>
      <c r="K227" s="97" t="n">
        <v>39</v>
      </c>
      <c r="L227" s="99" t="inlineStr">
        <is>
          <t>20260914</t>
        </is>
      </c>
      <c r="M227" s="96" t="inlineStr">
        <is>
          <t>제외</t>
        </is>
      </c>
      <c r="N227" s="96" t="inlineStr">
        <is>
          <t>60일 거래대금 4.1억(기준 5억 미만), 분배율 대조 불일치(연분배율 계산 6.3128% vs ETFCHECK 5.9852%)</t>
        </is>
      </c>
      <c r="O227" s="96" t="inlineStr">
        <is>
          <t>Dow Jones U.S. Dividend 100 3% Premium Covered Call Index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월배당</t>
        </is>
      </c>
      <c r="S227" s="97" t="n">
        <v>11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IFERROR(INDEX($A$4:$A$593,MATCH(224,$X$4:$X$593,0)),"")</f>
        <v/>
      </c>
    </row>
    <row r="228">
      <c r="A228" s="96" t="inlineStr">
        <is>
          <t>KODEX 미국S&amp;P500배당귀족커버드콜(합성 H)</t>
        </is>
      </c>
      <c r="B228" s="96" t="inlineStr">
        <is>
          <t>276970</t>
        </is>
      </c>
      <c r="C228" s="96" t="inlineStr">
        <is>
          <t>삼성자산운용(ETF)</t>
        </is>
      </c>
      <c r="D228" s="97" t="n">
        <v>7455</v>
      </c>
      <c r="E228" s="97" t="n">
        <v>35038500000</v>
      </c>
      <c r="F228" s="97" t="n">
        <v>115392788</v>
      </c>
      <c r="G228" s="98" t="n">
        <v>0.003</v>
      </c>
      <c r="H228" s="98" t="n">
        <v>0.1196</v>
      </c>
      <c r="I228" s="98" t="n">
        <v>0.015</v>
      </c>
      <c r="J228" s="98" t="n">
        <v>0.062106</v>
      </c>
      <c r="K228" s="97" t="n">
        <v>20</v>
      </c>
      <c r="L228" s="99" t="inlineStr">
        <is>
          <t>20260922</t>
        </is>
      </c>
      <c r="M228" s="96" t="inlineStr">
        <is>
          <t>제외</t>
        </is>
      </c>
      <c r="N228" s="96" t="inlineStr">
        <is>
          <t>60일 거래대금 1.2억(기준 5억 미만)</t>
        </is>
      </c>
      <c r="O228" s="96" t="inlineStr">
        <is>
          <t>S&amp;P 500 Dividend Aristocrats Covered Call (7.2% Premium) Ind</t>
        </is>
      </c>
      <c r="P228" s="96" t="inlineStr">
        <is>
          <t>커버드콜</t>
        </is>
      </c>
      <c r="Q228" s="96" t="inlineStr">
        <is>
          <t>주식</t>
        </is>
      </c>
      <c r="R228" s="96" t="inlineStr">
        <is>
          <t>분기배당</t>
        </is>
      </c>
      <c r="S228" s="97" t="n">
        <v>4</v>
      </c>
      <c r="T228" s="98" t="n">
        <v>0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IFERROR(INDEX($A$4:$A$593,MATCH(225,$X$4:$X$593,0)),"")</f>
        <v/>
      </c>
    </row>
    <row r="229">
      <c r="A229" s="96" t="inlineStr">
        <is>
          <t>ACE 싱가포르리츠</t>
        </is>
      </c>
      <c r="B229" s="96" t="inlineStr">
        <is>
          <t>316300</t>
        </is>
      </c>
      <c r="C229" s="96" t="inlineStr">
        <is>
          <t>한국투신운용(ETF)</t>
        </is>
      </c>
      <c r="D229" s="97" t="n">
        <v>12205</v>
      </c>
      <c r="E229" s="97" t="n">
        <v>6102500000</v>
      </c>
      <c r="F229" s="97" t="n">
        <v>13217738</v>
      </c>
      <c r="G229" s="98" t="n">
        <v>0.004</v>
      </c>
      <c r="H229" s="98" t="n">
        <v>0.1325</v>
      </c>
      <c r="I229" s="98" t="n">
        <v>0.004</v>
      </c>
      <c r="J229" s="98" t="n">
        <v>0.06186</v>
      </c>
      <c r="K229" s="97" t="n">
        <v>26</v>
      </c>
      <c r="L229" s="99" t="inlineStr">
        <is>
          <t>20260929</t>
        </is>
      </c>
      <c r="M229" s="96" t="inlineStr">
        <is>
          <t>제외</t>
        </is>
      </c>
      <c r="N229" s="96" t="inlineStr">
        <is>
          <t>순자산 61억(기준 300억 미만), 60일 거래대금 0.1억(기준 5억 미만)</t>
        </is>
      </c>
      <c r="O229" s="96" t="inlineStr">
        <is>
          <t>Morningstar Singapore REIT Yield Focus Index</t>
        </is>
      </c>
      <c r="P229" s="96" t="inlineStr">
        <is>
          <t>일반</t>
        </is>
      </c>
      <c r="Q229" s="96" t="inlineStr">
        <is>
          <t>부동산</t>
        </is>
      </c>
      <c r="R229" s="96" t="inlineStr">
        <is>
          <t>월배당</t>
        </is>
      </c>
      <c r="S229" s="97" t="n">
        <v>11</v>
      </c>
      <c r="T229" s="98" t="n">
        <v>1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IFERROR(INDEX($A$4:$A$593,MATCH(226,$X$4:$X$593,0)),"")</f>
        <v/>
      </c>
    </row>
    <row r="230">
      <c r="A230" s="96" t="inlineStr">
        <is>
          <t>TIGER 200타겟위클리커버드콜</t>
        </is>
      </c>
      <c r="B230" s="96" t="inlineStr">
        <is>
          <t>0104N0</t>
        </is>
      </c>
      <c r="C230" s="96" t="inlineStr">
        <is>
          <t>미래에셋자산운용</t>
        </is>
      </c>
      <c r="D230" s="97" t="n">
        <v>21395</v>
      </c>
      <c r="E230" s="97" t="n">
        <v>220368500000</v>
      </c>
      <c r="F230" s="97" t="n">
        <v>3057073494</v>
      </c>
      <c r="G230" s="98" t="n">
        <v>0.0025</v>
      </c>
      <c r="H230" s="98" t="n">
        <v>0.5892000000000001</v>
      </c>
      <c r="I230" s="98" t="n">
        <v>0.0059</v>
      </c>
      <c r="J230" s="98" t="n">
        <v>0.05749</v>
      </c>
      <c r="K230" s="97" t="n">
        <v>12</v>
      </c>
      <c r="L230" s="99" t="inlineStr">
        <is>
          <t>20260914</t>
        </is>
      </c>
      <c r="M230" s="96" t="inlineStr">
        <is>
          <t>제외</t>
        </is>
      </c>
      <c r="N230" s="96" t="inlineStr">
        <is>
          <t>변동성 58.9%(1년 기준, 기준 35% 초과)</t>
        </is>
      </c>
      <c r="O230" s="96" t="inlineStr">
        <is>
          <t>코스피 200 타겟 7% 위클리 커버드콜 지수</t>
        </is>
      </c>
      <c r="P230" s="96" t="inlineStr">
        <is>
          <t>커버드콜</t>
        </is>
      </c>
      <c r="Q230" s="96" t="inlineStr">
        <is>
          <t>주식</t>
        </is>
      </c>
      <c r="R230" s="96" t="inlineStr">
        <is>
          <t>월배당</t>
        </is>
      </c>
      <c r="S230" s="97" t="n">
        <v>11</v>
      </c>
      <c r="T230" s="98" t="n">
        <v>0.1138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IFERROR(INDEX($A$4:$A$593,MATCH(227,$X$4:$X$593,0)),"")</f>
        <v/>
      </c>
    </row>
    <row r="231">
      <c r="A231" s="96" t="inlineStr">
        <is>
          <t>RISE 미국30년국채액티브</t>
        </is>
      </c>
      <c r="B231" s="96" t="inlineStr">
        <is>
          <t>481340</t>
        </is>
      </c>
      <c r="C231" s="96" t="inlineStr">
        <is>
          <t>KB자산운용</t>
        </is>
      </c>
      <c r="D231" s="97" t="n">
        <v>7870</v>
      </c>
      <c r="E231" s="97" t="n">
        <v>24790500000</v>
      </c>
      <c r="F231" s="97" t="n">
        <v>347218731</v>
      </c>
      <c r="G231" s="98" t="n">
        <v>0.0005</v>
      </c>
      <c r="H231" s="98" t="n">
        <v>0.1319</v>
      </c>
      <c r="I231" s="98" t="n">
        <v>0.004099999999999999</v>
      </c>
      <c r="J231" s="98" t="n">
        <v>0.054511</v>
      </c>
      <c r="K231" s="97" t="n">
        <v>28</v>
      </c>
      <c r="L231" s="99" t="inlineStr">
        <is>
          <t>20260929</t>
        </is>
      </c>
      <c r="M231" s="96" t="inlineStr">
        <is>
          <t>제외</t>
        </is>
      </c>
      <c r="N231" s="96" t="inlineStr">
        <is>
          <t>순자산 248억(기준 300억 미만), 60일 거래대금 3.5억(기준 5억 미만)</t>
        </is>
      </c>
      <c r="O231" s="96" t="inlineStr">
        <is>
          <t>Bloomberg US Treasury 20+ Year Total Return Index</t>
        </is>
      </c>
      <c r="P231" s="96" t="inlineStr">
        <is>
          <t>일반</t>
        </is>
      </c>
      <c r="Q231" s="96" t="inlineStr">
        <is>
          <t>채권</t>
        </is>
      </c>
      <c r="R231" s="96" t="inlineStr">
        <is>
          <t>월배당</t>
        </is>
      </c>
      <c r="S231" s="97" t="n">
        <v>11</v>
      </c>
      <c r="T231" s="98" t="n">
        <v>0.5221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IFERROR(INDEX($A$4:$A$593,MATCH(228,$X$4:$X$593,0)),"")</f>
        <v/>
      </c>
    </row>
    <row r="232">
      <c r="A232" s="96" t="inlineStr">
        <is>
          <t>KoAct 미국천연가스인프라액티브</t>
        </is>
      </c>
      <c r="B232" s="96" t="inlineStr">
        <is>
          <t>497780</t>
        </is>
      </c>
      <c r="C232" s="96" t="inlineStr">
        <is>
          <t>삼성액티브자산(ETF)</t>
        </is>
      </c>
      <c r="D232" s="97" t="n">
        <v>9715</v>
      </c>
      <c r="E232" s="97" t="n">
        <v>18458500000</v>
      </c>
      <c r="F232" s="97" t="n">
        <v>197602839</v>
      </c>
      <c r="G232" s="98" t="n">
        <v>0.005</v>
      </c>
      <c r="H232" s="98" t="n">
        <v>0.1792</v>
      </c>
      <c r="I232" s="98" t="n">
        <v>0.004</v>
      </c>
      <c r="J232" s="98" t="n">
        <v>0.053011</v>
      </c>
      <c r="K232" s="97" t="n">
        <v>21</v>
      </c>
      <c r="L232" s="99" t="inlineStr">
        <is>
          <t>20260929</t>
        </is>
      </c>
      <c r="M232" s="96" t="inlineStr">
        <is>
          <t>제외</t>
        </is>
      </c>
      <c r="N232" s="96" t="inlineStr">
        <is>
          <t>순자산 185억(기준 300억 미만), 60일 거래대금 2.0억(기준 5억 미만)</t>
        </is>
      </c>
      <c r="O232" s="96" t="inlineStr">
        <is>
          <t>Solactive US Natural Gas Infrastructure Index PR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11</v>
      </c>
      <c r="T232" s="98" t="n">
        <v>0.8505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IFERROR(INDEX($A$4:$A$593,MATCH(229,$X$4:$X$593,0)),"")</f>
        <v/>
      </c>
    </row>
    <row r="233">
      <c r="A233" s="96" t="inlineStr">
        <is>
          <t>TIGER 미국투자등급회사채액티브(H)</t>
        </is>
      </c>
      <c r="B233" s="96" t="inlineStr">
        <is>
          <t>458260</t>
        </is>
      </c>
      <c r="C233" s="96" t="inlineStr">
        <is>
          <t>미래에셋자산운용</t>
        </is>
      </c>
      <c r="D233" s="97" t="n">
        <v>44480</v>
      </c>
      <c r="E233" s="97" t="n">
        <v>216172800000</v>
      </c>
      <c r="F233" s="97" t="n">
        <v>400107544</v>
      </c>
      <c r="G233" s="98" t="n">
        <v>0.0014</v>
      </c>
      <c r="H233" s="98" t="n">
        <v>0.0532</v>
      </c>
      <c r="I233" s="98" t="n">
        <v>0.0053</v>
      </c>
      <c r="J233" s="98" t="n">
        <v>0.051844</v>
      </c>
      <c r="K233" s="97" t="n">
        <v>40</v>
      </c>
      <c r="L233" s="99" t="inlineStr">
        <is>
          <t>20260929</t>
        </is>
      </c>
      <c r="M233" s="96" t="inlineStr">
        <is>
          <t>제외</t>
        </is>
      </c>
      <c r="N233" s="96" t="inlineStr">
        <is>
          <t>60일 거래대금 4.0억(기준 5억 미만)</t>
        </is>
      </c>
      <c r="O233" s="96" t="inlineStr">
        <is>
          <t>iBoxx USD Liquid Investment Grade PR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0.5108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IFERROR(INDEX($A$4:$A$593,MATCH(230,$X$4:$X$593,0)),"")</f>
        <v/>
      </c>
    </row>
    <row r="234">
      <c r="A234" s="96" t="inlineStr">
        <is>
          <t>KODEX 아시아달러채권ESG플러스액티브</t>
        </is>
      </c>
      <c r="B234" s="96" t="inlineStr">
        <is>
          <t>437070</t>
        </is>
      </c>
      <c r="C234" s="96" t="inlineStr">
        <is>
          <t>삼성자산운용(ETF)</t>
        </is>
      </c>
      <c r="D234" s="97" t="n">
        <v>56660</v>
      </c>
      <c r="E234" s="97" t="n">
        <v>19604360000</v>
      </c>
      <c r="F234" s="97" t="n">
        <v>56051192</v>
      </c>
      <c r="G234" s="98" t="n">
        <v>0.0018</v>
      </c>
      <c r="H234" s="98" t="n">
        <v>0.1034</v>
      </c>
      <c r="I234" s="98" t="n">
        <v>0.0044</v>
      </c>
      <c r="J234" s="98" t="n">
        <v>0.051783</v>
      </c>
      <c r="K234" s="97" t="n">
        <v>15</v>
      </c>
      <c r="L234" s="99" t="inlineStr">
        <is>
          <t>20260929</t>
        </is>
      </c>
      <c r="M234" s="96" t="inlineStr">
        <is>
          <t>제외</t>
        </is>
      </c>
      <c r="N234" s="96" t="inlineStr">
        <is>
          <t>순자산 196억(기준 300억 미만), 60일 거래대금 0.6억(기준 5억 미만)</t>
        </is>
      </c>
      <c r="O234" s="96" t="inlineStr">
        <is>
          <t>Bloomberg MSCI EM Asia Investment Grade Credit SRI Index TR</t>
        </is>
      </c>
      <c r="P234" s="96" t="inlineStr">
        <is>
          <t>일반</t>
        </is>
      </c>
      <c r="Q234" s="96" t="inlineStr">
        <is>
          <t>채권</t>
        </is>
      </c>
      <c r="R234" s="96" t="inlineStr">
        <is>
          <t>월배당</t>
        </is>
      </c>
      <c r="S234" s="97" t="n">
        <v>11</v>
      </c>
      <c r="T234" s="98" t="n">
        <v>1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IFERROR(INDEX($A$4:$A$593,MATCH(231,$X$4:$X$593,0)),"")</f>
        <v/>
      </c>
    </row>
    <row r="235">
      <c r="A235" s="96" t="inlineStr">
        <is>
          <t>PLUS 미국장기우량회사채</t>
        </is>
      </c>
      <c r="B235" s="96" t="inlineStr">
        <is>
          <t>332620</t>
        </is>
      </c>
      <c r="C235" s="96" t="inlineStr">
        <is>
          <t>한화자산운용</t>
        </is>
      </c>
      <c r="D235" s="97" t="n">
        <v>82640</v>
      </c>
      <c r="E235" s="97" t="n">
        <v>15453680000</v>
      </c>
      <c r="F235" s="97" t="n">
        <v>56976471</v>
      </c>
      <c r="G235" s="98" t="n">
        <v>0.00315</v>
      </c>
      <c r="H235" s="98" t="n">
        <v>0.1202</v>
      </c>
      <c r="I235" s="98" t="n">
        <v>0.0036</v>
      </c>
      <c r="J235" s="98" t="n">
        <v>0.049879</v>
      </c>
      <c r="K235" s="97" t="n">
        <v>19</v>
      </c>
      <c r="L235" s="99" t="inlineStr">
        <is>
          <t>20260929</t>
        </is>
      </c>
      <c r="M235" s="96" t="inlineStr">
        <is>
          <t>제외</t>
        </is>
      </c>
      <c r="N235" s="96" t="inlineStr">
        <is>
          <t>순자산 155억(기준 300억 미만), 60일 거래대금 0.6억(기준 5억 미만)</t>
        </is>
      </c>
      <c r="O235" s="96" t="inlineStr">
        <is>
          <t>ICE BOFAML 15+ YEAR AAA-A US CORPORATE INDEX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0.679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IFERROR(INDEX($A$4:$A$593,MATCH(232,$X$4:$X$593,0)),"")</f>
        <v/>
      </c>
    </row>
    <row r="236">
      <c r="A236" s="96" t="inlineStr">
        <is>
          <t>KODEX iShares미국투자등급회사채액티브</t>
        </is>
      </c>
      <c r="B236" s="96" t="inlineStr">
        <is>
          <t>468630</t>
        </is>
      </c>
      <c r="C236" s="96" t="inlineStr">
        <is>
          <t>삼성자산운용(ETF)</t>
        </is>
      </c>
      <c r="D236" s="97" t="n">
        <v>10270</v>
      </c>
      <c r="E236" s="97" t="n">
        <v>30912700000</v>
      </c>
      <c r="F236" s="97" t="n">
        <v>461782393</v>
      </c>
      <c r="G236" s="98" t="n">
        <v>0.001</v>
      </c>
      <c r="H236" s="98" t="n">
        <v>0.1095</v>
      </c>
      <c r="I236" s="98" t="n">
        <v>0.0039</v>
      </c>
      <c r="J236" s="98" t="n">
        <v>0.04888</v>
      </c>
      <c r="K236" s="97" t="n">
        <v>35</v>
      </c>
      <c r="L236" s="99" t="inlineStr">
        <is>
          <t>20260929</t>
        </is>
      </c>
      <c r="M236" s="96" t="inlineStr">
        <is>
          <t>제외</t>
        </is>
      </c>
      <c r="N236" s="96" t="inlineStr">
        <is>
          <t>60일 거래대금 4.6억(기준 5억 미만)</t>
        </is>
      </c>
      <c r="O236" s="96" t="inlineStr">
        <is>
          <t>iBoxx USD Liquid IG Index</t>
        </is>
      </c>
      <c r="P236" s="96" t="inlineStr">
        <is>
          <t>일반</t>
        </is>
      </c>
      <c r="Q236" s="96" t="inlineStr">
        <is>
          <t>채권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IFERROR(INDEX($A$4:$A$593,MATCH(233,$X$4:$X$593,0)),"")</f>
        <v/>
      </c>
    </row>
    <row r="237">
      <c r="A237" s="96" t="inlineStr">
        <is>
          <t>TIGER 코스피고배당</t>
        </is>
      </c>
      <c r="B237" s="96" t="inlineStr">
        <is>
          <t>210780</t>
        </is>
      </c>
      <c r="C237" s="96" t="inlineStr">
        <is>
          <t>미래에셋자산운용</t>
        </is>
      </c>
      <c r="D237" s="97" t="n">
        <v>22950</v>
      </c>
      <c r="E237" s="97" t="n">
        <v>75735000000</v>
      </c>
      <c r="F237" s="97" t="n">
        <v>416094550</v>
      </c>
      <c r="G237" s="98" t="n">
        <v>0.0029</v>
      </c>
      <c r="H237" s="98" t="n">
        <v>0.2862</v>
      </c>
      <c r="I237" s="98" t="n">
        <v>0.011</v>
      </c>
      <c r="J237" s="98" t="n">
        <v>0.04793</v>
      </c>
      <c r="K237" s="97" t="n">
        <v>17</v>
      </c>
      <c r="L237" s="99" t="inlineStr">
        <is>
          <t>20260730</t>
        </is>
      </c>
      <c r="M237" s="96" t="inlineStr">
        <is>
          <t>제외</t>
        </is>
      </c>
      <c r="N237" s="96" t="inlineStr">
        <is>
          <t>60일 거래대금 4.2억(기준 5억 미만)</t>
        </is>
      </c>
      <c r="O237" s="96" t="inlineStr">
        <is>
          <t>코스피 고배당 50</t>
        </is>
      </c>
      <c r="P237" s="96" t="inlineStr">
        <is>
          <t>일반</t>
        </is>
      </c>
      <c r="Q237" s="96" t="inlineStr">
        <is>
          <t>주식</t>
        </is>
      </c>
      <c r="R237" s="96" t="inlineStr">
        <is>
          <t>분기배당</t>
        </is>
      </c>
      <c r="S237" s="97" t="n">
        <v>3</v>
      </c>
      <c r="T237" s="98" t="n">
        <v>0.8955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IFERROR(INDEX($A$4:$A$593,MATCH(234,$X$4:$X$593,0)),"")</f>
        <v/>
      </c>
    </row>
    <row r="238">
      <c r="A238" s="96" t="inlineStr">
        <is>
          <t>KIWOOM 코리아고배당</t>
        </is>
      </c>
      <c r="B238" s="96" t="inlineStr">
        <is>
          <t>104530</t>
        </is>
      </c>
      <c r="C238" s="96" t="inlineStr">
        <is>
          <t>키움투자자산운용</t>
        </is>
      </c>
      <c r="D238" s="97" t="n">
        <v>17075</v>
      </c>
      <c r="E238" s="97" t="n">
        <v>35003750000</v>
      </c>
      <c r="F238" s="97" t="n">
        <v>185532062</v>
      </c>
      <c r="G238" s="98" t="n">
        <v>0.0019</v>
      </c>
      <c r="H238" s="98" t="n">
        <v>0.3074</v>
      </c>
      <c r="I238" s="98" t="n">
        <v>0.004500000000000001</v>
      </c>
      <c r="J238" s="98" t="n">
        <v>0.047731</v>
      </c>
      <c r="K238" s="97" t="n">
        <v>30</v>
      </c>
      <c r="L238" s="99" t="inlineStr">
        <is>
          <t>20260914</t>
        </is>
      </c>
      <c r="M238" s="96" t="inlineStr">
        <is>
          <t>제외</t>
        </is>
      </c>
      <c r="N238" s="96" t="inlineStr">
        <is>
          <t>60일 거래대금 1.9억(기준 5억 미만)</t>
        </is>
      </c>
      <c r="O238" s="96" t="inlineStr">
        <is>
          <t>FnGuide Wealth 고배당20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월배당</t>
        </is>
      </c>
      <c r="S238" s="97" t="n">
        <v>11</v>
      </c>
      <c r="T238" s="98" t="n">
        <v>0.8908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IFERROR(INDEX($A$4:$A$593,MATCH(235,$X$4:$X$593,0)),"")</f>
        <v/>
      </c>
    </row>
    <row r="239">
      <c r="A239" s="96" t="inlineStr">
        <is>
          <t>KODEX 금융고배당TOP10</t>
        </is>
      </c>
      <c r="B239" s="96" t="inlineStr">
        <is>
          <t>0089D0</t>
        </is>
      </c>
      <c r="C239" s="96" t="inlineStr">
        <is>
          <t>삼성자산운용(ETF)</t>
        </is>
      </c>
      <c r="D239" s="97" t="n">
        <v>12985</v>
      </c>
      <c r="E239" s="97" t="n">
        <v>220745000000</v>
      </c>
      <c r="F239" s="97" t="n">
        <v>3329657531</v>
      </c>
      <c r="G239" s="98" t="n">
        <v>0.003</v>
      </c>
      <c r="H239" s="98" t="n">
        <v>0.3462</v>
      </c>
      <c r="I239" s="98" t="n">
        <v>0.0044</v>
      </c>
      <c r="J239" s="98" t="n">
        <v>0.042896</v>
      </c>
      <c r="K239" s="97" t="n">
        <v>11</v>
      </c>
      <c r="L239" s="99" t="inlineStr">
        <is>
          <t>20260914</t>
        </is>
      </c>
      <c r="M239" s="96" t="inlineStr">
        <is>
          <t>제외</t>
        </is>
      </c>
      <c r="N239" s="96" t="inlineStr">
        <is>
          <t>분배율 대조 불일치(연분배율 계산 4.2896% vs ETFCHECK 4.1198%)</t>
        </is>
      </c>
      <c r="O239" s="96" t="inlineStr">
        <is>
          <t>코스피 200 금융 고배당 TOP 10 지수</t>
        </is>
      </c>
      <c r="P239" s="96" t="inlineStr">
        <is>
          <t>일반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 s="98" t="n">
        <v>0.7038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IFERROR(INDEX($A$4:$A$593,MATCH(236,$X$4:$X$593,0)),"")</f>
        <v/>
      </c>
    </row>
    <row r="240">
      <c r="A240" s="96" t="inlineStr">
        <is>
          <t>TIGER 글로벌멀티에셋TIF액티브</t>
        </is>
      </c>
      <c r="B240" s="96" t="inlineStr">
        <is>
          <t>440340</t>
        </is>
      </c>
      <c r="C240" s="96" t="inlineStr">
        <is>
          <t>미래에셋자산운용</t>
        </is>
      </c>
      <c r="D240" s="97" t="n">
        <v>11425</v>
      </c>
      <c r="E240" s="97" t="n">
        <v>25706250000</v>
      </c>
      <c r="F240" s="97" t="n">
        <v>142734549</v>
      </c>
      <c r="G240" s="98" t="n">
        <v>0.005500000000000001</v>
      </c>
      <c r="H240" s="98" t="n">
        <v>0.1066</v>
      </c>
      <c r="I240" s="98" t="n">
        <v>0.0036</v>
      </c>
      <c r="J240" s="98" t="n">
        <v>0.042538</v>
      </c>
      <c r="K240" s="97" t="n">
        <v>49</v>
      </c>
      <c r="L240" s="99" t="inlineStr">
        <is>
          <t>20260929</t>
        </is>
      </c>
      <c r="M240" s="96" t="inlineStr">
        <is>
          <t>제외</t>
        </is>
      </c>
      <c r="N240" s="96" t="inlineStr">
        <is>
          <t>순자산 257억(기준 300억 미만), 60일 거래대금 1.4억(기준 5억 미만)</t>
        </is>
      </c>
      <c r="O240" s="96" t="inlineStr">
        <is>
          <t>Indxx Multi Asset Income Index</t>
        </is>
      </c>
      <c r="P240" s="96" t="inlineStr">
        <is>
          <t>일반</t>
        </is>
      </c>
      <c r="Q240" s="96" t="inlineStr">
        <is>
          <t>멀티에셋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IFERROR(INDEX($A$4:$A$593,MATCH(237,$X$4:$X$593,0)),"")</f>
        <v/>
      </c>
    </row>
    <row r="241">
      <c r="A241" s="96" t="inlineStr">
        <is>
          <t>RISE 글로벌리얼티인컴</t>
        </is>
      </c>
      <c r="B241" s="96" t="inlineStr">
        <is>
          <t>475380</t>
        </is>
      </c>
      <c r="C241" s="96" t="inlineStr">
        <is>
          <t>KB자산운용</t>
        </is>
      </c>
      <c r="D241" s="97" t="n">
        <v>9575</v>
      </c>
      <c r="E241" s="97" t="n">
        <v>25373750000</v>
      </c>
      <c r="F241" s="97" t="n">
        <v>76647504</v>
      </c>
      <c r="G241" s="98" t="n">
        <v>0.0001</v>
      </c>
      <c r="H241" s="98" t="n">
        <v>0.142</v>
      </c>
      <c r="I241" s="98" t="n">
        <v>0.0033</v>
      </c>
      <c r="J241" s="98" t="n">
        <v>0.04167099999999999</v>
      </c>
      <c r="K241" s="97" t="n">
        <v>31</v>
      </c>
      <c r="L241" s="99" t="inlineStr">
        <is>
          <t>20260929</t>
        </is>
      </c>
      <c r="M241" s="96" t="inlineStr">
        <is>
          <t>제외</t>
        </is>
      </c>
      <c r="N241" s="96" t="inlineStr">
        <is>
          <t>순자산 254억(기준 300억 미만), 60일 거래대금 0.8억(기준 5억 미만)</t>
        </is>
      </c>
      <c r="O241" s="96" t="inlineStr">
        <is>
          <t>Solactive Global Realty Income Index PR</t>
        </is>
      </c>
      <c r="P241" s="96" t="inlineStr">
        <is>
          <t>일반</t>
        </is>
      </c>
      <c r="Q241" s="96" t="inlineStr">
        <is>
          <t>부동산</t>
        </is>
      </c>
      <c r="R241" s="96" t="inlineStr">
        <is>
          <t>월배당</t>
        </is>
      </c>
      <c r="S241" s="97" t="n">
        <v>11</v>
      </c>
      <c r="T241" s="98" t="n">
        <v>1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IFERROR(INDEX($A$4:$A$593,MATCH(238,$X$4:$X$593,0)),"")</f>
        <v/>
      </c>
    </row>
    <row r="242">
      <c r="A242" s="96" t="inlineStr">
        <is>
          <t>KIWOOM 한국고배당&amp;미국AI테크</t>
        </is>
      </c>
      <c r="B242" s="96" t="inlineStr">
        <is>
          <t>0097L0</t>
        </is>
      </c>
      <c r="C242" s="96" t="inlineStr">
        <is>
          <t>키움투자자산운용</t>
        </is>
      </c>
      <c r="D242" s="97" t="n">
        <v>12425</v>
      </c>
      <c r="E242" s="97" t="n">
        <v>24228750000</v>
      </c>
      <c r="F242" s="97" t="n">
        <v>110382222</v>
      </c>
      <c r="G242" s="98" t="n">
        <v>0.004500000000000001</v>
      </c>
      <c r="H242" s="98" t="n">
        <v>0.2604</v>
      </c>
      <c r="I242" s="98" t="n">
        <v>0.0044</v>
      </c>
      <c r="J242" s="98" t="n">
        <v>0.040241</v>
      </c>
      <c r="K242" s="97" t="n">
        <v>13</v>
      </c>
      <c r="L242" s="99" t="inlineStr">
        <is>
          <t>20260929</t>
        </is>
      </c>
      <c r="M242" s="96" t="inlineStr">
        <is>
          <t>제외</t>
        </is>
      </c>
      <c r="N242" s="96" t="inlineStr">
        <is>
          <t>순자산 242억(기준 300억 미만), 60일 거래대금 1.1억(기준 5억 미만)</t>
        </is>
      </c>
      <c r="O242" s="96" t="inlineStr">
        <is>
          <t>Akros 미국AI테크Top10&amp;한국고배당 3070 지수</t>
        </is>
      </c>
      <c r="P242" s="96" t="inlineStr">
        <is>
          <t>일반</t>
        </is>
      </c>
      <c r="Q242" s="96" t="inlineStr">
        <is>
          <t>주식</t>
        </is>
      </c>
      <c r="R242" s="96" t="inlineStr">
        <is>
          <t>월배당</t>
        </is>
      </c>
      <c r="S242" s="97" t="n">
        <v>11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IFERROR(INDEX($A$4:$A$593,MATCH(239,$X$4:$X$593,0)),"")</f>
        <v/>
      </c>
    </row>
    <row r="243">
      <c r="A243" s="96" t="inlineStr">
        <is>
          <t>TIGER 200커버드콜OTM</t>
        </is>
      </c>
      <c r="B243" s="96" t="inlineStr">
        <is>
          <t>166400</t>
        </is>
      </c>
      <c r="C243" s="96" t="inlineStr">
        <is>
          <t>미래에셋자산운용</t>
        </is>
      </c>
      <c r="D243" s="97" t="n">
        <v>25260</v>
      </c>
      <c r="E243" s="97" t="n">
        <v>12630000000</v>
      </c>
      <c r="F243" s="97" t="n">
        <v>46483412</v>
      </c>
      <c r="G243" s="98" t="n">
        <v>0.0038</v>
      </c>
      <c r="H243" s="98" t="n">
        <v>0.4263</v>
      </c>
      <c r="I243" s="98" t="n">
        <v>0.004099999999999999</v>
      </c>
      <c r="J243" s="98" t="n">
        <v>0.039192</v>
      </c>
      <c r="K243" s="97" t="n">
        <v>52</v>
      </c>
      <c r="L243" s="99" t="inlineStr">
        <is>
          <t>20260929</t>
        </is>
      </c>
      <c r="M243" s="96" t="inlineStr">
        <is>
          <t>제외</t>
        </is>
      </c>
      <c r="N243" s="96" t="inlineStr">
        <is>
          <t>순자산 126억(기준 300억 미만), 60일 거래대금 0.5억(기준 5억 미만), 변동성 42.6%(1년 기준, 기준 35% 초과)</t>
        </is>
      </c>
      <c r="O243" s="96" t="inlineStr">
        <is>
          <t>코스피 200 커버드콜 5% OTM</t>
        </is>
      </c>
      <c r="P243" s="96" t="inlineStr">
        <is>
          <t>커버드콜</t>
        </is>
      </c>
      <c r="Q243" s="96" t="inlineStr">
        <is>
          <t>주식</t>
        </is>
      </c>
      <c r="R243" s="96" t="inlineStr">
        <is>
          <t>월배당</t>
        </is>
      </c>
      <c r="S243" s="97" t="n">
        <v>11</v>
      </c>
      <c r="T243" s="98" t="n">
        <v>0.8768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IFERROR(INDEX($A$4:$A$593,MATCH(240,$X$4:$X$593,0)),"")</f>
        <v/>
      </c>
    </row>
    <row r="244">
      <c r="A244" s="96" t="inlineStr">
        <is>
          <t>ACE 미국10년국채액티브(H)</t>
        </is>
      </c>
      <c r="B244" s="96" t="inlineStr">
        <is>
          <t>0085N0</t>
        </is>
      </c>
      <c r="C244" s="96" t="inlineStr">
        <is>
          <t>한국투신운용(ETF)</t>
        </is>
      </c>
      <c r="D244" s="97" t="n">
        <v>9405</v>
      </c>
      <c r="E244" s="97" t="n">
        <v>35739000000</v>
      </c>
      <c r="F244" s="97" t="n">
        <v>286839357</v>
      </c>
      <c r="G244" s="98" t="n">
        <v>0.0015</v>
      </c>
      <c r="H244" s="98" t="n">
        <v>0.0441</v>
      </c>
      <c r="I244" s="98" t="n">
        <v>0.0032</v>
      </c>
      <c r="J244" s="98" t="n">
        <v>0.03891500000000001</v>
      </c>
      <c r="K244" s="97" t="n">
        <v>14</v>
      </c>
      <c r="L244" s="99" t="inlineStr">
        <is>
          <t>20260929</t>
        </is>
      </c>
      <c r="M244" s="96" t="inlineStr">
        <is>
          <t>제외</t>
        </is>
      </c>
      <c r="N244" s="96" t="inlineStr">
        <is>
          <t>60일 거래대금 2.9억(기준 5억 미만)</t>
        </is>
      </c>
      <c r="O244" s="96" t="inlineStr">
        <is>
          <t>ICE U.S.Treasury 7-10 Year Bond Index</t>
        </is>
      </c>
      <c r="P244" s="96" t="inlineStr">
        <is>
          <t>일반</t>
        </is>
      </c>
      <c r="Q244" s="96" t="inlineStr">
        <is>
          <t>채권</t>
        </is>
      </c>
      <c r="R244" s="96" t="inlineStr">
        <is>
          <t>월배당</t>
        </is>
      </c>
      <c r="S244" s="97" t="n">
        <v>11</v>
      </c>
      <c r="T244" s="98" t="n">
        <v>0.5847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IFERROR(INDEX($A$4:$A$593,MATCH(241,$X$4:$X$593,0)),"")</f>
        <v/>
      </c>
    </row>
    <row r="245">
      <c r="A245" s="96" t="inlineStr">
        <is>
          <t>PLUS 미국단기회사채(AAA~A)</t>
        </is>
      </c>
      <c r="B245" s="96" t="inlineStr">
        <is>
          <t>332610</t>
        </is>
      </c>
      <c r="C245" s="96" t="inlineStr">
        <is>
          <t>한화자산운용</t>
        </is>
      </c>
      <c r="D245" s="97" t="n">
        <v>122770</v>
      </c>
      <c r="E245" s="97" t="n">
        <v>11785920000</v>
      </c>
      <c r="F245" s="97" t="n">
        <v>3951666739</v>
      </c>
      <c r="G245" s="98" t="n">
        <v>0.00315</v>
      </c>
      <c r="H245" s="98" t="n">
        <v>0.104</v>
      </c>
      <c r="I245" s="98" t="n">
        <v>0.003</v>
      </c>
      <c r="J245" s="98" t="n">
        <v>0.038584</v>
      </c>
      <c r="K245" s="97" t="n">
        <v>19</v>
      </c>
      <c r="L245" s="99" t="inlineStr">
        <is>
          <t>20260929</t>
        </is>
      </c>
      <c r="M245" s="96" t="inlineStr">
        <is>
          <t>제외</t>
        </is>
      </c>
      <c r="N245" s="96" t="inlineStr">
        <is>
          <t>순자산 118억(기준 300억 미만)</t>
        </is>
      </c>
      <c r="O245" s="96" t="inlineStr">
        <is>
          <t>ICE BOFAML 1-3 YEAR AAA-A US CORPORATE INDEX</t>
        </is>
      </c>
      <c r="P245" s="96" t="inlineStr">
        <is>
          <t>일반</t>
        </is>
      </c>
      <c r="Q245" s="96" t="inlineStr">
        <is>
          <t>채권</t>
        </is>
      </c>
      <c r="R245" s="96" t="inlineStr">
        <is>
          <t>월배당</t>
        </is>
      </c>
      <c r="S245" s="97" t="n">
        <v>11</v>
      </c>
      <c r="T245" s="98" t="n">
        <v>1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IFERROR(INDEX($A$4:$A$593,MATCH(242,$X$4:$X$593,0)),"")</f>
        <v/>
      </c>
    </row>
    <row r="246">
      <c r="A246" s="96" t="inlineStr">
        <is>
          <t>SOL 금융지주플러스고배당</t>
        </is>
      </c>
      <c r="B246" s="96" t="inlineStr">
        <is>
          <t>484880</t>
        </is>
      </c>
      <c r="C246" s="96" t="inlineStr">
        <is>
          <t>신한자산운용</t>
        </is>
      </c>
      <c r="D246" s="97" t="n">
        <v>21880</v>
      </c>
      <c r="E246" s="97" t="n">
        <v>352268000000</v>
      </c>
      <c r="F246" s="97" t="n">
        <v>15701607652</v>
      </c>
      <c r="G246" s="98" t="n">
        <v>0.003</v>
      </c>
      <c r="H246" s="98" t="n">
        <v>0.3586</v>
      </c>
      <c r="I246" s="98" t="n">
        <v>0.0039</v>
      </c>
      <c r="J246" s="98" t="n">
        <v>0.037843</v>
      </c>
      <c r="K246" s="97" t="n">
        <v>27</v>
      </c>
      <c r="L246" s="99" t="inlineStr">
        <is>
          <t>20260929</t>
        </is>
      </c>
      <c r="M246" s="96" t="inlineStr">
        <is>
          <t>제외</t>
        </is>
      </c>
      <c r="N246" s="96" t="inlineStr">
        <is>
          <t>변동성 35.9%(1년 기준, 기준 35% 초과)</t>
        </is>
      </c>
      <c r="O246" s="96" t="inlineStr">
        <is>
          <t>FnGuide 금융지주플러스고배당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월배당</t>
        </is>
      </c>
      <c r="S246" s="97" t="n">
        <v>11</v>
      </c>
      <c r="T246" s="98" t="n">
        <v>0.7089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IFERROR(INDEX($A$4:$A$593,MATCH(243,$X$4:$X$593,0)),"")</f>
        <v/>
      </c>
    </row>
    <row r="247">
      <c r="A247" s="96" t="inlineStr">
        <is>
          <t>TIGER 증권</t>
        </is>
      </c>
      <c r="B247" s="96" t="inlineStr">
        <is>
          <t>157500</t>
        </is>
      </c>
      <c r="C247" s="96" t="inlineStr">
        <is>
          <t>미래에셋자산운용</t>
        </is>
      </c>
      <c r="D247" s="97" t="n">
        <v>11950</v>
      </c>
      <c r="E247" s="97" t="n">
        <v>211754000000</v>
      </c>
      <c r="F247" s="97" t="n">
        <v>10555649704</v>
      </c>
      <c r="G247" s="98" t="n">
        <v>0.004</v>
      </c>
      <c r="H247" s="98" t="n">
        <v>0.6347</v>
      </c>
      <c r="I247" s="98" t="n">
        <v>0.0364</v>
      </c>
      <c r="J247" s="98" t="n">
        <v>0.037071</v>
      </c>
      <c r="K247" s="97" t="n">
        <v>7</v>
      </c>
      <c r="L247" s="99" t="inlineStr">
        <is>
          <t>20260730</t>
        </is>
      </c>
      <c r="M247" s="96" t="inlineStr">
        <is>
          <t>제외</t>
        </is>
      </c>
      <c r="N247" s="96" t="inlineStr">
        <is>
          <t>변동성 63.5%(1년 기준, 기준 35% 초과)</t>
        </is>
      </c>
      <c r="O247" s="96" t="inlineStr">
        <is>
          <t>FnGuide 증권</t>
        </is>
      </c>
      <c r="P247" s="96" t="inlineStr">
        <is>
          <t>일반</t>
        </is>
      </c>
      <c r="Q247" s="96" t="inlineStr">
        <is>
          <t>주식</t>
        </is>
      </c>
      <c r="R247" s="96" t="inlineStr">
        <is>
          <t>연배당</t>
        </is>
      </c>
      <c r="S247" s="97" t="n">
        <v>1</v>
      </c>
      <c r="T247" s="98" t="n">
        <v>0.8262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IFERROR(INDEX($A$4:$A$593,MATCH(244,$X$4:$X$593,0)),"")</f>
        <v/>
      </c>
    </row>
    <row r="248">
      <c r="A248" s="96" t="inlineStr">
        <is>
          <t>KIWOOM 미국고배당&amp;AI테크</t>
        </is>
      </c>
      <c r="B248" s="96" t="inlineStr">
        <is>
          <t>0107F0</t>
        </is>
      </c>
      <c r="C248" s="96" t="inlineStr">
        <is>
          <t>키움투자자산운용</t>
        </is>
      </c>
      <c r="D248" s="97" t="n">
        <v>10795</v>
      </c>
      <c r="E248" s="97" t="n">
        <v>26987500000</v>
      </c>
      <c r="F248" s="97" t="n">
        <v>151890875</v>
      </c>
      <c r="G248" s="98" t="n">
        <v>0.004500000000000001</v>
      </c>
      <c r="H248" s="98" t="n">
        <v>0.1483</v>
      </c>
      <c r="I248" s="98" t="n">
        <v>0.0031</v>
      </c>
      <c r="J248" s="98" t="n">
        <v>0.036498</v>
      </c>
      <c r="K248" s="97" t="n">
        <v>12</v>
      </c>
      <c r="L248" s="99" t="inlineStr">
        <is>
          <t>20260929</t>
        </is>
      </c>
      <c r="M248" s="96" t="inlineStr">
        <is>
          <t>제외</t>
        </is>
      </c>
      <c r="N248" s="96" t="inlineStr">
        <is>
          <t>순자산 270억(기준 300억 미만), 60일 거래대금 1.5억(기준 5억 미만)</t>
        </is>
      </c>
      <c r="O248" s="96" t="inlineStr">
        <is>
          <t>Akros U.S. AI Tech Top10 &amp; High Dividend 3070 Index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1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IFERROR(INDEX($A$4:$A$593,MATCH(245,$X$4:$X$593,0)),"")</f>
        <v/>
      </c>
    </row>
    <row r="249">
      <c r="A249" s="96" t="inlineStr">
        <is>
          <t>RISE 코리아금융고배당</t>
        </is>
      </c>
      <c r="B249" s="96" t="inlineStr">
        <is>
          <t>498860</t>
        </is>
      </c>
      <c r="C249" s="96" t="inlineStr">
        <is>
          <t>KB자산운용</t>
        </is>
      </c>
      <c r="D249" s="97" t="n">
        <v>16280</v>
      </c>
      <c r="E249" s="97" t="n">
        <v>32560000000</v>
      </c>
      <c r="F249" s="97" t="n">
        <v>427044122</v>
      </c>
      <c r="G249" s="98" t="n">
        <v>0.001</v>
      </c>
      <c r="H249" s="98" t="n">
        <v>0.4189</v>
      </c>
      <c r="I249" s="98" t="n">
        <v>0.0024</v>
      </c>
      <c r="J249" s="98" t="n">
        <v>0.036486</v>
      </c>
      <c r="K249" s="97" t="n">
        <v>21</v>
      </c>
      <c r="L249" s="99" t="inlineStr">
        <is>
          <t>20260914</t>
        </is>
      </c>
      <c r="M249" s="96" t="inlineStr">
        <is>
          <t>제외</t>
        </is>
      </c>
      <c r="N249" s="96" t="inlineStr">
        <is>
          <t>60일 거래대금 4.3억(기준 5억 미만), 변동성 41.9%(1년 기준, 기준 35% 초과)</t>
        </is>
      </c>
      <c r="O249" s="96" t="inlineStr">
        <is>
          <t>iSelect 코리아 금융 고배당 지수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 s="98" t="n">
        <v>0.9764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IFERROR(INDEX($A$4:$A$593,MATCH(246,$X$4:$X$593,0)),"")</f>
        <v/>
      </c>
    </row>
    <row r="250">
      <c r="A250" s="96" t="inlineStr">
        <is>
          <t>파워 종합채권(AA-이상)액티브</t>
        </is>
      </c>
      <c r="B250" s="96" t="inlineStr">
        <is>
          <t>498180</t>
        </is>
      </c>
      <c r="C250" s="96" t="inlineStr">
        <is>
          <t>교보자산운용</t>
        </is>
      </c>
      <c r="D250" s="97" t="n">
        <v>93500</v>
      </c>
      <c r="E250" s="97" t="n">
        <v>140919570000</v>
      </c>
      <c r="F250" s="97" t="n">
        <v>469437</v>
      </c>
      <c r="G250" s="98" t="n">
        <v>0.00036</v>
      </c>
      <c r="H250" s="98" t="n">
        <v>0.0527</v>
      </c>
      <c r="I250" s="98" t="n">
        <v>0.0332</v>
      </c>
      <c r="J250" s="98" t="n">
        <v>0.035872</v>
      </c>
      <c r="K250" s="97" t="n">
        <v>1</v>
      </c>
      <c r="L250" s="99" t="inlineStr">
        <is>
          <t>20251127</t>
        </is>
      </c>
      <c r="M250" s="96" t="inlineStr">
        <is>
          <t>제외</t>
        </is>
      </c>
      <c r="N250" s="96" t="inlineStr">
        <is>
          <t>60일 거래대금 0.0억(기준 5억 미만)</t>
        </is>
      </c>
      <c r="O250" s="96" t="inlineStr">
        <is>
          <t>KIS 한국종합채권지수(AA-이상, 총수익)</t>
        </is>
      </c>
      <c r="P250" s="96" t="inlineStr">
        <is>
          <t>일반</t>
        </is>
      </c>
      <c r="Q250" s="96" t="inlineStr">
        <is>
          <t>채권</t>
        </is>
      </c>
      <c r="R250" s="96" t="inlineStr">
        <is>
          <t>연배당</t>
        </is>
      </c>
      <c r="S250" s="97" t="n">
        <v>1</v>
      </c>
      <c r="T250" s="98" t="n">
        <v>0.2752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IFERROR(INDEX($A$4:$A$593,MATCH(247,$X$4:$X$593,0)),"")</f>
        <v/>
      </c>
    </row>
    <row r="251">
      <c r="A251" s="96" t="inlineStr">
        <is>
          <t>ACE 주주환원가치주액티브</t>
        </is>
      </c>
      <c r="B251" s="96" t="inlineStr">
        <is>
          <t>447430</t>
        </is>
      </c>
      <c r="C251" s="96" t="inlineStr">
        <is>
          <t>한국투신운용(ETF)</t>
        </is>
      </c>
      <c r="D251" s="97" t="n">
        <v>16455</v>
      </c>
      <c r="E251" s="97" t="n">
        <v>46896750000</v>
      </c>
      <c r="F251" s="97" t="n">
        <v>296335725</v>
      </c>
      <c r="G251" s="98" t="n">
        <v>0.006999999999999999</v>
      </c>
      <c r="H251" s="98" t="n">
        <v>0.2396</v>
      </c>
      <c r="I251" s="98" t="n">
        <v>0.0019</v>
      </c>
      <c r="J251" s="98" t="n">
        <v>0.035795</v>
      </c>
      <c r="K251" s="97" t="n">
        <v>8</v>
      </c>
      <c r="L251" s="99" t="inlineStr">
        <is>
          <t>20260730</t>
        </is>
      </c>
      <c r="M251" s="96" t="inlineStr">
        <is>
          <t>제외</t>
        </is>
      </c>
      <c r="N251" s="96" t="inlineStr">
        <is>
          <t>60일 거래대금 3.0억(기준 5억 미만)</t>
        </is>
      </c>
      <c r="O251" s="96" t="inlineStr">
        <is>
          <t>FnGuide 올라운드 가치주 지수</t>
        </is>
      </c>
      <c r="P251" s="96" t="inlineStr">
        <is>
          <t>일반</t>
        </is>
      </c>
      <c r="Q251" s="96" t="inlineStr">
        <is>
          <t>주식</t>
        </is>
      </c>
      <c r="R251" s="96" t="inlineStr">
        <is>
          <t>분기배당</t>
        </is>
      </c>
      <c r="S251" s="97" t="n">
        <v>3</v>
      </c>
      <c r="T251" s="98" t="n">
        <v>0.6401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IFERROR(INDEX($A$4:$A$593,MATCH(248,$X$4:$X$593,0)),"")</f>
        <v/>
      </c>
    </row>
    <row r="252">
      <c r="A252" s="96" t="inlineStr">
        <is>
          <t>KODEX 미국부동산리츠(H)</t>
        </is>
      </c>
      <c r="B252" s="96" t="inlineStr">
        <is>
          <t>352560</t>
        </is>
      </c>
      <c r="C252" s="96" t="inlineStr">
        <is>
          <t>삼성자산운용(ETF)</t>
        </is>
      </c>
      <c r="D252" s="97" t="n">
        <v>11510</v>
      </c>
      <c r="E252" s="97" t="n">
        <v>28199500000</v>
      </c>
      <c r="F252" s="97" t="n">
        <v>428359085</v>
      </c>
      <c r="G252" s="98" t="n">
        <v>0.0009</v>
      </c>
      <c r="H252" s="98" t="n">
        <v>0.1371</v>
      </c>
      <c r="I252" s="98" t="n">
        <v>0.0034</v>
      </c>
      <c r="J252" s="98" t="n">
        <v>0.035708</v>
      </c>
      <c r="K252" s="97" t="n">
        <v>48</v>
      </c>
      <c r="L252" s="99" t="inlineStr">
        <is>
          <t>20260929</t>
        </is>
      </c>
      <c r="M252" s="96" t="inlineStr">
        <is>
          <t>제외</t>
        </is>
      </c>
      <c r="N252" s="96" t="inlineStr">
        <is>
          <t>순자산 282억(기준 300억 미만), 60일 거래대금 4.3억(기준 5억 미만)</t>
        </is>
      </c>
      <c r="O252" s="96" t="inlineStr">
        <is>
          <t>Dow Jones U.S. Real Estate Index</t>
        </is>
      </c>
      <c r="P252" s="96" t="inlineStr">
        <is>
          <t>일반</t>
        </is>
      </c>
      <c r="Q252" s="96" t="inlineStr">
        <is>
          <t>부동산</t>
        </is>
      </c>
      <c r="R252" s="96" t="inlineStr">
        <is>
          <t>월배당</t>
        </is>
      </c>
      <c r="S252" s="97" t="n">
        <v>10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IFERROR(INDEX($A$4:$A$593,MATCH(249,$X$4:$X$593,0)),"")</f>
        <v/>
      </c>
    </row>
    <row r="253">
      <c r="A253" s="96" t="inlineStr">
        <is>
          <t>ACE 미국부동산리츠(합성 H)</t>
        </is>
      </c>
      <c r="B253" s="96" t="inlineStr">
        <is>
          <t>181480</t>
        </is>
      </c>
      <c r="C253" s="96" t="inlineStr">
        <is>
          <t>한국투신운용(ETF)</t>
        </is>
      </c>
      <c r="D253" s="97" t="n">
        <v>79215</v>
      </c>
      <c r="E253" s="97" t="n">
        <v>9505800000</v>
      </c>
      <c r="F253" s="97" t="n">
        <v>85507078</v>
      </c>
      <c r="G253" s="98" t="n">
        <v>0.003</v>
      </c>
      <c r="H253" s="98" t="n">
        <v>0.1411</v>
      </c>
      <c r="I253" s="98" t="n">
        <v>0.0026</v>
      </c>
      <c r="J253" s="98" t="n">
        <v>0.035397</v>
      </c>
      <c r="K253" s="97" t="n">
        <v>26</v>
      </c>
      <c r="L253" s="99" t="inlineStr">
        <is>
          <t>20260929</t>
        </is>
      </c>
      <c r="M253" s="96" t="inlineStr">
        <is>
          <t>제외</t>
        </is>
      </c>
      <c r="N253" s="96" t="inlineStr">
        <is>
          <t>순자산 95억(기준 300억 미만), 60일 거래대금 0.9억(기준 5억 미만)</t>
        </is>
      </c>
      <c r="O253" s="96" t="inlineStr">
        <is>
          <t>DowJones US Real Estate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IFERROR(INDEX($A$4:$A$593,MATCH(250,$X$4:$X$593,0)),"")</f>
        <v/>
      </c>
    </row>
    <row r="254">
      <c r="A254" s="96" t="inlineStr">
        <is>
          <t>1Q 미국배당TOP30</t>
        </is>
      </c>
      <c r="B254" s="96" t="inlineStr">
        <is>
          <t>0004G0</t>
        </is>
      </c>
      <c r="C254" s="96" t="inlineStr">
        <is>
          <t>하나자산운용</t>
        </is>
      </c>
      <c r="D254" s="97" t="n">
        <v>8455</v>
      </c>
      <c r="E254" s="97" t="n">
        <v>12682500000</v>
      </c>
      <c r="F254" s="97" t="n">
        <v>90807438</v>
      </c>
      <c r="G254" s="98" t="n">
        <v>0.001</v>
      </c>
      <c r="H254" s="98" t="n">
        <v>0.1575</v>
      </c>
      <c r="I254" s="98" t="n">
        <v>0.0016</v>
      </c>
      <c r="J254" s="98" t="n">
        <v>0.035009</v>
      </c>
      <c r="K254" s="97" t="n">
        <v>19</v>
      </c>
      <c r="L254" s="99" t="inlineStr">
        <is>
          <t>20260929</t>
        </is>
      </c>
      <c r="M254" s="96" t="inlineStr">
        <is>
          <t>제외</t>
        </is>
      </c>
      <c r="N254" s="96" t="inlineStr">
        <is>
          <t>순자산 127억(기준 300억 미만), 60일 거래대금 0.9억(기준 5억 미만)</t>
        </is>
      </c>
      <c r="O254" s="96" t="inlineStr">
        <is>
          <t>Solactive U.S. Dividend 30 Index PR</t>
        </is>
      </c>
      <c r="P254" s="96" t="inlineStr">
        <is>
          <t>일반</t>
        </is>
      </c>
      <c r="Q254" s="96" t="inlineStr">
        <is>
          <t>주식</t>
        </is>
      </c>
      <c r="R254" s="96" t="inlineStr">
        <is>
          <t>월배당</t>
        </is>
      </c>
      <c r="S254" s="97" t="n">
        <v>11</v>
      </c>
      <c r="T254" s="98" t="n">
        <v>0.0878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IFERROR(INDEX($A$4:$A$593,MATCH(251,$X$4:$X$593,0)),"")</f>
        <v/>
      </c>
    </row>
    <row r="255">
      <c r="A255" s="96" t="inlineStr">
        <is>
          <t>TIGER 미국MSCI리츠(합성 H)</t>
        </is>
      </c>
      <c r="B255" s="96" t="inlineStr">
        <is>
          <t>182480</t>
        </is>
      </c>
      <c r="C255" s="96" t="inlineStr">
        <is>
          <t>미래에셋자산운용</t>
        </is>
      </c>
      <c r="D255" s="97" t="n">
        <v>12765</v>
      </c>
      <c r="E255" s="97" t="n">
        <v>112332000000</v>
      </c>
      <c r="F255" s="97" t="n">
        <v>250129113</v>
      </c>
      <c r="G255" s="98" t="n">
        <v>0.0024</v>
      </c>
      <c r="H255" s="98" t="n">
        <v>0.1396</v>
      </c>
      <c r="I255" s="98" t="n">
        <v>0.0035</v>
      </c>
      <c r="J255" s="98" t="n">
        <v>0.034704</v>
      </c>
      <c r="K255" s="97" t="n">
        <v>54</v>
      </c>
      <c r="L255" s="99" t="inlineStr">
        <is>
          <t>20260929</t>
        </is>
      </c>
      <c r="M255" s="96" t="inlineStr">
        <is>
          <t>제외</t>
        </is>
      </c>
      <c r="N255" s="96" t="inlineStr">
        <is>
          <t>60일 거래대금 2.5억(기준 5억 미만)</t>
        </is>
      </c>
      <c r="O255" s="96" t="inlineStr">
        <is>
          <t>MSCI US REIT Index</t>
        </is>
      </c>
      <c r="P255" s="96" t="inlineStr">
        <is>
          <t>일반</t>
        </is>
      </c>
      <c r="Q255" s="96" t="inlineStr">
        <is>
          <t>부동산</t>
        </is>
      </c>
      <c r="R255" s="96" t="inlineStr">
        <is>
          <t>월배당</t>
        </is>
      </c>
      <c r="S255" s="97" t="n">
        <v>11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IFERROR(INDEX($A$4:$A$593,MATCH(252,$X$4:$X$593,0)),"")</f>
        <v/>
      </c>
    </row>
    <row r="256">
      <c r="A256" s="96" t="inlineStr">
        <is>
          <t>TIGER 리츠부동산인프라10채권혼합액티브</t>
        </is>
      </c>
      <c r="B256" s="96" t="inlineStr">
        <is>
          <t>0086C0</t>
        </is>
      </c>
      <c r="C256" s="96" t="inlineStr">
        <is>
          <t>미래에셋자산운용</t>
        </is>
      </c>
      <c r="D256" s="97" t="n">
        <v>9810</v>
      </c>
      <c r="E256" s="97" t="n">
        <v>17167500000</v>
      </c>
      <c r="F256" s="97" t="n">
        <v>93079295</v>
      </c>
      <c r="G256" s="98" t="n">
        <v>0.0015</v>
      </c>
      <c r="H256" s="98" t="n">
        <v>0.0764</v>
      </c>
      <c r="I256" s="98" t="n">
        <v>0.0029</v>
      </c>
      <c r="J256" s="98" t="n">
        <v>0.034251</v>
      </c>
      <c r="K256" s="97" t="n">
        <v>13</v>
      </c>
      <c r="L256" s="99" t="inlineStr">
        <is>
          <t>20260914</t>
        </is>
      </c>
      <c r="M256" s="96" t="inlineStr">
        <is>
          <t>제외</t>
        </is>
      </c>
      <c r="N256" s="96" t="inlineStr">
        <is>
          <t>순자산 172억(기준 300억 미만), 60일 거래대금 0.9억(기준 5억 미만)</t>
        </is>
      </c>
      <c r="O256" s="96" t="inlineStr">
        <is>
          <t>KEDI 리츠부동산인프라TOP10 채권혼합 지수</t>
        </is>
      </c>
      <c r="P256" s="96" t="inlineStr">
        <is>
          <t>일반</t>
        </is>
      </c>
      <c r="Q256" s="96" t="inlineStr">
        <is>
          <t>멀티에셋</t>
        </is>
      </c>
      <c r="R256" s="96" t="inlineStr">
        <is>
          <t>월배당</t>
        </is>
      </c>
      <c r="S256" s="97" t="n">
        <v>11</v>
      </c>
      <c r="T256" s="98" t="n">
        <v>0.9048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IFERROR(INDEX($A$4:$A$593,MATCH(253,$X$4:$X$593,0)),"")</f>
        <v/>
      </c>
    </row>
    <row r="257">
      <c r="A257" s="96" t="inlineStr">
        <is>
          <t>SOL 국고채10년</t>
        </is>
      </c>
      <c r="B257" s="96" t="inlineStr">
        <is>
          <t>438570</t>
        </is>
      </c>
      <c r="C257" s="96" t="inlineStr">
        <is>
          <t>신한자산운용</t>
        </is>
      </c>
      <c r="D257" s="97" t="n">
        <v>97835</v>
      </c>
      <c r="E257" s="97" t="n">
        <v>120532720000</v>
      </c>
      <c r="F257" s="97" t="n">
        <v>50791272</v>
      </c>
      <c r="G257" s="98" t="n">
        <v>0.0005</v>
      </c>
      <c r="H257" s="98" t="n">
        <v>0.0716</v>
      </c>
      <c r="I257" s="98" t="n">
        <v>0.031</v>
      </c>
      <c r="J257" s="98" t="n">
        <v>0.033526</v>
      </c>
      <c r="K257" s="97" t="n">
        <v>3</v>
      </c>
      <c r="L257" s="99" t="inlineStr">
        <is>
          <t>20251229</t>
        </is>
      </c>
      <c r="M257" s="96" t="inlineStr">
        <is>
          <t>제외</t>
        </is>
      </c>
      <c r="N257" s="96" t="inlineStr">
        <is>
          <t>60일 거래대금 0.5억(기준 5억 미만)</t>
        </is>
      </c>
      <c r="O257" s="96" t="inlineStr">
        <is>
          <t>KAP 국고채10년지수(총수익)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연배당</t>
        </is>
      </c>
      <c r="S257" s="97" t="n">
        <v>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IFERROR(INDEX($A$4:$A$593,MATCH(254,$X$4:$X$593,0)),"")</f>
        <v/>
      </c>
    </row>
    <row r="258">
      <c r="A258" s="96" t="inlineStr">
        <is>
          <t>HANARO 종합채권(AA-이상)액티브</t>
        </is>
      </c>
      <c r="B258" s="96" t="inlineStr">
        <is>
          <t>461500</t>
        </is>
      </c>
      <c r="C258" s="96" t="inlineStr">
        <is>
          <t>NH-Amundi자산운용</t>
        </is>
      </c>
      <c r="D258" s="97" t="n">
        <v>105220</v>
      </c>
      <c r="E258" s="97" t="n">
        <v>126895320000</v>
      </c>
      <c r="F258" s="97" t="n">
        <v>131630649</v>
      </c>
      <c r="G258" s="98" t="n">
        <v>0.0002</v>
      </c>
      <c r="H258" s="98" t="n">
        <v>0.0526</v>
      </c>
      <c r="I258" s="98" t="n">
        <v>0.0305</v>
      </c>
      <c r="J258" s="98" t="n">
        <v>0.033264</v>
      </c>
      <c r="K258" s="97" t="n">
        <v>1</v>
      </c>
      <c r="L258" s="99" t="inlineStr">
        <is>
          <t>20251030</t>
        </is>
      </c>
      <c r="M258" s="96" t="inlineStr">
        <is>
          <t>제외</t>
        </is>
      </c>
      <c r="N258" s="96" t="inlineStr">
        <is>
          <t>60일 거래대금 1.3억(기준 5억 미만), 최근 12개월 분배 없음</t>
        </is>
      </c>
      <c r="O258" s="96" t="inlineStr">
        <is>
          <t>KAP 종합채권 총수익 지수(AA-이상)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무분배</t>
        </is>
      </c>
      <c r="S258" s="97" t="n">
        <v>0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IFERROR(INDEX($A$4:$A$593,MATCH(255,$X$4:$X$593,0)),"")</f>
        <v/>
      </c>
    </row>
    <row r="259">
      <c r="A259" s="96" t="inlineStr">
        <is>
          <t>KIWOOM 국고채30년액티브</t>
        </is>
      </c>
      <c r="B259" s="96" t="inlineStr">
        <is>
          <t>471460</t>
        </is>
      </c>
      <c r="C259" s="96" t="inlineStr">
        <is>
          <t>키움투자자산운용</t>
        </is>
      </c>
      <c r="D259" s="97" t="n">
        <v>45605</v>
      </c>
      <c r="E259" s="97" t="n">
        <v>20978300000</v>
      </c>
      <c r="F259" s="97" t="n">
        <v>80603642</v>
      </c>
      <c r="G259" s="98" t="n">
        <v>0.0003500000000000001</v>
      </c>
      <c r="H259" s="98" t="n">
        <v>0.1405</v>
      </c>
      <c r="I259" s="98" t="n">
        <v>0.0036</v>
      </c>
      <c r="J259" s="98" t="n">
        <v>0.032233</v>
      </c>
      <c r="K259" s="97" t="n">
        <v>26</v>
      </c>
      <c r="L259" s="99" t="inlineStr">
        <is>
          <t>20260929</t>
        </is>
      </c>
      <c r="M259" s="96" t="inlineStr">
        <is>
          <t>제외</t>
        </is>
      </c>
      <c r="N259" s="96" t="inlineStr">
        <is>
          <t>순자산 210억(기준 300억 미만), 60일 거래대금 0.8억(기준 5억 미만)</t>
        </is>
      </c>
      <c r="O259" s="96" t="inlineStr">
        <is>
          <t>KIS-키움 국고채30년 지수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월배당</t>
        </is>
      </c>
      <c r="S259" s="97" t="n">
        <v>11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IFERROR(INDEX($A$4:$A$593,MATCH(256,$X$4:$X$593,0)),"")</f>
        <v/>
      </c>
    </row>
    <row r="260">
      <c r="A260" s="96" t="inlineStr">
        <is>
          <t>HANARO K고배당</t>
        </is>
      </c>
      <c r="B260" s="96" t="inlineStr">
        <is>
          <t>322410</t>
        </is>
      </c>
      <c r="C260" s="96" t="inlineStr">
        <is>
          <t>NH-Amundi자산운용</t>
        </is>
      </c>
      <c r="D260" s="97" t="n">
        <v>22070</v>
      </c>
      <c r="E260" s="97" t="n">
        <v>38622500000</v>
      </c>
      <c r="F260" s="97" t="n">
        <v>163870340</v>
      </c>
      <c r="G260" s="98" t="n">
        <v>0.0007000000000000001</v>
      </c>
      <c r="H260" s="98" t="n">
        <v>0.2831</v>
      </c>
      <c r="I260" s="98" t="n">
        <v>0.003</v>
      </c>
      <c r="J260" s="98" t="n">
        <v>0.031717</v>
      </c>
      <c r="K260" s="97" t="n">
        <v>28</v>
      </c>
      <c r="L260" s="99" t="inlineStr">
        <is>
          <t>20260929</t>
        </is>
      </c>
      <c r="M260" s="96" t="inlineStr">
        <is>
          <t>제외</t>
        </is>
      </c>
      <c r="N260" s="96" t="inlineStr">
        <is>
          <t>60일 거래대금 1.6억(기준 5억 미만)</t>
        </is>
      </c>
      <c r="O260" s="96" t="inlineStr">
        <is>
          <t>FnGuide K고배당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IFERROR(INDEX($A$4:$A$593,MATCH(257,$X$4:$X$593,0)),"")</f>
        <v/>
      </c>
    </row>
    <row r="261">
      <c r="A261" s="96" t="inlineStr">
        <is>
          <t>RISE 미국S&amp;P배당킹</t>
        </is>
      </c>
      <c r="B261" s="96" t="inlineStr">
        <is>
          <t>460660</t>
        </is>
      </c>
      <c r="C261" s="96" t="inlineStr">
        <is>
          <t>KB자산운용</t>
        </is>
      </c>
      <c r="D261" s="97" t="n">
        <v>11070</v>
      </c>
      <c r="E261" s="97" t="n">
        <v>16605000000</v>
      </c>
      <c r="F261" s="97" t="n">
        <v>94888093</v>
      </c>
      <c r="G261" s="98" t="n">
        <v>0.0001</v>
      </c>
      <c r="H261" s="98" t="n">
        <v>0.1559</v>
      </c>
      <c r="I261" s="98" t="n">
        <v>0.0025</v>
      </c>
      <c r="J261" s="98" t="n">
        <v>0.031346</v>
      </c>
      <c r="K261" s="97" t="n">
        <v>39</v>
      </c>
      <c r="L261" s="99" t="inlineStr">
        <is>
          <t>20260929</t>
        </is>
      </c>
      <c r="M261" s="96" t="inlineStr">
        <is>
          <t>제외</t>
        </is>
      </c>
      <c r="N261" s="96" t="inlineStr">
        <is>
          <t>순자산 166억(기준 300억 미만), 60일 거래대금 0.9억(기준 5억 미만)</t>
        </is>
      </c>
      <c r="O261" s="96" t="inlineStr">
        <is>
          <t>S&amp;P Dividend Monarchs Index (USD)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IFERROR(INDEX($A$4:$A$593,MATCH(258,$X$4:$X$593,0)),"")</f>
        <v/>
      </c>
    </row>
    <row r="262">
      <c r="A262" s="96" t="inlineStr">
        <is>
          <t>SOL 미국배당다우존스2호</t>
        </is>
      </c>
      <c r="B262" s="96" t="inlineStr">
        <is>
          <t>493420</t>
        </is>
      </c>
      <c r="C262" s="96" t="inlineStr">
        <is>
          <t>신한자산운용</t>
        </is>
      </c>
      <c r="D262" s="97" t="n">
        <v>11945</v>
      </c>
      <c r="E262" s="97" t="n">
        <v>25084500000</v>
      </c>
      <c r="F262" s="97" t="n">
        <v>137387345</v>
      </c>
      <c r="G262" s="98" t="n">
        <v>0.0001</v>
      </c>
      <c r="H262" s="98" t="n">
        <v>0.1407</v>
      </c>
      <c r="I262" s="98" t="n">
        <v>0.0037</v>
      </c>
      <c r="J262" s="98" t="n">
        <v>0.031143</v>
      </c>
      <c r="K262" s="97" t="n">
        <v>16</v>
      </c>
      <c r="L262" s="99" t="inlineStr">
        <is>
          <t>20260914</t>
        </is>
      </c>
      <c r="M262" s="96" t="inlineStr">
        <is>
          <t>제외</t>
        </is>
      </c>
      <c r="N262" s="96" t="inlineStr">
        <is>
          <t>순자산 251억(기준 300억 미만), 60일 거래대금 1.4억(기준 5억 미만)</t>
        </is>
      </c>
      <c r="O262" s="96" t="inlineStr">
        <is>
          <t>Dow Jones U.S. Dividend 100 Total Return Index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11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IFERROR(INDEX($A$4:$A$593,MATCH(259,$X$4:$X$593,0)),"")</f>
        <v/>
      </c>
    </row>
    <row r="263">
      <c r="A263" s="96" t="inlineStr">
        <is>
          <t>RISE 금융채액티브</t>
        </is>
      </c>
      <c r="B263" s="96" t="inlineStr">
        <is>
          <t>336160</t>
        </is>
      </c>
      <c r="C263" s="96" t="inlineStr">
        <is>
          <t>KB자산운용</t>
        </is>
      </c>
      <c r="D263" s="97" t="n">
        <v>99830</v>
      </c>
      <c r="E263" s="97" t="n">
        <v>50813470000</v>
      </c>
      <c r="F263" s="97" t="n">
        <v>27899522</v>
      </c>
      <c r="G263" s="98" t="n">
        <v>0.0007000000000000001</v>
      </c>
      <c r="H263" s="98" t="n">
        <v>0.0203</v>
      </c>
      <c r="I263" s="98" t="n">
        <v>0.0027</v>
      </c>
      <c r="J263" s="98" t="n">
        <v>0.031093</v>
      </c>
      <c r="K263" s="97" t="n">
        <v>45</v>
      </c>
      <c r="L263" s="99" t="inlineStr">
        <is>
          <t>20260929</t>
        </is>
      </c>
      <c r="M263" s="96" t="inlineStr">
        <is>
          <t>제외</t>
        </is>
      </c>
      <c r="N263" s="96" t="inlineStr">
        <is>
          <t>60일 거래대금 0.3억(기준 5억 미만)</t>
        </is>
      </c>
      <c r="O263" s="96" t="inlineStr">
        <is>
          <t>KIS 종합채권 금융채 2.5-3Y</t>
        </is>
      </c>
      <c r="P263" s="96" t="inlineStr">
        <is>
          <t>일반</t>
        </is>
      </c>
      <c r="Q263" s="96" t="inlineStr">
        <is>
          <t>채권</t>
        </is>
      </c>
      <c r="R263" s="96" t="inlineStr">
        <is>
          <t>월배당</t>
        </is>
      </c>
      <c r="S263" s="97" t="n">
        <v>11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IFERROR(INDEX($A$4:$A$593,MATCH(260,$X$4:$X$593,0)),"")</f>
        <v/>
      </c>
    </row>
    <row r="264">
      <c r="A264" s="96" t="inlineStr">
        <is>
          <t>KIWOOM 종합채권(AA-이상)액티브</t>
        </is>
      </c>
      <c r="B264" s="96" t="inlineStr">
        <is>
          <t>454780</t>
        </is>
      </c>
      <c r="C264" s="96" t="inlineStr">
        <is>
          <t>키움투자자산운용</t>
        </is>
      </c>
      <c r="D264" s="97" t="n">
        <v>99715</v>
      </c>
      <c r="E264" s="97" t="n">
        <v>302236165000</v>
      </c>
      <c r="F264" s="97" t="n">
        <v>253526895</v>
      </c>
      <c r="G264" s="98" t="n">
        <v>0.00025</v>
      </c>
      <c r="H264" s="98" t="n">
        <v>0.0504</v>
      </c>
      <c r="I264" s="98" t="n">
        <v>0.0283</v>
      </c>
      <c r="J264" s="98" t="n">
        <v>0.030367</v>
      </c>
      <c r="K264" s="97" t="n">
        <v>2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2.5억(기준 5억 미만)</t>
        </is>
      </c>
      <c r="O264" s="96" t="inlineStr">
        <is>
          <t>KIS 종합 채권시장지수(AA-이상)</t>
        </is>
      </c>
      <c r="P264" s="96" t="inlineStr">
        <is>
          <t>일반</t>
        </is>
      </c>
      <c r="Q264" s="96" t="inlineStr">
        <is>
          <t>채권</t>
        </is>
      </c>
      <c r="R264" s="96" t="inlineStr">
        <is>
          <t>연배당</t>
        </is>
      </c>
      <c r="S264" s="97" t="n">
        <v>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IFERROR(INDEX($A$4:$A$593,MATCH(261,$X$4:$X$593,0)),"")</f>
        <v/>
      </c>
    </row>
    <row r="265">
      <c r="A265" s="96" t="inlineStr">
        <is>
          <t>HK 26-12 회사채(AA-이상)액티브</t>
        </is>
      </c>
      <c r="B265" s="96" t="inlineStr">
        <is>
          <t>0000Y0</t>
        </is>
      </c>
      <c r="C265" s="96" t="inlineStr">
        <is>
          <t>흥국자산운용</t>
        </is>
      </c>
      <c r="D265" s="97" t="n">
        <v>102125</v>
      </c>
      <c r="E265" s="97" t="n">
        <v>123571250000</v>
      </c>
      <c r="F265" s="97" t="n">
        <v>6310315</v>
      </c>
      <c r="G265" s="98" t="n">
        <v>0.00065</v>
      </c>
      <c r="H265" s="98" t="n">
        <v>0.0306</v>
      </c>
      <c r="I265" s="98" t="n">
        <v>0.0301</v>
      </c>
      <c r="J265" s="98" t="n">
        <v>0.030355</v>
      </c>
      <c r="K265" s="97" t="n">
        <v>1</v>
      </c>
      <c r="L265" s="99" t="inlineStr">
        <is>
          <t>20251229</t>
        </is>
      </c>
      <c r="M265" s="96" t="inlineStr">
        <is>
          <t>제외</t>
        </is>
      </c>
      <c r="N265" s="96" t="inlineStr">
        <is>
          <t>60일 거래대금 0.1억(기준 5억 미만)</t>
        </is>
      </c>
      <c r="O265" s="96" t="inlineStr">
        <is>
          <t>KAP 26-12 크레딧 채권 총수익지수(AA-이상)</t>
        </is>
      </c>
      <c r="P265" s="96" t="inlineStr">
        <is>
          <t>일반</t>
        </is>
      </c>
      <c r="Q265" s="96" t="inlineStr">
        <is>
          <t>채권</t>
        </is>
      </c>
      <c r="R265" s="96" t="inlineStr">
        <is>
          <t>연배당</t>
        </is>
      </c>
      <c r="S265" s="97" t="n">
        <v>1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IFERROR(INDEX($A$4:$A$593,MATCH(262,$X$4:$X$593,0)),"")</f>
        <v/>
      </c>
    </row>
    <row r="266">
      <c r="A266" s="96" t="inlineStr">
        <is>
          <t>KODEX 배당가치</t>
        </is>
      </c>
      <c r="B266" s="96" t="inlineStr">
        <is>
          <t>325020</t>
        </is>
      </c>
      <c r="C266" s="96" t="inlineStr">
        <is>
          <t>삼성자산운용(ETF)</t>
        </is>
      </c>
      <c r="D266" s="97" t="n">
        <v>28915</v>
      </c>
      <c r="E266" s="97" t="n">
        <v>89636500000</v>
      </c>
      <c r="F266" s="97" t="n">
        <v>1371892895</v>
      </c>
      <c r="G266" s="98" t="n">
        <v>0.003</v>
      </c>
      <c r="H266" s="98" t="n">
        <v>0.3754</v>
      </c>
      <c r="I266" s="98" t="n">
        <v>0.0059</v>
      </c>
      <c r="J266" s="98" t="n">
        <v>0.029051</v>
      </c>
      <c r="K266" s="97" t="n">
        <v>17</v>
      </c>
      <c r="L266" s="99" t="inlineStr">
        <is>
          <t>20260730</t>
        </is>
      </c>
      <c r="M266" s="96" t="inlineStr">
        <is>
          <t>제외</t>
        </is>
      </c>
      <c r="N266" s="96" t="inlineStr">
        <is>
          <t>변동성 37.5%(1년 기준, 기준 35% 초과)</t>
        </is>
      </c>
      <c r="O266" s="96" t="inlineStr">
        <is>
          <t>FnGuide SLV 배당가치 지수</t>
        </is>
      </c>
      <c r="P266" s="96" t="inlineStr">
        <is>
          <t>일반</t>
        </is>
      </c>
      <c r="Q266" s="96" t="inlineStr">
        <is>
          <t>주식</t>
        </is>
      </c>
      <c r="R266" s="96" t="inlineStr">
        <is>
          <t>분기배당</t>
        </is>
      </c>
      <c r="S266" s="97" t="n">
        <v>3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IFERROR(INDEX($A$4:$A$593,MATCH(263,$X$4:$X$593,0)),"")</f>
        <v/>
      </c>
    </row>
    <row r="267">
      <c r="A267" s="96" t="inlineStr">
        <is>
          <t>KODEX 차이나H</t>
        </is>
      </c>
      <c r="B267" s="96" t="inlineStr">
        <is>
          <t>099140</t>
        </is>
      </c>
      <c r="C267" s="96" t="inlineStr">
        <is>
          <t>삼성자산운용(ETF)</t>
        </is>
      </c>
      <c r="D267" s="97" t="n">
        <v>20400</v>
      </c>
      <c r="E267" s="97" t="n">
        <v>31212000000</v>
      </c>
      <c r="F267" s="97" t="n">
        <v>209864595</v>
      </c>
      <c r="G267" s="98" t="n">
        <v>0.0012</v>
      </c>
      <c r="H267" s="98" t="n">
        <v>0.2211</v>
      </c>
      <c r="I267" s="98" t="n">
        <v>0.0124</v>
      </c>
      <c r="J267" s="98" t="n">
        <v>0.028725</v>
      </c>
      <c r="K267" s="97" t="n">
        <v>9</v>
      </c>
      <c r="L267" s="99" t="inlineStr">
        <is>
          <t>20260730</t>
        </is>
      </c>
      <c r="M267" s="96" t="inlineStr">
        <is>
          <t>제외</t>
        </is>
      </c>
      <c r="N267" s="96" t="inlineStr">
        <is>
          <t>60일 거래대금 2.1억(기준 5억 미만)</t>
        </is>
      </c>
      <c r="O267" s="96" t="inlineStr">
        <is>
          <t>항셍 차이나기업(H)</t>
        </is>
      </c>
      <c r="P267" s="96" t="inlineStr">
        <is>
          <t>일반</t>
        </is>
      </c>
      <c r="Q267" s="96" t="inlineStr">
        <is>
          <t>주식</t>
        </is>
      </c>
      <c r="R267" s="96" t="inlineStr">
        <is>
          <t>분기배당</t>
        </is>
      </c>
      <c r="S267" s="97" t="n">
        <v>3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IFERROR(INDEX($A$4:$A$593,MATCH(264,$X$4:$X$593,0)),"")</f>
        <v/>
      </c>
    </row>
    <row r="268">
      <c r="A268" s="96" t="inlineStr">
        <is>
          <t>KIWOOM 통안채1년</t>
        </is>
      </c>
      <c r="B268" s="96" t="inlineStr">
        <is>
          <t>122260</t>
        </is>
      </c>
      <c r="C268" s="96" t="inlineStr">
        <is>
          <t>키움투자자산운용</t>
        </is>
      </c>
      <c r="D268" s="97" t="n">
        <v>104255</v>
      </c>
      <c r="E268" s="97" t="n">
        <v>32319050000</v>
      </c>
      <c r="F268" s="97" t="n">
        <v>261390120</v>
      </c>
      <c r="G268" s="98" t="n">
        <v>0.0005</v>
      </c>
      <c r="H268" s="98" t="n">
        <v>0.0287</v>
      </c>
      <c r="I268" s="98" t="n">
        <v>0.0279</v>
      </c>
      <c r="J268" s="98" t="n">
        <v>0.028277</v>
      </c>
      <c r="K268" s="97" t="n">
        <v>5</v>
      </c>
      <c r="L268" s="99" t="inlineStr">
        <is>
          <t>20251229</t>
        </is>
      </c>
      <c r="M268" s="96" t="inlineStr">
        <is>
          <t>제외</t>
        </is>
      </c>
      <c r="N268" s="96" t="inlineStr">
        <is>
          <t>60일 거래대금 2.6억(기준 5억 미만)</t>
        </is>
      </c>
      <c r="O268" s="96" t="inlineStr">
        <is>
          <t>MK MSB 지수</t>
        </is>
      </c>
      <c r="P268" s="96" t="inlineStr">
        <is>
          <t>일반</t>
        </is>
      </c>
      <c r="Q268" s="96" t="inlineStr">
        <is>
          <t>채권</t>
        </is>
      </c>
      <c r="R268" s="96" t="inlineStr">
        <is>
          <t>연배당</t>
        </is>
      </c>
      <c r="S268" s="97" t="n">
        <v>1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IFERROR(INDEX($A$4:$A$593,MATCH(265,$X$4:$X$593,0)),"")</f>
        <v/>
      </c>
    </row>
    <row r="269">
      <c r="A269" s="96" t="inlineStr">
        <is>
          <t>PLUS 미국채30년액티브</t>
        </is>
      </c>
      <c r="B269" s="96" t="inlineStr">
        <is>
          <t>464470</t>
        </is>
      </c>
      <c r="C269" s="96" t="inlineStr">
        <is>
          <t>한화자산운용</t>
        </is>
      </c>
      <c r="D269" s="97" t="n">
        <v>44570</v>
      </c>
      <c r="E269" s="97" t="n">
        <v>34051480000</v>
      </c>
      <c r="F269" s="97" t="n">
        <v>309022715</v>
      </c>
      <c r="G269" s="98" t="n">
        <v>0.0015</v>
      </c>
      <c r="H269" s="98" t="n">
        <v>0.1315</v>
      </c>
      <c r="I269" s="98" t="n">
        <v>0.002</v>
      </c>
      <c r="J269" s="98" t="n">
        <v>0.02827</v>
      </c>
      <c r="K269" s="97" t="n">
        <v>19</v>
      </c>
      <c r="L269" s="99" t="inlineStr">
        <is>
          <t>20260929</t>
        </is>
      </c>
      <c r="M269" s="96" t="inlineStr">
        <is>
          <t>제외</t>
        </is>
      </c>
      <c r="N269" s="96" t="inlineStr">
        <is>
          <t>60일 거래대금 3.1억(기준 5억 미만)</t>
        </is>
      </c>
      <c r="O269" s="96" t="inlineStr">
        <is>
          <t>ICE U.S. Treasury 20+ Year Bond Index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월배당</t>
        </is>
      </c>
      <c r="S269" s="97" t="n">
        <v>11</v>
      </c>
      <c r="T269" s="98" t="n">
        <v>0.8524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IFERROR(INDEX($A$4:$A$593,MATCH(266,$X$4:$X$593,0)),"")</f>
        <v/>
      </c>
    </row>
    <row r="270">
      <c r="A270" s="96" t="inlineStr">
        <is>
          <t>KODEX 자동차</t>
        </is>
      </c>
      <c r="B270" s="96" t="inlineStr">
        <is>
          <t>091180</t>
        </is>
      </c>
      <c r="C270" s="96" t="inlineStr">
        <is>
          <t>삼성자산운용(ETF)</t>
        </is>
      </c>
      <c r="D270" s="97" t="n">
        <v>25455</v>
      </c>
      <c r="E270" s="97" t="n">
        <v>358915500000</v>
      </c>
      <c r="F270" s="97" t="n">
        <v>12435456375</v>
      </c>
      <c r="G270" s="98" t="n">
        <v>0.004500000000000001</v>
      </c>
      <c r="H270" s="98" t="n">
        <v>0.5175999999999999</v>
      </c>
      <c r="I270" s="98" t="n">
        <v>0.0058</v>
      </c>
      <c r="J270" s="98" t="n">
        <v>0.02801</v>
      </c>
      <c r="K270" s="97" t="n">
        <v>7</v>
      </c>
      <c r="L270" s="99" t="inlineStr">
        <is>
          <t>20260730</t>
        </is>
      </c>
      <c r="M270" s="96" t="inlineStr">
        <is>
          <t>제외</t>
        </is>
      </c>
      <c r="N270" s="96" t="inlineStr">
        <is>
          <t>변동성 51.8%(1년 기준, 기준 35% 초과)</t>
        </is>
      </c>
      <c r="O270" s="96" t="inlineStr">
        <is>
          <t>KRX 자동차</t>
        </is>
      </c>
      <c r="P270" s="96" t="inlineStr">
        <is>
          <t>일반</t>
        </is>
      </c>
      <c r="Q270" s="96" t="inlineStr">
        <is>
          <t>주식</t>
        </is>
      </c>
      <c r="R270" s="96" t="inlineStr">
        <is>
          <t>분기배당</t>
        </is>
      </c>
      <c r="S270" s="97" t="n">
        <v>3</v>
      </c>
      <c r="T270" s="98" t="n">
        <v>1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IFERROR(INDEX($A$4:$A$593,MATCH(267,$X$4:$X$593,0)),"")</f>
        <v/>
      </c>
    </row>
    <row r="271">
      <c r="A271" s="96" t="inlineStr">
        <is>
          <t>KODEX 증권</t>
        </is>
      </c>
      <c r="B271" s="96" t="inlineStr">
        <is>
          <t>102970</t>
        </is>
      </c>
      <c r="C271" s="96" t="inlineStr">
        <is>
          <t>삼성자산운용(ETF)</t>
        </is>
      </c>
      <c r="D271" s="97" t="n">
        <v>17620</v>
      </c>
      <c r="E271" s="97" t="n">
        <v>656345000000</v>
      </c>
      <c r="F271" s="97" t="n">
        <v>21584649845</v>
      </c>
      <c r="G271" s="98" t="n">
        <v>0.004500000000000001</v>
      </c>
      <c r="H271" s="98" t="n">
        <v>0.6304</v>
      </c>
      <c r="I271" s="98" t="n">
        <v>0.008699999999999999</v>
      </c>
      <c r="J271" s="98" t="n">
        <v>0.027753</v>
      </c>
      <c r="K271" s="97" t="n">
        <v>6</v>
      </c>
      <c r="L271" s="99" t="inlineStr">
        <is>
          <t>20260730</t>
        </is>
      </c>
      <c r="M271" s="96" t="inlineStr">
        <is>
          <t>제외</t>
        </is>
      </c>
      <c r="N271" s="96" t="inlineStr">
        <is>
          <t>변동성 63.0%(1년 기준, 기준 35% 초과)</t>
        </is>
      </c>
      <c r="O271" s="96" t="inlineStr">
        <is>
          <t>KRX 증권</t>
        </is>
      </c>
      <c r="P271" s="96" t="inlineStr">
        <is>
          <t>일반</t>
        </is>
      </c>
      <c r="Q271" s="96" t="inlineStr">
        <is>
          <t>주식</t>
        </is>
      </c>
      <c r="R271" s="96" t="inlineStr">
        <is>
          <t>연배당</t>
        </is>
      </c>
      <c r="S271" s="97" t="n">
        <v>2</v>
      </c>
      <c r="T271" s="98" t="n">
        <v>1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IFERROR(INDEX($A$4:$A$593,MATCH(268,$X$4:$X$593,0)),"")</f>
        <v/>
      </c>
    </row>
    <row r="272">
      <c r="A272" s="96" t="inlineStr">
        <is>
          <t>KIWOOM 머니마켓액티브</t>
        </is>
      </c>
      <c r="B272" s="96" t="inlineStr">
        <is>
          <t>476450</t>
        </is>
      </c>
      <c r="C272" s="96" t="inlineStr">
        <is>
          <t>키움투자자산운용</t>
        </is>
      </c>
      <c r="D272" s="97" t="n">
        <v>52910</v>
      </c>
      <c r="E272" s="97" t="n">
        <v>170687660000</v>
      </c>
      <c r="F272" s="97" t="n">
        <v>475565591</v>
      </c>
      <c r="G272" s="98" t="n">
        <v>0.0005</v>
      </c>
      <c r="H272" s="98" t="n">
        <v>0.0278</v>
      </c>
      <c r="I272" s="98" t="n">
        <v>0.0274</v>
      </c>
      <c r="J272" s="98" t="n">
        <v>0.027481</v>
      </c>
      <c r="K272" s="97" t="n">
        <v>1</v>
      </c>
      <c r="L272" s="99" t="inlineStr">
        <is>
          <t>20251229</t>
        </is>
      </c>
      <c r="M272" s="96" t="inlineStr">
        <is>
          <t>제외</t>
        </is>
      </c>
      <c r="N272" s="96" t="inlineStr">
        <is>
          <t>60일 거래대금 4.8억(기준 5억 미만)</t>
        </is>
      </c>
      <c r="O272" s="96" t="inlineStr">
        <is>
          <t>KIS-키움 MMF지수</t>
        </is>
      </c>
      <c r="P272" s="96" t="inlineStr">
        <is>
          <t>일반</t>
        </is>
      </c>
      <c r="Q272" s="96" t="inlineStr">
        <is>
          <t>단기자금(파킹형)</t>
        </is>
      </c>
      <c r="R272" s="96" t="inlineStr">
        <is>
          <t>연배당</t>
        </is>
      </c>
      <c r="S272" s="97" t="n">
        <v>1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IFERROR(INDEX($A$4:$A$593,MATCH(269,$X$4:$X$593,0)),"")</f>
        <v/>
      </c>
    </row>
    <row r="273">
      <c r="A273" s="96" t="inlineStr">
        <is>
          <t>TIGER 배당성장</t>
        </is>
      </c>
      <c r="B273" s="96" t="inlineStr">
        <is>
          <t>211560</t>
        </is>
      </c>
      <c r="C273" s="96" t="inlineStr">
        <is>
          <t>미래에셋자산운용</t>
        </is>
      </c>
      <c r="D273" s="97" t="n">
        <v>34015</v>
      </c>
      <c r="E273" s="97" t="n">
        <v>68370150000</v>
      </c>
      <c r="F273" s="97" t="n">
        <v>385445445</v>
      </c>
      <c r="G273" s="98" t="n">
        <v>0.0015</v>
      </c>
      <c r="H273" s="98" t="n">
        <v>0.3446</v>
      </c>
      <c r="I273" s="98" t="n">
        <v>0.002</v>
      </c>
      <c r="J273" s="98" t="n">
        <v>0.026635</v>
      </c>
      <c r="K273" s="97" t="n">
        <v>16</v>
      </c>
      <c r="L273" s="99" t="inlineStr">
        <is>
          <t>20260730</t>
        </is>
      </c>
      <c r="M273" s="96" t="inlineStr">
        <is>
          <t>제외</t>
        </is>
      </c>
      <c r="N273" s="96" t="inlineStr">
        <is>
          <t>60일 거래대금 3.9억(기준 5억 미만)</t>
        </is>
      </c>
      <c r="O273" s="96" t="inlineStr">
        <is>
          <t>코스피 배당성장 50</t>
        </is>
      </c>
      <c r="P273" s="96" t="inlineStr">
        <is>
          <t>일반</t>
        </is>
      </c>
      <c r="Q273" s="96" t="inlineStr">
        <is>
          <t>주식</t>
        </is>
      </c>
      <c r="R273" s="96" t="inlineStr">
        <is>
          <t>연배당</t>
        </is>
      </c>
      <c r="S273" s="97" t="n">
        <v>2</v>
      </c>
      <c r="T273" s="98" t="n">
        <v>0.979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IFERROR(INDEX($A$4:$A$593,MATCH(270,$X$4:$X$593,0)),"")</f>
        <v/>
      </c>
    </row>
    <row r="274">
      <c r="A274" s="96" t="inlineStr">
        <is>
          <t>KIWOOM 단기채권ESG액티브</t>
        </is>
      </c>
      <c r="B274" s="96" t="inlineStr">
        <is>
          <t>419890</t>
        </is>
      </c>
      <c r="C274" s="96" t="inlineStr">
        <is>
          <t>키움투자자산운용</t>
        </is>
      </c>
      <c r="D274" s="97" t="n">
        <v>107545</v>
      </c>
      <c r="E274" s="97" t="n">
        <v>62376100000</v>
      </c>
      <c r="F274" s="97" t="n">
        <v>80455215</v>
      </c>
      <c r="G274" s="98" t="n">
        <v>0.0015</v>
      </c>
      <c r="H274" s="98" t="n">
        <v>0.0273</v>
      </c>
      <c r="I274" s="98" t="n">
        <v>0.0262</v>
      </c>
      <c r="J274" s="98" t="n">
        <v>0.026631</v>
      </c>
      <c r="K274" s="97" t="n">
        <v>3</v>
      </c>
      <c r="L274" s="99" t="inlineStr">
        <is>
          <t>20251229</t>
        </is>
      </c>
      <c r="M274" s="96" t="inlineStr">
        <is>
          <t>제외</t>
        </is>
      </c>
      <c r="N274" s="96" t="inlineStr">
        <is>
          <t>60일 거래대금 0.8억(기준 5억 미만)</t>
        </is>
      </c>
      <c r="O274" s="96" t="inlineStr">
        <is>
          <t>KIS ESG 9M~1.5Y</t>
        </is>
      </c>
      <c r="P274" s="96" t="inlineStr">
        <is>
          <t>일반</t>
        </is>
      </c>
      <c r="Q274" s="96" t="inlineStr">
        <is>
          <t>채권</t>
        </is>
      </c>
      <c r="R274" s="96" t="inlineStr">
        <is>
          <t>연배당</t>
        </is>
      </c>
      <c r="S274" s="97" t="n">
        <v>1</v>
      </c>
      <c r="T274" s="98" t="n">
        <v>1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IFERROR(INDEX($A$4:$A$593,MATCH(271,$X$4:$X$593,0)),"")</f>
        <v/>
      </c>
    </row>
    <row r="275">
      <c r="A275" s="96" t="inlineStr">
        <is>
          <t>TIGER 200 금융</t>
        </is>
      </c>
      <c r="B275" s="96" t="inlineStr">
        <is>
          <t>139270</t>
        </is>
      </c>
      <c r="C275" s="96" t="inlineStr">
        <is>
          <t>미래에셋자산운용</t>
        </is>
      </c>
      <c r="D275" s="97" t="n">
        <v>16390</v>
      </c>
      <c r="E275" s="97" t="n">
        <v>30157600000</v>
      </c>
      <c r="F275" s="97" t="n">
        <v>699125147</v>
      </c>
      <c r="G275" s="98" t="n">
        <v>0.004</v>
      </c>
      <c r="H275" s="98" t="n">
        <v>0.3594</v>
      </c>
      <c r="I275" s="98" t="n">
        <v>0.0038</v>
      </c>
      <c r="J275" s="98" t="n">
        <v>0.025503</v>
      </c>
      <c r="K275" s="97" t="n">
        <v>18</v>
      </c>
      <c r="L275" s="99" t="inlineStr">
        <is>
          <t>20260730</t>
        </is>
      </c>
      <c r="M275" s="96" t="inlineStr">
        <is>
          <t>제외</t>
        </is>
      </c>
      <c r="N275" s="96" t="inlineStr">
        <is>
          <t>변동성 35.9%(1년 기준, 기준 35% 초과)</t>
        </is>
      </c>
      <c r="O275" s="96" t="inlineStr">
        <is>
          <t>K200금융</t>
        </is>
      </c>
      <c r="P275" s="96" t="inlineStr">
        <is>
          <t>일반</t>
        </is>
      </c>
      <c r="Q275" s="96" t="inlineStr">
        <is>
          <t>주식</t>
        </is>
      </c>
      <c r="R275" s="96" t="inlineStr">
        <is>
          <t>분기배당</t>
        </is>
      </c>
      <c r="S275" s="97" t="n">
        <v>3</v>
      </c>
      <c r="T275" s="98" t="n">
        <v>0.9617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IFERROR(INDEX($A$4:$A$593,MATCH(272,$X$4:$X$593,0)),"")</f>
        <v/>
      </c>
    </row>
    <row r="276">
      <c r="A276" s="96" t="inlineStr">
        <is>
          <t>SOL 국고채3년</t>
        </is>
      </c>
      <c r="B276" s="96" t="inlineStr">
        <is>
          <t>438560</t>
        </is>
      </c>
      <c r="C276" s="96" t="inlineStr">
        <is>
          <t>신한자산운용</t>
        </is>
      </c>
      <c r="D276" s="97" t="n">
        <v>100385</v>
      </c>
      <c r="E276" s="97" t="n">
        <v>157303295000</v>
      </c>
      <c r="F276" s="97" t="n">
        <v>48159656</v>
      </c>
      <c r="G276" s="98" t="n">
        <v>0.0005</v>
      </c>
      <c r="H276" s="98" t="n">
        <v>0.0335</v>
      </c>
      <c r="I276" s="98" t="n">
        <v>0.0245</v>
      </c>
      <c r="J276" s="98" t="n">
        <v>0.025153</v>
      </c>
      <c r="K276" s="97" t="n">
        <v>3</v>
      </c>
      <c r="L276" s="99" t="inlineStr">
        <is>
          <t>20251229</t>
        </is>
      </c>
      <c r="M276" s="96" t="inlineStr">
        <is>
          <t>제외</t>
        </is>
      </c>
      <c r="N276" s="96" t="inlineStr">
        <is>
          <t>60일 거래대금 0.5억(기준 5억 미만)</t>
        </is>
      </c>
      <c r="O276" s="96" t="inlineStr">
        <is>
          <t>KAP 국고채3년지수(총수익)</t>
        </is>
      </c>
      <c r="P276" s="96" t="inlineStr">
        <is>
          <t>일반</t>
        </is>
      </c>
      <c r="Q276" s="96" t="inlineStr">
        <is>
          <t>채권</t>
        </is>
      </c>
      <c r="R276" s="96" t="inlineStr">
        <is>
          <t>연배당</t>
        </is>
      </c>
      <c r="S276" s="97" t="n">
        <v>1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IFERROR(INDEX($A$4:$A$593,MATCH(273,$X$4:$X$593,0)),"")</f>
        <v/>
      </c>
    </row>
    <row r="277">
      <c r="A277" s="96" t="inlineStr">
        <is>
          <t>KIWOOM 국고채3년</t>
        </is>
      </c>
      <c r="B277" s="96" t="inlineStr">
        <is>
          <t>114470</t>
        </is>
      </c>
      <c r="C277" s="96" t="inlineStr">
        <is>
          <t>키움투자자산운용</t>
        </is>
      </c>
      <c r="D277" s="97" t="n">
        <v>107425</v>
      </c>
      <c r="E277" s="97" t="n">
        <v>49415500000</v>
      </c>
      <c r="F277" s="97" t="n">
        <v>118573633</v>
      </c>
      <c r="G277" s="98" t="n">
        <v>0.0005</v>
      </c>
      <c r="H277" s="98" t="n">
        <v>0.0249</v>
      </c>
      <c r="I277" s="98" t="n">
        <v>0.0052</v>
      </c>
      <c r="J277" s="98" t="n">
        <v>0.024799</v>
      </c>
      <c r="K277" s="97" t="n">
        <v>20</v>
      </c>
      <c r="L277" s="99" t="inlineStr">
        <is>
          <t>20260908</t>
        </is>
      </c>
      <c r="M277" s="96" t="inlineStr">
        <is>
          <t>제외</t>
        </is>
      </c>
      <c r="N277" s="96" t="inlineStr">
        <is>
          <t>60일 거래대금 1.2억(기준 5억 미만)</t>
        </is>
      </c>
      <c r="O277" s="96" t="inlineStr">
        <is>
          <t>KTB Index</t>
        </is>
      </c>
      <c r="P277" s="96" t="inlineStr">
        <is>
          <t>일반</t>
        </is>
      </c>
      <c r="Q277" s="96" t="inlineStr">
        <is>
          <t>채권</t>
        </is>
      </c>
      <c r="R277" s="96" t="inlineStr">
        <is>
          <t>분기배당</t>
        </is>
      </c>
      <c r="S277" s="97" t="n">
        <v>4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IFERROR(INDEX($A$4:$A$593,MATCH(274,$X$4:$X$593,0)),"")</f>
        <v/>
      </c>
    </row>
    <row r="278">
      <c r="A278" s="96" t="inlineStr">
        <is>
          <t>ACE 미국30년국채선물레버리지(합성 H)</t>
        </is>
      </c>
      <c r="B278" s="96" t="inlineStr">
        <is>
          <t>452250</t>
        </is>
      </c>
      <c r="C278" s="96" t="inlineStr">
        <is>
          <t>한국투신운용(ETF)</t>
        </is>
      </c>
      <c r="D278" s="97" t="n">
        <v>4195</v>
      </c>
      <c r="E278" s="97" t="n">
        <v>32511250000</v>
      </c>
      <c r="F278" s="97" t="n">
        <v>99595219</v>
      </c>
      <c r="G278" s="98" t="n">
        <v>0.0025</v>
      </c>
      <c r="H278" s="98" t="n">
        <v>0.1747</v>
      </c>
      <c r="I278" s="98" t="n">
        <v>0.0183</v>
      </c>
      <c r="J278" s="98" t="n">
        <v>0.024076</v>
      </c>
      <c r="K278" s="97" t="n">
        <v>1</v>
      </c>
      <c r="L278" s="99" t="inlineStr">
        <is>
          <t>20251229</t>
        </is>
      </c>
      <c r="M278" s="96" t="inlineStr">
        <is>
          <t>제외</t>
        </is>
      </c>
      <c r="N278" s="96" t="inlineStr">
        <is>
          <t>60일 거래대금 1.0억(기준 5억 미만)</t>
        </is>
      </c>
      <c r="O278" s="96" t="inlineStr">
        <is>
          <t>S&amp;P Ultra T-Bond Futures Excess Return Index</t>
        </is>
      </c>
      <c r="P278" s="96" t="inlineStr">
        <is>
          <t>일반</t>
        </is>
      </c>
      <c r="Q278" s="96" t="inlineStr">
        <is>
          <t>채권</t>
        </is>
      </c>
      <c r="R278" s="96" t="inlineStr">
        <is>
          <t>연배당</t>
        </is>
      </c>
      <c r="S278" s="97" t="n">
        <v>1</v>
      </c>
      <c r="T278" s="98" t="n">
        <v>0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IFERROR(INDEX($A$4:$A$593,MATCH(275,$X$4:$X$593,0)),"")</f>
        <v/>
      </c>
    </row>
    <row r="279">
      <c r="A279" s="96" t="inlineStr">
        <is>
          <t>RISE V&amp;S셀렉트밸류채권혼합</t>
        </is>
      </c>
      <c r="B279" s="96" t="inlineStr">
        <is>
          <t>241390</t>
        </is>
      </c>
      <c r="C279" s="96" t="inlineStr">
        <is>
          <t>KB자산운용</t>
        </is>
      </c>
      <c r="D279" s="97" t="n">
        <v>15785</v>
      </c>
      <c r="E279" s="97" t="n">
        <v>34727000000</v>
      </c>
      <c r="F279" s="97" t="n">
        <v>81156911</v>
      </c>
      <c r="G279" s="98" t="n">
        <v>0.0023</v>
      </c>
      <c r="H279" s="98" t="n">
        <v>0.1988</v>
      </c>
      <c r="I279" s="98" t="n">
        <v>0.0148</v>
      </c>
      <c r="J279" s="98" t="n">
        <v>0.024073</v>
      </c>
      <c r="K279" s="97" t="n">
        <v>10</v>
      </c>
      <c r="L279" s="99" t="inlineStr">
        <is>
          <t>20260608</t>
        </is>
      </c>
      <c r="M279" s="96" t="inlineStr">
        <is>
          <t>제외</t>
        </is>
      </c>
      <c r="N279" s="96" t="inlineStr">
        <is>
          <t>60일 거래대금 0.8억(기준 5억 미만)</t>
        </is>
      </c>
      <c r="O279" s="96" t="inlineStr">
        <is>
          <t>셀렉트밸류 채권혼합 지수</t>
        </is>
      </c>
      <c r="P279" s="96" t="inlineStr">
        <is>
          <t>일반</t>
        </is>
      </c>
      <c r="Q279" s="96" t="inlineStr">
        <is>
          <t>멀티에셋</t>
        </is>
      </c>
      <c r="R279" s="96" t="inlineStr">
        <is>
          <t>반기배당</t>
        </is>
      </c>
      <c r="S279" s="97" t="n">
        <v>2</v>
      </c>
      <c r="T279" s="98" t="n">
        <v>0.8816000000000001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IFERROR(INDEX($A$4:$A$593,MATCH(276,$X$4:$X$593,0)),"")</f>
        <v/>
      </c>
    </row>
    <row r="280">
      <c r="A280" s="96" t="inlineStr">
        <is>
          <t>SOL 26-12 회사채(AA-이상)액티브</t>
        </is>
      </c>
      <c r="B280" s="96" t="inlineStr">
        <is>
          <t>488980</t>
        </is>
      </c>
      <c r="C280" s="96" t="inlineStr">
        <is>
          <t>신한자산운용</t>
        </is>
      </c>
      <c r="D280" s="97" t="n">
        <v>52250</v>
      </c>
      <c r="E280" s="97" t="n">
        <v>217464500000</v>
      </c>
      <c r="F280" s="97" t="n">
        <v>32936138</v>
      </c>
      <c r="G280" s="98" t="n">
        <v>0.0005</v>
      </c>
      <c r="H280" s="98" t="n">
        <v>0.0246</v>
      </c>
      <c r="I280" s="98" t="n">
        <v>0.024</v>
      </c>
      <c r="J280" s="98" t="n">
        <v>0.024019</v>
      </c>
      <c r="K280" s="97" t="n">
        <v>1</v>
      </c>
      <c r="L280" s="99" t="inlineStr">
        <is>
          <t>20251212</t>
        </is>
      </c>
      <c r="M280" s="96" t="inlineStr">
        <is>
          <t>제외</t>
        </is>
      </c>
      <c r="N280" s="96" t="inlineStr">
        <is>
          <t>60일 거래대금 0.3억(기준 5억 미만)</t>
        </is>
      </c>
      <c r="O280" s="96" t="inlineStr">
        <is>
          <t>KAP 26-12 크레딧 채권지수(AA-이상,총수익)</t>
        </is>
      </c>
      <c r="P280" s="96" t="inlineStr">
        <is>
          <t>일반</t>
        </is>
      </c>
      <c r="Q280" s="96" t="inlineStr">
        <is>
          <t>채권</t>
        </is>
      </c>
      <c r="R280" s="96" t="inlineStr">
        <is>
          <t>연배당</t>
        </is>
      </c>
      <c r="S280" s="97" t="n">
        <v>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IFERROR(INDEX($A$4:$A$593,MATCH(277,$X$4:$X$593,0)),"")</f>
        <v/>
      </c>
    </row>
    <row r="281">
      <c r="A281" s="96" t="inlineStr">
        <is>
          <t>ACE 중국본토CSI300</t>
        </is>
      </c>
      <c r="B281" s="96" t="inlineStr">
        <is>
          <t>168580</t>
        </is>
      </c>
      <c r="C281" s="96" t="inlineStr">
        <is>
          <t>한국투신운용(ETF)</t>
        </is>
      </c>
      <c r="D281" s="97" t="n">
        <v>32300</v>
      </c>
      <c r="E281" s="97" t="n">
        <v>100776000000</v>
      </c>
      <c r="F281" s="97" t="n">
        <v>143512484</v>
      </c>
      <c r="G281" s="98" t="n">
        <v>0.006999999999999999</v>
      </c>
      <c r="H281" s="98" t="n">
        <v>0.2161</v>
      </c>
      <c r="I281" s="98" t="n">
        <v>0.022</v>
      </c>
      <c r="J281" s="98" t="n">
        <v>0.023994</v>
      </c>
      <c r="K281" s="97" t="n">
        <v>1</v>
      </c>
      <c r="L281" s="99" t="inlineStr">
        <is>
          <t>20251229</t>
        </is>
      </c>
      <c r="M281" s="96" t="inlineStr">
        <is>
          <t>제외</t>
        </is>
      </c>
      <c r="N281" s="96" t="inlineStr">
        <is>
          <t>60일 거래대금 1.4억(기준 5억 미만)</t>
        </is>
      </c>
      <c r="O281" s="96" t="inlineStr">
        <is>
          <t>CSI 300 INDEX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연배당</t>
        </is>
      </c>
      <c r="S281" s="97" t="n">
        <v>1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IFERROR(INDEX($A$4:$A$593,MATCH(278,$X$4:$X$593,0)),"")</f>
        <v/>
      </c>
    </row>
    <row r="282">
      <c r="A282" s="96" t="inlineStr">
        <is>
          <t>TIGER 현대차그룹플러스</t>
        </is>
      </c>
      <c r="B282" s="96" t="inlineStr">
        <is>
          <t>138540</t>
        </is>
      </c>
      <c r="C282" s="96" t="inlineStr">
        <is>
          <t>미래에셋자산운용</t>
        </is>
      </c>
      <c r="D282" s="97" t="n">
        <v>45935</v>
      </c>
      <c r="E282" s="97" t="n">
        <v>597155000000</v>
      </c>
      <c r="F282" s="97" t="n">
        <v>15351536826</v>
      </c>
      <c r="G282" s="98" t="n">
        <v>0.0015</v>
      </c>
      <c r="H282" s="98" t="n">
        <v>0.5296</v>
      </c>
      <c r="I282" s="98" t="n">
        <v>0.0148</v>
      </c>
      <c r="J282" s="98" t="n">
        <v>0.023729</v>
      </c>
      <c r="K282" s="97" t="n">
        <v>9</v>
      </c>
      <c r="L282" s="99" t="inlineStr">
        <is>
          <t>20260429</t>
        </is>
      </c>
      <c r="M282" s="96" t="inlineStr">
        <is>
          <t>제외</t>
        </is>
      </c>
      <c r="N282" s="96" t="inlineStr">
        <is>
          <t>변동성 53.0%(1년 기준, 기준 35% 초과)</t>
        </is>
      </c>
      <c r="O282" s="96" t="inlineStr">
        <is>
          <t>FnGuide 현대차그룹+ FW</t>
        </is>
      </c>
      <c r="P282" s="96" t="inlineStr">
        <is>
          <t>일반</t>
        </is>
      </c>
      <c r="Q282" s="96" t="inlineStr">
        <is>
          <t>주식</t>
        </is>
      </c>
      <c r="R282" s="96" t="inlineStr">
        <is>
          <t>연배당</t>
        </is>
      </c>
      <c r="S282" s="97" t="n">
        <v>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IFERROR(INDEX($A$4:$A$593,MATCH(279,$X$4:$X$593,0)),"")</f>
        <v/>
      </c>
    </row>
    <row r="283">
      <c r="A283" s="96" t="inlineStr">
        <is>
          <t>KIWOOM 엔비디아미국30년국채혼합액티브(H)</t>
        </is>
      </c>
      <c r="B283" s="96" t="inlineStr">
        <is>
          <t>0015E0</t>
        </is>
      </c>
      <c r="C283" s="96" t="inlineStr">
        <is>
          <t>키움투자자산운용</t>
        </is>
      </c>
      <c r="D283" s="97" t="n">
        <v>10240</v>
      </c>
      <c r="E283" s="97" t="n">
        <v>5120000000</v>
      </c>
      <c r="F283" s="97" t="n">
        <v>32396663</v>
      </c>
      <c r="G283" s="98" t="n">
        <v>0.0019</v>
      </c>
      <c r="H283" s="98" t="n">
        <v>0.1085</v>
      </c>
      <c r="I283" s="98" t="n">
        <v>0.0019</v>
      </c>
      <c r="J283" s="98" t="n">
        <v>0.023438</v>
      </c>
      <c r="K283" s="97" t="n">
        <v>19</v>
      </c>
      <c r="L283" s="99" t="inlineStr">
        <is>
          <t>20260929</t>
        </is>
      </c>
      <c r="M283" s="96" t="inlineStr">
        <is>
          <t>제외</t>
        </is>
      </c>
      <c r="N283" s="96" t="inlineStr">
        <is>
          <t>순자산 51억(기준 300억 미만), 60일 거래대금 0.3억(기준 5억 미만)</t>
        </is>
      </c>
      <c r="O283" s="96" t="inlineStr">
        <is>
          <t>Bloomberg BlendedNVDIAand USLong Treasury Bond Index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IFERROR(INDEX($A$4:$A$593,MATCH(280,$X$4:$X$593,0)),"")</f>
        <v/>
      </c>
    </row>
    <row r="284">
      <c r="A284" s="96" t="inlineStr">
        <is>
          <t>KIWOOM 팔란티어미국30년국채혼합액티브(H)</t>
        </is>
      </c>
      <c r="B284" s="96" t="inlineStr">
        <is>
          <t>0015F0</t>
        </is>
      </c>
      <c r="C284" s="96" t="inlineStr">
        <is>
          <t>키움투자자산운용</t>
        </is>
      </c>
      <c r="D284" s="97" t="n">
        <v>10280</v>
      </c>
      <c r="E284" s="97" t="n">
        <v>12336000000</v>
      </c>
      <c r="F284" s="97" t="n">
        <v>87090365</v>
      </c>
      <c r="G284" s="98" t="n">
        <v>0.0019</v>
      </c>
      <c r="H284" s="98" t="n">
        <v>0.1566</v>
      </c>
      <c r="I284" s="98" t="n">
        <v>0.0019</v>
      </c>
      <c r="J284" s="98" t="n">
        <v>0.023346</v>
      </c>
      <c r="K284" s="97" t="n">
        <v>19</v>
      </c>
      <c r="L284" s="99" t="inlineStr">
        <is>
          <t>20260929</t>
        </is>
      </c>
      <c r="M284" s="96" t="inlineStr">
        <is>
          <t>제외</t>
        </is>
      </c>
      <c r="N284" s="96" t="inlineStr">
        <is>
          <t>순자산 123억(기준 300억 미만), 60일 거래대금 0.9억(기준 5억 미만)</t>
        </is>
      </c>
      <c r="O284" s="96" t="inlineStr">
        <is>
          <t>Bloomberg Blended PALANTIR and USLong Treasury Bond Index</t>
        </is>
      </c>
      <c r="P284" s="96" t="inlineStr">
        <is>
          <t>일반</t>
        </is>
      </c>
      <c r="Q284" s="96" t="inlineStr">
        <is>
          <t>멀티에셋</t>
        </is>
      </c>
      <c r="R284" s="96" t="inlineStr">
        <is>
          <t>월배당</t>
        </is>
      </c>
      <c r="S284" s="97" t="n">
        <v>11</v>
      </c>
      <c r="T284" s="98" t="n">
        <v>0.8333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IFERROR(INDEX($A$4:$A$593,MATCH(281,$X$4:$X$593,0)),"")</f>
        <v/>
      </c>
    </row>
    <row r="285">
      <c r="A285" s="96" t="inlineStr">
        <is>
          <t>RISE 2차전지TOP10인버스(합성)</t>
        </is>
      </c>
      <c r="B285" s="96" t="inlineStr">
        <is>
          <t>465350</t>
        </is>
      </c>
      <c r="C285" s="96" t="inlineStr">
        <is>
          <t>KB자산운용</t>
        </is>
      </c>
      <c r="D285" s="97" t="n">
        <v>16045</v>
      </c>
      <c r="E285" s="97" t="n">
        <v>32090000000</v>
      </c>
      <c r="F285" s="97" t="n">
        <v>2069706791</v>
      </c>
      <c r="G285" s="98" t="n">
        <v>0.0049</v>
      </c>
      <c r="H285" s="98" t="n">
        <v>0.6307</v>
      </c>
      <c r="I285" s="98" t="n">
        <v>0.0143</v>
      </c>
      <c r="J285" s="98" t="n">
        <v>0.022437</v>
      </c>
      <c r="K285" s="97" t="n">
        <v>1</v>
      </c>
      <c r="L285" s="99" t="inlineStr">
        <is>
          <t>20251229</t>
        </is>
      </c>
      <c r="M285" s="96" t="inlineStr">
        <is>
          <t>제외</t>
        </is>
      </c>
      <c r="N285" s="96" t="inlineStr">
        <is>
          <t>변동성 63.1%(1년 기준, 기준 35% 초과)</t>
        </is>
      </c>
      <c r="O285" s="96" t="inlineStr">
        <is>
          <t>iSelect 2차전지 Top10 지수</t>
        </is>
      </c>
      <c r="P285" s="96" t="inlineStr">
        <is>
          <t>일반</t>
        </is>
      </c>
      <c r="Q285" s="96" t="inlineStr">
        <is>
          <t>주식</t>
        </is>
      </c>
      <c r="R285" s="96" t="inlineStr">
        <is>
          <t>연배당</t>
        </is>
      </c>
      <c r="S285" s="97" t="n">
        <v>1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IFERROR(INDEX($A$4:$A$593,MATCH(282,$X$4:$X$593,0)),"")</f>
        <v/>
      </c>
    </row>
    <row r="286">
      <c r="A286" s="96" t="inlineStr">
        <is>
          <t>ACE 미국배당퀄리티채권혼합50</t>
        </is>
      </c>
      <c r="B286" s="96" t="inlineStr">
        <is>
          <t>0049K0</t>
        </is>
      </c>
      <c r="C286" s="96" t="inlineStr">
        <is>
          <t>한국투신운용(ETF)</t>
        </is>
      </c>
      <c r="D286" s="97" t="n">
        <v>10925</v>
      </c>
      <c r="E286" s="97" t="n">
        <v>26766250000</v>
      </c>
      <c r="F286" s="97" t="n">
        <v>176511509</v>
      </c>
      <c r="G286" s="98" t="n">
        <v>0.0015</v>
      </c>
      <c r="H286" s="98" t="n">
        <v>0.067</v>
      </c>
      <c r="I286" s="98" t="n">
        <v>0.0018</v>
      </c>
      <c r="J286" s="98" t="n">
        <v>0.022059</v>
      </c>
      <c r="K286" s="97" t="n">
        <v>16</v>
      </c>
      <c r="L286" s="99" t="inlineStr">
        <is>
          <t>20260929</t>
        </is>
      </c>
      <c r="M286" s="96" t="inlineStr">
        <is>
          <t>제외</t>
        </is>
      </c>
      <c r="N286" s="96" t="inlineStr">
        <is>
          <t>순자산 268억(기준 300억 미만), 60일 거래대금 1.8억(기준 5억 미만)</t>
        </is>
      </c>
      <c r="O286" s="96" t="inlineStr">
        <is>
          <t>Bloomberg WisdomTree U.S. Quality Dividend &amp; Short Term KRW</t>
        </is>
      </c>
      <c r="P286" s="96" t="inlineStr">
        <is>
          <t>일반</t>
        </is>
      </c>
      <c r="Q286" s="96" t="inlineStr">
        <is>
          <t>멀티에셋</t>
        </is>
      </c>
      <c r="R286" s="96" t="inlineStr">
        <is>
          <t>월배당</t>
        </is>
      </c>
      <c r="S286" s="97" t="n">
        <v>11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IFERROR(INDEX($A$4:$A$593,MATCH(283,$X$4:$X$593,0)),"")</f>
        <v/>
      </c>
    </row>
    <row r="287">
      <c r="A287" s="96" t="inlineStr">
        <is>
          <t>KODEX 미국S&amp;P500변동성확대시커버드콜</t>
        </is>
      </c>
      <c r="B287" s="96" t="inlineStr">
        <is>
          <t>0089C0</t>
        </is>
      </c>
      <c r="C287" s="96" t="inlineStr">
        <is>
          <t>삼성자산운용(ETF)</t>
        </is>
      </c>
      <c r="D287" s="97" t="n">
        <v>11255</v>
      </c>
      <c r="E287" s="97" t="n">
        <v>42769000000</v>
      </c>
      <c r="F287" s="97" t="n">
        <v>368596078</v>
      </c>
      <c r="G287" s="98" t="n">
        <v>0.0039</v>
      </c>
      <c r="H287" s="98" t="n">
        <v>0.1405</v>
      </c>
      <c r="I287" s="98" t="n">
        <v>0.0009</v>
      </c>
      <c r="J287" s="98" t="n">
        <v>0.021679</v>
      </c>
      <c r="K287" s="97" t="n">
        <v>13</v>
      </c>
      <c r="L287" s="99" t="inlineStr">
        <is>
          <t>20260929</t>
        </is>
      </c>
      <c r="M287" s="96" t="inlineStr">
        <is>
          <t>제외</t>
        </is>
      </c>
      <c r="N287" s="96" t="inlineStr">
        <is>
          <t>60일 거래대금 3.7억(기준 5억 미만)</t>
        </is>
      </c>
      <c r="O287" s="96" t="inlineStr">
        <is>
          <t>Cboe S&amp;P 500 Volatility Contingent Daily Covered Call Index</t>
        </is>
      </c>
      <c r="P287" s="96" t="inlineStr">
        <is>
          <t>커버드콜</t>
        </is>
      </c>
      <c r="Q287" s="96" t="inlineStr">
        <is>
          <t>주식</t>
        </is>
      </c>
      <c r="R287" s="96" t="inlineStr">
        <is>
          <t>월배당</t>
        </is>
      </c>
      <c r="S287" s="97" t="n">
        <v>11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IFERROR(INDEX($A$4:$A$593,MATCH(284,$X$4:$X$593,0)),"")</f>
        <v/>
      </c>
    </row>
    <row r="288">
      <c r="A288" s="96" t="inlineStr">
        <is>
          <t>KODEX TRF5050</t>
        </is>
      </c>
      <c r="B288" s="96" t="inlineStr">
        <is>
          <t>329660</t>
        </is>
      </c>
      <c r="C288" s="96" t="inlineStr">
        <is>
          <t>삼성자산운용(ETF)</t>
        </is>
      </c>
      <c r="D288" s="97" t="n">
        <v>17640</v>
      </c>
      <c r="E288" s="97" t="n">
        <v>82908000000</v>
      </c>
      <c r="F288" s="97" t="n">
        <v>281710873</v>
      </c>
      <c r="G288" s="98" t="n">
        <v>0.0017</v>
      </c>
      <c r="H288" s="98" t="n">
        <v>0.0731</v>
      </c>
      <c r="I288" s="98" t="n">
        <v>0.0018</v>
      </c>
      <c r="J288" s="98" t="n">
        <v>0.021542</v>
      </c>
      <c r="K288" s="97" t="n">
        <v>14</v>
      </c>
      <c r="L288" s="99" t="inlineStr">
        <is>
          <t>20260914</t>
        </is>
      </c>
      <c r="M288" s="96" t="inlineStr">
        <is>
          <t>제외</t>
        </is>
      </c>
      <c r="N288" s="96" t="inlineStr">
        <is>
          <t>60일 거래대금 2.8억(기준 5억 미만)</t>
        </is>
      </c>
      <c r="O288" s="96" t="inlineStr">
        <is>
          <t>FnGuide TRF 5050 지수</t>
        </is>
      </c>
      <c r="P288" s="96" t="inlineStr">
        <is>
          <t>일반</t>
        </is>
      </c>
      <c r="Q288" s="96" t="inlineStr">
        <is>
          <t>멀티에셋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IFERROR(INDEX($A$4:$A$593,MATCH(285,$X$4:$X$593,0)),"")</f>
        <v/>
      </c>
    </row>
    <row r="289">
      <c r="A289" s="96" t="inlineStr">
        <is>
          <t>RISE 미국은행TOP10</t>
        </is>
      </c>
      <c r="B289" s="96" t="inlineStr">
        <is>
          <t>0013P0</t>
        </is>
      </c>
      <c r="C289" s="96" t="inlineStr">
        <is>
          <t>KB자산운용</t>
        </is>
      </c>
      <c r="D289" s="97" t="n">
        <v>11475</v>
      </c>
      <c r="E289" s="97" t="n">
        <v>12622500000</v>
      </c>
      <c r="F289" s="97" t="n">
        <v>286518902</v>
      </c>
      <c r="G289" s="98" t="n">
        <v>0.002</v>
      </c>
      <c r="H289" s="98" t="n">
        <v>0.2222</v>
      </c>
      <c r="I289" s="98" t="n">
        <v>0.0014</v>
      </c>
      <c r="J289" s="98" t="n">
        <v>0.020915</v>
      </c>
      <c r="K289" s="97" t="n">
        <v>18</v>
      </c>
      <c r="L289" s="99" t="inlineStr">
        <is>
          <t>20260929</t>
        </is>
      </c>
      <c r="M289" s="96" t="inlineStr">
        <is>
          <t>제외</t>
        </is>
      </c>
      <c r="N289" s="96" t="inlineStr">
        <is>
          <t>순자산 126억(기준 300억 미만), 60일 거래대금 2.9억(기준 5억 미만)</t>
        </is>
      </c>
      <c r="O289" s="96" t="inlineStr">
        <is>
          <t>KEDI U.S. Bank TOP10 Index (Price Return)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1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IFERROR(INDEX($A$4:$A$593,MATCH(286,$X$4:$X$593,0)),"")</f>
        <v/>
      </c>
    </row>
    <row r="290">
      <c r="A290" s="96" t="inlineStr">
        <is>
          <t>KIWOOM 미국방어배당성장나스닥</t>
        </is>
      </c>
      <c r="B290" s="96" t="inlineStr">
        <is>
          <t>373790</t>
        </is>
      </c>
      <c r="C290" s="96" t="inlineStr">
        <is>
          <t>키움투자자산운용</t>
        </is>
      </c>
      <c r="D290" s="97" t="n">
        <v>14510</v>
      </c>
      <c r="E290" s="97" t="n">
        <v>4062800000</v>
      </c>
      <c r="F290" s="97" t="n">
        <v>10828251</v>
      </c>
      <c r="G290" s="98" t="n">
        <v>0.004</v>
      </c>
      <c r="H290" s="98" t="n">
        <v>0.1427</v>
      </c>
      <c r="I290" s="98" t="n">
        <v>0.0017</v>
      </c>
      <c r="J290" s="98" t="n">
        <v>0.020813</v>
      </c>
      <c r="K290" s="97" t="n">
        <v>34</v>
      </c>
      <c r="L290" s="99" t="inlineStr">
        <is>
          <t>20260929</t>
        </is>
      </c>
      <c r="M290" s="96" t="inlineStr">
        <is>
          <t>제외</t>
        </is>
      </c>
      <c r="N290" s="96" t="inlineStr">
        <is>
          <t>순자산 41억(기준 300억 미만), 60일 거래대금 0.1억(기준 5억 미만)</t>
        </is>
      </c>
      <c r="O290" s="96" t="inlineStr">
        <is>
          <t>Nasdaq US Low Volatility Dividend Achievers Index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월배당</t>
        </is>
      </c>
      <c r="S290" s="97" t="n">
        <v>11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IFERROR(INDEX($A$4:$A$593,MATCH(287,$X$4:$X$593,0)),"")</f>
        <v/>
      </c>
    </row>
    <row r="291">
      <c r="A291" s="96" t="inlineStr">
        <is>
          <t>ACE 테슬라밸류체인액티브</t>
        </is>
      </c>
      <c r="B291" s="96" t="inlineStr">
        <is>
          <t>457480</t>
        </is>
      </c>
      <c r="C291" s="96" t="inlineStr">
        <is>
          <t>한국투자신탁운용</t>
        </is>
      </c>
      <c r="D291" s="97" t="n">
        <v>17870</v>
      </c>
      <c r="E291" s="97" t="n">
        <v>738031000000</v>
      </c>
      <c r="F291" s="97" t="n">
        <v>10722337524</v>
      </c>
      <c r="G291" s="98" t="n">
        <v>0.0029</v>
      </c>
      <c r="H291" s="98" t="n">
        <v>0.3857</v>
      </c>
      <c r="I291" s="98" t="n">
        <v>0.0157</v>
      </c>
      <c r="J291" s="98" t="n">
        <v>0.020425</v>
      </c>
      <c r="K291" s="97" t="n">
        <v>1</v>
      </c>
      <c r="L291" s="99" t="inlineStr">
        <is>
          <t>20251229</t>
        </is>
      </c>
      <c r="M291" s="96" t="inlineStr">
        <is>
          <t>제외</t>
        </is>
      </c>
      <c r="N291" s="96" t="inlineStr">
        <is>
          <t>변동성 38.6%(1년 기준, 기준 35% 초과)</t>
        </is>
      </c>
      <c r="O291" s="96" t="inlineStr">
        <is>
          <t>Bloomberg EV Supporters Plus Tesla Index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연배당</t>
        </is>
      </c>
      <c r="S291" s="97" t="n">
        <v>1</v>
      </c>
      <c r="T291" s="98" t="n">
        <v>1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IFERROR(INDEX($A$4:$A$593,MATCH(288,$X$4:$X$593,0)),"")</f>
        <v/>
      </c>
    </row>
    <row r="292">
      <c r="A292" s="96" t="inlineStr">
        <is>
          <t>KoAct 코리아밸류업액티브</t>
        </is>
      </c>
      <c r="B292" s="96" t="inlineStr">
        <is>
          <t>495230</t>
        </is>
      </c>
      <c r="C292" s="96" t="inlineStr">
        <is>
          <t>삼성액티브자산(ETF)</t>
        </is>
      </c>
      <c r="D292" s="97" t="n">
        <v>31735</v>
      </c>
      <c r="E292" s="97" t="n">
        <v>249119750000</v>
      </c>
      <c r="F292" s="97" t="n">
        <v>3352067237</v>
      </c>
      <c r="G292" s="98" t="n">
        <v>0.005</v>
      </c>
      <c r="H292" s="98" t="n">
        <v>0.5503</v>
      </c>
      <c r="I292" s="98" t="n">
        <v>0.002</v>
      </c>
      <c r="J292" s="98" t="n">
        <v>0.02023</v>
      </c>
      <c r="K292" s="97" t="n">
        <v>22</v>
      </c>
      <c r="L292" s="99" t="inlineStr">
        <is>
          <t>20260929</t>
        </is>
      </c>
      <c r="M292" s="96" t="inlineStr">
        <is>
          <t>제외</t>
        </is>
      </c>
      <c r="N292" s="96" t="inlineStr">
        <is>
          <t>변동성 55.0%(1년 기준, 기준 35% 초과)</t>
        </is>
      </c>
      <c r="O292" s="96" t="inlineStr">
        <is>
          <t>코리아 밸류업 지수</t>
        </is>
      </c>
      <c r="P292" s="96" t="inlineStr">
        <is>
          <t>일반</t>
        </is>
      </c>
      <c r="Q292" s="96" t="inlineStr">
        <is>
          <t>주식</t>
        </is>
      </c>
      <c r="R292" s="96" t="inlineStr">
        <is>
          <t>월배당</t>
        </is>
      </c>
      <c r="S292" s="97" t="n">
        <v>11</v>
      </c>
      <c r="T292" s="98" t="n">
        <v>0.3474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IFERROR(INDEX($A$4:$A$593,MATCH(289,$X$4:$X$593,0)),"")</f>
        <v/>
      </c>
    </row>
    <row r="293">
      <c r="A293" s="96" t="inlineStr">
        <is>
          <t>RISE 고배당</t>
        </is>
      </c>
      <c r="B293" s="96" t="inlineStr">
        <is>
          <t>266160</t>
        </is>
      </c>
      <c r="C293" s="96" t="inlineStr">
        <is>
          <t>KB자산운용</t>
        </is>
      </c>
      <c r="D293" s="97" t="n">
        <v>33295</v>
      </c>
      <c r="E293" s="97" t="n">
        <v>211423250000</v>
      </c>
      <c r="F293" s="97" t="n">
        <v>1306453808</v>
      </c>
      <c r="G293" s="98" t="n">
        <v>0.002</v>
      </c>
      <c r="H293" s="98" t="n">
        <v>0.4801</v>
      </c>
      <c r="I293" s="98" t="n">
        <v>0.0028</v>
      </c>
      <c r="J293" s="98" t="n">
        <v>0.018772</v>
      </c>
      <c r="K293" s="97" t="n">
        <v>19</v>
      </c>
      <c r="L293" s="99" t="inlineStr">
        <is>
          <t>20260730</t>
        </is>
      </c>
      <c r="M293" s="96" t="inlineStr">
        <is>
          <t>제외</t>
        </is>
      </c>
      <c r="N293" s="96" t="inlineStr">
        <is>
          <t>변동성 48.0%(1년 기준, 기준 35% 초과)</t>
        </is>
      </c>
      <c r="O293" s="96" t="inlineStr">
        <is>
          <t>FnGuide 고배당포커스 지수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분기배당</t>
        </is>
      </c>
      <c r="S293" s="97" t="n">
        <v>3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IFERROR(INDEX($A$4:$A$593,MATCH(290,$X$4:$X$593,0)),"")</f>
        <v/>
      </c>
    </row>
    <row r="294">
      <c r="A294" s="96" t="inlineStr">
        <is>
          <t>KODEX TRF7030</t>
        </is>
      </c>
      <c r="B294" s="96" t="inlineStr">
        <is>
          <t>329670</t>
        </is>
      </c>
      <c r="C294" s="96" t="inlineStr">
        <is>
          <t>삼성자산운용(ETF)</t>
        </is>
      </c>
      <c r="D294" s="97" t="n">
        <v>21615</v>
      </c>
      <c r="E294" s="97" t="n">
        <v>86460000000</v>
      </c>
      <c r="F294" s="97" t="n">
        <v>338607014</v>
      </c>
      <c r="G294" s="98" t="n">
        <v>0.001</v>
      </c>
      <c r="H294" s="98" t="n">
        <v>0.1029</v>
      </c>
      <c r="I294" s="98" t="n">
        <v>0.0015</v>
      </c>
      <c r="J294" s="98" t="n">
        <v>0.018644</v>
      </c>
      <c r="K294" s="97" t="n">
        <v>14</v>
      </c>
      <c r="L294" s="99" t="inlineStr">
        <is>
          <t>20260914</t>
        </is>
      </c>
      <c r="M294" s="96" t="inlineStr">
        <is>
          <t>제외</t>
        </is>
      </c>
      <c r="N294" s="96" t="inlineStr">
        <is>
          <t>60일 거래대금 3.4억(기준 5억 미만)</t>
        </is>
      </c>
      <c r="O294" s="96" t="inlineStr">
        <is>
          <t>FnGuide TRF 7030 지수</t>
        </is>
      </c>
      <c r="P294" s="96" t="inlineStr">
        <is>
          <t>일반</t>
        </is>
      </c>
      <c r="Q294" s="96" t="inlineStr">
        <is>
          <t>멀티에셋</t>
        </is>
      </c>
      <c r="R294" s="96" t="inlineStr">
        <is>
          <t>월배당</t>
        </is>
      </c>
      <c r="S294" s="97" t="n">
        <v>11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IFERROR(INDEX($A$4:$A$593,MATCH(291,$X$4:$X$593,0)),"")</f>
        <v/>
      </c>
    </row>
    <row r="295">
      <c r="A295" s="96" t="inlineStr">
        <is>
          <t>RISE 글로벌주식분산액티브</t>
        </is>
      </c>
      <c r="B295" s="96" t="inlineStr">
        <is>
          <t>459750</t>
        </is>
      </c>
      <c r="C295" s="96" t="inlineStr">
        <is>
          <t>KB자산운용</t>
        </is>
      </c>
      <c r="D295" s="97" t="n">
        <v>17435</v>
      </c>
      <c r="E295" s="97" t="n">
        <v>30511250000</v>
      </c>
      <c r="F295" s="97" t="n">
        <v>163383190</v>
      </c>
      <c r="G295" s="98" t="n">
        <v>0.002</v>
      </c>
      <c r="H295" s="98" t="n">
        <v>0.1424</v>
      </c>
      <c r="I295" s="98" t="n">
        <v>0.005</v>
      </c>
      <c r="J295" s="98" t="n">
        <v>0.018411</v>
      </c>
      <c r="K295" s="97" t="n">
        <v>2</v>
      </c>
      <c r="L295" s="99" t="inlineStr">
        <is>
          <t>20260730</t>
        </is>
      </c>
      <c r="M295" s="96" t="inlineStr">
        <is>
          <t>제외</t>
        </is>
      </c>
      <c r="N295" s="96" t="inlineStr">
        <is>
          <t>60일 거래대금 1.6억(기준 5억 미만)</t>
        </is>
      </c>
      <c r="O295" s="96" t="inlineStr">
        <is>
          <t>Bloomberg Global Equity Market Weighted Price Return Index</t>
        </is>
      </c>
      <c r="P295" s="96" t="inlineStr">
        <is>
          <t>일반</t>
        </is>
      </c>
      <c r="Q295" s="96" t="inlineStr">
        <is>
          <t>주식</t>
        </is>
      </c>
      <c r="R295" s="96" t="inlineStr">
        <is>
          <t>반기배당</t>
        </is>
      </c>
      <c r="S295" s="97" t="n">
        <v>2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IFERROR(INDEX($A$4:$A$593,MATCH(292,$X$4:$X$593,0)),"")</f>
        <v/>
      </c>
    </row>
    <row r="296">
      <c r="A296" s="96" t="inlineStr">
        <is>
          <t>RISE 단기채권알파액티브</t>
        </is>
      </c>
      <c r="B296" s="96" t="inlineStr">
        <is>
          <t>385550</t>
        </is>
      </c>
      <c r="C296" s="96" t="inlineStr">
        <is>
          <t>KB자산운용</t>
        </is>
      </c>
      <c r="D296" s="97" t="n">
        <v>114260</v>
      </c>
      <c r="E296" s="97" t="n">
        <v>258227600000</v>
      </c>
      <c r="F296" s="97" t="n">
        <v>413277269</v>
      </c>
      <c r="G296" s="98" t="n">
        <v>0.0005</v>
      </c>
      <c r="H296" s="98" t="n">
        <v>0.0185</v>
      </c>
      <c r="I296" s="98" t="n">
        <v>0.018</v>
      </c>
      <c r="J296" s="98" t="n">
        <v>0.017959</v>
      </c>
      <c r="K296" s="97" t="n">
        <v>1</v>
      </c>
      <c r="L296" s="99" t="inlineStr">
        <is>
          <t>20251212</t>
        </is>
      </c>
      <c r="M296" s="96" t="inlineStr">
        <is>
          <t>제외</t>
        </is>
      </c>
      <c r="N296" s="96" t="inlineStr">
        <is>
          <t>60일 거래대금 4.1억(기준 5억 미만)</t>
        </is>
      </c>
      <c r="O296" s="96" t="inlineStr">
        <is>
          <t>KIS 단기종합채권 지수(AA-이상)</t>
        </is>
      </c>
      <c r="P296" s="96" t="inlineStr">
        <is>
          <t>일반</t>
        </is>
      </c>
      <c r="Q296" s="96" t="inlineStr">
        <is>
          <t>채권</t>
        </is>
      </c>
      <c r="R296" s="96" t="inlineStr">
        <is>
          <t>연배당</t>
        </is>
      </c>
      <c r="S296" s="97" t="n">
        <v>1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IFERROR(INDEX($A$4:$A$593,MATCH(293,$X$4:$X$593,0)),"")</f>
        <v/>
      </c>
    </row>
    <row r="297">
      <c r="A297" s="96" t="inlineStr">
        <is>
          <t>KODEX 26-12 회사채(AA-이상)액티브</t>
        </is>
      </c>
      <c r="B297" s="96" t="inlineStr">
        <is>
          <t>473290</t>
        </is>
      </c>
      <c r="C297" s="96" t="inlineStr">
        <is>
          <t>삼성자산운용(ETF)</t>
        </is>
      </c>
      <c r="D297" s="97" t="n">
        <v>10905</v>
      </c>
      <c r="E297" s="97" t="n">
        <v>273715500000</v>
      </c>
      <c r="F297" s="97" t="n">
        <v>485753644</v>
      </c>
      <c r="G297" s="98" t="n">
        <v>0.0009</v>
      </c>
      <c r="H297" s="98" t="n">
        <v>0.0185</v>
      </c>
      <c r="I297" s="98" t="n">
        <v>0.0179</v>
      </c>
      <c r="J297" s="98" t="n">
        <v>0.017882</v>
      </c>
      <c r="K297" s="97" t="n">
        <v>1</v>
      </c>
      <c r="L297" s="99" t="inlineStr">
        <is>
          <t>20251212</t>
        </is>
      </c>
      <c r="M297" s="96" t="inlineStr">
        <is>
          <t>제외</t>
        </is>
      </c>
      <c r="N297" s="96" t="inlineStr">
        <is>
          <t>60일 거래대금 4.9억(기준 5억 미만)</t>
        </is>
      </c>
      <c r="O297" s="96" t="inlineStr">
        <is>
          <t>KAP 26-12 회사채 총수익 지수(AA- 이상)</t>
        </is>
      </c>
      <c r="P297" s="96" t="inlineStr">
        <is>
          <t>일반</t>
        </is>
      </c>
      <c r="Q297" s="96" t="inlineStr">
        <is>
          <t>채권</t>
        </is>
      </c>
      <c r="R297" s="96" t="inlineStr">
        <is>
          <t>연배당</t>
        </is>
      </c>
      <c r="S297" s="97" t="n">
        <v>1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IFERROR(INDEX($A$4:$A$593,MATCH(294,$X$4:$X$593,0)),"")</f>
        <v/>
      </c>
    </row>
    <row r="298">
      <c r="A298" s="96" t="inlineStr">
        <is>
          <t>KODEX TDF2030액티브 적격</t>
        </is>
      </c>
      <c r="B298" s="96" t="inlineStr">
        <is>
          <t>433970</t>
        </is>
      </c>
      <c r="C298" s="96" t="inlineStr">
        <is>
          <t>삼성자산운용(ETF)</t>
        </is>
      </c>
      <c r="D298" s="97" t="n">
        <v>13865</v>
      </c>
      <c r="E298" s="97" t="n">
        <v>94282000000</v>
      </c>
      <c r="F298" s="97" t="n">
        <v>372663670</v>
      </c>
      <c r="G298" s="98" t="n">
        <v>0.002</v>
      </c>
      <c r="H298" s="98" t="n">
        <v>0.07629999999999999</v>
      </c>
      <c r="I298" s="98" t="n">
        <v>0.004699999999999999</v>
      </c>
      <c r="J298" s="98" t="n">
        <v>0.017743</v>
      </c>
      <c r="K298" s="97" t="n">
        <v>11</v>
      </c>
      <c r="L298" s="99" t="inlineStr">
        <is>
          <t>20260730</t>
        </is>
      </c>
      <c r="M298" s="96" t="inlineStr">
        <is>
          <t>제외</t>
        </is>
      </c>
      <c r="N298" s="96" t="inlineStr">
        <is>
          <t>60일 거래대금 3.7억(기준 5억 미만)</t>
        </is>
      </c>
      <c r="O298" s="96" t="inlineStr">
        <is>
          <t>Samsung Korea Target Date 2030 Index</t>
        </is>
      </c>
      <c r="P298" s="96" t="inlineStr">
        <is>
          <t>일반</t>
        </is>
      </c>
      <c r="Q298" s="96" t="inlineStr">
        <is>
          <t>멀티에셋</t>
        </is>
      </c>
      <c r="R298" s="96" t="inlineStr">
        <is>
          <t>분기배당</t>
        </is>
      </c>
      <c r="S298" s="97" t="n">
        <v>3</v>
      </c>
      <c r="T298" s="98" t="n">
        <v>1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IFERROR(INDEX($A$4:$A$593,MATCH(295,$X$4:$X$593,0)),"")</f>
        <v/>
      </c>
    </row>
    <row r="299">
      <c r="A299" s="96" t="inlineStr">
        <is>
          <t>TIGER 원유선물인버스(H)</t>
        </is>
      </c>
      <c r="B299" s="96" t="inlineStr">
        <is>
          <t>217770</t>
        </is>
      </c>
      <c r="C299" s="96" t="inlineStr">
        <is>
          <t>미래에셋자산운용</t>
        </is>
      </c>
      <c r="D299" s="97" t="n">
        <v>1130</v>
      </c>
      <c r="E299" s="97" t="n">
        <v>32939500000</v>
      </c>
      <c r="F299" s="97" t="n">
        <v>794017588</v>
      </c>
      <c r="G299" s="98" t="n">
        <v>0.0069</v>
      </c>
      <c r="H299" s="98" t="n">
        <v>0.5058</v>
      </c>
      <c r="I299" s="98" t="n">
        <v>0.0072</v>
      </c>
      <c r="J299" s="98" t="n">
        <v>0.017699</v>
      </c>
      <c r="K299" s="97" t="n">
        <v>1</v>
      </c>
      <c r="L299" s="99" t="inlineStr">
        <is>
          <t>20251229</t>
        </is>
      </c>
      <c r="M299" s="96" t="inlineStr">
        <is>
          <t>제외</t>
        </is>
      </c>
      <c r="N299" s="96" t="inlineStr">
        <is>
          <t>변동성 50.6%(1년 기준, 기준 35% 초과)</t>
        </is>
      </c>
      <c r="O299" s="96" t="inlineStr">
        <is>
          <t>S&amp;P GSCI Crude Oil</t>
        </is>
      </c>
      <c r="P299" s="96" t="inlineStr">
        <is>
          <t>일반</t>
        </is>
      </c>
      <c r="Q299" s="96" t="inlineStr">
        <is>
          <t>원자재</t>
        </is>
      </c>
      <c r="R299" s="96" t="inlineStr">
        <is>
          <t>연배당</t>
        </is>
      </c>
      <c r="S299" s="97" t="n">
        <v>1</v>
      </c>
      <c r="T299" s="98" t="n">
        <v>0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IFERROR(INDEX($A$4:$A$593,MATCH(296,$X$4:$X$593,0)),"")</f>
        <v/>
      </c>
    </row>
    <row r="300">
      <c r="A300" s="96" t="inlineStr">
        <is>
          <t>KODEX 보험</t>
        </is>
      </c>
      <c r="B300" s="96" t="inlineStr">
        <is>
          <t>140700</t>
        </is>
      </c>
      <c r="C300" s="96" t="inlineStr">
        <is>
          <t>삼성자산운용(ETF)</t>
        </is>
      </c>
      <c r="D300" s="97" t="n">
        <v>20065</v>
      </c>
      <c r="E300" s="97" t="n">
        <v>60195000000</v>
      </c>
      <c r="F300" s="97" t="n">
        <v>2907749652</v>
      </c>
      <c r="G300" s="98" t="n">
        <v>0.004500000000000001</v>
      </c>
      <c r="H300" s="98" t="n">
        <v>0.4092</v>
      </c>
      <c r="I300" s="98" t="n">
        <v>0.0014</v>
      </c>
      <c r="J300" s="98" t="n">
        <v>0.017543</v>
      </c>
      <c r="K300" s="97" t="n">
        <v>6</v>
      </c>
      <c r="L300" s="99" t="inlineStr">
        <is>
          <t>20260730</t>
        </is>
      </c>
      <c r="M300" s="96" t="inlineStr">
        <is>
          <t>제외</t>
        </is>
      </c>
      <c r="N300" s="96" t="inlineStr">
        <is>
          <t>변동성 40.9%(1년 기준, 기준 35% 초과)</t>
        </is>
      </c>
      <c r="O300" s="96" t="inlineStr">
        <is>
          <t>KRX 보험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연배당</t>
        </is>
      </c>
      <c r="S300" s="97" t="n">
        <v>2</v>
      </c>
      <c r="T300" s="98" t="n">
        <v>0.9943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IFERROR(INDEX($A$4:$A$593,MATCH(297,$X$4:$X$593,0)),"")</f>
        <v/>
      </c>
    </row>
    <row r="301">
      <c r="A301" s="96" t="inlineStr">
        <is>
          <t>TIGER 우선주</t>
        </is>
      </c>
      <c r="B301" s="96" t="inlineStr">
        <is>
          <t>261140</t>
        </is>
      </c>
      <c r="C301" s="96" t="inlineStr">
        <is>
          <t>미래에셋자산운용</t>
        </is>
      </c>
      <c r="D301" s="97" t="n">
        <v>24455</v>
      </c>
      <c r="E301" s="97" t="n">
        <v>31302400000</v>
      </c>
      <c r="F301" s="97" t="n">
        <v>418335738</v>
      </c>
      <c r="G301" s="98" t="n">
        <v>0.0029</v>
      </c>
      <c r="H301" s="98" t="n">
        <v>0.4786</v>
      </c>
      <c r="I301" s="98" t="n">
        <v>0.0024</v>
      </c>
      <c r="J301" s="98" t="n">
        <v>0.017379</v>
      </c>
      <c r="K301" s="97" t="n">
        <v>16</v>
      </c>
      <c r="L301" s="99" t="inlineStr">
        <is>
          <t>20260730</t>
        </is>
      </c>
      <c r="M301" s="96" t="inlineStr">
        <is>
          <t>제외</t>
        </is>
      </c>
      <c r="N301" s="96" t="inlineStr">
        <is>
          <t>60일 거래대금 4.2억(기준 5억 미만), 변동성 47.9%(1년 기준, 기준 35% 초과)</t>
        </is>
      </c>
      <c r="O301" s="96" t="inlineStr">
        <is>
          <t>코스피 우선주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2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IFERROR(INDEX($A$4:$A$593,MATCH(298,$X$4:$X$593,0)),"")</f>
        <v/>
      </c>
    </row>
    <row r="302">
      <c r="A302" s="96" t="inlineStr">
        <is>
          <t>KODEX ESG종합채권(A-이상)액티브</t>
        </is>
      </c>
      <c r="B302" s="96" t="inlineStr">
        <is>
          <t>439860</t>
        </is>
      </c>
      <c r="C302" s="96" t="inlineStr">
        <is>
          <t>삼성자산운용(ETF)</t>
        </is>
      </c>
      <c r="D302" s="97" t="n">
        <v>113650</v>
      </c>
      <c r="E302" s="97" t="n">
        <v>390160450000</v>
      </c>
      <c r="F302" s="97" t="n">
        <v>59364509</v>
      </c>
      <c r="G302" s="98" t="n">
        <v>0.0007000000000000001</v>
      </c>
      <c r="H302" s="98" t="n">
        <v>0.0248</v>
      </c>
      <c r="I302" s="98" t="n">
        <v>0.0168</v>
      </c>
      <c r="J302" s="98" t="n">
        <v>0.017035</v>
      </c>
      <c r="K302" s="97" t="n">
        <v>1</v>
      </c>
      <c r="L302" s="99" t="inlineStr">
        <is>
          <t>20251212</t>
        </is>
      </c>
      <c r="M302" s="96" t="inlineStr">
        <is>
          <t>제외</t>
        </is>
      </c>
      <c r="N302" s="96" t="inlineStr">
        <is>
          <t>60일 거래대금 0.6억(기준 5억 미만)</t>
        </is>
      </c>
      <c r="O302" s="96" t="inlineStr">
        <is>
          <t>KAP ESG 종합채권지수(A- 이상, 총수익)</t>
        </is>
      </c>
      <c r="P302" s="96" t="inlineStr">
        <is>
          <t>일반</t>
        </is>
      </c>
      <c r="Q302" s="96" t="inlineStr">
        <is>
          <t>채권</t>
        </is>
      </c>
      <c r="R302" s="96" t="inlineStr">
        <is>
          <t>연배당</t>
        </is>
      </c>
      <c r="S302" s="97" t="n">
        <v>1</v>
      </c>
      <c r="T302" s="98" t="n">
        <v>1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IFERROR(INDEX($A$4:$A$593,MATCH(299,$X$4:$X$593,0)),"")</f>
        <v/>
      </c>
    </row>
    <row r="303">
      <c r="A303" s="96" t="inlineStr">
        <is>
          <t>KODEX 장기종합채권(AA-이상)액티브</t>
        </is>
      </c>
      <c r="B303" s="96" t="inlineStr">
        <is>
          <t>363570</t>
        </is>
      </c>
      <c r="C303" s="96" t="inlineStr">
        <is>
          <t>삼성자산운용(ETF)</t>
        </is>
      </c>
      <c r="D303" s="97" t="n">
        <v>86675</v>
      </c>
      <c r="E303" s="97" t="n">
        <v>228735325000</v>
      </c>
      <c r="F303" s="97" t="n">
        <v>161013891</v>
      </c>
      <c r="G303" s="98" t="n">
        <v>0.00045</v>
      </c>
      <c r="H303" s="98" t="n">
        <v>0.0823</v>
      </c>
      <c r="I303" s="98" t="n">
        <v>0.0151</v>
      </c>
      <c r="J303" s="98" t="n">
        <v>0.016948</v>
      </c>
      <c r="K303" s="97" t="n">
        <v>1</v>
      </c>
      <c r="L303" s="99" t="inlineStr">
        <is>
          <t>20251212</t>
        </is>
      </c>
      <c r="M303" s="96" t="inlineStr">
        <is>
          <t>제외</t>
        </is>
      </c>
      <c r="N303" s="96" t="inlineStr">
        <is>
          <t>60일 거래대금 1.6억(기준 5억 미만)</t>
        </is>
      </c>
      <c r="O303" s="96" t="inlineStr">
        <is>
          <t>KAP 한국장기종합채권지수(AA- 이상,총수익)</t>
        </is>
      </c>
      <c r="P303" s="96" t="inlineStr">
        <is>
          <t>일반</t>
        </is>
      </c>
      <c r="Q303" s="96" t="inlineStr">
        <is>
          <t>채권</t>
        </is>
      </c>
      <c r="R303" s="96" t="inlineStr">
        <is>
          <t>연배당</t>
        </is>
      </c>
      <c r="S303" s="97" t="n">
        <v>1</v>
      </c>
      <c r="T303" s="98" t="n">
        <v>0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IFERROR(INDEX($A$4:$A$593,MATCH(300,$X$4:$X$593,0)),"")</f>
        <v/>
      </c>
    </row>
    <row r="304">
      <c r="A304" s="96" t="inlineStr">
        <is>
          <t>SOL 자동차TOP3플러스</t>
        </is>
      </c>
      <c r="B304" s="96" t="inlineStr">
        <is>
          <t>466930</t>
        </is>
      </c>
      <c r="C304" s="96" t="inlineStr">
        <is>
          <t>신한자산운용</t>
        </is>
      </c>
      <c r="D304" s="97" t="n">
        <v>23460</v>
      </c>
      <c r="E304" s="97" t="n">
        <v>184161000000</v>
      </c>
      <c r="F304" s="97" t="n">
        <v>15057324789</v>
      </c>
      <c r="G304" s="98" t="n">
        <v>0.004500000000000001</v>
      </c>
      <c r="H304" s="98" t="n">
        <v>0.578</v>
      </c>
      <c r="I304" s="98" t="n">
        <v>0.0155</v>
      </c>
      <c r="J304" s="98" t="n">
        <v>0.016709</v>
      </c>
      <c r="K304" s="97" t="n">
        <v>3</v>
      </c>
      <c r="L304" s="99" t="inlineStr">
        <is>
          <t>20260429</t>
        </is>
      </c>
      <c r="M304" s="96" t="inlineStr">
        <is>
          <t>제외</t>
        </is>
      </c>
      <c r="N304" s="96" t="inlineStr">
        <is>
          <t>변동성 57.8%(1년 기준, 기준 35% 초과)</t>
        </is>
      </c>
      <c r="O304" s="96" t="inlineStr">
        <is>
          <t>FnGuide 자동차 TOP3 플러스 지수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연배당</t>
        </is>
      </c>
      <c r="S304" s="97" t="n">
        <v>1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IFERROR(INDEX($A$4:$A$593,MATCH(301,$X$4:$X$593,0)),"")</f>
        <v/>
      </c>
    </row>
    <row r="305">
      <c r="A305" s="96" t="inlineStr">
        <is>
          <t>TIGER 글로벌비만치료제TOP2Plus</t>
        </is>
      </c>
      <c r="B305" s="96" t="inlineStr">
        <is>
          <t>476690</t>
        </is>
      </c>
      <c r="C305" s="96" t="inlineStr">
        <is>
          <t>미래에셋자산운용</t>
        </is>
      </c>
      <c r="D305" s="97" t="n">
        <v>9880</v>
      </c>
      <c r="E305" s="97" t="n">
        <v>29640000000</v>
      </c>
      <c r="F305" s="97" t="n">
        <v>217120807</v>
      </c>
      <c r="G305" s="98" t="n">
        <v>0.004500000000000001</v>
      </c>
      <c r="H305" s="98" t="n">
        <v>0.2434</v>
      </c>
      <c r="I305" s="98" t="n">
        <v>0.0011</v>
      </c>
      <c r="J305" s="98" t="n">
        <v>0.0167</v>
      </c>
      <c r="K305" s="97" t="n">
        <v>31</v>
      </c>
      <c r="L305" s="99" t="inlineStr">
        <is>
          <t>20260929</t>
        </is>
      </c>
      <c r="M305" s="96" t="inlineStr">
        <is>
          <t>제외</t>
        </is>
      </c>
      <c r="N305" s="96" t="inlineStr">
        <is>
          <t>순자산 296억(기준 300억 미만), 60일 거래대금 2.2억(기준 5억 미만)</t>
        </is>
      </c>
      <c r="O305" s="96" t="inlineStr">
        <is>
          <t>Indxx Global Obesity Treatment Top 2 Plus Index</t>
        </is>
      </c>
      <c r="P305" s="96" t="inlineStr">
        <is>
          <t>일반</t>
        </is>
      </c>
      <c r="Q305" s="96" t="inlineStr">
        <is>
          <t>주식</t>
        </is>
      </c>
      <c r="R305" s="96" t="inlineStr">
        <is>
          <t>월배당</t>
        </is>
      </c>
      <c r="S305" s="97" t="n">
        <v>11</v>
      </c>
      <c r="T305" s="98" t="n">
        <v>0.8545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IFERROR(INDEX($A$4:$A$593,MATCH(302,$X$4:$X$593,0)),"")</f>
        <v/>
      </c>
    </row>
    <row r="306">
      <c r="A306" s="96" t="inlineStr">
        <is>
          <t>TIGER 중국소비테마</t>
        </is>
      </c>
      <c r="B306" s="96" t="inlineStr">
        <is>
          <t>150460</t>
        </is>
      </c>
      <c r="C306" s="96" t="inlineStr">
        <is>
          <t>미래에셋자산운용</t>
        </is>
      </c>
      <c r="D306" s="97" t="n">
        <v>7265</v>
      </c>
      <c r="E306" s="97" t="n">
        <v>53397750000</v>
      </c>
      <c r="F306" s="97" t="n">
        <v>213029911</v>
      </c>
      <c r="G306" s="98" t="n">
        <v>0.005</v>
      </c>
      <c r="H306" s="98" t="n">
        <v>0.3001</v>
      </c>
      <c r="I306" s="98" t="n">
        <v>0.0121</v>
      </c>
      <c r="J306" s="98" t="n">
        <v>0.015829</v>
      </c>
      <c r="K306" s="97" t="n">
        <v>7</v>
      </c>
      <c r="L306" s="99" t="inlineStr">
        <is>
          <t>20260429</t>
        </is>
      </c>
      <c r="M306" s="96" t="inlineStr">
        <is>
          <t>제외</t>
        </is>
      </c>
      <c r="N306" s="96" t="inlineStr">
        <is>
          <t>60일 거래대금 2.1억(기준 5억 미만)</t>
        </is>
      </c>
      <c r="O306" s="96" t="inlineStr">
        <is>
          <t>FnGuide 중국내수테마</t>
        </is>
      </c>
      <c r="P306" s="96" t="inlineStr">
        <is>
          <t>일반</t>
        </is>
      </c>
      <c r="Q306" s="96" t="inlineStr">
        <is>
          <t>주식</t>
        </is>
      </c>
      <c r="R306" s="96" t="inlineStr">
        <is>
          <t>연배당</t>
        </is>
      </c>
      <c r="S306" s="97" t="n">
        <v>1</v>
      </c>
      <c r="T306" s="98" t="n">
        <v>0.6348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IFERROR(INDEX($A$4:$A$593,MATCH(303,$X$4:$X$593,0)),"")</f>
        <v/>
      </c>
    </row>
    <row r="307">
      <c r="A307" s="96" t="inlineStr">
        <is>
          <t>KODEX 일본TOPIX100</t>
        </is>
      </c>
      <c r="B307" s="96" t="inlineStr">
        <is>
          <t>101280</t>
        </is>
      </c>
      <c r="C307" s="96" t="inlineStr">
        <is>
          <t>삼성자산운용(ETF)</t>
        </is>
      </c>
      <c r="D307" s="97" t="n">
        <v>30330</v>
      </c>
      <c r="E307" s="97" t="n">
        <v>52167600000</v>
      </c>
      <c r="F307" s="97" t="n">
        <v>360179325</v>
      </c>
      <c r="G307" s="98" t="n">
        <v>0.0019</v>
      </c>
      <c r="H307" s="98" t="n">
        <v>0.2468</v>
      </c>
      <c r="I307" s="98" t="n">
        <v>0.0017</v>
      </c>
      <c r="J307" s="98" t="n">
        <v>0.015661</v>
      </c>
      <c r="K307" s="97" t="n">
        <v>10</v>
      </c>
      <c r="L307" s="99" t="inlineStr">
        <is>
          <t>20260730</t>
        </is>
      </c>
      <c r="M307" s="96" t="inlineStr">
        <is>
          <t>제외</t>
        </is>
      </c>
      <c r="N307" s="96" t="inlineStr">
        <is>
          <t>60일 거래대금 3.6억(기준 5억 미만)</t>
        </is>
      </c>
      <c r="O307" s="96" t="inlineStr">
        <is>
          <t>TOPIX 100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분기배당</t>
        </is>
      </c>
      <c r="S307" s="97" t="n">
        <v>3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IFERROR(INDEX($A$4:$A$593,MATCH(304,$X$4:$X$593,0)),"")</f>
        <v/>
      </c>
    </row>
    <row r="308">
      <c r="A308" s="96" t="inlineStr">
        <is>
          <t>TIGER 미국캐시카우100</t>
        </is>
      </c>
      <c r="B308" s="96" t="inlineStr">
        <is>
          <t>465670</t>
        </is>
      </c>
      <c r="C308" s="96" t="inlineStr">
        <is>
          <t>미래에셋자산운용</t>
        </is>
      </c>
      <c r="D308" s="97" t="n">
        <v>15530</v>
      </c>
      <c r="E308" s="97" t="n">
        <v>19412500000</v>
      </c>
      <c r="F308" s="97" t="n">
        <v>313013744</v>
      </c>
      <c r="G308" s="98" t="n">
        <v>0.0025</v>
      </c>
      <c r="H308" s="98" t="n">
        <v>0.1719</v>
      </c>
      <c r="I308" s="98" t="n">
        <v>0.0014</v>
      </c>
      <c r="J308" s="98" t="n">
        <v>0.015454</v>
      </c>
      <c r="K308" s="97" t="n">
        <v>36</v>
      </c>
      <c r="L308" s="99" t="inlineStr">
        <is>
          <t>20260929</t>
        </is>
      </c>
      <c r="M308" s="96" t="inlineStr">
        <is>
          <t>제외</t>
        </is>
      </c>
      <c r="N308" s="96" t="inlineStr">
        <is>
          <t>순자산 194억(기준 300억 미만), 60일 거래대금 3.1억(기준 5억 미만)</t>
        </is>
      </c>
      <c r="O308" s="96" t="inlineStr">
        <is>
          <t>Global X U.S. Cash Flow Kings 100 Index PR</t>
        </is>
      </c>
      <c r="P308" s="96" t="inlineStr">
        <is>
          <t>일반</t>
        </is>
      </c>
      <c r="Q308" s="96" t="inlineStr">
        <is>
          <t>주식</t>
        </is>
      </c>
      <c r="R308" s="96" t="inlineStr">
        <is>
          <t>월배당</t>
        </is>
      </c>
      <c r="S308" s="97" t="n">
        <v>11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IFERROR(INDEX($A$4:$A$593,MATCH(305,$X$4:$X$593,0)),"")</f>
        <v/>
      </c>
    </row>
    <row r="309">
      <c r="A309" s="96" t="inlineStr">
        <is>
          <t>KODEX 27-12 회사채(AA-이상)액티브</t>
        </is>
      </c>
      <c r="B309" s="96" t="inlineStr">
        <is>
          <t>0007F0</t>
        </is>
      </c>
      <c r="C309" s="96" t="inlineStr">
        <is>
          <t>삼성자산운용(ETF)</t>
        </is>
      </c>
      <c r="D309" s="97" t="n">
        <v>10190</v>
      </c>
      <c r="E309" s="97" t="n">
        <v>651548600000</v>
      </c>
      <c r="F309" s="97" t="n">
        <v>378688328</v>
      </c>
      <c r="G309" s="98" t="n">
        <v>0.0009</v>
      </c>
      <c r="H309" s="98" t="n">
        <v>0.0188</v>
      </c>
      <c r="I309" s="98" t="n">
        <v>0.0154</v>
      </c>
      <c r="J309" s="98" t="n">
        <v>0.015407</v>
      </c>
      <c r="K309" s="97" t="n">
        <v>1</v>
      </c>
      <c r="L309" s="99" t="inlineStr">
        <is>
          <t>20251212</t>
        </is>
      </c>
      <c r="M309" s="96" t="inlineStr">
        <is>
          <t>제외</t>
        </is>
      </c>
      <c r="N309" s="96" t="inlineStr">
        <is>
          <t>60일 거래대금 3.8억(기준 5억 미만)</t>
        </is>
      </c>
      <c r="O309" s="96" t="inlineStr">
        <is>
          <t>KAP 27-12 회사채 총수익 지수(AA-이상)</t>
        </is>
      </c>
      <c r="P309" s="96" t="inlineStr">
        <is>
          <t>일반</t>
        </is>
      </c>
      <c r="Q309" s="96" t="inlineStr">
        <is>
          <t>채권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IFERROR(INDEX($A$4:$A$593,MATCH(306,$X$4:$X$593,0)),"")</f>
        <v/>
      </c>
    </row>
    <row r="310">
      <c r="A310" s="96" t="inlineStr">
        <is>
          <t>ACE 11월만기자동연장회사채AA-이상액티브</t>
        </is>
      </c>
      <c r="B310" s="96" t="inlineStr">
        <is>
          <t>473440</t>
        </is>
      </c>
      <c r="C310" s="96" t="inlineStr">
        <is>
          <t>한국투신운용(ETF)</t>
        </is>
      </c>
      <c r="D310" s="97" t="n">
        <v>10865</v>
      </c>
      <c r="E310" s="97" t="n">
        <v>94525500000</v>
      </c>
      <c r="F310" s="97" t="n">
        <v>28974794</v>
      </c>
      <c r="G310" s="98" t="n">
        <v>0.0005</v>
      </c>
      <c r="H310" s="98" t="n">
        <v>0.0158</v>
      </c>
      <c r="I310" s="98" t="n">
        <v>0.0155</v>
      </c>
      <c r="J310" s="98" t="n">
        <v>0.01537</v>
      </c>
      <c r="K310" s="97" t="n">
        <v>1</v>
      </c>
      <c r="L310" s="99" t="inlineStr">
        <is>
          <t>20251127</t>
        </is>
      </c>
      <c r="M310" s="96" t="inlineStr">
        <is>
          <t>제외</t>
        </is>
      </c>
      <c r="N310" s="96" t="inlineStr">
        <is>
          <t>60일 거래대금 0.3억(기준 5억 미만)</t>
        </is>
      </c>
      <c r="O310" s="96" t="inlineStr">
        <is>
          <t>KIS 11월 만기자동연장회사채 (AA-이상) 총수익 지수</t>
        </is>
      </c>
      <c r="P310" s="96" t="inlineStr">
        <is>
          <t>일반</t>
        </is>
      </c>
      <c r="Q310" s="96" t="inlineStr">
        <is>
          <t>채권</t>
        </is>
      </c>
      <c r="R310" s="96" t="inlineStr">
        <is>
          <t>연배당</t>
        </is>
      </c>
      <c r="S310" s="97" t="n">
        <v>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IFERROR(INDEX($A$4:$A$593,MATCH(307,$X$4:$X$593,0)),"")</f>
        <v/>
      </c>
    </row>
    <row r="311">
      <c r="A311" s="96" t="inlineStr">
        <is>
          <t>1Q 현대차그룹채권(A+이상)&amp;국고통안</t>
        </is>
      </c>
      <c r="B311" s="96" t="inlineStr">
        <is>
          <t>492500</t>
        </is>
      </c>
      <c r="C311" s="96" t="inlineStr">
        <is>
          <t>하나자산운용</t>
        </is>
      </c>
      <c r="D311" s="97" t="n">
        <v>51355</v>
      </c>
      <c r="E311" s="97" t="n">
        <v>67891310000</v>
      </c>
      <c r="F311" s="97" t="n">
        <v>31071074</v>
      </c>
      <c r="G311" s="98" t="n">
        <v>0.001</v>
      </c>
      <c r="H311" s="98" t="n">
        <v>0.018</v>
      </c>
      <c r="I311" s="98" t="n">
        <v>0.0146</v>
      </c>
      <c r="J311" s="98" t="n">
        <v>0.014741</v>
      </c>
      <c r="K311" s="97" t="n">
        <v>1</v>
      </c>
      <c r="L311" s="99" t="inlineStr">
        <is>
          <t>20251229</t>
        </is>
      </c>
      <c r="M311" s="96" t="inlineStr">
        <is>
          <t>제외</t>
        </is>
      </c>
      <c r="N311" s="96" t="inlineStr">
        <is>
          <t>60일 거래대금 0.3억(기준 5억 미만)</t>
        </is>
      </c>
      <c r="O311" s="96" t="inlineStr">
        <is>
          <t>KIS-하나 현대자동차그룹 채권(A+이상)&amp;국고통안 총수익지수</t>
        </is>
      </c>
      <c r="P311" s="96" t="inlineStr">
        <is>
          <t>일반</t>
        </is>
      </c>
      <c r="Q311" s="96" t="inlineStr">
        <is>
          <t>채권</t>
        </is>
      </c>
      <c r="R311" s="96" t="inlineStr">
        <is>
          <t>연배당</t>
        </is>
      </c>
      <c r="S311" s="97" t="n">
        <v>1</v>
      </c>
      <c r="T311" s="98" t="n">
        <v>1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IFERROR(INDEX($A$4:$A$593,MATCH(308,$X$4:$X$593,0)),"")</f>
        <v/>
      </c>
    </row>
    <row r="312">
      <c r="A312" s="96" t="inlineStr">
        <is>
          <t>HANARO e커머스</t>
        </is>
      </c>
      <c r="B312" s="96" t="inlineStr">
        <is>
          <t>322400</t>
        </is>
      </c>
      <c r="C312" s="96" t="inlineStr">
        <is>
          <t>NH-Amundi자산운용</t>
        </is>
      </c>
      <c r="D312" s="97" t="n">
        <v>9575</v>
      </c>
      <c r="E312" s="97" t="n">
        <v>31597500000</v>
      </c>
      <c r="F312" s="97" t="n">
        <v>54377054</v>
      </c>
      <c r="G312" s="98" t="n">
        <v>0.004500000000000001</v>
      </c>
      <c r="H312" s="98" t="n">
        <v>0.3501</v>
      </c>
      <c r="I312" s="98" t="n">
        <v>0.0114</v>
      </c>
      <c r="J312" s="98" t="n">
        <v>0.014621</v>
      </c>
      <c r="K312" s="97" t="n">
        <v>6</v>
      </c>
      <c r="L312" s="99" t="inlineStr">
        <is>
          <t>20260429</t>
        </is>
      </c>
      <c r="M312" s="96" t="inlineStr">
        <is>
          <t>제외</t>
        </is>
      </c>
      <c r="N312" s="96" t="inlineStr">
        <is>
          <t>60일 거래대금 0.5억(기준 5억 미만), 변동성 35.0%(1년 기준, 기준 35% 초과)</t>
        </is>
      </c>
      <c r="O312" s="96" t="inlineStr">
        <is>
          <t>FnGuide E커머스 지수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연배당</t>
        </is>
      </c>
      <c r="S312" s="97" t="n">
        <v>1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IFERROR(INDEX($A$4:$A$593,MATCH(309,$X$4:$X$593,0)),"")</f>
        <v/>
      </c>
    </row>
    <row r="313">
      <c r="A313" s="96" t="inlineStr">
        <is>
          <t>KODEX 미국10년국채선물</t>
        </is>
      </c>
      <c r="B313" s="96" t="inlineStr">
        <is>
          <t>308620</t>
        </is>
      </c>
      <c r="C313" s="96" t="inlineStr">
        <is>
          <t>삼성자산운용(ETF)</t>
        </is>
      </c>
      <c r="D313" s="97" t="n">
        <v>10985</v>
      </c>
      <c r="E313" s="97" t="n">
        <v>92274000000</v>
      </c>
      <c r="F313" s="97" t="n">
        <v>436046033</v>
      </c>
      <c r="G313" s="98" t="n">
        <v>0.0009</v>
      </c>
      <c r="H313" s="98" t="n">
        <v>0.1065</v>
      </c>
      <c r="I313" s="98" t="n">
        <v>0.0129</v>
      </c>
      <c r="J313" s="98" t="n">
        <v>0.014565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4.4억(기준 5억 미만)</t>
        </is>
      </c>
      <c r="O313" s="96" t="inlineStr">
        <is>
          <t>S&amp;P 10-Year U.S. Treasury Note Futures KRW ER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IFERROR(INDEX($A$4:$A$593,MATCH(310,$X$4:$X$593,0)),"")</f>
        <v/>
      </c>
    </row>
    <row r="314">
      <c r="A314" s="96" t="inlineStr">
        <is>
          <t>TIGER 경기방어</t>
        </is>
      </c>
      <c r="B314" s="96" t="inlineStr">
        <is>
          <t>139280</t>
        </is>
      </c>
      <c r="C314" s="96" t="inlineStr">
        <is>
          <t>미래에셋자산운용</t>
        </is>
      </c>
      <c r="D314" s="97" t="n">
        <v>12220</v>
      </c>
      <c r="E314" s="97" t="n">
        <v>39104000000</v>
      </c>
      <c r="F314" s="97" t="n">
        <v>153202320</v>
      </c>
      <c r="G314" s="98" t="n">
        <v>0.004</v>
      </c>
      <c r="H314" s="98" t="n">
        <v>0.2783</v>
      </c>
      <c r="I314" s="98" t="n">
        <v>0.001</v>
      </c>
      <c r="J314" s="98" t="n">
        <v>0.014484</v>
      </c>
      <c r="K314" s="97" t="n">
        <v>13</v>
      </c>
      <c r="L314" s="99" t="inlineStr">
        <is>
          <t>20260730</t>
        </is>
      </c>
      <c r="M314" s="96" t="inlineStr">
        <is>
          <t>제외</t>
        </is>
      </c>
      <c r="N314" s="96" t="inlineStr">
        <is>
          <t>60일 거래대금 1.5억(기준 5억 미만)</t>
        </is>
      </c>
      <c r="O314" s="96" t="inlineStr">
        <is>
          <t>K200경기방어소비재</t>
        </is>
      </c>
      <c r="P314" s="96" t="inlineStr">
        <is>
          <t>일반</t>
        </is>
      </c>
      <c r="Q314" s="96" t="inlineStr">
        <is>
          <t>주식</t>
        </is>
      </c>
      <c r="R314" s="96" t="inlineStr">
        <is>
          <t>연배당</t>
        </is>
      </c>
      <c r="S314" s="97" t="n">
        <v>2</v>
      </c>
      <c r="T314" s="98" t="n">
        <v>0.9605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IFERROR(INDEX($A$4:$A$593,MATCH(311,$X$4:$X$593,0)),"")</f>
        <v/>
      </c>
    </row>
    <row r="315">
      <c r="A315" s="96" t="inlineStr">
        <is>
          <t>ACE 단기채권알파액티브</t>
        </is>
      </c>
      <c r="B315" s="96" t="inlineStr">
        <is>
          <t>440640</t>
        </is>
      </c>
      <c r="C315" s="96" t="inlineStr">
        <is>
          <t>한국투신운용(ETF)</t>
        </is>
      </c>
      <c r="D315" s="97" t="n">
        <v>112925</v>
      </c>
      <c r="E315" s="97" t="n">
        <v>59737325000</v>
      </c>
      <c r="F315" s="97" t="n">
        <v>302709949</v>
      </c>
      <c r="G315" s="98" t="n">
        <v>0.0015</v>
      </c>
      <c r="H315" s="98" t="n">
        <v>0.015</v>
      </c>
      <c r="I315" s="98" t="n">
        <v>0.0146</v>
      </c>
      <c r="J315" s="98" t="n">
        <v>0.014479</v>
      </c>
      <c r="K315" s="97" t="n">
        <v>1</v>
      </c>
      <c r="L315" s="99" t="inlineStr">
        <is>
          <t>20251127</t>
        </is>
      </c>
      <c r="M315" s="96" t="inlineStr">
        <is>
          <t>제외</t>
        </is>
      </c>
      <c r="N315" s="96" t="inlineStr">
        <is>
          <t>60일 거래대금 3.0억(기준 5억 미만)</t>
        </is>
      </c>
      <c r="O315" s="96" t="inlineStr">
        <is>
          <t>KIS 단기채권알파 AA-이상 지수</t>
        </is>
      </c>
      <c r="P315" s="96" t="inlineStr">
        <is>
          <t>일반</t>
        </is>
      </c>
      <c r="Q315" s="96" t="inlineStr">
        <is>
          <t>채권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IFERROR(INDEX($A$4:$A$593,MATCH(312,$X$4:$X$593,0)),"")</f>
        <v/>
      </c>
    </row>
    <row r="316">
      <c r="A316" s="96" t="inlineStr">
        <is>
          <t>ACE 미국배당퀄리티</t>
        </is>
      </c>
      <c r="B316" s="96" t="inlineStr">
        <is>
          <t>0046Y0</t>
        </is>
      </c>
      <c r="C316" s="96" t="inlineStr">
        <is>
          <t>한국투신운용(ETF)</t>
        </is>
      </c>
      <c r="D316" s="97" t="n">
        <v>12160</v>
      </c>
      <c r="E316" s="97" t="n">
        <v>52288000000</v>
      </c>
      <c r="F316" s="97" t="n">
        <v>181677845</v>
      </c>
      <c r="G316" s="98" t="n">
        <v>0.0015</v>
      </c>
      <c r="H316" s="98" t="n">
        <v>0.1299</v>
      </c>
      <c r="I316" s="98" t="n">
        <v>0.0011</v>
      </c>
      <c r="J316" s="98" t="n">
        <v>0.014227</v>
      </c>
      <c r="K316" s="97" t="n">
        <v>16</v>
      </c>
      <c r="L316" s="99" t="inlineStr">
        <is>
          <t>20260929</t>
        </is>
      </c>
      <c r="M316" s="96" t="inlineStr">
        <is>
          <t>제외</t>
        </is>
      </c>
      <c r="N316" s="96" t="inlineStr">
        <is>
          <t>60일 거래대금 1.8억(기준 5억 미만)</t>
        </is>
      </c>
      <c r="O316" s="96" t="inlineStr">
        <is>
          <t>Wisdom Tree U.S. Quality Dividend Growth Index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월배당</t>
        </is>
      </c>
      <c r="S316" s="97" t="n">
        <v>11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IFERROR(INDEX($A$4:$A$593,MATCH(313,$X$4:$X$593,0)),"")</f>
        <v/>
      </c>
    </row>
    <row r="317">
      <c r="A317" s="96" t="inlineStr">
        <is>
          <t>KODEX 미국S&amp;P500금융</t>
        </is>
      </c>
      <c r="B317" s="96" t="inlineStr">
        <is>
          <t>453650</t>
        </is>
      </c>
      <c r="C317" s="96" t="inlineStr">
        <is>
          <t>삼성자산운용(ETF)</t>
        </is>
      </c>
      <c r="D317" s="97" t="n">
        <v>17890</v>
      </c>
      <c r="E317" s="97" t="n">
        <v>44725000000</v>
      </c>
      <c r="F317" s="97" t="n">
        <v>453788573</v>
      </c>
      <c r="G317" s="98" t="n">
        <v>0.0025</v>
      </c>
      <c r="H317" s="98" t="n">
        <v>0.1668</v>
      </c>
      <c r="I317" s="98" t="n">
        <v>0.0031</v>
      </c>
      <c r="J317" s="98" t="n">
        <v>0.014198</v>
      </c>
      <c r="K317" s="97" t="n">
        <v>13</v>
      </c>
      <c r="L317" s="99" t="inlineStr">
        <is>
          <t>20260730</t>
        </is>
      </c>
      <c r="M317" s="96" t="inlineStr">
        <is>
          <t>제외</t>
        </is>
      </c>
      <c r="N317" s="96" t="inlineStr">
        <is>
          <t>60일 거래대금 4.5억(기준 5억 미만)</t>
        </is>
      </c>
      <c r="O317" s="96" t="inlineStr">
        <is>
          <t>S&amp;P Select Sector Financials</t>
        </is>
      </c>
      <c r="P317" s="96" t="inlineStr">
        <is>
          <t>일반</t>
        </is>
      </c>
      <c r="Q317" s="96" t="inlineStr">
        <is>
          <t>주식</t>
        </is>
      </c>
      <c r="R317" s="96" t="inlineStr">
        <is>
          <t>분기배당</t>
        </is>
      </c>
      <c r="S317" s="97" t="n">
        <v>3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IFERROR(INDEX($A$4:$A$593,MATCH(314,$X$4:$X$593,0)),"")</f>
        <v/>
      </c>
    </row>
    <row r="318">
      <c r="A318" s="96" t="inlineStr">
        <is>
          <t>RISE 코스피</t>
        </is>
      </c>
      <c r="B318" s="96" t="inlineStr">
        <is>
          <t>302450</t>
        </is>
      </c>
      <c r="C318" s="96" t="inlineStr">
        <is>
          <t>KB자산운용</t>
        </is>
      </c>
      <c r="D318" s="97" t="n">
        <v>72415</v>
      </c>
      <c r="E318" s="97" t="n">
        <v>401903250000</v>
      </c>
      <c r="F318" s="97" t="n">
        <v>4556409331</v>
      </c>
      <c r="G318" s="98" t="n">
        <v>0.0002</v>
      </c>
      <c r="H318" s="98" t="n">
        <v>0.5390999999999999</v>
      </c>
      <c r="I318" s="98" t="n">
        <v>0.001</v>
      </c>
      <c r="J318" s="98" t="n">
        <v>0.014196</v>
      </c>
      <c r="K318" s="97" t="n">
        <v>11</v>
      </c>
      <c r="L318" s="99" t="inlineStr">
        <is>
          <t>20260730</t>
        </is>
      </c>
      <c r="M318" s="96" t="inlineStr">
        <is>
          <t>제외</t>
        </is>
      </c>
      <c r="N318" s="96" t="inlineStr">
        <is>
          <t>변동성 53.9%(1년 기준, 기준 35% 초과)</t>
        </is>
      </c>
      <c r="O318" s="96" t="inlineStr">
        <is>
          <t>코스피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분기배당</t>
        </is>
      </c>
      <c r="S318" s="97" t="n">
        <v>3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IFERROR(INDEX($A$4:$A$593,MATCH(315,$X$4:$X$593,0)),"")</f>
        <v/>
      </c>
    </row>
    <row r="319">
      <c r="A319" s="96" t="inlineStr">
        <is>
          <t>KIWOOM 미국테크100월간목표헤지액티브</t>
        </is>
      </c>
      <c r="B319" s="96" t="inlineStr">
        <is>
          <t>0084D0</t>
        </is>
      </c>
      <c r="C319" s="96" t="inlineStr">
        <is>
          <t>키움투자자산운용</t>
        </is>
      </c>
      <c r="D319" s="97" t="n">
        <v>11335</v>
      </c>
      <c r="E319" s="97" t="n">
        <v>9068000000</v>
      </c>
      <c r="F319" s="97" t="n">
        <v>56856864</v>
      </c>
      <c r="G319" s="98" t="n">
        <v>0.0049</v>
      </c>
      <c r="H319" s="98" t="n">
        <v>0.1357</v>
      </c>
      <c r="I319" s="98" t="n">
        <v>0.0012</v>
      </c>
      <c r="J319" s="98" t="n">
        <v>0.014116</v>
      </c>
      <c r="K319" s="97" t="n">
        <v>14</v>
      </c>
      <c r="L319" s="99" t="inlineStr">
        <is>
          <t>20260929</t>
        </is>
      </c>
      <c r="M319" s="96" t="inlineStr">
        <is>
          <t>제외</t>
        </is>
      </c>
      <c r="N319" s="96" t="inlineStr">
        <is>
          <t>순자산 91억(기준 300억 미만), 60일 거래대금 0.6억(기준 5억 미만)</t>
        </is>
      </c>
      <c r="O319" s="96" t="inlineStr">
        <is>
          <t>Akros U.S. Tech 100 Protective Allocation Monthly Index TR</t>
        </is>
      </c>
      <c r="P319" s="96" t="inlineStr">
        <is>
          <t>일반</t>
        </is>
      </c>
      <c r="Q319" s="96" t="inlineStr">
        <is>
          <t>멀티에셋</t>
        </is>
      </c>
      <c r="R319" s="96" t="inlineStr">
        <is>
          <t>월배당</t>
        </is>
      </c>
      <c r="S319" s="97" t="n">
        <v>11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IFERROR(INDEX($A$4:$A$593,MATCH(316,$X$4:$X$593,0)),"")</f>
        <v/>
      </c>
    </row>
    <row r="320">
      <c r="A320" s="96" t="inlineStr">
        <is>
          <t>WON 전단채플러스액티브</t>
        </is>
      </c>
      <c r="B320" s="96" t="inlineStr">
        <is>
          <t>496020</t>
        </is>
      </c>
      <c r="C320" s="96" t="inlineStr">
        <is>
          <t>우리자산운용</t>
        </is>
      </c>
      <c r="D320" s="97" t="n">
        <v>52625</v>
      </c>
      <c r="E320" s="97" t="n">
        <v>502884500000</v>
      </c>
      <c r="F320" s="97" t="n">
        <v>226196399</v>
      </c>
      <c r="G320" s="98" t="n">
        <v>0.0005</v>
      </c>
      <c r="H320" s="98" t="n">
        <v>0.0143</v>
      </c>
      <c r="I320" s="98" t="n">
        <v>0.0142</v>
      </c>
      <c r="J320" s="98" t="n">
        <v>0.013986</v>
      </c>
      <c r="K320" s="97" t="n">
        <v>1</v>
      </c>
      <c r="L320" s="99" t="inlineStr">
        <is>
          <t>20251229</t>
        </is>
      </c>
      <c r="M320" s="96" t="inlineStr">
        <is>
          <t>제외</t>
        </is>
      </c>
      <c r="N320" s="96" t="inlineStr">
        <is>
          <t>60일 거래대금 2.3억(기준 5억 미만)</t>
        </is>
      </c>
      <c r="O320" s="96" t="inlineStr">
        <is>
          <t>KIS 전단채플러스 TR 지수</t>
        </is>
      </c>
      <c r="P320" s="96" t="inlineStr">
        <is>
          <t>일반</t>
        </is>
      </c>
      <c r="Q320" s="96" t="inlineStr">
        <is>
          <t>단기자금(파킹형)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IFERROR(INDEX($A$4:$A$593,MATCH(317,$X$4:$X$593,0)),"")</f>
        <v/>
      </c>
    </row>
    <row r="321">
      <c r="A321" s="96" t="inlineStr">
        <is>
          <t>WON 대한민국국고채액티브</t>
        </is>
      </c>
      <c r="B321" s="96" t="inlineStr">
        <is>
          <t>426150</t>
        </is>
      </c>
      <c r="C321" s="96" t="inlineStr">
        <is>
          <t>우리자산운용</t>
        </is>
      </c>
      <c r="D321" s="97" t="n">
        <v>51315</v>
      </c>
      <c r="E321" s="97" t="n">
        <v>30891630000</v>
      </c>
      <c r="F321" s="97" t="n">
        <v>27277573</v>
      </c>
      <c r="G321" s="98" t="n">
        <v>0.0007000000000000001</v>
      </c>
      <c r="H321" s="98" t="n">
        <v>0.0687</v>
      </c>
      <c r="I321" s="98" t="n">
        <v>0.0128</v>
      </c>
      <c r="J321" s="98" t="n">
        <v>0.013973</v>
      </c>
      <c r="K321" s="97" t="n">
        <v>1</v>
      </c>
      <c r="L321" s="99" t="inlineStr">
        <is>
          <t>20251229</t>
        </is>
      </c>
      <c r="M321" s="96" t="inlineStr">
        <is>
          <t>제외</t>
        </is>
      </c>
      <c r="N321" s="96" t="inlineStr">
        <is>
          <t>60일 거래대금 0.3억(기준 5억 미만)</t>
        </is>
      </c>
      <c r="O321" s="96" t="inlineStr">
        <is>
          <t>KAP 한국 국고채 총수익 지수</t>
        </is>
      </c>
      <c r="P321" s="96" t="inlineStr">
        <is>
          <t>일반</t>
        </is>
      </c>
      <c r="Q321" s="96" t="inlineStr">
        <is>
          <t>채권</t>
        </is>
      </c>
      <c r="R321" s="96" t="inlineStr">
        <is>
          <t>연배당</t>
        </is>
      </c>
      <c r="S321" s="97" t="n">
        <v>1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IFERROR(INDEX($A$4:$A$593,MATCH(318,$X$4:$X$593,0)),"")</f>
        <v/>
      </c>
    </row>
    <row r="322">
      <c r="A322" s="96" t="inlineStr">
        <is>
          <t>TIGER 미국방산TOP10</t>
        </is>
      </c>
      <c r="B322" s="96" t="inlineStr">
        <is>
          <t>494840</t>
        </is>
      </c>
      <c r="C322" s="96" t="inlineStr">
        <is>
          <t>미래에셋자산운용</t>
        </is>
      </c>
      <c r="D322" s="97" t="n">
        <v>11365</v>
      </c>
      <c r="E322" s="97" t="n">
        <v>38072750000</v>
      </c>
      <c r="F322" s="97" t="n">
        <v>384716036</v>
      </c>
      <c r="G322" s="98" t="n">
        <v>0.004500000000000001</v>
      </c>
      <c r="H322" s="98" t="n">
        <v>0.24</v>
      </c>
      <c r="I322" s="98" t="n">
        <v>0.003</v>
      </c>
      <c r="J322" s="98" t="n">
        <v>0.013902</v>
      </c>
      <c r="K322" s="97" t="n">
        <v>7</v>
      </c>
      <c r="L322" s="99" t="inlineStr">
        <is>
          <t>20260730</t>
        </is>
      </c>
      <c r="M322" s="96" t="inlineStr">
        <is>
          <t>제외</t>
        </is>
      </c>
      <c r="N322" s="96" t="inlineStr">
        <is>
          <t>60일 거래대금 3.8억(기준 5억 미만)</t>
        </is>
      </c>
      <c r="O322" s="96" t="inlineStr">
        <is>
          <t>Mirae Asset US Defense Top 10 Index (Price Return)</t>
        </is>
      </c>
      <c r="P322" s="96" t="inlineStr">
        <is>
          <t>일반</t>
        </is>
      </c>
      <c r="Q322" s="96" t="inlineStr">
        <is>
          <t>주식</t>
        </is>
      </c>
      <c r="R322" s="96" t="inlineStr">
        <is>
          <t>분기배당</t>
        </is>
      </c>
      <c r="S322" s="97" t="n">
        <v>3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IFERROR(INDEX($A$4:$A$593,MATCH(319,$X$4:$X$593,0)),"")</f>
        <v/>
      </c>
    </row>
    <row r="323">
      <c r="A323" s="96" t="inlineStr">
        <is>
          <t>PLUS 종합채권(AA-이상)액티브</t>
        </is>
      </c>
      <c r="B323" s="96" t="inlineStr">
        <is>
          <t>451000</t>
        </is>
      </c>
      <c r="C323" s="96" t="inlineStr">
        <is>
          <t>한화자산운용</t>
        </is>
      </c>
      <c r="D323" s="97" t="n">
        <v>107445</v>
      </c>
      <c r="E323" s="97" t="n">
        <v>567954270000</v>
      </c>
      <c r="F323" s="97" t="n">
        <v>37546001</v>
      </c>
      <c r="G323" s="98" t="n">
        <v>0.00045</v>
      </c>
      <c r="H323" s="98" t="n">
        <v>0.043</v>
      </c>
      <c r="I323" s="98" t="n">
        <v>0.013</v>
      </c>
      <c r="J323" s="98" t="n">
        <v>0.013635</v>
      </c>
      <c r="K323" s="97" t="n">
        <v>1</v>
      </c>
      <c r="L323" s="99" t="inlineStr">
        <is>
          <t>20251212</t>
        </is>
      </c>
      <c r="M323" s="96" t="inlineStr">
        <is>
          <t>제외</t>
        </is>
      </c>
      <c r="N323" s="96" t="inlineStr">
        <is>
          <t>60일 거래대금 0.4억(기준 5억 미만)</t>
        </is>
      </c>
      <c r="O323" s="96" t="inlineStr">
        <is>
          <t>KAP 종합채권지수(AA-이상, 총수익)</t>
        </is>
      </c>
      <c r="P323" s="96" t="inlineStr">
        <is>
          <t>일반</t>
        </is>
      </c>
      <c r="Q323" s="96" t="inlineStr">
        <is>
          <t>채권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IFERROR(INDEX($A$4:$A$593,MATCH(320,$X$4:$X$593,0)),"")</f>
        <v/>
      </c>
    </row>
    <row r="324">
      <c r="A324" s="96" t="inlineStr">
        <is>
          <t>RISE 국고채10년액티브</t>
        </is>
      </c>
      <c r="B324" s="96" t="inlineStr">
        <is>
          <t>481430</t>
        </is>
      </c>
      <c r="C324" s="96" t="inlineStr">
        <is>
          <t>KB자산운용</t>
        </is>
      </c>
      <c r="D324" s="97" t="n">
        <v>97605</v>
      </c>
      <c r="E324" s="97" t="n">
        <v>46948005000</v>
      </c>
      <c r="F324" s="97" t="n">
        <v>302070696</v>
      </c>
      <c r="G324" s="98" t="n">
        <v>0.00012</v>
      </c>
      <c r="H324" s="98" t="n">
        <v>0.06519999999999999</v>
      </c>
      <c r="I324" s="98" t="n">
        <v>0.0127</v>
      </c>
      <c r="J324" s="98" t="n">
        <v>0.013534</v>
      </c>
      <c r="K324" s="97" t="n">
        <v>1</v>
      </c>
      <c r="L324" s="99" t="inlineStr">
        <is>
          <t>20251212</t>
        </is>
      </c>
      <c r="M324" s="96" t="inlineStr">
        <is>
          <t>제외</t>
        </is>
      </c>
      <c r="N324" s="96" t="inlineStr">
        <is>
          <t>60일 거래대금 3.0억(기준 5억 미만)</t>
        </is>
      </c>
      <c r="O324" s="96" t="inlineStr">
        <is>
          <t>KAP 국고채 10년 지수(총수익)</t>
        </is>
      </c>
      <c r="P324" s="96" t="inlineStr">
        <is>
          <t>일반</t>
        </is>
      </c>
      <c r="Q324" s="96" t="inlineStr">
        <is>
          <t>채권</t>
        </is>
      </c>
      <c r="R324" s="96" t="inlineStr">
        <is>
          <t>연배당</t>
        </is>
      </c>
      <c r="S324" s="97" t="n">
        <v>1</v>
      </c>
      <c r="T324" s="98" t="n">
        <v>1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IFERROR(INDEX($A$4:$A$593,MATCH(321,$X$4:$X$593,0)),"")</f>
        <v/>
      </c>
    </row>
    <row r="325">
      <c r="A325" s="96" t="inlineStr">
        <is>
          <t>TIGER 지주회사</t>
        </is>
      </c>
      <c r="B325" s="96" t="inlineStr">
        <is>
          <t>307520</t>
        </is>
      </c>
      <c r="C325" s="96" t="inlineStr">
        <is>
          <t>미래에셋자산운용</t>
        </is>
      </c>
      <c r="D325" s="97" t="n">
        <v>21595</v>
      </c>
      <c r="E325" s="97" t="n">
        <v>258060250000</v>
      </c>
      <c r="F325" s="97" t="n">
        <v>14163751526</v>
      </c>
      <c r="G325" s="98" t="n">
        <v>0.005</v>
      </c>
      <c r="H325" s="98" t="n">
        <v>0.4682</v>
      </c>
      <c r="I325" s="98" t="n">
        <v>0.0035</v>
      </c>
      <c r="J325" s="98" t="n">
        <v>0.013522</v>
      </c>
      <c r="K325" s="97" t="n">
        <v>12</v>
      </c>
      <c r="L325" s="99" t="inlineStr">
        <is>
          <t>20260730</t>
        </is>
      </c>
      <c r="M325" s="96" t="inlineStr">
        <is>
          <t>제외</t>
        </is>
      </c>
      <c r="N325" s="96" t="inlineStr">
        <is>
          <t>변동성 46.8%(1년 기준, 기준 35% 초과)</t>
        </is>
      </c>
      <c r="O325" s="96" t="inlineStr">
        <is>
          <t>FnGuide 지주회사 지수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연배당</t>
        </is>
      </c>
      <c r="S325" s="97" t="n">
        <v>2</v>
      </c>
      <c r="T325" s="98" t="n">
        <v>0.8356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IFERROR(INDEX($A$4:$A$593,MATCH(322,$X$4:$X$593,0)),"")</f>
        <v/>
      </c>
    </row>
    <row r="326">
      <c r="A326" s="96" t="inlineStr">
        <is>
          <t>PLUS 단기채권액티브</t>
        </is>
      </c>
      <c r="B326" s="96" t="inlineStr">
        <is>
          <t>278620</t>
        </is>
      </c>
      <c r="C326" s="96" t="inlineStr">
        <is>
          <t>한화자산운용</t>
        </is>
      </c>
      <c r="D326" s="97" t="n">
        <v>119210</v>
      </c>
      <c r="E326" s="97" t="n">
        <v>66280760000</v>
      </c>
      <c r="F326" s="97" t="n">
        <v>169543166</v>
      </c>
      <c r="G326" s="98" t="n">
        <v>0.0007000000000000001</v>
      </c>
      <c r="H326" s="98" t="n">
        <v>0.0147</v>
      </c>
      <c r="I326" s="98" t="n">
        <v>0.0134</v>
      </c>
      <c r="J326" s="98" t="n">
        <v>0.01338</v>
      </c>
      <c r="K326" s="97" t="n">
        <v>1</v>
      </c>
      <c r="L326" s="99" t="inlineStr">
        <is>
          <t>20251212</t>
        </is>
      </c>
      <c r="M326" s="96" t="inlineStr">
        <is>
          <t>제외</t>
        </is>
      </c>
      <c r="N326" s="96" t="inlineStr">
        <is>
          <t>60일 거래대금 1.7억(기준 5억 미만)</t>
        </is>
      </c>
      <c r="O326" s="96" t="inlineStr">
        <is>
          <t>KAP 투자적격 크레딧 채권 1년 지수</t>
        </is>
      </c>
      <c r="P326" s="96" t="inlineStr">
        <is>
          <t>일반</t>
        </is>
      </c>
      <c r="Q326" s="96" t="inlineStr">
        <is>
          <t>채권</t>
        </is>
      </c>
      <c r="R326" s="96" t="inlineStr">
        <is>
          <t>연배당</t>
        </is>
      </c>
      <c r="S326" s="97" t="n">
        <v>1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IFERROR(INDEX($A$4:$A$593,MATCH(323,$X$4:$X$593,0)),"")</f>
        <v/>
      </c>
    </row>
    <row r="327">
      <c r="A327" s="96" t="inlineStr">
        <is>
          <t>PLUS 국고채10년액티브</t>
        </is>
      </c>
      <c r="B327" s="96" t="inlineStr">
        <is>
          <t>461460</t>
        </is>
      </c>
      <c r="C327" s="96" t="inlineStr">
        <is>
          <t>한화자산운용</t>
        </is>
      </c>
      <c r="D327" s="97" t="n">
        <v>51095</v>
      </c>
      <c r="E327" s="97" t="n">
        <v>95649840000</v>
      </c>
      <c r="F327" s="97" t="n">
        <v>184378051</v>
      </c>
      <c r="G327" s="98" t="n">
        <v>0.00045</v>
      </c>
      <c r="H327" s="98" t="n">
        <v>0.06480000000000001</v>
      </c>
      <c r="I327" s="98" t="n">
        <v>0.0126</v>
      </c>
      <c r="J327" s="98" t="n">
        <v>0.013328</v>
      </c>
      <c r="K327" s="97" t="n">
        <v>1</v>
      </c>
      <c r="L327" s="99" t="inlineStr">
        <is>
          <t>20251212</t>
        </is>
      </c>
      <c r="M327" s="96" t="inlineStr">
        <is>
          <t>제외</t>
        </is>
      </c>
      <c r="N327" s="96" t="inlineStr">
        <is>
          <t>60일 거래대금 1.8억(기준 5억 미만)</t>
        </is>
      </c>
      <c r="O327" s="96" t="inlineStr">
        <is>
          <t>KAP 국고채 10년 동일가중 지수(총수익)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IFERROR(INDEX($A$4:$A$593,MATCH(324,$X$4:$X$593,0)),"")</f>
        <v/>
      </c>
    </row>
    <row r="328">
      <c r="A328" s="96" t="inlineStr">
        <is>
          <t>RISE 글로벌테크놀로지(합성 H)</t>
        </is>
      </c>
      <c r="B328" s="96" t="inlineStr">
        <is>
          <t>276650</t>
        </is>
      </c>
      <c r="C328" s="96" t="inlineStr">
        <is>
          <t>KB자산운용</t>
        </is>
      </c>
      <c r="D328" s="97" t="n">
        <v>48605</v>
      </c>
      <c r="E328" s="97" t="n">
        <v>36453750000</v>
      </c>
      <c r="F328" s="97" t="n">
        <v>57293682</v>
      </c>
      <c r="G328" s="98" t="n">
        <v>0.004</v>
      </c>
      <c r="H328" s="98" t="n">
        <v>0.2243</v>
      </c>
      <c r="I328" s="98" t="n">
        <v>0.0164</v>
      </c>
      <c r="J328" s="98" t="n">
        <v>0.01325</v>
      </c>
      <c r="K328" s="97" t="n">
        <v>1</v>
      </c>
      <c r="L328" s="99" t="inlineStr">
        <is>
          <t>20251229</t>
        </is>
      </c>
      <c r="M328" s="96" t="inlineStr">
        <is>
          <t>제외</t>
        </is>
      </c>
      <c r="N328" s="96" t="inlineStr">
        <is>
          <t>60일 거래대금 0.6억(기준 5억 미만)</t>
        </is>
      </c>
      <c r="O328" s="96" t="inlineStr">
        <is>
          <t>S&amp;P Global 1200 Information Technology and Interactive Media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연배당</t>
        </is>
      </c>
      <c r="S328" s="97" t="n">
        <v>1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IFERROR(INDEX($A$4:$A$593,MATCH(325,$X$4:$X$593,0)),"")</f>
        <v/>
      </c>
    </row>
    <row r="329">
      <c r="A329" s="96" t="inlineStr">
        <is>
          <t>ACE 코스피</t>
        </is>
      </c>
      <c r="B329" s="96" t="inlineStr">
        <is>
          <t>305050</t>
        </is>
      </c>
      <c r="C329" s="96" t="inlineStr">
        <is>
          <t>한국투신운용(ETF)</t>
        </is>
      </c>
      <c r="D329" s="97" t="n">
        <v>72590</v>
      </c>
      <c r="E329" s="97" t="n">
        <v>47183500000</v>
      </c>
      <c r="F329" s="97" t="n">
        <v>469658521</v>
      </c>
      <c r="G329" s="98" t="n">
        <v>0.0002</v>
      </c>
      <c r="H329" s="98" t="n">
        <v>0.5387</v>
      </c>
      <c r="I329" s="98" t="n">
        <v>0.0135</v>
      </c>
      <c r="J329" s="98" t="n">
        <v>0.012949</v>
      </c>
      <c r="K329" s="97" t="n">
        <v>5</v>
      </c>
      <c r="L329" s="99" t="inlineStr">
        <is>
          <t>20260429</t>
        </is>
      </c>
      <c r="M329" s="96" t="inlineStr">
        <is>
          <t>제외</t>
        </is>
      </c>
      <c r="N329" s="96" t="inlineStr">
        <is>
          <t>60일 거래대금 4.7억(기준 5억 미만), 변동성 53.9%(1년 기준, 기준 35% 초과)</t>
        </is>
      </c>
      <c r="O329" s="96" t="inlineStr">
        <is>
          <t>코스피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연배당</t>
        </is>
      </c>
      <c r="S329" s="97" t="n">
        <v>1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IFERROR(INDEX($A$4:$A$593,MATCH(326,$X$4:$X$593,0)),"")</f>
        <v/>
      </c>
    </row>
    <row r="330">
      <c r="A330" s="96" t="inlineStr">
        <is>
          <t>ACE 2월만기자동연장회사채AA-이상액티브</t>
        </is>
      </c>
      <c r="B330" s="96" t="inlineStr">
        <is>
          <t>475260</t>
        </is>
      </c>
      <c r="C330" s="96" t="inlineStr">
        <is>
          <t>한국투신운용(ETF)</t>
        </is>
      </c>
      <c r="D330" s="97" t="n">
        <v>10770</v>
      </c>
      <c r="E330" s="97" t="n">
        <v>49649700000</v>
      </c>
      <c r="F330" s="97" t="n">
        <v>5709882</v>
      </c>
      <c r="G330" s="98" t="n">
        <v>0.0005</v>
      </c>
      <c r="H330" s="98" t="n">
        <v>0.013</v>
      </c>
      <c r="I330" s="98" t="n">
        <v>0.0127</v>
      </c>
      <c r="J330" s="98" t="n">
        <v>0.012535</v>
      </c>
      <c r="K330" s="97" t="n">
        <v>1</v>
      </c>
      <c r="L330" s="99" t="inlineStr">
        <is>
          <t>20251127</t>
        </is>
      </c>
      <c r="M330" s="96" t="inlineStr">
        <is>
          <t>제외</t>
        </is>
      </c>
      <c r="N330" s="96" t="inlineStr">
        <is>
          <t>60일 거래대금 0.1억(기준 5억 미만)</t>
        </is>
      </c>
      <c r="O330" s="96" t="inlineStr">
        <is>
          <t>KAP 2월 만기자동연장 회사채(AA-이상) 총수익지수</t>
        </is>
      </c>
      <c r="P330" s="96" t="inlineStr">
        <is>
          <t>일반</t>
        </is>
      </c>
      <c r="Q330" s="96" t="inlineStr">
        <is>
          <t>채권</t>
        </is>
      </c>
      <c r="R330" s="96" t="inlineStr">
        <is>
          <t>연배당</t>
        </is>
      </c>
      <c r="S330" s="97" t="n">
        <v>1</v>
      </c>
      <c r="T330" s="98" t="n">
        <v>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IFERROR(INDEX($A$4:$A$593,MATCH(327,$X$4:$X$593,0)),"")</f>
        <v/>
      </c>
    </row>
    <row r="331">
      <c r="A331" s="96" t="inlineStr">
        <is>
          <t>ACE 미국WideMoat동일가중</t>
        </is>
      </c>
      <c r="B331" s="96" t="inlineStr">
        <is>
          <t>309230</t>
        </is>
      </c>
      <c r="C331" s="96" t="inlineStr">
        <is>
          <t>한국투신운용(ETF)</t>
        </is>
      </c>
      <c r="D331" s="97" t="n">
        <v>29085</v>
      </c>
      <c r="E331" s="97" t="n">
        <v>107032800000</v>
      </c>
      <c r="F331" s="97" t="n">
        <v>282873585</v>
      </c>
      <c r="G331" s="98" t="n">
        <v>0.004</v>
      </c>
      <c r="H331" s="98" t="n">
        <v>0.1594</v>
      </c>
      <c r="I331" s="98" t="n">
        <v>0.0031</v>
      </c>
      <c r="J331" s="98" t="n">
        <v>0.012309</v>
      </c>
      <c r="K331" s="97" t="n">
        <v>10</v>
      </c>
      <c r="L331" s="99" t="inlineStr">
        <is>
          <t>20260730</t>
        </is>
      </c>
      <c r="M331" s="96" t="inlineStr">
        <is>
          <t>제외</t>
        </is>
      </c>
      <c r="N331" s="96" t="inlineStr">
        <is>
          <t>60일 거래대금 2.8억(기준 5억 미만)</t>
        </is>
      </c>
      <c r="O331" s="96" t="inlineStr">
        <is>
          <t>Morningstar Wide Moat Focus Index</t>
        </is>
      </c>
      <c r="P331" s="96" t="inlineStr">
        <is>
          <t>일반</t>
        </is>
      </c>
      <c r="Q331" s="96" t="inlineStr">
        <is>
          <t>주식</t>
        </is>
      </c>
      <c r="R331" s="96" t="inlineStr">
        <is>
          <t>분기배당</t>
        </is>
      </c>
      <c r="S331" s="97" t="n">
        <v>3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IFERROR(INDEX($A$4:$A$593,MATCH(328,$X$4:$X$593,0)),"")</f>
        <v/>
      </c>
    </row>
    <row r="332">
      <c r="A332" s="96" t="inlineStr">
        <is>
          <t>ACE 포스코그룹포커스</t>
        </is>
      </c>
      <c r="B332" s="96" t="inlineStr">
        <is>
          <t>469170</t>
        </is>
      </c>
      <c r="C332" s="96" t="inlineStr">
        <is>
          <t>한국투신운용(ETF)</t>
        </is>
      </c>
      <c r="D332" s="97" t="n">
        <v>5800</v>
      </c>
      <c r="E332" s="97" t="n">
        <v>118320000000</v>
      </c>
      <c r="F332" s="97" t="n">
        <v>4831295576</v>
      </c>
      <c r="G332" s="98" t="n">
        <v>0.003</v>
      </c>
      <c r="H332" s="98" t="n">
        <v>0.5185999999999999</v>
      </c>
      <c r="I332" s="98" t="n">
        <v>0.0017</v>
      </c>
      <c r="J332" s="98" t="n">
        <v>0.012241</v>
      </c>
      <c r="K332" s="97" t="n">
        <v>10</v>
      </c>
      <c r="L332" s="99" t="inlineStr">
        <is>
          <t>20260730</t>
        </is>
      </c>
      <c r="M332" s="96" t="inlineStr">
        <is>
          <t>제외</t>
        </is>
      </c>
      <c r="N332" s="96" t="inlineStr">
        <is>
          <t>변동성 51.9%(1년 기준, 기준 35% 초과)</t>
        </is>
      </c>
      <c r="O332" s="96" t="inlineStr">
        <is>
          <t>FnGuide 포스코그룹 포커스 지수</t>
        </is>
      </c>
      <c r="P332" s="96" t="inlineStr">
        <is>
          <t>일반</t>
        </is>
      </c>
      <c r="Q332" s="96" t="inlineStr">
        <is>
          <t>주식</t>
        </is>
      </c>
      <c r="R332" s="96" t="inlineStr">
        <is>
          <t>분기배당</t>
        </is>
      </c>
      <c r="S332" s="97" t="n">
        <v>3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IFERROR(INDEX($A$4:$A$593,MATCH(329,$X$4:$X$593,0)),"")</f>
        <v/>
      </c>
    </row>
    <row r="333">
      <c r="A333" s="96" t="inlineStr">
        <is>
          <t>1Q 중단기회사채(A-이상)액티브</t>
        </is>
      </c>
      <c r="B333" s="96" t="inlineStr">
        <is>
          <t>0052T0</t>
        </is>
      </c>
      <c r="C333" s="96" t="inlineStr">
        <is>
          <t>하나자산운용</t>
        </is>
      </c>
      <c r="D333" s="97" t="n">
        <v>50805</v>
      </c>
      <c r="E333" s="97" t="n">
        <v>89924850000</v>
      </c>
      <c r="F333" s="97" t="n">
        <v>441455931</v>
      </c>
      <c r="G333" s="98" t="n">
        <v>0.0005</v>
      </c>
      <c r="H333" s="98" t="n">
        <v>0.0158</v>
      </c>
      <c r="I333" s="98" t="n">
        <v>0.0123</v>
      </c>
      <c r="J333" s="98" t="n">
        <v>0.012204</v>
      </c>
      <c r="K333" s="97" t="n">
        <v>1</v>
      </c>
      <c r="L333" s="99" t="inlineStr">
        <is>
          <t>20251113</t>
        </is>
      </c>
      <c r="M333" s="96" t="inlineStr">
        <is>
          <t>제외</t>
        </is>
      </c>
      <c r="N333" s="96" t="inlineStr">
        <is>
          <t>60일 거래대금 4.4억(기준 5억 미만)</t>
        </is>
      </c>
      <c r="O333" s="96" t="inlineStr">
        <is>
          <t>KEDI 중단기크레딧플러스채권(AAA~A-) 지수(총수익)</t>
        </is>
      </c>
      <c r="P333" s="96" t="inlineStr">
        <is>
          <t>일반</t>
        </is>
      </c>
      <c r="Q333" s="96" t="inlineStr">
        <is>
          <t>채권</t>
        </is>
      </c>
      <c r="R333" s="96" t="inlineStr">
        <is>
          <t>연배당</t>
        </is>
      </c>
      <c r="S333" s="97" t="n">
        <v>1</v>
      </c>
      <c r="T333" s="98" t="n">
        <v>0.7081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IFERROR(INDEX($A$4:$A$593,MATCH(330,$X$4:$X$593,0)),"")</f>
        <v/>
      </c>
    </row>
    <row r="334">
      <c r="A334" s="96" t="inlineStr">
        <is>
          <t>ACE 라이프자산주주가치액티브</t>
        </is>
      </c>
      <c r="B334" s="96" t="inlineStr">
        <is>
          <t>494330</t>
        </is>
      </c>
      <c r="C334" s="96" t="inlineStr">
        <is>
          <t>한국투신운용(ETF)</t>
        </is>
      </c>
      <c r="D334" s="97" t="n">
        <v>32890</v>
      </c>
      <c r="E334" s="97" t="n">
        <v>187473000000</v>
      </c>
      <c r="F334" s="97" t="n">
        <v>1792709436</v>
      </c>
      <c r="G334" s="98" t="n">
        <v>0.005</v>
      </c>
      <c r="H334" s="98" t="n">
        <v>0.4378</v>
      </c>
      <c r="I334" s="98" t="n">
        <v>0.0035</v>
      </c>
      <c r="J334" s="98" t="n">
        <v>0.012162</v>
      </c>
      <c r="K334" s="97" t="n">
        <v>6</v>
      </c>
      <c r="L334" s="99" t="inlineStr">
        <is>
          <t>20260730</t>
        </is>
      </c>
      <c r="M334" s="96" t="inlineStr">
        <is>
          <t>제외</t>
        </is>
      </c>
      <c r="N334" s="96" t="inlineStr">
        <is>
          <t>변동성 43.8%(1년 기준, 기준 35% 초과)</t>
        </is>
      </c>
      <c r="O334" s="96" t="inlineStr">
        <is>
          <t>FnGuide 기업가치 지수</t>
        </is>
      </c>
      <c r="P334" s="96" t="inlineStr">
        <is>
          <t>일반</t>
        </is>
      </c>
      <c r="Q334" s="96" t="inlineStr">
        <is>
          <t>주식</t>
        </is>
      </c>
      <c r="R334" s="96" t="inlineStr">
        <is>
          <t>분기배당</t>
        </is>
      </c>
      <c r="S334" s="97" t="n">
        <v>3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IFERROR(INDEX($A$4:$A$593,MATCH(331,$X$4:$X$593,0)),"")</f>
        <v/>
      </c>
    </row>
    <row r="335">
      <c r="A335" s="96" t="inlineStr">
        <is>
          <t>WON 종합채권(AA-이상)액티브</t>
        </is>
      </c>
      <c r="B335" s="96" t="inlineStr">
        <is>
          <t>488720</t>
        </is>
      </c>
      <c r="C335" s="96" t="inlineStr">
        <is>
          <t>우리자산운용</t>
        </is>
      </c>
      <c r="D335" s="97" t="n">
        <v>48785</v>
      </c>
      <c r="E335" s="97" t="n">
        <v>159819660000</v>
      </c>
      <c r="F335" s="97" t="n">
        <v>195383150</v>
      </c>
      <c r="G335" s="98" t="n">
        <v>0.00045</v>
      </c>
      <c r="H335" s="98" t="n">
        <v>0.0426</v>
      </c>
      <c r="I335" s="98" t="n">
        <v>0.0116</v>
      </c>
      <c r="J335" s="98" t="n">
        <v>0.012094</v>
      </c>
      <c r="K335" s="97" t="n">
        <v>1</v>
      </c>
      <c r="L335" s="99" t="inlineStr">
        <is>
          <t>20251229</t>
        </is>
      </c>
      <c r="M335" s="96" t="inlineStr">
        <is>
          <t>제외</t>
        </is>
      </c>
      <c r="N335" s="96" t="inlineStr">
        <is>
          <t>60일 거래대금 2.0억(기준 5억 미만)</t>
        </is>
      </c>
      <c r="O335" s="96" t="inlineStr">
        <is>
          <t>KIS 종합채권시장 총수익지수(AA-이상)</t>
        </is>
      </c>
      <c r="P335" s="96" t="inlineStr">
        <is>
          <t>일반</t>
        </is>
      </c>
      <c r="Q335" s="96" t="inlineStr">
        <is>
          <t>채권</t>
        </is>
      </c>
      <c r="R335" s="96" t="inlineStr">
        <is>
          <t>연배당</t>
        </is>
      </c>
      <c r="S335" s="97" t="n">
        <v>1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IFERROR(INDEX($A$4:$A$593,MATCH(332,$X$4:$X$593,0)),"")</f>
        <v/>
      </c>
    </row>
    <row r="336">
      <c r="A336" s="96" t="inlineStr">
        <is>
          <t>아이엠에셋 200</t>
        </is>
      </c>
      <c r="B336" s="96" t="inlineStr">
        <is>
          <t>0007N0</t>
        </is>
      </c>
      <c r="C336" s="96" t="inlineStr">
        <is>
          <t>iM에셋자산운용</t>
        </is>
      </c>
      <c r="D336" s="97" t="n">
        <v>112140</v>
      </c>
      <c r="E336" s="97" t="n">
        <v>89712000000</v>
      </c>
      <c r="F336" s="97" t="n">
        <v>286533175</v>
      </c>
      <c r="G336" s="98" t="n">
        <v>0.0005</v>
      </c>
      <c r="H336" s="98" t="n">
        <v>0.5835</v>
      </c>
      <c r="I336" s="98" t="n">
        <v>0.0017</v>
      </c>
      <c r="J336" s="98" t="n">
        <v>0.012039</v>
      </c>
      <c r="K336" s="97" t="n">
        <v>2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2.9억(기준 5억 미만), 변동성 58.4%(1년 기준, 기준 35% 초과)</t>
        </is>
      </c>
      <c r="O336" s="96" t="inlineStr">
        <is>
          <t>KOSPI 200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연배당</t>
        </is>
      </c>
      <c r="S336" s="97" t="n">
        <v>2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IFERROR(INDEX($A$4:$A$593,MATCH(333,$X$4:$X$593,0)),"")</f>
        <v/>
      </c>
    </row>
    <row r="337">
      <c r="A337" s="96" t="inlineStr">
        <is>
          <t>RISE 단기특수은행채액티브</t>
        </is>
      </c>
      <c r="B337" s="96" t="inlineStr">
        <is>
          <t>0061Z0</t>
        </is>
      </c>
      <c r="C337" s="96" t="inlineStr">
        <is>
          <t>KB자산운용</t>
        </is>
      </c>
      <c r="D337" s="97" t="n">
        <v>51130</v>
      </c>
      <c r="E337" s="97" t="n">
        <v>629614820000</v>
      </c>
      <c r="F337" s="97" t="n">
        <v>357926911</v>
      </c>
      <c r="G337" s="98" t="n">
        <v>0.0001</v>
      </c>
      <c r="H337" s="98" t="n">
        <v>0.0123</v>
      </c>
      <c r="I337" s="98" t="n">
        <v>0.0121</v>
      </c>
      <c r="J337" s="98" t="n">
        <v>0.011969</v>
      </c>
      <c r="K337" s="97" t="n">
        <v>1</v>
      </c>
      <c r="L337" s="99" t="inlineStr">
        <is>
          <t>20251212</t>
        </is>
      </c>
      <c r="M337" s="96" t="inlineStr">
        <is>
          <t>제외</t>
        </is>
      </c>
      <c r="N337" s="96" t="inlineStr">
        <is>
          <t>60일 거래대금 3.6억(기준 5억 미만)</t>
        </is>
      </c>
      <c r="O337" s="96" t="inlineStr">
        <is>
          <t>KAP 단기 특수은행채 지수</t>
        </is>
      </c>
      <c r="P337" s="96" t="inlineStr">
        <is>
          <t>일반</t>
        </is>
      </c>
      <c r="Q337" s="96" t="inlineStr">
        <is>
          <t>단기자금(파킹형)</t>
        </is>
      </c>
      <c r="R337" s="96" t="inlineStr">
        <is>
          <t>연배당</t>
        </is>
      </c>
      <c r="S337" s="97" t="n">
        <v>1</v>
      </c>
      <c r="T337" s="98" t="n">
        <v>0.9477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IFERROR(INDEX($A$4:$A$593,MATCH(334,$X$4:$X$593,0)),"")</f>
        <v/>
      </c>
    </row>
    <row r="338">
      <c r="A338" s="96" t="inlineStr">
        <is>
          <t>ACE 8월만기자동연장회사채AA-이상액티브</t>
        </is>
      </c>
      <c r="B338" s="96" t="inlineStr">
        <is>
          <t>475280</t>
        </is>
      </c>
      <c r="C338" s="96" t="inlineStr">
        <is>
          <t>한국투신운용(ETF)</t>
        </is>
      </c>
      <c r="D338" s="97" t="n">
        <v>10740</v>
      </c>
      <c r="E338" s="97" t="n">
        <v>87208800000</v>
      </c>
      <c r="F338" s="97" t="n">
        <v>7864978</v>
      </c>
      <c r="G338" s="98" t="n">
        <v>0.0005</v>
      </c>
      <c r="H338" s="98" t="n">
        <v>0.0124</v>
      </c>
      <c r="I338" s="98" t="n">
        <v>0.0121</v>
      </c>
      <c r="J338" s="98" t="n">
        <v>0.011918</v>
      </c>
      <c r="K338" s="97" t="n">
        <v>1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KAP 8월 만기자동연장 회사채(AA-이상) 총수익지수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IFERROR(INDEX($A$4:$A$593,MATCH(335,$X$4:$X$593,0)),"")</f>
        <v/>
      </c>
    </row>
    <row r="339">
      <c r="A339" s="96" t="inlineStr">
        <is>
          <t>RISE 중국본토대형주CSI100</t>
        </is>
      </c>
      <c r="B339" s="96" t="inlineStr">
        <is>
          <t>174360</t>
        </is>
      </c>
      <c r="C339" s="96" t="inlineStr">
        <is>
          <t>KB자산운용</t>
        </is>
      </c>
      <c r="D339" s="97" t="n">
        <v>21815</v>
      </c>
      <c r="E339" s="97" t="n">
        <v>30541000000</v>
      </c>
      <c r="F339" s="97" t="n">
        <v>109053803</v>
      </c>
      <c r="G339" s="98" t="n">
        <v>0.006500000000000001</v>
      </c>
      <c r="H339" s="98" t="n">
        <v>0.2324</v>
      </c>
      <c r="I339" s="98" t="n">
        <v>0.0109</v>
      </c>
      <c r="J339" s="98" t="n">
        <v>0.011918</v>
      </c>
      <c r="K339" s="97" t="n">
        <v>1</v>
      </c>
      <c r="L339" s="99" t="inlineStr">
        <is>
          <t>20251229</t>
        </is>
      </c>
      <c r="M339" s="96" t="inlineStr">
        <is>
          <t>제외</t>
        </is>
      </c>
      <c r="N339" s="96" t="inlineStr">
        <is>
          <t>60일 거래대금 1.1억(기준 5억 미만)</t>
        </is>
      </c>
      <c r="O339" s="96" t="inlineStr">
        <is>
          <t>CSI 100 INDEX</t>
        </is>
      </c>
      <c r="P339" s="96" t="inlineStr">
        <is>
          <t>일반</t>
        </is>
      </c>
      <c r="Q339" s="96" t="inlineStr">
        <is>
          <t>주식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IFERROR(INDEX($A$4:$A$593,MATCH(336,$X$4:$X$593,0)),"")</f>
        <v/>
      </c>
    </row>
    <row r="340">
      <c r="A340" s="96" t="inlineStr">
        <is>
          <t>1Q 200액티브</t>
        </is>
      </c>
      <c r="B340" s="96" t="inlineStr">
        <is>
          <t>451060</t>
        </is>
      </c>
      <c r="C340" s="96" t="inlineStr">
        <is>
          <t>하나자산운용</t>
        </is>
      </c>
      <c r="D340" s="97" t="n">
        <v>35740</v>
      </c>
      <c r="E340" s="97" t="n">
        <v>450324000000</v>
      </c>
      <c r="F340" s="97" t="n">
        <v>4631997013</v>
      </c>
      <c r="G340" s="98" t="n">
        <v>0.0001</v>
      </c>
      <c r="H340" s="98" t="n">
        <v>0.5893</v>
      </c>
      <c r="I340" s="98" t="n">
        <v>0.0011</v>
      </c>
      <c r="J340" s="98" t="n">
        <v>0.011891</v>
      </c>
      <c r="K340" s="97" t="n">
        <v>4</v>
      </c>
      <c r="L340" s="99" t="inlineStr">
        <is>
          <t>20260730</t>
        </is>
      </c>
      <c r="M340" s="96" t="inlineStr">
        <is>
          <t>제외</t>
        </is>
      </c>
      <c r="N340" s="96" t="inlineStr">
        <is>
          <t>변동성 58.9%(1년 기준, 기준 35% 초과)</t>
        </is>
      </c>
      <c r="O340" s="96" t="inlineStr">
        <is>
          <t>KOSPI 200</t>
        </is>
      </c>
      <c r="P340" s="96" t="inlineStr">
        <is>
          <t>일반</t>
        </is>
      </c>
      <c r="Q340" s="96" t="inlineStr">
        <is>
          <t>주식</t>
        </is>
      </c>
      <c r="R340" s="96" t="inlineStr">
        <is>
          <t>분기배당</t>
        </is>
      </c>
      <c r="S340" s="97" t="n">
        <v>3</v>
      </c>
      <c r="T340" s="98" t="n">
        <v>1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IFERROR(INDEX($A$4:$A$593,MATCH(337,$X$4:$X$593,0)),"")</f>
        <v/>
      </c>
    </row>
    <row r="341">
      <c r="A341" s="96" t="inlineStr">
        <is>
          <t>KODEX 코리아밸류업</t>
        </is>
      </c>
      <c r="B341" s="96" t="inlineStr">
        <is>
          <t>495850</t>
        </is>
      </c>
      <c r="C341" s="96" t="inlineStr">
        <is>
          <t>삼성자산운용(ETF)</t>
        </is>
      </c>
      <c r="D341" s="97" t="n">
        <v>32295</v>
      </c>
      <c r="E341" s="97" t="n">
        <v>731481750000</v>
      </c>
      <c r="F341" s="97" t="n">
        <v>10022032674</v>
      </c>
      <c r="G341" s="98" t="n">
        <v>8.000000000000001e-05</v>
      </c>
      <c r="H341" s="98" t="n">
        <v>0.5244</v>
      </c>
      <c r="I341" s="98" t="n">
        <v>0.0012</v>
      </c>
      <c r="J341" s="98" t="n">
        <v>0.01189</v>
      </c>
      <c r="K341" s="97" t="n">
        <v>22</v>
      </c>
      <c r="L341" s="99" t="inlineStr">
        <is>
          <t>20260929</t>
        </is>
      </c>
      <c r="M341" s="96" t="inlineStr">
        <is>
          <t>제외</t>
        </is>
      </c>
      <c r="N341" s="96" t="inlineStr">
        <is>
          <t>변동성 52.4%(1년 기준, 기준 35% 초과)</t>
        </is>
      </c>
      <c r="O341" s="96" t="inlineStr">
        <is>
          <t>코리아 밸류업 지수</t>
        </is>
      </c>
      <c r="P341" s="96" t="inlineStr">
        <is>
          <t>일반</t>
        </is>
      </c>
      <c r="Q341" s="96" t="inlineStr">
        <is>
          <t>주식</t>
        </is>
      </c>
      <c r="R341" s="96" t="inlineStr">
        <is>
          <t>월배당</t>
        </is>
      </c>
      <c r="S341" s="97" t="n">
        <v>11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IFERROR(INDEX($A$4:$A$593,MATCH(338,$X$4:$X$593,0)),"")</f>
        <v/>
      </c>
    </row>
    <row r="342">
      <c r="A342" s="96" t="inlineStr">
        <is>
          <t>TIGER LG그룹플러스</t>
        </is>
      </c>
      <c r="B342" s="96" t="inlineStr">
        <is>
          <t>138530</t>
        </is>
      </c>
      <c r="C342" s="96" t="inlineStr">
        <is>
          <t>미래에셋자산운용</t>
        </is>
      </c>
      <c r="D342" s="97" t="n">
        <v>11930</v>
      </c>
      <c r="E342" s="97" t="n">
        <v>76590600000</v>
      </c>
      <c r="F342" s="97" t="n">
        <v>2317005027</v>
      </c>
      <c r="G342" s="98" t="n">
        <v>0.0015</v>
      </c>
      <c r="H342" s="98" t="n">
        <v>0.467</v>
      </c>
      <c r="I342" s="98" t="n">
        <v>0.0091</v>
      </c>
      <c r="J342" s="98" t="n">
        <v>0.011735</v>
      </c>
      <c r="K342" s="97" t="n">
        <v>9</v>
      </c>
      <c r="L342" s="99" t="inlineStr">
        <is>
          <t>20260429</t>
        </is>
      </c>
      <c r="M342" s="96" t="inlineStr">
        <is>
          <t>제외</t>
        </is>
      </c>
      <c r="N342" s="96" t="inlineStr">
        <is>
          <t>변동성 46.7%(1년 기준, 기준 35% 초과)</t>
        </is>
      </c>
      <c r="O342" s="96" t="inlineStr">
        <is>
          <t>FnGuide LG그룹+ FW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연배당</t>
        </is>
      </c>
      <c r="S342" s="97" t="n">
        <v>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IFERROR(INDEX($A$4:$A$593,MATCH(339,$X$4:$X$593,0)),"")</f>
        <v/>
      </c>
    </row>
    <row r="343">
      <c r="A343" s="96" t="inlineStr">
        <is>
          <t>ACE 5월만기자동연장회사채AA-이상액티브</t>
        </is>
      </c>
      <c r="B343" s="96" t="inlineStr">
        <is>
          <t>475270</t>
        </is>
      </c>
      <c r="C343" s="96" t="inlineStr">
        <is>
          <t>한국투신운용(ETF)</t>
        </is>
      </c>
      <c r="D343" s="97" t="n">
        <v>10755</v>
      </c>
      <c r="E343" s="97" t="n">
        <v>31727250000</v>
      </c>
      <c r="F343" s="97" t="n">
        <v>6179252</v>
      </c>
      <c r="G343" s="98" t="n">
        <v>0.0005</v>
      </c>
      <c r="H343" s="98" t="n">
        <v>0.0119</v>
      </c>
      <c r="I343" s="98" t="n">
        <v>0.0116</v>
      </c>
      <c r="J343" s="98" t="n">
        <v>0.011437</v>
      </c>
      <c r="K343" s="97" t="n">
        <v>1</v>
      </c>
      <c r="L343" s="99" t="inlineStr">
        <is>
          <t>20251127</t>
        </is>
      </c>
      <c r="M343" s="96" t="inlineStr">
        <is>
          <t>제외</t>
        </is>
      </c>
      <c r="N343" s="96" t="inlineStr">
        <is>
          <t>60일 거래대금 0.1억(기준 5억 미만)</t>
        </is>
      </c>
      <c r="O343" s="96" t="inlineStr">
        <is>
          <t>KIS 5월 만기자동연장회사채(AA-이상) 총수익 지수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IFERROR(INDEX($A$4:$A$593,MATCH(340,$X$4:$X$593,0)),"")</f>
        <v/>
      </c>
    </row>
    <row r="344">
      <c r="A344" s="96" t="inlineStr">
        <is>
          <t>PLUS 미국나스닥100미국채혼합50</t>
        </is>
      </c>
      <c r="B344" s="96" t="inlineStr">
        <is>
          <t>0089B0</t>
        </is>
      </c>
      <c r="C344" s="96" t="inlineStr">
        <is>
          <t>한화자산운용</t>
        </is>
      </c>
      <c r="D344" s="97" t="n">
        <v>11285</v>
      </c>
      <c r="E344" s="97" t="n">
        <v>32726500000</v>
      </c>
      <c r="F344" s="97" t="n">
        <v>431684704</v>
      </c>
      <c r="G344" s="98" t="n">
        <v>0.0015</v>
      </c>
      <c r="H344" s="98" t="n">
        <v>0.1303</v>
      </c>
      <c r="I344" s="98" t="n">
        <v>0.001</v>
      </c>
      <c r="J344" s="98" t="n">
        <v>0.011431</v>
      </c>
      <c r="K344" s="97" t="n">
        <v>10</v>
      </c>
      <c r="L344" s="99" t="inlineStr">
        <is>
          <t>20260929</t>
        </is>
      </c>
      <c r="M344" s="96" t="inlineStr">
        <is>
          <t>제외</t>
        </is>
      </c>
      <c r="N344" s="96" t="inlineStr">
        <is>
          <t>60일 거래대금 4.3억(기준 5억 미만)</t>
        </is>
      </c>
      <c r="O344" s="96" t="inlineStr">
        <is>
          <t>Nasdaq-100 US T-Bills 1-3 Month 50/50 Index</t>
        </is>
      </c>
      <c r="P344" s="96" t="inlineStr">
        <is>
          <t>일반</t>
        </is>
      </c>
      <c r="Q344" s="96" t="inlineStr">
        <is>
          <t>멀티에셋</t>
        </is>
      </c>
      <c r="R344" s="96" t="inlineStr">
        <is>
          <t>월배당</t>
        </is>
      </c>
      <c r="S344" s="97" t="n">
        <v>10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IFERROR(INDEX($A$4:$A$593,MATCH(341,$X$4:$X$593,0)),"")</f>
        <v/>
      </c>
    </row>
    <row r="345">
      <c r="A345" s="96" t="inlineStr">
        <is>
          <t>ACE 중장기국공채액티브</t>
        </is>
      </c>
      <c r="B345" s="96" t="inlineStr">
        <is>
          <t>272910</t>
        </is>
      </c>
      <c r="C345" s="96" t="inlineStr">
        <is>
          <t>한국투신운용(ETF)</t>
        </is>
      </c>
      <c r="D345" s="97" t="n">
        <v>105970</v>
      </c>
      <c r="E345" s="97" t="n">
        <v>77146160000</v>
      </c>
      <c r="F345" s="97" t="n">
        <v>7393663</v>
      </c>
      <c r="G345" s="98" t="n">
        <v>0.0008</v>
      </c>
      <c r="H345" s="98" t="n">
        <v>0.0298</v>
      </c>
      <c r="I345" s="98" t="n">
        <v>0.0111</v>
      </c>
      <c r="J345" s="98" t="n">
        <v>0.011343</v>
      </c>
      <c r="K345" s="97" t="n">
        <v>2</v>
      </c>
      <c r="L345" s="99" t="inlineStr">
        <is>
          <t>20251127</t>
        </is>
      </c>
      <c r="M345" s="96" t="inlineStr">
        <is>
          <t>제외</t>
        </is>
      </c>
      <c r="N345" s="96" t="inlineStr">
        <is>
          <t>60일 거래대금 0.1억(기준 5억 미만)</t>
        </is>
      </c>
      <c r="O345" s="96" t="inlineStr">
        <is>
          <t>KIS 종합채권 국공채 1-10Y</t>
        </is>
      </c>
      <c r="P345" s="96" t="inlineStr">
        <is>
          <t>일반</t>
        </is>
      </c>
      <c r="Q345" s="96" t="inlineStr">
        <is>
          <t>채권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IFERROR(INDEX($A$4:$A$593,MATCH(342,$X$4:$X$593,0)),"")</f>
        <v/>
      </c>
    </row>
    <row r="346">
      <c r="A346" s="96" t="inlineStr">
        <is>
          <t>1Q 종합채권(AA-이상)액티브</t>
        </is>
      </c>
      <c r="B346" s="96" t="inlineStr">
        <is>
          <t>0017Y0</t>
        </is>
      </c>
      <c r="C346" s="96" t="inlineStr">
        <is>
          <t>하나자산운용</t>
        </is>
      </c>
      <c r="D346" s="97" t="n">
        <v>94105</v>
      </c>
      <c r="E346" s="97" t="n">
        <v>81777245000</v>
      </c>
      <c r="F346" s="97" t="n">
        <v>106800545</v>
      </c>
      <c r="G346" s="98" t="n">
        <v>0.00025</v>
      </c>
      <c r="H346" s="98" t="n">
        <v>0.0444</v>
      </c>
      <c r="I346" s="98" t="n">
        <v>0.0107</v>
      </c>
      <c r="J346" s="98" t="n">
        <v>0.011317</v>
      </c>
      <c r="K346" s="97" t="n">
        <v>1</v>
      </c>
      <c r="L346" s="99" t="inlineStr">
        <is>
          <t>20251113</t>
        </is>
      </c>
      <c r="M346" s="96" t="inlineStr">
        <is>
          <t>제외</t>
        </is>
      </c>
      <c r="N346" s="96" t="inlineStr">
        <is>
          <t>60일 거래대금 1.1억(기준 5억 미만)</t>
        </is>
      </c>
      <c r="O346" s="96" t="inlineStr">
        <is>
          <t>KIS 종합채권형 지수(AA-이상)</t>
        </is>
      </c>
      <c r="P346" s="96" t="inlineStr">
        <is>
          <t>일반</t>
        </is>
      </c>
      <c r="Q346" s="96" t="inlineStr">
        <is>
          <t>채권</t>
        </is>
      </c>
      <c r="R346" s="96" t="inlineStr">
        <is>
          <t>연배당</t>
        </is>
      </c>
      <c r="S346" s="97" t="n">
        <v>1</v>
      </c>
      <c r="T346" s="98" t="n">
        <v>0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IFERROR(INDEX($A$4:$A$593,MATCH(343,$X$4:$X$593,0)),"")</f>
        <v/>
      </c>
    </row>
    <row r="347">
      <c r="A347" s="96" t="inlineStr">
        <is>
          <t>RISE 종합채권(A-이상)액티브</t>
        </is>
      </c>
      <c r="B347" s="96" t="inlineStr">
        <is>
          <t>385540</t>
        </is>
      </c>
      <c r="C347" s="96" t="inlineStr">
        <is>
          <t>KB자산운용</t>
        </is>
      </c>
      <c r="D347" s="97" t="n">
        <v>103120</v>
      </c>
      <c r="E347" s="97" t="n">
        <v>2191815600000</v>
      </c>
      <c r="F347" s="97" t="n">
        <v>462397034</v>
      </c>
      <c r="G347" s="98" t="n">
        <v>0.00012</v>
      </c>
      <c r="H347" s="98" t="n">
        <v>0.0418</v>
      </c>
      <c r="I347" s="98" t="n">
        <v>0.0106</v>
      </c>
      <c r="J347" s="98" t="n">
        <v>0.011123</v>
      </c>
      <c r="K347" s="97" t="n">
        <v>1</v>
      </c>
      <c r="L347" s="99" t="inlineStr">
        <is>
          <t>20251212</t>
        </is>
      </c>
      <c r="M347" s="96" t="inlineStr">
        <is>
          <t>제외</t>
        </is>
      </c>
      <c r="N347" s="96" t="inlineStr">
        <is>
          <t>60일 거래대금 4.6억(기준 5억 미만)</t>
        </is>
      </c>
      <c r="O347" s="96" t="inlineStr">
        <is>
          <t>KIS 종합채권 지수(A-이상)</t>
        </is>
      </c>
      <c r="P347" s="96" t="inlineStr">
        <is>
          <t>일반</t>
        </is>
      </c>
      <c r="Q347" s="96" t="inlineStr">
        <is>
          <t>채권</t>
        </is>
      </c>
      <c r="R347" s="96" t="inlineStr">
        <is>
          <t>연배당</t>
        </is>
      </c>
      <c r="S347" s="97" t="n">
        <v>1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IFERROR(INDEX($A$4:$A$593,MATCH(344,$X$4:$X$593,0)),"")</f>
        <v/>
      </c>
    </row>
    <row r="348">
      <c r="A348" s="96" t="inlineStr">
        <is>
          <t>TIGER 골드선물(H)</t>
        </is>
      </c>
      <c r="B348" s="96" t="inlineStr">
        <is>
          <t>319640</t>
        </is>
      </c>
      <c r="C348" s="96" t="inlineStr">
        <is>
          <t>미래에셋자산운용</t>
        </is>
      </c>
      <c r="D348" s="97" t="n">
        <v>24575</v>
      </c>
      <c r="E348" s="97" t="n">
        <v>113045000000</v>
      </c>
      <c r="F348" s="97" t="n">
        <v>460256703</v>
      </c>
      <c r="G348" s="98" t="n">
        <v>0.0039</v>
      </c>
      <c r="H348" s="98" t="n">
        <v>0.2886</v>
      </c>
      <c r="I348" s="98" t="n">
        <v>0.0098</v>
      </c>
      <c r="J348" s="98" t="n">
        <v>0.011068</v>
      </c>
      <c r="K348" s="97" t="n">
        <v>1</v>
      </c>
      <c r="L348" s="99" t="inlineStr">
        <is>
          <t>20251229</t>
        </is>
      </c>
      <c r="M348" s="96" t="inlineStr">
        <is>
          <t>제외</t>
        </is>
      </c>
      <c r="N348" s="96" t="inlineStr">
        <is>
          <t>60일 거래대금 4.6억(기준 5억 미만)</t>
        </is>
      </c>
      <c r="O348" s="96" t="inlineStr">
        <is>
          <t>S&amp;P GSCI Gold Index TR CME</t>
        </is>
      </c>
      <c r="P348" s="96" t="inlineStr">
        <is>
          <t>일반</t>
        </is>
      </c>
      <c r="Q348" s="96" t="inlineStr">
        <is>
          <t>원자재</t>
        </is>
      </c>
      <c r="R348" s="96" t="inlineStr">
        <is>
          <t>연배당</t>
        </is>
      </c>
      <c r="S348" s="97" t="n">
        <v>1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IFERROR(INDEX($A$4:$A$593,MATCH(345,$X$4:$X$593,0)),"")</f>
        <v/>
      </c>
    </row>
    <row r="349">
      <c r="A349" s="96" t="inlineStr">
        <is>
          <t>SOL 미국S&amp;P500엔화노출(H)</t>
        </is>
      </c>
      <c r="B349" s="96" t="inlineStr">
        <is>
          <t>499150</t>
        </is>
      </c>
      <c r="C349" s="96" t="inlineStr">
        <is>
          <t>신한자산운용</t>
        </is>
      </c>
      <c r="D349" s="97" t="n">
        <v>10755</v>
      </c>
      <c r="E349" s="97" t="n">
        <v>5377500000</v>
      </c>
      <c r="F349" s="97" t="n">
        <v>22302231</v>
      </c>
      <c r="G349" s="98" t="n">
        <v>0.0015</v>
      </c>
      <c r="H349" s="98" t="n">
        <v>0.1533</v>
      </c>
      <c r="I349" s="98" t="n">
        <v>0.0009</v>
      </c>
      <c r="J349" s="98" t="n">
        <v>0.011065</v>
      </c>
      <c r="K349" s="97" t="n">
        <v>21</v>
      </c>
      <c r="L349" s="99" t="inlineStr">
        <is>
          <t>20260929</t>
        </is>
      </c>
      <c r="M349" s="96" t="inlineStr">
        <is>
          <t>제외</t>
        </is>
      </c>
      <c r="N349" s="96" t="inlineStr">
        <is>
          <t>순자산 54억(기준 300억 미만), 60일 거래대금 0.2억(기준 5억 미만)</t>
        </is>
      </c>
      <c r="O349" s="96" t="inlineStr">
        <is>
          <t>S&amp;P 500 YEN Hdg</t>
        </is>
      </c>
      <c r="P349" s="96" t="inlineStr">
        <is>
          <t>일반</t>
        </is>
      </c>
      <c r="Q349" s="96" t="inlineStr">
        <is>
          <t>주식</t>
        </is>
      </c>
      <c r="R349" s="96" t="inlineStr">
        <is>
          <t>월배당</t>
        </is>
      </c>
      <c r="S349" s="97" t="n">
        <v>11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IFERROR(INDEX($A$4:$A$593,MATCH(346,$X$4:$X$593,0)),"")</f>
        <v/>
      </c>
    </row>
    <row r="350">
      <c r="A350" s="96" t="inlineStr">
        <is>
          <t>1Q 코리아밸류업</t>
        </is>
      </c>
      <c r="B350" s="96" t="inlineStr">
        <is>
          <t>495330</t>
        </is>
      </c>
      <c r="C350" s="96" t="inlineStr">
        <is>
          <t>하나자산운용</t>
        </is>
      </c>
      <c r="D350" s="97" t="n">
        <v>32105</v>
      </c>
      <c r="E350" s="97" t="n">
        <v>138051500000</v>
      </c>
      <c r="F350" s="97" t="n">
        <v>484330272</v>
      </c>
      <c r="G350" s="98" t="n">
        <v>0.0002</v>
      </c>
      <c r="H350" s="98" t="n">
        <v>0.5246999999999999</v>
      </c>
      <c r="I350" s="98" t="n">
        <v>0.0009</v>
      </c>
      <c r="J350" s="98" t="n">
        <v>0.011057</v>
      </c>
      <c r="K350" s="97" t="n">
        <v>21</v>
      </c>
      <c r="L350" s="99" t="inlineStr">
        <is>
          <t>20260929</t>
        </is>
      </c>
      <c r="M350" s="96" t="inlineStr">
        <is>
          <t>제외</t>
        </is>
      </c>
      <c r="N350" s="96" t="inlineStr">
        <is>
          <t>60일 거래대금 4.8억(기준 5억 미만), 변동성 52.5%(1년 기준, 기준 35% 초과)</t>
        </is>
      </c>
      <c r="O350" s="96" t="inlineStr">
        <is>
          <t>코리아 밸류업 지수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월배당</t>
        </is>
      </c>
      <c r="S350" s="97" t="n">
        <v>10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IFERROR(INDEX($A$4:$A$593,MATCH(347,$X$4:$X$593,0)),"")</f>
        <v/>
      </c>
    </row>
    <row r="351">
      <c r="A351" s="96" t="inlineStr">
        <is>
          <t>WON 국공채머니마켓액티브</t>
        </is>
      </c>
      <c r="B351" s="96" t="inlineStr">
        <is>
          <t>458030</t>
        </is>
      </c>
      <c r="C351" s="96" t="inlineStr">
        <is>
          <t>우리자산운용</t>
        </is>
      </c>
      <c r="D351" s="97" t="n">
        <v>55185</v>
      </c>
      <c r="E351" s="97" t="n">
        <v>99774480000</v>
      </c>
      <c r="F351" s="97" t="n">
        <v>48357408</v>
      </c>
      <c r="G351" s="98" t="n">
        <v>0.00065</v>
      </c>
      <c r="H351" s="98" t="n">
        <v>0.0111</v>
      </c>
      <c r="I351" s="98" t="n">
        <v>0.0111</v>
      </c>
      <c r="J351" s="98" t="n">
        <v>0.010945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60일 거래대금 0.5억(기준 5억 미만)</t>
        </is>
      </c>
      <c r="O351" s="96" t="inlineStr">
        <is>
          <t>KAP 국공채 머니마켓 총수익 지수</t>
        </is>
      </c>
      <c r="P351" s="96" t="inlineStr">
        <is>
          <t>일반</t>
        </is>
      </c>
      <c r="Q351" s="96" t="inlineStr">
        <is>
          <t>단기자금(파킹형)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IFERROR(INDEX($A$4:$A$593,MATCH(348,$X$4:$X$593,0)),"")</f>
        <v/>
      </c>
    </row>
    <row r="352">
      <c r="A352" s="96" t="inlineStr">
        <is>
          <t>TIGER 모멘텀</t>
        </is>
      </c>
      <c r="B352" s="96" t="inlineStr">
        <is>
          <t>147970</t>
        </is>
      </c>
      <c r="C352" s="96" t="inlineStr">
        <is>
          <t>미래에셋자산운용</t>
        </is>
      </c>
      <c r="D352" s="97" t="n">
        <v>79510</v>
      </c>
      <c r="E352" s="97" t="n">
        <v>36574600000</v>
      </c>
      <c r="F352" s="97" t="n">
        <v>439971745</v>
      </c>
      <c r="G352" s="98" t="n">
        <v>0.0029</v>
      </c>
      <c r="H352" s="98" t="n">
        <v>0.4895</v>
      </c>
      <c r="I352" s="98" t="n">
        <v>0.008399999999999999</v>
      </c>
      <c r="J352" s="98" t="n">
        <v>0.010942</v>
      </c>
      <c r="K352" s="97" t="n">
        <v>9</v>
      </c>
      <c r="L352" s="99" t="inlineStr">
        <is>
          <t>20260429</t>
        </is>
      </c>
      <c r="M352" s="96" t="inlineStr">
        <is>
          <t>제외</t>
        </is>
      </c>
      <c r="N352" s="96" t="inlineStr">
        <is>
          <t>60일 거래대금 4.4억(기준 5억 미만), 변동성 49.0%(1년 기준, 기준 35% 초과)</t>
        </is>
      </c>
      <c r="O352" s="96" t="inlineStr">
        <is>
          <t>FnGuide 모멘텀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연배당</t>
        </is>
      </c>
      <c r="S352" s="97" t="n">
        <v>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IFERROR(INDEX($A$4:$A$593,MATCH(349,$X$4:$X$593,0)),"")</f>
        <v/>
      </c>
    </row>
    <row r="353">
      <c r="A353" s="96" t="inlineStr">
        <is>
          <t>TIGER 27-04회사채(A+이상)액티브</t>
        </is>
      </c>
      <c r="B353" s="96" t="inlineStr">
        <is>
          <t>480260</t>
        </is>
      </c>
      <c r="C353" s="96" t="inlineStr">
        <is>
          <t>미래에셋자산운용</t>
        </is>
      </c>
      <c r="D353" s="97" t="n">
        <v>53910</v>
      </c>
      <c r="E353" s="97" t="n">
        <v>388475460000</v>
      </c>
      <c r="F353" s="97" t="n">
        <v>433391878</v>
      </c>
      <c r="G353" s="98" t="n">
        <v>0.001</v>
      </c>
      <c r="H353" s="98" t="n">
        <v>0.0127</v>
      </c>
      <c r="I353" s="98" t="n">
        <v>0.0108</v>
      </c>
      <c r="J353" s="98" t="n">
        <v>0.010777</v>
      </c>
      <c r="K353" s="97" t="n">
        <v>1</v>
      </c>
      <c r="L353" s="99" t="inlineStr">
        <is>
          <t>20251127</t>
        </is>
      </c>
      <c r="M353" s="96" t="inlineStr">
        <is>
          <t>제외</t>
        </is>
      </c>
      <c r="N353" s="96" t="inlineStr">
        <is>
          <t>60일 거래대금 4.3억(기준 5억 미만)</t>
        </is>
      </c>
      <c r="O353" s="96" t="inlineStr">
        <is>
          <t>KIS 회사채 2704만기형 지수</t>
        </is>
      </c>
      <c r="P353" s="96" t="inlineStr">
        <is>
          <t>일반</t>
        </is>
      </c>
      <c r="Q353" s="96" t="inlineStr">
        <is>
          <t>채권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IFERROR(INDEX($A$4:$A$593,MATCH(350,$X$4:$X$593,0)),"")</f>
        <v/>
      </c>
    </row>
    <row r="354">
      <c r="A354" s="96" t="inlineStr">
        <is>
          <t>RISE TDF2040액티브 적격</t>
        </is>
      </c>
      <c r="B354" s="96" t="inlineStr">
        <is>
          <t>442560</t>
        </is>
      </c>
      <c r="C354" s="96" t="inlineStr">
        <is>
          <t>KB자산운용</t>
        </is>
      </c>
      <c r="D354" s="97" t="n">
        <v>16430</v>
      </c>
      <c r="E354" s="97" t="n">
        <v>56683500000</v>
      </c>
      <c r="F354" s="97" t="n">
        <v>319446917</v>
      </c>
      <c r="G354" s="98" t="n">
        <v>0.0001</v>
      </c>
      <c r="H354" s="98" t="n">
        <v>0.1192</v>
      </c>
      <c r="I354" s="98" t="n">
        <v>0.0033</v>
      </c>
      <c r="J354" s="98" t="n">
        <v>0.010773</v>
      </c>
      <c r="K354" s="97" t="n">
        <v>2</v>
      </c>
      <c r="L354" s="99" t="inlineStr">
        <is>
          <t>20260730</t>
        </is>
      </c>
      <c r="M354" s="96" t="inlineStr">
        <is>
          <t>제외</t>
        </is>
      </c>
      <c r="N354" s="96" t="inlineStr">
        <is>
          <t>60일 거래대금 3.2억(기준 5억 미만)</t>
        </is>
      </c>
      <c r="O354" s="96" t="inlineStr">
        <is>
          <t>iSelect Tactical Asset Allocation TDF 2040 PR Index</t>
        </is>
      </c>
      <c r="P354" s="96" t="inlineStr">
        <is>
          <t>일반</t>
        </is>
      </c>
      <c r="Q354" s="96" t="inlineStr">
        <is>
          <t>멀티에셋</t>
        </is>
      </c>
      <c r="R354" s="96" t="inlineStr">
        <is>
          <t>반기배당</t>
        </is>
      </c>
      <c r="S354" s="97" t="n">
        <v>2</v>
      </c>
      <c r="T354" s="98" t="n">
        <v>1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IFERROR(INDEX($A$4:$A$593,MATCH(351,$X$4:$X$593,0)),"")</f>
        <v/>
      </c>
    </row>
    <row r="355">
      <c r="A355" s="96" t="inlineStr">
        <is>
          <t>ACE 미국빅테크TOP7 Plus레버리지(합성)</t>
        </is>
      </c>
      <c r="B355" s="96" t="inlineStr">
        <is>
          <t>465610</t>
        </is>
      </c>
      <c r="C355" s="96" t="inlineStr">
        <is>
          <t>한국투신운용(ETF)</t>
        </is>
      </c>
      <c r="D355" s="97" t="n">
        <v>43685</v>
      </c>
      <c r="E355" s="97" t="n">
        <v>104844000000</v>
      </c>
      <c r="F355" s="97" t="n">
        <v>556379913</v>
      </c>
      <c r="G355" s="98" t="n">
        <v>0.006</v>
      </c>
      <c r="H355" s="98" t="n">
        <v>0.425</v>
      </c>
      <c r="I355" s="98" t="n">
        <v>0.0116</v>
      </c>
      <c r="J355" s="98" t="n">
        <v>0.010759</v>
      </c>
      <c r="K355" s="97" t="n">
        <v>1</v>
      </c>
      <c r="L355" s="99" t="inlineStr">
        <is>
          <t>20251229</t>
        </is>
      </c>
      <c r="M355" s="96" t="inlineStr">
        <is>
          <t>제외</t>
        </is>
      </c>
      <c r="N355" s="96" t="inlineStr">
        <is>
          <t>변동성 42.5%(1년 기준, 기준 35% 초과)</t>
        </is>
      </c>
      <c r="O355" s="96" t="inlineStr">
        <is>
          <t>Solactive US Big Tech Top 7 Plus Index PR</t>
        </is>
      </c>
      <c r="P355" s="96" t="inlineStr">
        <is>
          <t>일반</t>
        </is>
      </c>
      <c r="Q355" s="96" t="inlineStr">
        <is>
          <t>주식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IFERROR(INDEX($A$4:$A$593,MATCH(352,$X$4:$X$593,0)),"")</f>
        <v/>
      </c>
    </row>
    <row r="356">
      <c r="A356" s="96" t="inlineStr">
        <is>
          <t>RISE 코리아밸류업</t>
        </is>
      </c>
      <c r="B356" s="96" t="inlineStr">
        <is>
          <t>495050</t>
        </is>
      </c>
      <c r="C356" s="96" t="inlineStr">
        <is>
          <t>KB자산운용</t>
        </is>
      </c>
      <c r="D356" s="97" t="n">
        <v>32495</v>
      </c>
      <c r="E356" s="97" t="n">
        <v>956977750000</v>
      </c>
      <c r="F356" s="97" t="n">
        <v>13640561169</v>
      </c>
      <c r="G356" s="98" t="n">
        <v>8.000000000000001e-05</v>
      </c>
      <c r="H356" s="98" t="n">
        <v>0.5246999999999999</v>
      </c>
      <c r="I356" s="98" t="n">
        <v>0.0011</v>
      </c>
      <c r="J356" s="98" t="n">
        <v>0.010709</v>
      </c>
      <c r="K356" s="97" t="n">
        <v>19</v>
      </c>
      <c r="L356" s="99" t="inlineStr">
        <is>
          <t>20260914</t>
        </is>
      </c>
      <c r="M356" s="96" t="inlineStr">
        <is>
          <t>제외</t>
        </is>
      </c>
      <c r="N356" s="96" t="inlineStr">
        <is>
          <t>변동성 52.5%(1년 기준, 기준 35% 초과)</t>
        </is>
      </c>
      <c r="O356" s="96" t="inlineStr">
        <is>
          <t>코리아 밸류업 지수</t>
        </is>
      </c>
      <c r="P356" s="96" t="inlineStr">
        <is>
          <t>일반</t>
        </is>
      </c>
      <c r="Q356" s="96" t="inlineStr">
        <is>
          <t>주식</t>
        </is>
      </c>
      <c r="R356" s="96" t="inlineStr">
        <is>
          <t>월배당</t>
        </is>
      </c>
      <c r="S356" s="97" t="n">
        <v>10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IFERROR(INDEX($A$4:$A$593,MATCH(353,$X$4:$X$593,0)),"")</f>
        <v/>
      </c>
    </row>
    <row r="357">
      <c r="A357" s="96" t="inlineStr">
        <is>
          <t>KODEX Top10동일가중</t>
        </is>
      </c>
      <c r="B357" s="96" t="inlineStr">
        <is>
          <t>395170</t>
        </is>
      </c>
      <c r="C357" s="96" t="inlineStr">
        <is>
          <t>삼성자산운용(ETF)</t>
        </is>
      </c>
      <c r="D357" s="97" t="n">
        <v>15475</v>
      </c>
      <c r="E357" s="97" t="n">
        <v>30950000000</v>
      </c>
      <c r="F357" s="97" t="n">
        <v>293399541</v>
      </c>
      <c r="G357" s="98" t="n">
        <v>0.0015</v>
      </c>
      <c r="H357" s="98" t="n">
        <v>0.5281</v>
      </c>
      <c r="I357" s="98" t="n">
        <v>0.0007000000000000001</v>
      </c>
      <c r="J357" s="98" t="n">
        <v>0.010533</v>
      </c>
      <c r="K357" s="97" t="n">
        <v>7</v>
      </c>
      <c r="L357" s="99" t="inlineStr">
        <is>
          <t>20260730</t>
        </is>
      </c>
      <c r="M357" s="96" t="inlineStr">
        <is>
          <t>제외</t>
        </is>
      </c>
      <c r="N357" s="96" t="inlineStr">
        <is>
          <t>60일 거래대금 2.9억(기준 5억 미만), 변동성 52.8%(1년 기준, 기준 35% 초과)</t>
        </is>
      </c>
      <c r="O357" s="96" t="inlineStr">
        <is>
          <t>FnGuide TOP10 동일가중 지수</t>
        </is>
      </c>
      <c r="P357" s="96" t="inlineStr">
        <is>
          <t>일반</t>
        </is>
      </c>
      <c r="Q357" s="96" t="inlineStr">
        <is>
          <t>주식</t>
        </is>
      </c>
      <c r="R357" s="96" t="inlineStr">
        <is>
          <t>분기배당</t>
        </is>
      </c>
      <c r="S357" s="97" t="n">
        <v>3</v>
      </c>
      <c r="T357" s="98" t="n">
        <v>0.9939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IFERROR(INDEX($A$4:$A$593,MATCH(354,$X$4:$X$593,0)),"")</f>
        <v/>
      </c>
    </row>
    <row r="358">
      <c r="A358" s="96" t="inlineStr">
        <is>
          <t>TIGER 차이나CSI300레버리지(합성)</t>
        </is>
      </c>
      <c r="B358" s="96" t="inlineStr">
        <is>
          <t>204480</t>
        </is>
      </c>
      <c r="C358" s="96" t="inlineStr">
        <is>
          <t>미래에셋자산운용</t>
        </is>
      </c>
      <c r="D358" s="97" t="n">
        <v>21000</v>
      </c>
      <c r="E358" s="97" t="n">
        <v>59640000000</v>
      </c>
      <c r="F358" s="97" t="n">
        <v>128936045</v>
      </c>
      <c r="G358" s="98" t="n">
        <v>0.0058</v>
      </c>
      <c r="H358" s="98" t="n">
        <v>0.4549</v>
      </c>
      <c r="I358" s="98" t="n">
        <v>0.008100000000000001</v>
      </c>
      <c r="J358" s="98" t="n">
        <v>0.010476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1.3억(기준 5억 미만), 변동성 45.5%(1년 기준, 기준 35% 초과)</t>
        </is>
      </c>
      <c r="O358" s="96" t="inlineStr">
        <is>
          <t>CSI 300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IFERROR(INDEX($A$4:$A$593,MATCH(355,$X$4:$X$593,0)),"")</f>
        <v/>
      </c>
    </row>
    <row r="359">
      <c r="A359" s="96" t="inlineStr">
        <is>
          <t>TIGER 중장기국채</t>
        </is>
      </c>
      <c r="B359" s="96" t="inlineStr">
        <is>
          <t>302190</t>
        </is>
      </c>
      <c r="C359" s="96" t="inlineStr">
        <is>
          <t>미래에셋자산운용</t>
        </is>
      </c>
      <c r="D359" s="97" t="n">
        <v>49960</v>
      </c>
      <c r="E359" s="97" t="n">
        <v>193844800000</v>
      </c>
      <c r="F359" s="97" t="n">
        <v>330247231</v>
      </c>
      <c r="G359" s="98" t="n">
        <v>0.0015</v>
      </c>
      <c r="H359" s="98" t="n">
        <v>0.0429</v>
      </c>
      <c r="I359" s="98" t="n">
        <v>0.009899999999999999</v>
      </c>
      <c r="J359" s="98" t="n">
        <v>0.010308</v>
      </c>
      <c r="K359" s="97" t="n">
        <v>5</v>
      </c>
      <c r="L359" s="99" t="inlineStr">
        <is>
          <t>20251127</t>
        </is>
      </c>
      <c r="M359" s="96" t="inlineStr">
        <is>
          <t>제외</t>
        </is>
      </c>
      <c r="N359" s="96" t="inlineStr">
        <is>
          <t>60일 거래대금 3.3억(기준 5억 미만)</t>
        </is>
      </c>
      <c r="O359" s="96" t="inlineStr">
        <is>
          <t>KIS 3Y10Y KTB</t>
        </is>
      </c>
      <c r="P359" s="96" t="inlineStr">
        <is>
          <t>일반</t>
        </is>
      </c>
      <c r="Q359" s="96" t="inlineStr">
        <is>
          <t>채권</t>
        </is>
      </c>
      <c r="R359" s="96" t="inlineStr">
        <is>
          <t>연배당</t>
        </is>
      </c>
      <c r="S359" s="97" t="n">
        <v>1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IFERROR(INDEX($A$4:$A$593,MATCH(356,$X$4:$X$593,0)),"")</f>
        <v/>
      </c>
    </row>
    <row r="360">
      <c r="A360" s="96" t="inlineStr">
        <is>
          <t>TIGER 미국S&amp;P500선물(H)</t>
        </is>
      </c>
      <c r="B360" s="96" t="inlineStr">
        <is>
          <t>143850</t>
        </is>
      </c>
      <c r="C360" s="96" t="inlineStr">
        <is>
          <t>미래에셋자산운용</t>
        </is>
      </c>
      <c r="D360" s="97" t="n">
        <v>77435</v>
      </c>
      <c r="E360" s="97" t="n">
        <v>90986125000</v>
      </c>
      <c r="F360" s="97" t="n">
        <v>296719818</v>
      </c>
      <c r="G360" s="98" t="n">
        <v>0.003</v>
      </c>
      <c r="H360" s="98" t="n">
        <v>0.1273</v>
      </c>
      <c r="I360" s="98" t="n">
        <v>0.0109</v>
      </c>
      <c r="J360" s="98" t="n">
        <v>0.010138</v>
      </c>
      <c r="K360" s="97" t="n">
        <v>1</v>
      </c>
      <c r="L360" s="99" t="inlineStr">
        <is>
          <t>20251229</t>
        </is>
      </c>
      <c r="M360" s="96" t="inlineStr">
        <is>
          <t>제외</t>
        </is>
      </c>
      <c r="N360" s="96" t="inlineStr">
        <is>
          <t>60일 거래대금 3.0억(기준 5억 미만)</t>
        </is>
      </c>
      <c r="O360" s="96" t="inlineStr">
        <is>
          <t>S&amp;P 500 Futures Index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1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IFERROR(INDEX($A$4:$A$593,MATCH(357,$X$4:$X$593,0)),"")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18195</v>
      </c>
      <c r="E361" s="97" t="n">
        <v>85516500000</v>
      </c>
      <c r="F361" s="97" t="n">
        <v>463739830</v>
      </c>
      <c r="G361" s="98" t="n">
        <v>4.7e-05</v>
      </c>
      <c r="H361" s="98" t="n">
        <v>0.1309</v>
      </c>
      <c r="I361" s="98" t="n">
        <v>0.0008</v>
      </c>
      <c r="J361" s="98" t="n">
        <v>0.010058</v>
      </c>
      <c r="K361" s="97" t="n">
        <v>42</v>
      </c>
      <c r="L361" s="99" t="inlineStr">
        <is>
          <t>20260929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IFERROR(INDEX($A$4:$A$593,MATCH(358,$X$4:$X$593,0)),"")</f>
        <v/>
      </c>
    </row>
    <row r="362">
      <c r="A362" s="96" t="inlineStr">
        <is>
          <t>TIGER 코리아밸류업</t>
        </is>
      </c>
      <c r="B362" s="96" t="inlineStr">
        <is>
          <t>496080</t>
        </is>
      </c>
      <c r="C362" s="96" t="inlineStr">
        <is>
          <t>미래에셋자산운용</t>
        </is>
      </c>
      <c r="D362" s="97" t="n">
        <v>32255</v>
      </c>
      <c r="E362" s="97" t="n">
        <v>508016250000</v>
      </c>
      <c r="F362" s="97" t="n">
        <v>11936953399</v>
      </c>
      <c r="G362" s="98" t="n">
        <v>8.000000000000001e-05</v>
      </c>
      <c r="H362" s="98" t="n">
        <v>0.5224</v>
      </c>
      <c r="I362" s="98" t="n">
        <v>0.0014</v>
      </c>
      <c r="J362" s="98" t="n">
        <v>0.010045</v>
      </c>
      <c r="K362" s="97" t="n">
        <v>21</v>
      </c>
      <c r="L362" s="99" t="inlineStr">
        <is>
          <t>20260929</t>
        </is>
      </c>
      <c r="M362" s="96" t="inlineStr">
        <is>
          <t>제외</t>
        </is>
      </c>
      <c r="N362" s="96" t="inlineStr">
        <is>
          <t>변동성 52.2%(1년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월배당</t>
        </is>
      </c>
      <c r="S362" s="97" t="n">
        <v>11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IFERROR(INDEX($A$4:$A$593,MATCH(359,$X$4:$X$593,0)),"")</f>
        <v/>
      </c>
    </row>
    <row r="363">
      <c r="A363" s="96" t="inlineStr">
        <is>
          <t>HK 200</t>
        </is>
      </c>
      <c r="B363" s="96" t="inlineStr">
        <is>
          <t>491700</t>
        </is>
      </c>
      <c r="C363" s="96" t="inlineStr">
        <is>
          <t>흥국자산운용</t>
        </is>
      </c>
      <c r="D363" s="97" t="n">
        <v>112200</v>
      </c>
      <c r="E363" s="97" t="n">
        <v>67320000000</v>
      </c>
      <c r="F363" s="97" t="n">
        <v>286865246</v>
      </c>
      <c r="G363" s="98" t="n">
        <v>0.0005</v>
      </c>
      <c r="H363" s="98" t="n">
        <v>0.5845</v>
      </c>
      <c r="I363" s="98" t="n">
        <v>0.0067</v>
      </c>
      <c r="J363" s="98" t="n">
        <v>0.010009</v>
      </c>
      <c r="K363" s="97" t="n">
        <v>3</v>
      </c>
      <c r="L363" s="99" t="inlineStr">
        <is>
          <t>20260429</t>
        </is>
      </c>
      <c r="M363" s="96" t="inlineStr">
        <is>
          <t>제외</t>
        </is>
      </c>
      <c r="N363" s="96" t="inlineStr">
        <is>
          <t>60일 거래대금 2.9억(기준 5억 미만), 변동성 58.4%(1년 기준, 기준 35% 초과)</t>
        </is>
      </c>
      <c r="O363" s="96" t="inlineStr">
        <is>
          <t>KOSPI 200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연배당</t>
        </is>
      </c>
      <c r="S363" s="97" t="n">
        <v>1</v>
      </c>
      <c r="T363" s="98" t="n">
        <v>1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IFERROR(INDEX($A$4:$A$593,MATCH(360,$X$4:$X$593,0)),"")</f>
        <v/>
      </c>
    </row>
    <row r="364">
      <c r="A364" s="96" t="inlineStr">
        <is>
          <t>KODEX 삼성그룹밸류</t>
        </is>
      </c>
      <c r="B364" s="96" t="inlineStr">
        <is>
          <t>213610</t>
        </is>
      </c>
      <c r="C364" s="96" t="inlineStr">
        <is>
          <t>삼성자산운용(ETF)</t>
        </is>
      </c>
      <c r="D364" s="97" t="n">
        <v>22395</v>
      </c>
      <c r="E364" s="97" t="n">
        <v>266500500000</v>
      </c>
      <c r="F364" s="97" t="n">
        <v>579115288</v>
      </c>
      <c r="G364" s="98" t="n">
        <v>0.0009</v>
      </c>
      <c r="H364" s="98" t="n">
        <v>0.4593</v>
      </c>
      <c r="I364" s="98" t="n">
        <v>0.0002</v>
      </c>
      <c r="J364" s="98" t="n">
        <v>0.010002</v>
      </c>
      <c r="K364" s="97" t="n">
        <v>6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45.9%(1년 기준, 기준 35% 초과)</t>
        </is>
      </c>
      <c r="O364" s="96" t="inlineStr">
        <is>
          <t>WISE 삼성그룹밸류인덱스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연배당</t>
        </is>
      </c>
      <c r="S364" s="97" t="n">
        <v>2</v>
      </c>
      <c r="T364" s="98" t="n">
        <v>1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IFERROR(INDEX($A$4:$A$593,MATCH(361,$X$4:$X$593,0)),"")</f>
        <v/>
      </c>
    </row>
    <row r="365">
      <c r="A365" s="96" t="inlineStr">
        <is>
          <t>HANARO 코리아밸류업</t>
        </is>
      </c>
      <c r="B365" s="96" t="inlineStr">
        <is>
          <t>495750</t>
        </is>
      </c>
      <c r="C365" s="96" t="inlineStr">
        <is>
          <t>NH-Amundi자산운용</t>
        </is>
      </c>
      <c r="D365" s="97" t="n">
        <v>32260</v>
      </c>
      <c r="E365" s="97" t="n">
        <v>79037000000</v>
      </c>
      <c r="F365" s="97" t="n">
        <v>80094534</v>
      </c>
      <c r="G365" s="98" t="n">
        <v>8.000000000000001e-05</v>
      </c>
      <c r="H365" s="98" t="n">
        <v>0.5231</v>
      </c>
      <c r="I365" s="98" t="n">
        <v>0.0031</v>
      </c>
      <c r="J365" s="98" t="n">
        <v>0.009919000000000001</v>
      </c>
      <c r="K365" s="97" t="n">
        <v>6</v>
      </c>
      <c r="L365" s="99" t="inlineStr">
        <is>
          <t>20260730</t>
        </is>
      </c>
      <c r="M365" s="96" t="inlineStr">
        <is>
          <t>제외</t>
        </is>
      </c>
      <c r="N365" s="96" t="inlineStr">
        <is>
          <t>60일 거래대금 0.8억(기준 5억 미만), 변동성 52.3%(1년 기준, 기준 35% 초과)</t>
        </is>
      </c>
      <c r="O365" s="96" t="inlineStr">
        <is>
          <t>코리아 밸류업 지수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분기배당</t>
        </is>
      </c>
      <c r="S365" s="97" t="n">
        <v>3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IFERROR(INDEX($A$4:$A$593,MATCH(362,$X$4:$X$593,0)),"")</f>
        <v/>
      </c>
    </row>
    <row r="366">
      <c r="A366" s="96" t="inlineStr">
        <is>
          <t>PLUS 코리아밸류업</t>
        </is>
      </c>
      <c r="B366" s="96" t="inlineStr">
        <is>
          <t>495040</t>
        </is>
      </c>
      <c r="C366" s="96" t="inlineStr">
        <is>
          <t>한화자산운용</t>
        </is>
      </c>
      <c r="D366" s="97" t="n">
        <v>31885</v>
      </c>
      <c r="E366" s="97" t="n">
        <v>86089500000</v>
      </c>
      <c r="F366" s="97" t="n">
        <v>182425956</v>
      </c>
      <c r="G366" s="98" t="n">
        <v>8.999999999999999e-05</v>
      </c>
      <c r="H366" s="98" t="n">
        <v>0.5232</v>
      </c>
      <c r="I366" s="98" t="n">
        <v>0.0014</v>
      </c>
      <c r="J366" s="98" t="n">
        <v>0.009879000000000001</v>
      </c>
      <c r="K366" s="97" t="n">
        <v>21</v>
      </c>
      <c r="L366" s="99" t="inlineStr">
        <is>
          <t>20260914</t>
        </is>
      </c>
      <c r="M366" s="96" t="inlineStr">
        <is>
          <t>제외</t>
        </is>
      </c>
      <c r="N366" s="96" t="inlineStr">
        <is>
          <t>60일 거래대금 1.8억(기준 5억 미만), 변동성 52.3%(1년 기준, 기준 35% 초과)</t>
        </is>
      </c>
      <c r="O366" s="96" t="inlineStr">
        <is>
          <t>코리아 밸류업 지수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월배당</t>
        </is>
      </c>
      <c r="S366" s="97" t="n">
        <v>11</v>
      </c>
      <c r="T366" s="98" t="n">
        <v>0.9143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IFERROR(INDEX($A$4:$A$593,MATCH(363,$X$4:$X$593,0)),"")</f>
        <v/>
      </c>
    </row>
    <row r="367">
      <c r="A367" s="96" t="inlineStr">
        <is>
          <t>KIWOOM 200</t>
        </is>
      </c>
      <c r="B367" s="96" t="inlineStr">
        <is>
          <t>069660</t>
        </is>
      </c>
      <c r="C367" s="96" t="inlineStr">
        <is>
          <t>키움투자자산운용</t>
        </is>
      </c>
      <c r="D367" s="97" t="n">
        <v>111410</v>
      </c>
      <c r="E367" s="97" t="n">
        <v>846716000000</v>
      </c>
      <c r="F367" s="97" t="n">
        <v>19444646690</v>
      </c>
      <c r="G367" s="98" t="n">
        <v>0.0005</v>
      </c>
      <c r="H367" s="98" t="n">
        <v>0.5832000000000001</v>
      </c>
      <c r="I367" s="98" t="n">
        <v>0.0015</v>
      </c>
      <c r="J367" s="98" t="n">
        <v>0.009604</v>
      </c>
      <c r="K367" s="97" t="n">
        <v>12</v>
      </c>
      <c r="L367" s="99" t="inlineStr">
        <is>
          <t>20260730</t>
        </is>
      </c>
      <c r="M367" s="96" t="inlineStr">
        <is>
          <t>제외</t>
        </is>
      </c>
      <c r="N367" s="96" t="inlineStr">
        <is>
          <t>변동성 58.3%(1년 기준, 기준 35% 초과)</t>
        </is>
      </c>
      <c r="O367" s="96" t="inlineStr">
        <is>
          <t>KOSPI 200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분기배당</t>
        </is>
      </c>
      <c r="S367" s="97" t="n">
        <v>3</v>
      </c>
      <c r="T367" s="98" t="n">
        <v>0.9748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IFERROR(INDEX($A$4:$A$593,MATCH(364,$X$4:$X$593,0)),"")</f>
        <v/>
      </c>
    </row>
    <row r="368">
      <c r="A368" s="96" t="inlineStr">
        <is>
          <t>KIWOOM 미국S&amp;P500(H)</t>
        </is>
      </c>
      <c r="B368" s="96" t="inlineStr">
        <is>
          <t>449780</t>
        </is>
      </c>
      <c r="C368" s="96" t="inlineStr">
        <is>
          <t>키움투자자산운용</t>
        </is>
      </c>
      <c r="D368" s="97" t="n">
        <v>18685</v>
      </c>
      <c r="E368" s="97" t="n">
        <v>33633000000</v>
      </c>
      <c r="F368" s="97" t="n">
        <v>164896213</v>
      </c>
      <c r="G368" s="98" t="n">
        <v>0.0004</v>
      </c>
      <c r="H368" s="98" t="n">
        <v>0.1292</v>
      </c>
      <c r="I368" s="98" t="n">
        <v>0.0024</v>
      </c>
      <c r="J368" s="98" t="n">
        <v>0.00958</v>
      </c>
      <c r="K368" s="97" t="n">
        <v>7</v>
      </c>
      <c r="L368" s="99" t="inlineStr">
        <is>
          <t>20260730</t>
        </is>
      </c>
      <c r="M368" s="96" t="inlineStr">
        <is>
          <t>제외</t>
        </is>
      </c>
      <c r="N368" s="96" t="inlineStr">
        <is>
          <t>60일 거래대금 1.6억(기준 5억 미만)</t>
        </is>
      </c>
      <c r="O368" s="96" t="inlineStr">
        <is>
          <t>S&amp;P 500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분기배당</t>
        </is>
      </c>
      <c r="S368" s="97" t="n">
        <v>3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IFERROR(INDEX($A$4:$A$593,MATCH(365,$X$4:$X$593,0)),"")</f>
        <v/>
      </c>
    </row>
    <row r="369">
      <c r="A369" s="96" t="inlineStr">
        <is>
          <t>PLUS 미국S&amp;P500</t>
        </is>
      </c>
      <c r="B369" s="96" t="inlineStr">
        <is>
          <t>429760</t>
        </is>
      </c>
      <c r="C369" s="96" t="inlineStr">
        <is>
          <t>한화자산운용</t>
        </is>
      </c>
      <c r="D369" s="97" t="n">
        <v>19310</v>
      </c>
      <c r="E369" s="97" t="n">
        <v>81102000000</v>
      </c>
      <c r="F369" s="97" t="n">
        <v>281084533</v>
      </c>
      <c r="G369" s="98" t="n">
        <v>6.2e-05</v>
      </c>
      <c r="H369" s="98" t="n">
        <v>0.1454</v>
      </c>
      <c r="I369" s="98" t="n">
        <v>0.002</v>
      </c>
      <c r="J369" s="98" t="n">
        <v>0.009424999999999999</v>
      </c>
      <c r="K369" s="97" t="n">
        <v>11</v>
      </c>
      <c r="L369" s="99" t="inlineStr">
        <is>
          <t>20260730</t>
        </is>
      </c>
      <c r="M369" s="96" t="inlineStr">
        <is>
          <t>제외</t>
        </is>
      </c>
      <c r="N369" s="96" t="inlineStr">
        <is>
          <t>60일 거래대금 2.8억(기준 5억 미만)</t>
        </is>
      </c>
      <c r="O369" s="96" t="inlineStr">
        <is>
          <t>S&amp;P 500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분기배당</t>
        </is>
      </c>
      <c r="S369" s="97" t="n">
        <v>3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IFERROR(INDEX($A$4:$A$593,MATCH(366,$X$4:$X$593,0)),"")</f>
        <v/>
      </c>
    </row>
    <row r="370">
      <c r="A370" s="96" t="inlineStr">
        <is>
          <t>TIGER 글로벌자율주행&amp;전기차SOLACTIVE</t>
        </is>
      </c>
      <c r="B370" s="96" t="inlineStr">
        <is>
          <t>394660</t>
        </is>
      </c>
      <c r="C370" s="96" t="inlineStr">
        <is>
          <t>미래에셋자산운용</t>
        </is>
      </c>
      <c r="D370" s="97" t="n">
        <v>15045</v>
      </c>
      <c r="E370" s="97" t="n">
        <v>98695200000</v>
      </c>
      <c r="F370" s="97" t="n">
        <v>147336919</v>
      </c>
      <c r="G370" s="98" t="n">
        <v>0.0049</v>
      </c>
      <c r="H370" s="98" t="n">
        <v>0.2732</v>
      </c>
      <c r="I370" s="98" t="n">
        <v>0.009599999999999999</v>
      </c>
      <c r="J370" s="98" t="n">
        <v>0.009372</v>
      </c>
      <c r="K370" s="97" t="n">
        <v>1</v>
      </c>
      <c r="L370" s="99" t="inlineStr">
        <is>
          <t>20251229</t>
        </is>
      </c>
      <c r="M370" s="96" t="inlineStr">
        <is>
          <t>제외</t>
        </is>
      </c>
      <c r="N370" s="96" t="inlineStr">
        <is>
          <t>60일 거래대금 1.5억(기준 5억 미만)</t>
        </is>
      </c>
      <c r="O370" s="96" t="inlineStr">
        <is>
          <t>Solactive Autonomous &amp; Electric Vehicles Index PR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연배당</t>
        </is>
      </c>
      <c r="S370" s="97" t="n">
        <v>1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IFERROR(INDEX($A$4:$A$593,MATCH(367,$X$4:$X$593,0)),"")</f>
        <v/>
      </c>
    </row>
    <row r="371">
      <c r="A371" s="96" t="inlineStr">
        <is>
          <t>FOCUS AI코리아액티브</t>
        </is>
      </c>
      <c r="B371" s="96" t="inlineStr">
        <is>
          <t>448570</t>
        </is>
      </c>
      <c r="C371" s="96" t="inlineStr">
        <is>
          <t>브이아이자산운용</t>
        </is>
      </c>
      <c r="D371" s="97" t="n">
        <v>30080</v>
      </c>
      <c r="E371" s="97" t="n">
        <v>40608000000</v>
      </c>
      <c r="F371" s="97" t="n">
        <v>16805859</v>
      </c>
      <c r="G371" s="98" t="n">
        <v>0.00455</v>
      </c>
      <c r="H371" s="98" t="n">
        <v>0.4588</v>
      </c>
      <c r="I371" s="98" t="n">
        <v>0.0097</v>
      </c>
      <c r="J371" s="98" t="n">
        <v>0.009309</v>
      </c>
      <c r="K371" s="97" t="n">
        <v>4</v>
      </c>
      <c r="L371" s="99" t="inlineStr">
        <is>
          <t>20260429</t>
        </is>
      </c>
      <c r="M371" s="96" t="inlineStr">
        <is>
          <t>제외</t>
        </is>
      </c>
      <c r="N371" s="96" t="inlineStr">
        <is>
          <t>60일 거래대금 0.2억(기준 5억 미만), 변동성 45.9%(1년 기준, 기준 35% 초과)</t>
        </is>
      </c>
      <c r="O371" s="96" t="inlineStr">
        <is>
          <t>코스피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연배당</t>
        </is>
      </c>
      <c r="S371" s="97" t="n">
        <v>1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IFERROR(INDEX($A$4:$A$593,MATCH(368,$X$4:$X$593,0)),"")</f>
        <v/>
      </c>
    </row>
    <row r="372">
      <c r="A372" s="96" t="inlineStr">
        <is>
          <t>KIWOOM 코리아밸류업</t>
        </is>
      </c>
      <c r="B372" s="96" t="inlineStr">
        <is>
          <t>496090</t>
        </is>
      </c>
      <c r="C372" s="96" t="inlineStr">
        <is>
          <t>키움투자자산운용</t>
        </is>
      </c>
      <c r="D372" s="97" t="n">
        <v>32375</v>
      </c>
      <c r="E372" s="97" t="n">
        <v>106837500000</v>
      </c>
      <c r="F372" s="97" t="n">
        <v>98616701</v>
      </c>
      <c r="G372" s="98" t="n">
        <v>8.999999999999999e-05</v>
      </c>
      <c r="H372" s="98" t="n">
        <v>0.5239</v>
      </c>
      <c r="I372" s="98" t="n">
        <v>0.0018</v>
      </c>
      <c r="J372" s="98" t="n">
        <v>0.009266</v>
      </c>
      <c r="K372" s="97" t="n">
        <v>6</v>
      </c>
      <c r="L372" s="99" t="inlineStr">
        <is>
          <t>20260730</t>
        </is>
      </c>
      <c r="M372" s="96" t="inlineStr">
        <is>
          <t>제외</t>
        </is>
      </c>
      <c r="N372" s="96" t="inlineStr">
        <is>
          <t>60일 거래대금 1.0억(기준 5억 미만), 변동성 52.4%(1년 기준, 기준 35% 초과)</t>
        </is>
      </c>
      <c r="O372" s="96" t="inlineStr">
        <is>
          <t>코리아 밸류업 지수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분기배당</t>
        </is>
      </c>
      <c r="S372" s="97" t="n">
        <v>3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IFERROR(INDEX($A$4:$A$593,MATCH(369,$X$4:$X$593,0)),"")</f>
        <v/>
      </c>
    </row>
    <row r="373">
      <c r="A373" s="96" t="inlineStr">
        <is>
          <t>ACE 삼성그룹섹터가중</t>
        </is>
      </c>
      <c r="B373" s="96" t="inlineStr">
        <is>
          <t>108450</t>
        </is>
      </c>
      <c r="C373" s="96" t="inlineStr">
        <is>
          <t>한국투신운용(ETF)</t>
        </is>
      </c>
      <c r="D373" s="97" t="n">
        <v>40190</v>
      </c>
      <c r="E373" s="97" t="n">
        <v>80380000000</v>
      </c>
      <c r="F373" s="97" t="n">
        <v>734625238</v>
      </c>
      <c r="G373" s="98" t="n">
        <v>0.0015</v>
      </c>
      <c r="H373" s="98" t="n">
        <v>0.4834000000000001</v>
      </c>
      <c r="I373" s="98" t="n">
        <v>0.009899999999999999</v>
      </c>
      <c r="J373" s="98" t="n">
        <v>0.009205999999999999</v>
      </c>
      <c r="K373" s="97" t="n">
        <v>5</v>
      </c>
      <c r="L373" s="99" t="inlineStr">
        <is>
          <t>20260429</t>
        </is>
      </c>
      <c r="M373" s="96" t="inlineStr">
        <is>
          <t>제외</t>
        </is>
      </c>
      <c r="N373" s="96" t="inlineStr">
        <is>
          <t>변동성 48.3%(1년 기준, 기준 35% 초과)</t>
        </is>
      </c>
      <c r="O373" s="96" t="inlineStr">
        <is>
          <t>FnGuide SAMs SW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연배당</t>
        </is>
      </c>
      <c r="S373" s="97" t="n">
        <v>1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IFERROR(INDEX($A$4:$A$593,MATCH(370,$X$4:$X$593,0)),"")</f>
        <v/>
      </c>
    </row>
    <row r="374">
      <c r="A374" s="96" t="inlineStr">
        <is>
          <t>TIGER 인도빌리언컨슈머</t>
        </is>
      </c>
      <c r="B374" s="96" t="inlineStr">
        <is>
          <t>479730</t>
        </is>
      </c>
      <c r="C374" s="96" t="inlineStr">
        <is>
          <t>미래에셋자산운용</t>
        </is>
      </c>
      <c r="D374" s="97" t="n">
        <v>9065</v>
      </c>
      <c r="E374" s="97" t="n">
        <v>53483500000</v>
      </c>
      <c r="F374" s="97" t="n">
        <v>174868363</v>
      </c>
      <c r="G374" s="98" t="n">
        <v>0.0049</v>
      </c>
      <c r="H374" s="98" t="n">
        <v>0.1943</v>
      </c>
      <c r="I374" s="98" t="n">
        <v>0.0033</v>
      </c>
      <c r="J374" s="98" t="n">
        <v>0.009155999999999999</v>
      </c>
      <c r="K374" s="97" t="n">
        <v>9</v>
      </c>
      <c r="L374" s="99" t="inlineStr">
        <is>
          <t>20260730</t>
        </is>
      </c>
      <c r="M374" s="96" t="inlineStr">
        <is>
          <t>제외</t>
        </is>
      </c>
      <c r="N374" s="96" t="inlineStr">
        <is>
          <t>60일 거래대금 1.7억(기준 5억 미만)</t>
        </is>
      </c>
      <c r="O374" s="96" t="inlineStr">
        <is>
          <t>Mirae Asset India Billion Consumer Index PR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분기배당</t>
        </is>
      </c>
      <c r="S374" s="97" t="n">
        <v>3</v>
      </c>
      <c r="T374" s="98" t="n">
        <v>1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IFERROR(INDEX($A$4:$A$593,MATCH(371,$X$4:$X$593,0)),"")</f>
        <v/>
      </c>
    </row>
    <row r="375">
      <c r="A375" s="96" t="inlineStr">
        <is>
          <t>ACE KPOP포커스</t>
        </is>
      </c>
      <c r="B375" s="96" t="inlineStr">
        <is>
          <t>475050</t>
        </is>
      </c>
      <c r="C375" s="96" t="inlineStr">
        <is>
          <t>한국투신운용(ETF)</t>
        </is>
      </c>
      <c r="D375" s="97" t="n">
        <v>6625</v>
      </c>
      <c r="E375" s="97" t="n">
        <v>98712500000</v>
      </c>
      <c r="F375" s="97" t="n">
        <v>4262772745</v>
      </c>
      <c r="G375" s="98" t="n">
        <v>0.003</v>
      </c>
      <c r="H375" s="98" t="n">
        <v>0.4602000000000001</v>
      </c>
      <c r="I375" s="98" t="n">
        <v>0.0062</v>
      </c>
      <c r="J375" s="98" t="n">
        <v>0.009056999999999999</v>
      </c>
      <c r="K375" s="97" t="n">
        <v>2</v>
      </c>
      <c r="L375" s="99" t="inlineStr">
        <is>
          <t>20260429</t>
        </is>
      </c>
      <c r="M375" s="96" t="inlineStr">
        <is>
          <t>제외</t>
        </is>
      </c>
      <c r="N375" s="96" t="inlineStr">
        <is>
          <t>변동성 46.0%(1년 기준, 기준 35% 초과)</t>
        </is>
      </c>
      <c r="O375" s="96" t="inlineStr">
        <is>
          <t>iSelect K-POP 포커스 지수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연배당</t>
        </is>
      </c>
      <c r="S375" s="97" t="n">
        <v>1</v>
      </c>
      <c r="T375" s="98" t="n">
        <v>0.95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IFERROR(INDEX($A$4:$A$593,MATCH(372,$X$4:$X$593,0)),"")</f>
        <v/>
      </c>
    </row>
    <row r="376">
      <c r="A376" s="96" t="inlineStr">
        <is>
          <t>SOL 미국S&amp;P500ESG</t>
        </is>
      </c>
      <c r="B376" s="96" t="inlineStr">
        <is>
          <t>399110</t>
        </is>
      </c>
      <c r="C376" s="96" t="inlineStr">
        <is>
          <t>신한자산운용</t>
        </is>
      </c>
      <c r="D376" s="97" t="n">
        <v>20650</v>
      </c>
      <c r="E376" s="97" t="n">
        <v>117705000000</v>
      </c>
      <c r="F376" s="97" t="n">
        <v>367338620</v>
      </c>
      <c r="G376" s="98" t="n">
        <v>0.0015</v>
      </c>
      <c r="H376" s="98" t="n">
        <v>0.1484</v>
      </c>
      <c r="I376" s="98" t="n">
        <v>0.0022</v>
      </c>
      <c r="J376" s="98" t="n">
        <v>0.009006999999999999</v>
      </c>
      <c r="K376" s="97" t="n">
        <v>18</v>
      </c>
      <c r="L376" s="99" t="inlineStr">
        <is>
          <t>20260730</t>
        </is>
      </c>
      <c r="M376" s="96" t="inlineStr">
        <is>
          <t>제외</t>
        </is>
      </c>
      <c r="N376" s="96" t="inlineStr">
        <is>
          <t>60일 거래대금 3.7억(기준 5억 미만)</t>
        </is>
      </c>
      <c r="O376" s="96" t="inlineStr">
        <is>
          <t>S&amp;P 500 Scored &amp; Screened Index (USD)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분기배당</t>
        </is>
      </c>
      <c r="S376" s="97" t="n">
        <v>3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IFERROR(INDEX($A$4:$A$593,MATCH(373,$X$4:$X$593,0)),"")</f>
        <v/>
      </c>
    </row>
    <row r="377">
      <c r="A377" s="96" t="inlineStr">
        <is>
          <t>TIGER 미국나스닥100레버리지(합성)</t>
        </is>
      </c>
      <c r="B377" s="96" t="inlineStr">
        <is>
          <t>418660</t>
        </is>
      </c>
      <c r="C377" s="96" t="inlineStr">
        <is>
          <t>미래에셋자산운용</t>
        </is>
      </c>
      <c r="D377" s="97" t="n">
        <v>42240</v>
      </c>
      <c r="E377" s="97" t="n">
        <v>772992000000</v>
      </c>
      <c r="F377" s="97" t="n">
        <v>12626073659</v>
      </c>
      <c r="G377" s="98" t="n">
        <v>0.0025</v>
      </c>
      <c r="H377" s="98" t="n">
        <v>0.4137</v>
      </c>
      <c r="I377" s="98" t="n">
        <v>0.0107</v>
      </c>
      <c r="J377" s="98" t="n">
        <v>0.008995999999999999</v>
      </c>
      <c r="K377" s="97" t="n">
        <v>1</v>
      </c>
      <c r="L377" s="99" t="inlineStr">
        <is>
          <t>20251229</t>
        </is>
      </c>
      <c r="M377" s="96" t="inlineStr">
        <is>
          <t>제외</t>
        </is>
      </c>
      <c r="N377" s="96" t="inlineStr">
        <is>
          <t>변동성 41.4%(1년 기준, 기준 35% 초과)</t>
        </is>
      </c>
      <c r="O377" s="96" t="inlineStr">
        <is>
          <t>나스닥 100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1</v>
      </c>
      <c r="T377" s="98" t="n">
        <v>1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IFERROR(INDEX($A$4:$A$593,MATCH(374,$X$4:$X$593,0)),"")</f>
        <v/>
      </c>
    </row>
    <row r="378">
      <c r="A378" s="96" t="inlineStr">
        <is>
          <t>TIGER 200 중공업</t>
        </is>
      </c>
      <c r="B378" s="96" t="inlineStr">
        <is>
          <t>139230</t>
        </is>
      </c>
      <c r="C378" s="96" t="inlineStr">
        <is>
          <t>미래에셋자산운용</t>
        </is>
      </c>
      <c r="D378" s="97" t="n">
        <v>12565</v>
      </c>
      <c r="E378" s="97" t="n">
        <v>245268800000</v>
      </c>
      <c r="F378" s="97" t="n">
        <v>3329564883</v>
      </c>
      <c r="G378" s="98" t="n">
        <v>0.004</v>
      </c>
      <c r="H378" s="98" t="n">
        <v>0.5294</v>
      </c>
      <c r="I378" s="98" t="n">
        <v>0.008</v>
      </c>
      <c r="J378" s="98" t="n">
        <v>0.008992999999999999</v>
      </c>
      <c r="K378" s="97" t="n">
        <v>6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변동성 52.9%(1년 기준, 기준 35% 초과)</t>
        </is>
      </c>
      <c r="O378" s="96" t="inlineStr">
        <is>
          <t>K200중공업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연배당</t>
        </is>
      </c>
      <c r="S378" s="97" t="n">
        <v>1</v>
      </c>
      <c r="T378" s="98" t="n">
        <v>0.2832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IFERROR(INDEX($A$4:$A$593,MATCH(375,$X$4:$X$593,0)),"")</f>
        <v/>
      </c>
    </row>
    <row r="379">
      <c r="A379" s="96" t="inlineStr">
        <is>
          <t>RISE 200</t>
        </is>
      </c>
      <c r="B379" s="96" t="inlineStr">
        <is>
          <t>148020</t>
        </is>
      </c>
      <c r="C379" s="96" t="inlineStr">
        <is>
          <t>KB자산운용</t>
        </is>
      </c>
      <c r="D379" s="97" t="n">
        <v>112325</v>
      </c>
      <c r="E379" s="97" t="n">
        <v>4543546250000</v>
      </c>
      <c r="F379" s="97" t="n">
        <v>134568399561</v>
      </c>
      <c r="G379" s="98" t="n">
        <v>0.00017</v>
      </c>
      <c r="H379" s="98" t="n">
        <v>0.5845</v>
      </c>
      <c r="I379" s="98" t="n">
        <v>0.0013</v>
      </c>
      <c r="J379" s="98" t="n">
        <v>0.008992</v>
      </c>
      <c r="K379" s="97" t="n">
        <v>20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58.4%(1년 기준, 기준 35% 초과)</t>
        </is>
      </c>
      <c r="O379" s="96" t="inlineStr">
        <is>
          <t>KOSPI 200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분기배당</t>
        </is>
      </c>
      <c r="S379" s="97" t="n">
        <v>3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IFERROR(INDEX($A$4:$A$593,MATCH(376,$X$4:$X$593,0)),"")</f>
        <v/>
      </c>
    </row>
    <row r="380">
      <c r="A380" s="96" t="inlineStr">
        <is>
          <t>마이티 다이나믹퀀트액티브</t>
        </is>
      </c>
      <c r="B380" s="96" t="inlineStr">
        <is>
          <t>442260</t>
        </is>
      </c>
      <c r="C380" s="96" t="inlineStr">
        <is>
          <t>DB자산운용</t>
        </is>
      </c>
      <c r="D380" s="97" t="n">
        <v>39185</v>
      </c>
      <c r="E380" s="97" t="n">
        <v>48589400000</v>
      </c>
      <c r="F380" s="97" t="n">
        <v>248027307</v>
      </c>
      <c r="G380" s="98" t="n">
        <v>0.00295</v>
      </c>
      <c r="H380" s="98" t="n">
        <v>0.597</v>
      </c>
      <c r="I380" s="98" t="n">
        <v>0.009899999999999999</v>
      </c>
      <c r="J380" s="98" t="n">
        <v>0.008932000000000001</v>
      </c>
      <c r="K380" s="97" t="n">
        <v>4</v>
      </c>
      <c r="L380" s="99" t="inlineStr">
        <is>
          <t>20260429</t>
        </is>
      </c>
      <c r="M380" s="96" t="inlineStr">
        <is>
          <t>제외</t>
        </is>
      </c>
      <c r="N380" s="96" t="inlineStr">
        <is>
          <t>60일 거래대금 2.5억(기준 5억 미만), 변동성 59.7%(1년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연배당</t>
        </is>
      </c>
      <c r="S380" s="97" t="n">
        <v>1</v>
      </c>
      <c r="T380" s="98" t="n">
        <v>0.9857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IFERROR(INDEX($A$4:$A$593,MATCH(377,$X$4:$X$593,0)),"")</f>
        <v/>
      </c>
    </row>
    <row r="381">
      <c r="A381" s="96" t="inlineStr">
        <is>
          <t>TIGER 조선TOP10</t>
        </is>
      </c>
      <c r="B381" s="96" t="inlineStr">
        <is>
          <t>494670</t>
        </is>
      </c>
      <c r="C381" s="96" t="inlineStr">
        <is>
          <t>미래에셋자산운용</t>
        </is>
      </c>
      <c r="D381" s="97" t="n">
        <v>20800</v>
      </c>
      <c r="E381" s="97" t="n">
        <v>530400000000</v>
      </c>
      <c r="F381" s="97" t="n">
        <v>19220686969</v>
      </c>
      <c r="G381" s="98" t="n">
        <v>0.0035</v>
      </c>
      <c r="H381" s="98" t="n">
        <v>0.5433</v>
      </c>
      <c r="I381" s="98" t="n">
        <v>0.004</v>
      </c>
      <c r="J381" s="98" t="n">
        <v>0.008893999999999999</v>
      </c>
      <c r="K381" s="97" t="n">
        <v>3</v>
      </c>
      <c r="L381" s="99" t="inlineStr">
        <is>
          <t>20260429</t>
        </is>
      </c>
      <c r="M381" s="96" t="inlineStr">
        <is>
          <t>제외</t>
        </is>
      </c>
      <c r="N381" s="96" t="inlineStr">
        <is>
          <t>변동성 54.3%(1년 기준, 기준 35% 초과)</t>
        </is>
      </c>
      <c r="O381" s="96" t="inlineStr">
        <is>
          <t>iSelect 조선 TOP10 지수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1</v>
      </c>
      <c r="T381" s="98" t="n">
        <v>0.3297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IFERROR(INDEX($A$4:$A$593,MATCH(378,$X$4:$X$593,0)),"")</f>
        <v/>
      </c>
    </row>
    <row r="382">
      <c r="A382" s="96" t="inlineStr">
        <is>
          <t>KODEX KRX300</t>
        </is>
      </c>
      <c r="B382" s="96" t="inlineStr">
        <is>
          <t>292190</t>
        </is>
      </c>
      <c r="C382" s="96" t="inlineStr">
        <is>
          <t>삼성자산운용(ETF)</t>
        </is>
      </c>
      <c r="D382" s="97" t="n">
        <v>49400</v>
      </c>
      <c r="E382" s="97" t="n">
        <v>74100000000</v>
      </c>
      <c r="F382" s="97" t="n">
        <v>1391424987</v>
      </c>
      <c r="G382" s="98" t="n">
        <v>0.0005</v>
      </c>
      <c r="H382" s="98" t="n">
        <v>0.5731000000000001</v>
      </c>
      <c r="I382" s="98" t="n">
        <v>0.0024</v>
      </c>
      <c r="J382" s="98" t="n">
        <v>0.008745000000000001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변동성 57.3%(1년 기준, 기준 35% 초과)</t>
        </is>
      </c>
      <c r="O382" s="96" t="inlineStr">
        <is>
          <t>KRX300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IFERROR(INDEX($A$4:$A$593,MATCH(379,$X$4:$X$593,0)),"")</f>
        <v/>
      </c>
    </row>
    <row r="383">
      <c r="A383" s="96" t="inlineStr">
        <is>
          <t>TIGER 차이나휴머노이드로봇</t>
        </is>
      </c>
      <c r="B383" s="96" t="inlineStr">
        <is>
          <t>0053L0</t>
        </is>
      </c>
      <c r="C383" s="96" t="inlineStr">
        <is>
          <t>미래에셋자산운용</t>
        </is>
      </c>
      <c r="D383" s="97" t="n">
        <v>8740</v>
      </c>
      <c r="E383" s="97" t="n">
        <v>235543000000</v>
      </c>
      <c r="F383" s="97" t="n">
        <v>5313726671</v>
      </c>
      <c r="G383" s="98" t="n">
        <v>0.0049</v>
      </c>
      <c r="H383" s="98" t="n">
        <v>0.3778</v>
      </c>
      <c r="I383" s="98" t="n">
        <v>0.0037</v>
      </c>
      <c r="J383" s="98" t="n">
        <v>0.008696000000000001</v>
      </c>
      <c r="K383" s="97" t="n">
        <v>5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37.8%(1년 기준, 기준 35% 초과)</t>
        </is>
      </c>
      <c r="O383" s="96" t="inlineStr">
        <is>
          <t>Mirae Asset China Humanoid Robot Index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3</v>
      </c>
      <c r="T383" s="98" t="n">
        <v>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IFERROR(INDEX($A$4:$A$593,MATCH(380,$X$4:$X$593,0)),"")</f>
        <v/>
      </c>
    </row>
    <row r="384">
      <c r="A384" s="96" t="inlineStr">
        <is>
          <t>ACE 200</t>
        </is>
      </c>
      <c r="B384" s="96" t="inlineStr">
        <is>
          <t>105190</t>
        </is>
      </c>
      <c r="C384" s="96" t="inlineStr">
        <is>
          <t>한국투신운용(ETF)</t>
        </is>
      </c>
      <c r="D384" s="97" t="n">
        <v>111740</v>
      </c>
      <c r="E384" s="97" t="n">
        <v>1676100000000</v>
      </c>
      <c r="F384" s="97" t="n">
        <v>41099788587</v>
      </c>
      <c r="G384" s="98" t="n">
        <v>0.00017</v>
      </c>
      <c r="H384" s="98" t="n">
        <v>0.585</v>
      </c>
      <c r="I384" s="98" t="n">
        <v>0.0017</v>
      </c>
      <c r="J384" s="98" t="n">
        <v>0.008680999999999999</v>
      </c>
      <c r="K384" s="97" t="n">
        <v>9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58.5%(1년 기준, 기준 35% 초과)</t>
        </is>
      </c>
      <c r="O384" s="96" t="inlineStr">
        <is>
          <t>KOSPI 200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분기배당</t>
        </is>
      </c>
      <c r="S384" s="97" t="n">
        <v>3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IFERROR(INDEX($A$4:$A$593,MATCH(381,$X$4:$X$593,0)),"")</f>
        <v/>
      </c>
    </row>
    <row r="385">
      <c r="A385" s="96" t="inlineStr">
        <is>
          <t>KODEX 가치주</t>
        </is>
      </c>
      <c r="B385" s="96" t="inlineStr">
        <is>
          <t>275290</t>
        </is>
      </c>
      <c r="C385" s="96" t="inlineStr">
        <is>
          <t>삼성자산운용(ETF)</t>
        </is>
      </c>
      <c r="D385" s="97" t="n">
        <v>35340</v>
      </c>
      <c r="E385" s="97" t="n">
        <v>31806000000</v>
      </c>
      <c r="F385" s="97" t="n">
        <v>178175319</v>
      </c>
      <c r="G385" s="98" t="n">
        <v>0.003</v>
      </c>
      <c r="H385" s="98" t="n">
        <v>0.5546</v>
      </c>
      <c r="I385" s="98" t="n">
        <v>0.0031</v>
      </c>
      <c r="J385" s="98" t="n">
        <v>0.008630000000000001</v>
      </c>
      <c r="K385" s="97" t="n">
        <v>6</v>
      </c>
      <c r="L385" s="99" t="inlineStr">
        <is>
          <t>20260730</t>
        </is>
      </c>
      <c r="M385" s="96" t="inlineStr">
        <is>
          <t>제외</t>
        </is>
      </c>
      <c r="N385" s="96" t="inlineStr">
        <is>
          <t>60일 거래대금 1.8억(기준 5억 미만), 변동성 55.5%(1년 기준, 기준 35% 초과)</t>
        </is>
      </c>
      <c r="O385" s="96" t="inlineStr">
        <is>
          <t>MSCI Korea IMI Enhanced Value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2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IFERROR(INDEX($A$4:$A$593,MATCH(382,$X$4:$X$593,0)),"")</f>
        <v/>
      </c>
    </row>
    <row r="386">
      <c r="A386" s="96" t="inlineStr">
        <is>
          <t>KODEX 코스피</t>
        </is>
      </c>
      <c r="B386" s="96" t="inlineStr">
        <is>
          <t>226490</t>
        </is>
      </c>
      <c r="C386" s="96" t="inlineStr">
        <is>
          <t>삼성자산운용(ETF)</t>
        </is>
      </c>
      <c r="D386" s="97" t="n">
        <v>71750</v>
      </c>
      <c r="E386" s="97" t="n">
        <v>1431412500000</v>
      </c>
      <c r="F386" s="97" t="n">
        <v>39953406032</v>
      </c>
      <c r="G386" s="98" t="n">
        <v>0.0015</v>
      </c>
      <c r="H386" s="98" t="n">
        <v>0.5394</v>
      </c>
      <c r="I386" s="98" t="n">
        <v>0.0026</v>
      </c>
      <c r="J386" s="98" t="n">
        <v>0.008627000000000001</v>
      </c>
      <c r="K386" s="97" t="n">
        <v>6</v>
      </c>
      <c r="L386" s="99" t="inlineStr">
        <is>
          <t>20260730</t>
        </is>
      </c>
      <c r="M386" s="96" t="inlineStr">
        <is>
          <t>제외</t>
        </is>
      </c>
      <c r="N386" s="96" t="inlineStr">
        <is>
          <t>변동성 53.9%(1년 기준, 기준 35% 초과)</t>
        </is>
      </c>
      <c r="O386" s="96" t="inlineStr">
        <is>
          <t>코스피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2</v>
      </c>
      <c r="T386" s="98" t="n">
        <v>1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IFERROR(INDEX($A$4:$A$593,MATCH(383,$X$4:$X$593,0)),"")</f>
        <v/>
      </c>
    </row>
    <row r="387">
      <c r="A387" s="96" t="inlineStr">
        <is>
          <t>PLUS 200</t>
        </is>
      </c>
      <c r="B387" s="96" t="inlineStr">
        <is>
          <t>152100</t>
        </is>
      </c>
      <c r="C387" s="96" t="inlineStr">
        <is>
          <t>한화자산운용</t>
        </is>
      </c>
      <c r="D387" s="97" t="n">
        <v>113085</v>
      </c>
      <c r="E387" s="97" t="n">
        <v>1520993250000</v>
      </c>
      <c r="F387" s="97" t="n">
        <v>41146056498</v>
      </c>
      <c r="G387" s="98" t="n">
        <v>0.00017</v>
      </c>
      <c r="H387" s="98" t="n">
        <v>0.585</v>
      </c>
      <c r="I387" s="98" t="n">
        <v>0.0017</v>
      </c>
      <c r="J387" s="98" t="n">
        <v>0.008578000000000001</v>
      </c>
      <c r="K387" s="97" t="n">
        <v>14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58.5%(1년 기준, 기준 35% 초과)</t>
        </is>
      </c>
      <c r="O387" s="96" t="inlineStr">
        <is>
          <t>KOSPI 200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분기배당</t>
        </is>
      </c>
      <c r="S387" s="97" t="n">
        <v>3</v>
      </c>
      <c r="T387" s="98" t="n">
        <v>1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IFERROR(INDEX($A$4:$A$593,MATCH(384,$X$4:$X$593,0)),"")</f>
        <v/>
      </c>
    </row>
    <row r="388">
      <c r="A388" s="96" t="inlineStr">
        <is>
          <t>파워 200</t>
        </is>
      </c>
      <c r="B388" s="96" t="inlineStr">
        <is>
          <t>152870</t>
        </is>
      </c>
      <c r="C388" s="96" t="inlineStr">
        <is>
          <t>교보자산운용</t>
        </is>
      </c>
      <c r="D388" s="97" t="n">
        <v>112485</v>
      </c>
      <c r="E388" s="97" t="n">
        <v>157479000000</v>
      </c>
      <c r="F388" s="97" t="n">
        <v>1304531690</v>
      </c>
      <c r="G388" s="98" t="n">
        <v>0.00145</v>
      </c>
      <c r="H388" s="98" t="n">
        <v>0.584</v>
      </c>
      <c r="I388" s="98" t="n">
        <v>0.001</v>
      </c>
      <c r="J388" s="98" t="n">
        <v>0.008569999999999999</v>
      </c>
      <c r="K388" s="97" t="n">
        <v>14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변동성 58.4%(1년 기준, 기준 35% 초과)</t>
        </is>
      </c>
      <c r="O388" s="96" t="inlineStr">
        <is>
          <t>KOSPI 200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연배당</t>
        </is>
      </c>
      <c r="S388" s="97" t="n">
        <v>2</v>
      </c>
      <c r="T388" s="98" t="n">
        <v>0.8371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IFERROR(INDEX($A$4:$A$593,MATCH(385,$X$4:$X$593,0)),"")</f>
        <v/>
      </c>
    </row>
    <row r="389">
      <c r="A389" s="96" t="inlineStr">
        <is>
          <t>TIGER 200 건설</t>
        </is>
      </c>
      <c r="B389" s="96" t="inlineStr">
        <is>
          <t>139220</t>
        </is>
      </c>
      <c r="C389" s="96" t="inlineStr">
        <is>
          <t>미래에셋자산운용</t>
        </is>
      </c>
      <c r="D389" s="97" t="n">
        <v>7610</v>
      </c>
      <c r="E389" s="97" t="n">
        <v>129065600000</v>
      </c>
      <c r="F389" s="97" t="n">
        <v>6382594567</v>
      </c>
      <c r="G389" s="98" t="n">
        <v>0.004</v>
      </c>
      <c r="H389" s="98" t="n">
        <v>0.5987</v>
      </c>
      <c r="I389" s="98" t="n">
        <v>0.0062</v>
      </c>
      <c r="J389" s="98" t="n">
        <v>0.008541</v>
      </c>
      <c r="K389" s="97" t="n">
        <v>5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변동성 59.9%(1년 기준, 기준 35% 초과)</t>
        </is>
      </c>
      <c r="O389" s="96" t="inlineStr">
        <is>
          <t>K200건설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연배당</t>
        </is>
      </c>
      <c r="S389" s="97" t="n">
        <v>1</v>
      </c>
      <c r="T389" s="98" t="n">
        <v>1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IFERROR(INDEX($A$4:$A$593,MATCH(386,$X$4:$X$593,0)),"")</f>
        <v/>
      </c>
    </row>
    <row r="390">
      <c r="A390" s="96" t="inlineStr">
        <is>
          <t>TIGER 코스닥150바이오테크</t>
        </is>
      </c>
      <c r="B390" s="96" t="inlineStr">
        <is>
          <t>261070</t>
        </is>
      </c>
      <c r="C390" s="96" t="inlineStr">
        <is>
          <t>미래에셋자산운용</t>
        </is>
      </c>
      <c r="D390" s="97" t="n">
        <v>11750</v>
      </c>
      <c r="E390" s="97" t="n">
        <v>56635000000</v>
      </c>
      <c r="F390" s="97" t="n">
        <v>2895684746</v>
      </c>
      <c r="G390" s="98" t="n">
        <v>0.004</v>
      </c>
      <c r="H390" s="98" t="n">
        <v>0.5771000000000001</v>
      </c>
      <c r="I390" s="98" t="n">
        <v>0.0053</v>
      </c>
      <c r="J390" s="98" t="n">
        <v>0.008510999999999999</v>
      </c>
      <c r="K390" s="97" t="n">
        <v>5</v>
      </c>
      <c r="L390" s="99" t="inlineStr">
        <is>
          <t>20260429</t>
        </is>
      </c>
      <c r="M390" s="96" t="inlineStr">
        <is>
          <t>제외</t>
        </is>
      </c>
      <c r="N390" s="96" t="inlineStr">
        <is>
          <t>변동성 57.7%(1년 기준, 기준 35% 초과)</t>
        </is>
      </c>
      <c r="O390" s="96" t="inlineStr">
        <is>
          <t>코스닥 150 헬스케어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연배당</t>
        </is>
      </c>
      <c r="S390" s="97" t="n">
        <v>1</v>
      </c>
      <c r="T390" s="98" t="n">
        <v>0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IFERROR(INDEX($A$4:$A$593,MATCH(387,$X$4:$X$593,0)),"")</f>
        <v/>
      </c>
    </row>
    <row r="391">
      <c r="A391" s="96" t="inlineStr">
        <is>
          <t>KODEX 자율주행액티브</t>
        </is>
      </c>
      <c r="B391" s="96" t="inlineStr">
        <is>
          <t>385520</t>
        </is>
      </c>
      <c r="C391" s="96" t="inlineStr">
        <is>
          <t>삼성자산운용(ETF)</t>
        </is>
      </c>
      <c r="D391" s="97" t="n">
        <v>16280</v>
      </c>
      <c r="E391" s="97" t="n">
        <v>35002000000</v>
      </c>
      <c r="F391" s="97" t="n">
        <v>217141480</v>
      </c>
      <c r="G391" s="98" t="n">
        <v>0.005</v>
      </c>
      <c r="H391" s="98" t="n">
        <v>0.5183</v>
      </c>
      <c r="I391" s="98" t="n">
        <v>0.0075</v>
      </c>
      <c r="J391" s="98" t="n">
        <v>0.008354</v>
      </c>
      <c r="K391" s="97" t="n">
        <v>5</v>
      </c>
      <c r="L391" s="99" t="inlineStr">
        <is>
          <t>20260429</t>
        </is>
      </c>
      <c r="M391" s="96" t="inlineStr">
        <is>
          <t>제외</t>
        </is>
      </c>
      <c r="N391" s="96" t="inlineStr">
        <is>
          <t>60일 거래대금 2.2억(기준 5억 미만), 변동성 51.8%(1년 기준, 기준 35% 초과)</t>
        </is>
      </c>
      <c r="O391" s="96" t="inlineStr">
        <is>
          <t>FnGuide K-미래차 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연배당</t>
        </is>
      </c>
      <c r="S391" s="97" t="n">
        <v>1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IFERROR(INDEX($A$4:$A$593,MATCH(388,$X$4:$X$593,0)),"")</f>
        <v/>
      </c>
    </row>
    <row r="392">
      <c r="A392" s="96" t="inlineStr">
        <is>
          <t>TIGER 200</t>
        </is>
      </c>
      <c r="B392" s="96" t="inlineStr">
        <is>
          <t>102110</t>
        </is>
      </c>
      <c r="C392" s="96" t="inlineStr">
        <is>
          <t>미래에셋자산운용</t>
        </is>
      </c>
      <c r="D392" s="97" t="n">
        <v>111810</v>
      </c>
      <c r="E392" s="97" t="n">
        <v>10420692000000</v>
      </c>
      <c r="F392" s="97" t="n">
        <v>847529747068</v>
      </c>
      <c r="G392" s="98" t="n">
        <v>0.0005</v>
      </c>
      <c r="H392" s="98" t="n">
        <v>0.5853</v>
      </c>
      <c r="I392" s="98" t="n">
        <v>0.0015</v>
      </c>
      <c r="J392" s="98" t="n">
        <v>0.0083</v>
      </c>
      <c r="K392" s="97" t="n">
        <v>20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58.5%(1년 기준, 기준 35% 초과)</t>
        </is>
      </c>
      <c r="O392" s="96" t="inlineStr">
        <is>
          <t>KOSPI 200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3</v>
      </c>
      <c r="T392" s="98" t="n">
        <v>0.9623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IFERROR(INDEX($A$4:$A$593,MATCH(389,$X$4:$X$593,0)),"")</f>
        <v/>
      </c>
    </row>
    <row r="393">
      <c r="A393" s="96" t="inlineStr">
        <is>
          <t>TIGER 코리아TOP10</t>
        </is>
      </c>
      <c r="B393" s="96" t="inlineStr">
        <is>
          <t>292150</t>
        </is>
      </c>
      <c r="C393" s="96" t="inlineStr">
        <is>
          <t>미래에셋자산운용</t>
        </is>
      </c>
      <c r="D393" s="97" t="n">
        <v>38795</v>
      </c>
      <c r="E393" s="97" t="n">
        <v>1920352500000</v>
      </c>
      <c r="F393" s="97" t="n">
        <v>47275617204</v>
      </c>
      <c r="G393" s="98" t="n">
        <v>0.0015</v>
      </c>
      <c r="H393" s="98" t="n">
        <v>0.5932999999999999</v>
      </c>
      <c r="I393" s="98" t="n">
        <v>0.0027</v>
      </c>
      <c r="J393" s="98" t="n">
        <v>0.0083</v>
      </c>
      <c r="K393" s="97" t="n">
        <v>16</v>
      </c>
      <c r="L393" s="99" t="inlineStr">
        <is>
          <t>20260730</t>
        </is>
      </c>
      <c r="M393" s="96" t="inlineStr">
        <is>
          <t>제외</t>
        </is>
      </c>
      <c r="N393" s="96" t="inlineStr">
        <is>
          <t>변동성 59.3%(1년 기준, 기준 35% 초과)</t>
        </is>
      </c>
      <c r="O393" s="96" t="inlineStr">
        <is>
          <t>FnGuide TOP10 지수</t>
        </is>
      </c>
      <c r="P393" s="96" t="inlineStr">
        <is>
          <t>일반</t>
        </is>
      </c>
      <c r="Q393" s="96" t="inlineStr">
        <is>
          <t>주식</t>
        </is>
      </c>
      <c r="R393" s="96" t="inlineStr">
        <is>
          <t>분기배당</t>
        </is>
      </c>
      <c r="S393" s="97" t="n">
        <v>3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IFERROR(INDEX($A$4:$A$593,MATCH(390,$X$4:$X$593,0)),"")</f>
        <v/>
      </c>
    </row>
    <row r="394">
      <c r="A394" s="96" t="inlineStr">
        <is>
          <t>PLUS 일본반도체소부장</t>
        </is>
      </c>
      <c r="B394" s="96" t="inlineStr">
        <is>
          <t>464920</t>
        </is>
      </c>
      <c r="C394" s="96" t="inlineStr">
        <is>
          <t>한화자산운용</t>
        </is>
      </c>
      <c r="D394" s="97" t="n">
        <v>25935</v>
      </c>
      <c r="E394" s="97" t="n">
        <v>31122000000</v>
      </c>
      <c r="F394" s="97" t="n">
        <v>499487589</v>
      </c>
      <c r="G394" s="98" t="n">
        <v>0.005</v>
      </c>
      <c r="H394" s="98" t="n">
        <v>0.4894</v>
      </c>
      <c r="I394" s="98" t="n">
        <v>0.0086</v>
      </c>
      <c r="J394" s="98" t="n">
        <v>0.008289999999999999</v>
      </c>
      <c r="K394" s="97" t="n">
        <v>2</v>
      </c>
      <c r="L394" s="99" t="inlineStr">
        <is>
          <t>20260429</t>
        </is>
      </c>
      <c r="M394" s="96" t="inlineStr">
        <is>
          <t>제외</t>
        </is>
      </c>
      <c r="N394" s="96" t="inlineStr">
        <is>
          <t>60일 거래대금 5.0억(기준 5억 미만), 변동성 48.9%(1년 기준, 기준 35% 초과)</t>
        </is>
      </c>
      <c r="O394" s="96" t="inlineStr">
        <is>
          <t>Solactive Japan Semiconductor Materials and Equipment Index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연배당</t>
        </is>
      </c>
      <c r="S394" s="97" t="n">
        <v>1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IFERROR(INDEX($A$4:$A$593,MATCH(391,$X$4:$X$593,0)),"")</f>
        <v/>
      </c>
    </row>
    <row r="395">
      <c r="A395" s="96" t="inlineStr">
        <is>
          <t>KODEX 200ESG</t>
        </is>
      </c>
      <c r="B395" s="96" t="inlineStr">
        <is>
          <t>337160</t>
        </is>
      </c>
      <c r="C395" s="96" t="inlineStr">
        <is>
          <t>삼성자산운용(ETF)</t>
        </is>
      </c>
      <c r="D395" s="97" t="n">
        <v>48925</v>
      </c>
      <c r="E395" s="97" t="n">
        <v>166345000000</v>
      </c>
      <c r="F395" s="97" t="n">
        <v>2643523799</v>
      </c>
      <c r="G395" s="98" t="n">
        <v>0.0009</v>
      </c>
      <c r="H395" s="98" t="n">
        <v>0.591</v>
      </c>
      <c r="I395" s="98" t="n">
        <v>0.002</v>
      </c>
      <c r="J395" s="98" t="n">
        <v>0.008237</v>
      </c>
      <c r="K395" s="97" t="n">
        <v>7</v>
      </c>
      <c r="L395" s="99" t="inlineStr">
        <is>
          <t>20260730</t>
        </is>
      </c>
      <c r="M395" s="96" t="inlineStr">
        <is>
          <t>제외</t>
        </is>
      </c>
      <c r="N395" s="96" t="inlineStr">
        <is>
          <t>변동성 59.1%(1년 기준, 기준 35% 초과)</t>
        </is>
      </c>
      <c r="O395" s="96" t="inlineStr">
        <is>
          <t>코스피 200 ESG 지수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분기배당</t>
        </is>
      </c>
      <c r="S395" s="97" t="n">
        <v>3</v>
      </c>
      <c r="T395" s="98" t="n">
        <v>1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IFERROR(INDEX($A$4:$A$593,MATCH(392,$X$4:$X$593,0)),"")</f>
        <v/>
      </c>
    </row>
    <row r="396">
      <c r="A396" s="96" t="inlineStr">
        <is>
          <t>RISE 200채권혼합50</t>
        </is>
      </c>
      <c r="B396" s="96" t="inlineStr">
        <is>
          <t>183700</t>
        </is>
      </c>
      <c r="C396" s="96" t="inlineStr">
        <is>
          <t>KB자산운용</t>
        </is>
      </c>
      <c r="D396" s="97" t="n">
        <v>97170</v>
      </c>
      <c r="E396" s="97" t="n">
        <v>40811400000</v>
      </c>
      <c r="F396" s="97" t="n">
        <v>476791433</v>
      </c>
      <c r="G396" s="98" t="n">
        <v>0.002</v>
      </c>
      <c r="H396" s="98" t="n">
        <v>0.2626</v>
      </c>
      <c r="I396" s="98" t="n">
        <v>0.0033</v>
      </c>
      <c r="J396" s="98" t="n">
        <v>0.008233000000000001</v>
      </c>
      <c r="K396" s="97" t="n">
        <v>10</v>
      </c>
      <c r="L396" s="99" t="inlineStr">
        <is>
          <t>20260608</t>
        </is>
      </c>
      <c r="M396" s="96" t="inlineStr">
        <is>
          <t>제외</t>
        </is>
      </c>
      <c r="N396" s="96" t="inlineStr">
        <is>
          <t>60일 거래대금 4.8억(기준 5억 미만)</t>
        </is>
      </c>
      <c r="O396" s="96" t="inlineStr">
        <is>
          <t>코스피 200 KTB 혼합지수</t>
        </is>
      </c>
      <c r="P396" s="96" t="inlineStr">
        <is>
          <t>일반</t>
        </is>
      </c>
      <c r="Q396" s="96" t="inlineStr">
        <is>
          <t>멀티에셋</t>
        </is>
      </c>
      <c r="R396" s="96" t="inlineStr">
        <is>
          <t>반기배당</t>
        </is>
      </c>
      <c r="S396" s="97" t="n">
        <v>2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IFERROR(INDEX($A$4:$A$593,MATCH(393,$X$4:$X$593,0)),"")</f>
        <v/>
      </c>
    </row>
    <row r="397">
      <c r="A397" s="96" t="inlineStr">
        <is>
          <t>TIGER 일본반도체FACTSET</t>
        </is>
      </c>
      <c r="B397" s="96" t="inlineStr">
        <is>
          <t>465660</t>
        </is>
      </c>
      <c r="C397" s="96" t="inlineStr">
        <is>
          <t>미래에셋자산운용</t>
        </is>
      </c>
      <c r="D397" s="97" t="n">
        <v>27100</v>
      </c>
      <c r="E397" s="97" t="n">
        <v>33875000000</v>
      </c>
      <c r="F397" s="97" t="n">
        <v>784996354</v>
      </c>
      <c r="G397" s="98" t="n">
        <v>0.0049</v>
      </c>
      <c r="H397" s="98" t="n">
        <v>0.5624</v>
      </c>
      <c r="I397" s="98" t="n">
        <v>0.0012</v>
      </c>
      <c r="J397" s="98" t="n">
        <v>0.008118</v>
      </c>
      <c r="K397" s="97" t="n">
        <v>11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변동성 56.2%(1년 기준, 기준 35% 초과)</t>
        </is>
      </c>
      <c r="O397" s="96" t="inlineStr">
        <is>
          <t>FactSet Japan Semiconductor Index (PR)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3</v>
      </c>
      <c r="T397" s="98" t="n">
        <v>1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IFERROR(INDEX($A$4:$A$593,MATCH(394,$X$4:$X$593,0)),"")</f>
        <v/>
      </c>
    </row>
    <row r="398">
      <c r="A398" s="96" t="inlineStr">
        <is>
          <t>KODEX 탄소효율그린뉴딜</t>
        </is>
      </c>
      <c r="B398" s="96" t="inlineStr">
        <is>
          <t>375770</t>
        </is>
      </c>
      <c r="C398" s="96" t="inlineStr">
        <is>
          <t>삼성자산운용(ETF)</t>
        </is>
      </c>
      <c r="D398" s="97" t="n">
        <v>25225</v>
      </c>
      <c r="E398" s="97" t="n">
        <v>45405000000</v>
      </c>
      <c r="F398" s="97" t="n">
        <v>27476603</v>
      </c>
      <c r="G398" s="98" t="n">
        <v>0.0009</v>
      </c>
      <c r="H398" s="98" t="n">
        <v>0.5414</v>
      </c>
      <c r="I398" s="98" t="n">
        <v>0.0023</v>
      </c>
      <c r="J398" s="98" t="n">
        <v>0.008048</v>
      </c>
      <c r="K398" s="97" t="n">
        <v>7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60일 거래대금 0.3억(기준 5억 미만), 변동성 54.1%(1년 기준, 기준 35% 초과)</t>
        </is>
      </c>
      <c r="O398" s="96" t="inlineStr">
        <is>
          <t>KRX/S&amp;P 탄소효율 그린뉴딜지수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3</v>
      </c>
      <c r="T398" s="98" t="n">
        <v>1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IFERROR(INDEX($A$4:$A$593,MATCH(395,$X$4:$X$593,0)),"")</f>
        <v/>
      </c>
    </row>
    <row r="399">
      <c r="A399" s="96" t="inlineStr">
        <is>
          <t>KODEX 200액티브</t>
        </is>
      </c>
      <c r="B399" s="96" t="inlineStr">
        <is>
          <t>494890</t>
        </is>
      </c>
      <c r="C399" s="96" t="inlineStr">
        <is>
          <t>삼성자산운용(ETF)</t>
        </is>
      </c>
      <c r="D399" s="97" t="n">
        <v>32130</v>
      </c>
      <c r="E399" s="97" t="n">
        <v>1073142000000</v>
      </c>
      <c r="F399" s="97" t="n">
        <v>17502155927</v>
      </c>
      <c r="G399" s="98" t="n">
        <v>0.0015</v>
      </c>
      <c r="H399" s="98" t="n">
        <v>0.589</v>
      </c>
      <c r="I399" s="98" t="n">
        <v>0.0021</v>
      </c>
      <c r="J399" s="98" t="n">
        <v>0.008030000000000001</v>
      </c>
      <c r="K399" s="97" t="n">
        <v>6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변동성 58.9%(1년 기준, 기준 35% 초과)</t>
        </is>
      </c>
      <c r="O399" s="96" t="inlineStr">
        <is>
          <t>KOSPI 200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3</v>
      </c>
      <c r="T399" s="98" t="n">
        <v>0.9883999999999999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IFERROR(INDEX($A$4:$A$593,MATCH(396,$X$4:$X$593,0)),"")</f>
        <v/>
      </c>
    </row>
    <row r="400">
      <c r="A400" s="96" t="inlineStr">
        <is>
          <t>DAISHIN K200</t>
        </is>
      </c>
      <c r="B400" s="96" t="inlineStr">
        <is>
          <t>434960</t>
        </is>
      </c>
      <c r="C400" s="96" t="inlineStr">
        <is>
          <t>대신자산운용</t>
        </is>
      </c>
      <c r="D400" s="97" t="n">
        <v>112275</v>
      </c>
      <c r="E400" s="97" t="n">
        <v>56137500000</v>
      </c>
      <c r="F400" s="97" t="n">
        <v>341338224</v>
      </c>
      <c r="G400" s="98" t="n">
        <v>0.001</v>
      </c>
      <c r="H400" s="98" t="n">
        <v>0.5858</v>
      </c>
      <c r="I400" s="98" t="n">
        <v>0.0013</v>
      </c>
      <c r="J400" s="98" t="n">
        <v>0.008016000000000001</v>
      </c>
      <c r="K400" s="97" t="n">
        <v>16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60일 거래대금 3.4억(기준 5억 미만), 변동성 58.6%(1년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3</v>
      </c>
      <c r="T400" s="98" t="n">
        <v>0.9089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IFERROR(INDEX($A$4:$A$593,MATCH(397,$X$4:$X$593,0)),"")</f>
        <v/>
      </c>
    </row>
    <row r="401">
      <c r="A401" s="96" t="inlineStr">
        <is>
          <t>IBK 200</t>
        </is>
      </c>
      <c r="B401" s="96" t="inlineStr">
        <is>
          <t>472840</t>
        </is>
      </c>
      <c r="C401" s="96" t="inlineStr">
        <is>
          <t>IBK자산운용</t>
        </is>
      </c>
      <c r="D401" s="97" t="n">
        <v>110725</v>
      </c>
      <c r="E401" s="97" t="n">
        <v>41521875000</v>
      </c>
      <c r="F401" s="97" t="n">
        <v>279307661</v>
      </c>
      <c r="G401" s="98" t="n">
        <v>0.0008</v>
      </c>
      <c r="H401" s="98" t="n">
        <v>0.584</v>
      </c>
      <c r="I401" s="98" t="n">
        <v>0.0013</v>
      </c>
      <c r="J401" s="98" t="n">
        <v>0.008011000000000001</v>
      </c>
      <c r="K401" s="97" t="n">
        <v>10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60일 거래대금 2.8억(기준 5억 미만), 변동성 58.4%(1년 기준, 기준 35% 초과)</t>
        </is>
      </c>
      <c r="O401" s="96" t="inlineStr">
        <is>
          <t>KOSPI 200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분기배당</t>
        </is>
      </c>
      <c r="S401" s="97" t="n">
        <v>3</v>
      </c>
      <c r="T401" s="98" t="n">
        <v>0.9775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IFERROR(INDEX($A$4:$A$593,MATCH(398,$X$4:$X$593,0)),"")</f>
        <v/>
      </c>
    </row>
    <row r="402">
      <c r="A402" s="96" t="inlineStr">
        <is>
          <t>HANARO 200</t>
        </is>
      </c>
      <c r="B402" s="96" t="inlineStr">
        <is>
          <t>293180</t>
        </is>
      </c>
      <c r="C402" s="96" t="inlineStr">
        <is>
          <t>NH-Amundi자산운용</t>
        </is>
      </c>
      <c r="D402" s="97" t="n">
        <v>111720</v>
      </c>
      <c r="E402" s="97" t="n">
        <v>435708000000</v>
      </c>
      <c r="F402" s="97" t="n">
        <v>8575102932</v>
      </c>
      <c r="G402" s="98" t="n">
        <v>0.00036</v>
      </c>
      <c r="H402" s="98" t="n">
        <v>0.584</v>
      </c>
      <c r="I402" s="98" t="n">
        <v>0.002</v>
      </c>
      <c r="J402" s="98" t="n">
        <v>0.007965999999999999</v>
      </c>
      <c r="K402" s="97" t="n">
        <v>20</v>
      </c>
      <c r="L402" s="99" t="inlineStr">
        <is>
          <t>20260730</t>
        </is>
      </c>
      <c r="M402" s="96" t="inlineStr">
        <is>
          <t>제외</t>
        </is>
      </c>
      <c r="N402" s="96" t="inlineStr">
        <is>
          <t>변동성 58.4%(1년 기준, 기준 35% 초과)</t>
        </is>
      </c>
      <c r="O402" s="96" t="inlineStr">
        <is>
          <t>KOSPI 200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분기배당</t>
        </is>
      </c>
      <c r="S402" s="97" t="n">
        <v>3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IFERROR(INDEX($A$4:$A$593,MATCH(399,$X$4:$X$593,0)),"")</f>
        <v/>
      </c>
    </row>
    <row r="403">
      <c r="A403" s="96" t="inlineStr">
        <is>
          <t>PLUS TDF2060액티브 적격</t>
        </is>
      </c>
      <c r="B403" s="96" t="inlineStr">
        <is>
          <t>433880</t>
        </is>
      </c>
      <c r="C403" s="96" t="inlineStr">
        <is>
          <t>한화자산운용</t>
        </is>
      </c>
      <c r="D403" s="97" t="n">
        <v>18275</v>
      </c>
      <c r="E403" s="97" t="n">
        <v>66703750000</v>
      </c>
      <c r="F403" s="97" t="n">
        <v>325884673</v>
      </c>
      <c r="G403" s="98" t="n">
        <v>0.002</v>
      </c>
      <c r="H403" s="98" t="n">
        <v>0.1226</v>
      </c>
      <c r="I403" s="98" t="n">
        <v>0.0021</v>
      </c>
      <c r="J403" s="98" t="n">
        <v>0.007934</v>
      </c>
      <c r="K403" s="97" t="n">
        <v>5</v>
      </c>
      <c r="L403" s="99" t="inlineStr">
        <is>
          <t>20260730</t>
        </is>
      </c>
      <c r="M403" s="96" t="inlineStr">
        <is>
          <t>제외</t>
        </is>
      </c>
      <c r="N403" s="96" t="inlineStr">
        <is>
          <t>60일 거래대금 3.3억(기준 5억 미만)</t>
        </is>
      </c>
      <c r="O403" s="96" t="inlineStr">
        <is>
          <t>Morningstar Korea Lifetime Allocation Moderate 2060 GR KRW</t>
        </is>
      </c>
      <c r="P403" s="96" t="inlineStr">
        <is>
          <t>일반</t>
        </is>
      </c>
      <c r="Q403" s="96" t="inlineStr">
        <is>
          <t>멀티에셋</t>
        </is>
      </c>
      <c r="R403" s="96" t="inlineStr">
        <is>
          <t>분기배당</t>
        </is>
      </c>
      <c r="S403" s="97" t="n">
        <v>3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IFERROR(INDEX($A$4:$A$593,MATCH(400,$X$4:$X$593,0)),"")</f>
        <v/>
      </c>
    </row>
    <row r="404">
      <c r="A404" s="96" t="inlineStr">
        <is>
          <t>KODEX 코스피100</t>
        </is>
      </c>
      <c r="B404" s="96" t="inlineStr">
        <is>
          <t>237350</t>
        </is>
      </c>
      <c r="C404" s="96" t="inlineStr">
        <is>
          <t>삼성자산운용(ETF)</t>
        </is>
      </c>
      <c r="D404" s="97" t="n">
        <v>89000</v>
      </c>
      <c r="E404" s="97" t="n">
        <v>952300000000</v>
      </c>
      <c r="F404" s="97" t="n">
        <v>34584818698</v>
      </c>
      <c r="G404" s="98" t="n">
        <v>0.0015</v>
      </c>
      <c r="H404" s="98" t="n">
        <v>0.5943000000000001</v>
      </c>
      <c r="I404" s="98" t="n">
        <v>0.0019</v>
      </c>
      <c r="J404" s="98" t="n">
        <v>0.007887999999999999</v>
      </c>
      <c r="K404" s="97" t="n">
        <v>6</v>
      </c>
      <c r="L404" s="99" t="inlineStr">
        <is>
          <t>20260730</t>
        </is>
      </c>
      <c r="M404" s="96" t="inlineStr">
        <is>
          <t>제외</t>
        </is>
      </c>
      <c r="N404" s="96" t="inlineStr">
        <is>
          <t>변동성 59.4%(1년 기준, 기준 35% 초과)</t>
        </is>
      </c>
      <c r="O404" s="96" t="inlineStr">
        <is>
          <t>KOSPI 100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2</v>
      </c>
      <c r="T404" s="98" t="n">
        <v>1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IFERROR(INDEX($A$4:$A$593,MATCH(401,$X$4:$X$593,0)),"")</f>
        <v/>
      </c>
    </row>
    <row r="405">
      <c r="A405" s="96" t="inlineStr">
        <is>
          <t>TIGER 소프트웨어</t>
        </is>
      </c>
      <c r="B405" s="96" t="inlineStr">
        <is>
          <t>157490</t>
        </is>
      </c>
      <c r="C405" s="96" t="inlineStr">
        <is>
          <t>미래에셋자산운용</t>
        </is>
      </c>
      <c r="D405" s="97" t="n">
        <v>7875</v>
      </c>
      <c r="E405" s="97" t="n">
        <v>73080000000</v>
      </c>
      <c r="F405" s="97" t="n">
        <v>1637847282</v>
      </c>
      <c r="G405" s="98" t="n">
        <v>0.004</v>
      </c>
      <c r="H405" s="98" t="n">
        <v>0.4193</v>
      </c>
      <c r="I405" s="98" t="n">
        <v>0.006500000000000001</v>
      </c>
      <c r="J405" s="98" t="n">
        <v>0.007873</v>
      </c>
      <c r="K405" s="97" t="n">
        <v>5</v>
      </c>
      <c r="L405" s="99" t="inlineStr">
        <is>
          <t>20260429</t>
        </is>
      </c>
      <c r="M405" s="96" t="inlineStr">
        <is>
          <t>제외</t>
        </is>
      </c>
      <c r="N405" s="96" t="inlineStr">
        <is>
          <t>변동성 41.9%(1년 기준, 기준 35% 초과)</t>
        </is>
      </c>
      <c r="O405" s="96" t="inlineStr">
        <is>
          <t>FnGuide 소프트웨어</t>
        </is>
      </c>
      <c r="P405" s="96" t="inlineStr">
        <is>
          <t>일반</t>
        </is>
      </c>
      <c r="Q405" s="96" t="inlineStr">
        <is>
          <t>주식</t>
        </is>
      </c>
      <c r="R405" s="96" t="inlineStr">
        <is>
          <t>연배당</t>
        </is>
      </c>
      <c r="S405" s="97" t="n">
        <v>1</v>
      </c>
      <c r="T405" s="98" t="n">
        <v>0.4516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IFERROR(INDEX($A$4:$A$593,MATCH(402,$X$4:$X$593,0)),"")</f>
        <v/>
      </c>
    </row>
    <row r="406">
      <c r="A406" s="96" t="inlineStr">
        <is>
          <t>HANARO Fn조선해운</t>
        </is>
      </c>
      <c r="B406" s="96" t="inlineStr">
        <is>
          <t>441540</t>
        </is>
      </c>
      <c r="C406" s="96" t="inlineStr">
        <is>
          <t>NH-Amundi자산운용</t>
        </is>
      </c>
      <c r="D406" s="97" t="n">
        <v>25955</v>
      </c>
      <c r="E406" s="97" t="n">
        <v>70078500000</v>
      </c>
      <c r="F406" s="97" t="n">
        <v>607978523</v>
      </c>
      <c r="G406" s="98" t="n">
        <v>0.004500000000000001</v>
      </c>
      <c r="H406" s="98" t="n">
        <v>0.4775</v>
      </c>
      <c r="I406" s="98" t="n">
        <v>0.0053</v>
      </c>
      <c r="J406" s="98" t="n">
        <v>0.007705999999999999</v>
      </c>
      <c r="K406" s="97" t="n">
        <v>4</v>
      </c>
      <c r="L406" s="99" t="inlineStr">
        <is>
          <t>20260429</t>
        </is>
      </c>
      <c r="M406" s="96" t="inlineStr">
        <is>
          <t>제외</t>
        </is>
      </c>
      <c r="N406" s="96" t="inlineStr">
        <is>
          <t>변동성 47.8%(1년 기준, 기준 35% 초과)</t>
        </is>
      </c>
      <c r="O406" s="96" t="inlineStr">
        <is>
          <t>FnGuide 조선해운 지수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연배당</t>
        </is>
      </c>
      <c r="S406" s="97" t="n">
        <v>1</v>
      </c>
      <c r="T406" s="98" t="n">
        <v>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IFERROR(INDEX($A$4:$A$593,MATCH(403,$X$4:$X$593,0)),"")</f>
        <v/>
      </c>
    </row>
    <row r="407">
      <c r="A407" s="96" t="inlineStr">
        <is>
          <t>파워 코스피100</t>
        </is>
      </c>
      <c r="B407" s="96" t="inlineStr">
        <is>
          <t>140950</t>
        </is>
      </c>
      <c r="C407" s="96" t="inlineStr">
        <is>
          <t>교보자산운용</t>
        </is>
      </c>
      <c r="D407" s="97" t="n">
        <v>87515</v>
      </c>
      <c r="E407" s="97" t="n">
        <v>49008400000</v>
      </c>
      <c r="F407" s="97" t="n">
        <v>212229249</v>
      </c>
      <c r="G407" s="98" t="n">
        <v>0.00155</v>
      </c>
      <c r="H407" s="98" t="n">
        <v>0.5943000000000001</v>
      </c>
      <c r="I407" s="98" t="n">
        <v>0.001</v>
      </c>
      <c r="J407" s="98" t="n">
        <v>0.007656</v>
      </c>
      <c r="K407" s="97" t="n">
        <v>14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60일 거래대금 2.1억(기준 5억 미만), 변동성 59.4%(1년 기준, 기준 35% 초과)</t>
        </is>
      </c>
      <c r="O407" s="96" t="inlineStr">
        <is>
          <t>KOSPI 100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연배당</t>
        </is>
      </c>
      <c r="S407" s="97" t="n">
        <v>2</v>
      </c>
      <c r="T407" s="98" t="n">
        <v>0.8836000000000001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IFERROR(INDEX($A$4:$A$593,MATCH(404,$X$4:$X$593,0)),"")</f>
        <v/>
      </c>
    </row>
    <row r="408">
      <c r="A408" s="96" t="inlineStr">
        <is>
          <t>KODEX 200</t>
        </is>
      </c>
      <c r="B408" s="96" t="inlineStr">
        <is>
          <t>069500</t>
        </is>
      </c>
      <c r="C408" s="96" t="inlineStr">
        <is>
          <t>삼성자산운용(ETF)</t>
        </is>
      </c>
      <c r="D408" s="97" t="n">
        <v>111520</v>
      </c>
      <c r="E408" s="97" t="n">
        <v>25677480000000</v>
      </c>
      <c r="F408" s="97" t="n">
        <v>2459138057728</v>
      </c>
      <c r="G408" s="98" t="n">
        <v>0.0015</v>
      </c>
      <c r="H408" s="98" t="n">
        <v>0.5844</v>
      </c>
      <c r="I408" s="98" t="n">
        <v>0.002</v>
      </c>
      <c r="J408" s="98" t="n">
        <v>0.007613</v>
      </c>
      <c r="K408" s="97" t="n">
        <v>20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변동성 58.4%(1년 기준, 기준 35% 초과)</t>
        </is>
      </c>
      <c r="O408" s="96" t="inlineStr">
        <is>
          <t>KOSPI 200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분기배당</t>
        </is>
      </c>
      <c r="S408" s="97" t="n">
        <v>3</v>
      </c>
      <c r="T408" s="98" t="n">
        <v>0.9611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IFERROR(INDEX($A$4:$A$593,MATCH(405,$X$4:$X$593,0)),"")</f>
        <v/>
      </c>
    </row>
    <row r="409">
      <c r="A409" s="96" t="inlineStr">
        <is>
          <t>KODEX 차이나휴머노이드로봇</t>
        </is>
      </c>
      <c r="B409" s="96" t="inlineStr">
        <is>
          <t>0048K0</t>
        </is>
      </c>
      <c r="C409" s="96" t="inlineStr">
        <is>
          <t>삼성자산운용(ETF)</t>
        </is>
      </c>
      <c r="D409" s="97" t="n">
        <v>7715</v>
      </c>
      <c r="E409" s="97" t="n">
        <v>138484250000</v>
      </c>
      <c r="F409" s="97" t="n">
        <v>7409034015</v>
      </c>
      <c r="G409" s="98" t="n">
        <v>0.004500000000000001</v>
      </c>
      <c r="H409" s="98" t="n">
        <v>0.4135</v>
      </c>
      <c r="I409" s="98" t="n">
        <v>0.0027</v>
      </c>
      <c r="J409" s="98" t="n">
        <v>0.007518</v>
      </c>
      <c r="K409" s="97" t="n">
        <v>5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41.4%(1년 기준, 기준 35% 초과)</t>
        </is>
      </c>
      <c r="O409" s="96" t="inlineStr">
        <is>
          <t>Solactive China humanoid Robotics Index (PR)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분기배당</t>
        </is>
      </c>
      <c r="S409" s="97" t="n">
        <v>3</v>
      </c>
      <c r="T409" s="98" t="n">
        <v>0.6034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IFERROR(INDEX($A$4:$A$593,MATCH(406,$X$4:$X$593,0)),"")</f>
        <v/>
      </c>
    </row>
    <row r="410">
      <c r="A410" s="96" t="inlineStr">
        <is>
          <t>KODEX MSCI Korea</t>
        </is>
      </c>
      <c r="B410" s="96" t="inlineStr">
        <is>
          <t>156080</t>
        </is>
      </c>
      <c r="C410" s="96" t="inlineStr">
        <is>
          <t>삼성자산운용(ETF)</t>
        </is>
      </c>
      <c r="D410" s="97" t="n">
        <v>53155</v>
      </c>
      <c r="E410" s="97" t="n">
        <v>31893000000</v>
      </c>
      <c r="F410" s="97" t="n">
        <v>273843721</v>
      </c>
      <c r="G410" s="98" t="n">
        <v>0.0009</v>
      </c>
      <c r="H410" s="98" t="n">
        <v>0.6052000000000001</v>
      </c>
      <c r="I410" s="98" t="n">
        <v>0.0019</v>
      </c>
      <c r="J410" s="98" t="n">
        <v>0.007488</v>
      </c>
      <c r="K410" s="97" t="n">
        <v>6</v>
      </c>
      <c r="L410" s="99" t="inlineStr">
        <is>
          <t>20260730</t>
        </is>
      </c>
      <c r="M410" s="96" t="inlineStr">
        <is>
          <t>제외</t>
        </is>
      </c>
      <c r="N410" s="96" t="inlineStr">
        <is>
          <t>60일 거래대금 2.7억(기준 5억 미만), 변동성 60.5%(1년 기준, 기준 35% 초과)</t>
        </is>
      </c>
      <c r="O410" s="96" t="inlineStr">
        <is>
          <t>MSCI KOREA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2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IFERROR(INDEX($A$4:$A$593,MATCH(407,$X$4:$X$593,0)),"")</f>
        <v/>
      </c>
    </row>
    <row r="411">
      <c r="A411" s="96" t="inlineStr">
        <is>
          <t>KODEX 코스피대형주</t>
        </is>
      </c>
      <c r="B411" s="96" t="inlineStr">
        <is>
          <t>337140</t>
        </is>
      </c>
      <c r="C411" s="96" t="inlineStr">
        <is>
          <t>삼성자산운용(ETF)</t>
        </is>
      </c>
      <c r="D411" s="97" t="n">
        <v>37005</v>
      </c>
      <c r="E411" s="97" t="n">
        <v>81411000000</v>
      </c>
      <c r="F411" s="97" t="n">
        <v>1554357442</v>
      </c>
      <c r="G411" s="98" t="n">
        <v>0.0015</v>
      </c>
      <c r="H411" s="98" t="n">
        <v>0.5664</v>
      </c>
      <c r="I411" s="98" t="n">
        <v>0.002</v>
      </c>
      <c r="J411" s="98" t="n">
        <v>0.007431</v>
      </c>
      <c r="K411" s="97" t="n">
        <v>6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변동성 56.6%(1년 기준, 기준 35% 초과)</t>
        </is>
      </c>
      <c r="O411" s="96" t="inlineStr">
        <is>
          <t>대형주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연배당</t>
        </is>
      </c>
      <c r="S411" s="97" t="n">
        <v>2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IFERROR(INDEX($A$4:$A$593,MATCH(408,$X$4:$X$593,0)),"")</f>
        <v/>
      </c>
    </row>
    <row r="412">
      <c r="A412" s="96" t="inlineStr">
        <is>
          <t>KODEX 미국S&amp;P500선물(H)</t>
        </is>
      </c>
      <c r="B412" s="96" t="inlineStr">
        <is>
          <t>219480</t>
        </is>
      </c>
      <c r="C412" s="96" t="inlineStr">
        <is>
          <t>삼성자산운용(ETF)</t>
        </is>
      </c>
      <c r="D412" s="97" t="n">
        <v>33175</v>
      </c>
      <c r="E412" s="97" t="n">
        <v>147628750000</v>
      </c>
      <c r="F412" s="97" t="n">
        <v>386664916</v>
      </c>
      <c r="G412" s="98" t="n">
        <v>0.0005</v>
      </c>
      <c r="H412" s="98" t="n">
        <v>0.13</v>
      </c>
      <c r="I412" s="98" t="n">
        <v>0.008</v>
      </c>
      <c r="J412" s="98" t="n">
        <v>0.007385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3.9억(기준 5억 미만)</t>
        </is>
      </c>
      <c r="O412" s="96" t="inlineStr">
        <is>
          <t>S&amp;P 500 Futures Total Return Index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IFERROR(INDEX($A$4:$A$593,MATCH(409,$X$4:$X$593,0)),"")</f>
        <v/>
      </c>
    </row>
    <row r="413">
      <c r="A413" s="96" t="inlineStr">
        <is>
          <t>TIGER 코스피</t>
        </is>
      </c>
      <c r="B413" s="96" t="inlineStr">
        <is>
          <t>277630</t>
        </is>
      </c>
      <c r="C413" s="96" t="inlineStr">
        <is>
          <t>미래에셋자산운용</t>
        </is>
      </c>
      <c r="D413" s="97" t="n">
        <v>72905</v>
      </c>
      <c r="E413" s="97" t="n">
        <v>572304250000</v>
      </c>
      <c r="F413" s="97" t="n">
        <v>9816492548</v>
      </c>
      <c r="G413" s="98" t="n">
        <v>0.0015</v>
      </c>
      <c r="H413" s="98" t="n">
        <v>0.5379</v>
      </c>
      <c r="I413" s="98" t="n">
        <v>0.001</v>
      </c>
      <c r="J413" s="98" t="n">
        <v>0.007338</v>
      </c>
      <c r="K413" s="97" t="n">
        <v>15</v>
      </c>
      <c r="L413" s="99" t="inlineStr">
        <is>
          <t>20260730</t>
        </is>
      </c>
      <c r="M413" s="96" t="inlineStr">
        <is>
          <t>제외</t>
        </is>
      </c>
      <c r="N413" s="96" t="inlineStr">
        <is>
          <t>변동성 53.8%(1년 기준, 기준 35% 초과)</t>
        </is>
      </c>
      <c r="O413" s="96" t="inlineStr">
        <is>
          <t>코스피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분기배당</t>
        </is>
      </c>
      <c r="S413" s="97" t="n">
        <v>3</v>
      </c>
      <c r="T413" s="98" t="n">
        <v>1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IFERROR(INDEX($A$4:$A$593,MATCH(410,$X$4:$X$593,0)),"")</f>
        <v/>
      </c>
    </row>
    <row r="414">
      <c r="A414" s="96" t="inlineStr">
        <is>
          <t>TIGER Fn신재생에너지</t>
        </is>
      </c>
      <c r="B414" s="96" t="inlineStr">
        <is>
          <t>377990</t>
        </is>
      </c>
      <c r="C414" s="96" t="inlineStr">
        <is>
          <t>미래에셋자산운용</t>
        </is>
      </c>
      <c r="D414" s="97" t="n">
        <v>24800</v>
      </c>
      <c r="E414" s="97" t="n">
        <v>121520000000</v>
      </c>
      <c r="F414" s="97" t="n">
        <v>3770646018</v>
      </c>
      <c r="G414" s="98" t="n">
        <v>0.005</v>
      </c>
      <c r="H414" s="98" t="n">
        <v>0.6467000000000001</v>
      </c>
      <c r="I414" s="98" t="n">
        <v>0.0101</v>
      </c>
      <c r="J414" s="98" t="n">
        <v>0.007258</v>
      </c>
      <c r="K414" s="97" t="n">
        <v>5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변동성 64.7%(1년 기준, 기준 35% 초과)</t>
        </is>
      </c>
      <c r="O414" s="96" t="inlineStr">
        <is>
          <t>FnGuide 신재생에너지 지수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연배당</t>
        </is>
      </c>
      <c r="S414" s="97" t="n">
        <v>1</v>
      </c>
      <c r="T414" s="98" t="n">
        <v>0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IFERROR(INDEX($A$4:$A$593,MATCH(411,$X$4:$X$593,0)),"")</f>
        <v/>
      </c>
    </row>
    <row r="415">
      <c r="A415" s="96" t="inlineStr">
        <is>
          <t>KIWOOM 코스피100</t>
        </is>
      </c>
      <c r="B415" s="96" t="inlineStr">
        <is>
          <t>153270</t>
        </is>
      </c>
      <c r="C415" s="96" t="inlineStr">
        <is>
          <t>키움투자자산운용</t>
        </is>
      </c>
      <c r="D415" s="97" t="n">
        <v>85645</v>
      </c>
      <c r="E415" s="97" t="n">
        <v>30832200000</v>
      </c>
      <c r="F415" s="97" t="n">
        <v>468567571</v>
      </c>
      <c r="G415" s="98" t="n">
        <v>0.00195</v>
      </c>
      <c r="H415" s="98" t="n">
        <v>0.589</v>
      </c>
      <c r="I415" s="98" t="n">
        <v>0.0017</v>
      </c>
      <c r="J415" s="98" t="n">
        <v>0.007239</v>
      </c>
      <c r="K415" s="97" t="n">
        <v>13</v>
      </c>
      <c r="L415" s="99" t="inlineStr">
        <is>
          <t>20260730</t>
        </is>
      </c>
      <c r="M415" s="96" t="inlineStr">
        <is>
          <t>제외</t>
        </is>
      </c>
      <c r="N415" s="96" t="inlineStr">
        <is>
          <t>60일 거래대금 4.7억(기준 5억 미만), 변동성 58.9%(1년 기준, 기준 35% 초과)</t>
        </is>
      </c>
      <c r="O415" s="96" t="inlineStr">
        <is>
          <t>KOSPI 100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분기배당</t>
        </is>
      </c>
      <c r="S415" s="97" t="n">
        <v>3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IFERROR(INDEX($A$4:$A$593,MATCH(412,$X$4:$X$593,0)),"")</f>
        <v/>
      </c>
    </row>
    <row r="416">
      <c r="A416" s="96" t="inlineStr">
        <is>
          <t>TIGER 글로벌혁신블루칩TOP10</t>
        </is>
      </c>
      <c r="B416" s="96" t="inlineStr">
        <is>
          <t>464930</t>
        </is>
      </c>
      <c r="C416" s="96" t="inlineStr">
        <is>
          <t>미래에셋자산운용</t>
        </is>
      </c>
      <c r="D416" s="97" t="n">
        <v>20735</v>
      </c>
      <c r="E416" s="97" t="n">
        <v>103675000000</v>
      </c>
      <c r="F416" s="97" t="n">
        <v>444658372</v>
      </c>
      <c r="G416" s="98" t="n">
        <v>0.0049</v>
      </c>
      <c r="H416" s="98" t="n">
        <v>0.1877</v>
      </c>
      <c r="I416" s="98" t="n">
        <v>0.0075</v>
      </c>
      <c r="J416" s="98" t="n">
        <v>0.007234000000000001</v>
      </c>
      <c r="K416" s="97" t="n">
        <v>1</v>
      </c>
      <c r="L416" s="99" t="inlineStr">
        <is>
          <t>20251229</t>
        </is>
      </c>
      <c r="M416" s="96" t="inlineStr">
        <is>
          <t>제외</t>
        </is>
      </c>
      <c r="N416" s="96" t="inlineStr">
        <is>
          <t>60일 거래대금 4.4억(기준 5억 미만)</t>
        </is>
      </c>
      <c r="O416" s="96" t="inlineStr">
        <is>
          <t>Mirae Asset Global Innovative Bluechip Top 10 Index PR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연배당</t>
        </is>
      </c>
      <c r="S416" s="97" t="n">
        <v>1</v>
      </c>
      <c r="T416" s="98" t="n">
        <v>1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IFERROR(INDEX($A$4:$A$593,MATCH(413,$X$4:$X$593,0)),"")</f>
        <v/>
      </c>
    </row>
    <row r="417">
      <c r="A417" s="96" t="inlineStr">
        <is>
          <t>TIGER 화장품</t>
        </is>
      </c>
      <c r="B417" s="96" t="inlineStr">
        <is>
          <t>228790</t>
        </is>
      </c>
      <c r="C417" s="96" t="inlineStr">
        <is>
          <t>미래에셋자산운용</t>
        </is>
      </c>
      <c r="D417" s="97" t="n">
        <v>4195</v>
      </c>
      <c r="E417" s="97" t="n">
        <v>238737450000</v>
      </c>
      <c r="F417" s="97" t="n">
        <v>29013499628</v>
      </c>
      <c r="G417" s="98" t="n">
        <v>0.005</v>
      </c>
      <c r="H417" s="98" t="n">
        <v>0.4044</v>
      </c>
      <c r="I417" s="98" t="n">
        <v>0.0048</v>
      </c>
      <c r="J417" s="98" t="n">
        <v>0.006913</v>
      </c>
      <c r="K417" s="97" t="n">
        <v>6</v>
      </c>
      <c r="L417" s="99" t="inlineStr">
        <is>
          <t>20260429</t>
        </is>
      </c>
      <c r="M417" s="96" t="inlineStr">
        <is>
          <t>제외</t>
        </is>
      </c>
      <c r="N417" s="96" t="inlineStr">
        <is>
          <t>변동성 40.4%(1년 기준, 기준 35% 초과)</t>
        </is>
      </c>
      <c r="O417" s="96" t="inlineStr">
        <is>
          <t>WISE 화장품 지수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연배당</t>
        </is>
      </c>
      <c r="S417" s="97" t="n">
        <v>1</v>
      </c>
      <c r="T417" s="98" t="n">
        <v>0.2414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IFERROR(INDEX($A$4:$A$593,MATCH(414,$X$4:$X$593,0)),"")</f>
        <v/>
      </c>
    </row>
    <row r="418">
      <c r="A418" s="96" t="inlineStr">
        <is>
          <t>HANARO 미국S&amp;P500</t>
        </is>
      </c>
      <c r="B418" s="96" t="inlineStr">
        <is>
          <t>432840</t>
        </is>
      </c>
      <c r="C418" s="96" t="inlineStr">
        <is>
          <t>NH-Amundi자산운용</t>
        </is>
      </c>
      <c r="D418" s="97" t="n">
        <v>19445</v>
      </c>
      <c r="E418" s="97" t="n">
        <v>15556000000</v>
      </c>
      <c r="F418" s="97" t="n">
        <v>61402697</v>
      </c>
      <c r="G418" s="98" t="n">
        <v>0.00045</v>
      </c>
      <c r="H418" s="98" t="n">
        <v>0.1455</v>
      </c>
      <c r="I418" s="98" t="n">
        <v>0.0005</v>
      </c>
      <c r="J418" s="98" t="n">
        <v>0.006891</v>
      </c>
      <c r="K418" s="97" t="n">
        <v>41</v>
      </c>
      <c r="L418" s="99" t="inlineStr">
        <is>
          <t>20260929</t>
        </is>
      </c>
      <c r="M418" s="96" t="inlineStr">
        <is>
          <t>제외</t>
        </is>
      </c>
      <c r="N418" s="96" t="inlineStr">
        <is>
          <t>순자산 156억(기준 300억 미만), 60일 거래대금 0.6억(기준 5억 미만)</t>
        </is>
      </c>
      <c r="O418" s="96" t="inlineStr">
        <is>
          <t>S&amp;P 500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월배당</t>
        </is>
      </c>
      <c r="S418" s="97" t="n">
        <v>11</v>
      </c>
      <c r="T418" s="98" t="n">
        <v>1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IFERROR(INDEX($A$4:$A$593,MATCH(415,$X$4:$X$593,0)),"")</f>
        <v/>
      </c>
    </row>
    <row r="419">
      <c r="A419" s="96" t="inlineStr">
        <is>
          <t>TIGER 차이나바이오테크SOLACTIVE</t>
        </is>
      </c>
      <c r="B419" s="96" t="inlineStr">
        <is>
          <t>371470</t>
        </is>
      </c>
      <c r="C419" s="96" t="inlineStr">
        <is>
          <t>미래에셋자산운용</t>
        </is>
      </c>
      <c r="D419" s="97" t="n">
        <v>8805</v>
      </c>
      <c r="E419" s="97" t="n">
        <v>46490400000</v>
      </c>
      <c r="F419" s="97" t="n">
        <v>440154172</v>
      </c>
      <c r="G419" s="98" t="n">
        <v>0.0049</v>
      </c>
      <c r="H419" s="98" t="n">
        <v>0.3168</v>
      </c>
      <c r="I419" s="98" t="n">
        <v>0.006999999999999999</v>
      </c>
      <c r="J419" s="98" t="n">
        <v>0.006814</v>
      </c>
      <c r="K419" s="97" t="n">
        <v>1</v>
      </c>
      <c r="L419" s="99" t="inlineStr">
        <is>
          <t>20251229</t>
        </is>
      </c>
      <c r="M419" s="96" t="inlineStr">
        <is>
          <t>제외</t>
        </is>
      </c>
      <c r="N419" s="96" t="inlineStr">
        <is>
          <t>60일 거래대금 4.4억(기준 5억 미만)</t>
        </is>
      </c>
      <c r="O419" s="96" t="inlineStr">
        <is>
          <t>Solactive China Biotech Index PR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1</v>
      </c>
      <c r="T419" s="98" t="n">
        <v>0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IFERROR(INDEX($A$4:$A$593,MATCH(416,$X$4:$X$593,0)),"")</f>
        <v/>
      </c>
    </row>
    <row r="420">
      <c r="A420" s="96" t="inlineStr">
        <is>
          <t>TIGER 인터넷TOP10</t>
        </is>
      </c>
      <c r="B420" s="96" t="inlineStr">
        <is>
          <t>365000</t>
        </is>
      </c>
      <c r="C420" s="96" t="inlineStr">
        <is>
          <t>미래에셋자산운용</t>
        </is>
      </c>
      <c r="D420" s="97" t="n">
        <v>3670</v>
      </c>
      <c r="E420" s="97" t="n">
        <v>37067000000</v>
      </c>
      <c r="F420" s="97" t="n">
        <v>842154798</v>
      </c>
      <c r="G420" s="98" t="n">
        <v>0.004</v>
      </c>
      <c r="H420" s="98" t="n">
        <v>0.4087</v>
      </c>
      <c r="I420" s="98" t="n">
        <v>0.0051</v>
      </c>
      <c r="J420" s="98" t="n">
        <v>0.006812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40.9%(1년 기준, 기준 35% 초과)</t>
        </is>
      </c>
      <c r="O420" s="96" t="inlineStr">
        <is>
          <t>KRX 인터넷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0.84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IFERROR(INDEX($A$4:$A$593,MATCH(417,$X$4:$X$593,0)),"")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50305</v>
      </c>
      <c r="E421" s="97" t="n">
        <v>230396900000</v>
      </c>
      <c r="F421" s="97" t="n">
        <v>233962814</v>
      </c>
      <c r="G421" s="98" t="n">
        <v>0.0005</v>
      </c>
      <c r="H421" s="98" t="n">
        <v>0.0106</v>
      </c>
      <c r="I421" s="98" t="n">
        <v>0.0068</v>
      </c>
      <c r="J421" s="98" t="n">
        <v>0.006758999999999999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2.3억(기준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 s="98" t="n">
        <v>0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IFERROR(INDEX($A$4:$A$593,MATCH(418,$X$4:$X$593,0)),"")</f>
        <v/>
      </c>
    </row>
    <row r="422">
      <c r="A422" s="96" t="inlineStr">
        <is>
          <t>KODEX 미국나스닥100선물(H)</t>
        </is>
      </c>
      <c r="B422" s="96" t="inlineStr">
        <is>
          <t>304940</t>
        </is>
      </c>
      <c r="C422" s="96" t="inlineStr">
        <is>
          <t>삼성자산운용(ETF)</t>
        </is>
      </c>
      <c r="D422" s="97" t="n">
        <v>33880</v>
      </c>
      <c r="E422" s="97" t="n">
        <v>115192000000</v>
      </c>
      <c r="F422" s="97" t="n">
        <v>370708736</v>
      </c>
      <c r="G422" s="98" t="n">
        <v>0.0005</v>
      </c>
      <c r="H422" s="98" t="n">
        <v>0.1985</v>
      </c>
      <c r="I422" s="98" t="n">
        <v>0.007900000000000001</v>
      </c>
      <c r="J422" s="98" t="n">
        <v>0.006730000000000001</v>
      </c>
      <c r="K422" s="97" t="n">
        <v>1</v>
      </c>
      <c r="L422" s="99" t="inlineStr">
        <is>
          <t>20251229</t>
        </is>
      </c>
      <c r="M422" s="96" t="inlineStr">
        <is>
          <t>제외</t>
        </is>
      </c>
      <c r="N422" s="96" t="inlineStr">
        <is>
          <t>60일 거래대금 3.7억(기준 5억 미만)</t>
        </is>
      </c>
      <c r="O422" s="96" t="inlineStr">
        <is>
          <t>나스닥 100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1</v>
      </c>
      <c r="T422" s="98" t="n">
        <v>1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IFERROR(INDEX($A$4:$A$593,MATCH(419,$X$4:$X$593,0)),"")</f>
        <v/>
      </c>
    </row>
    <row r="423">
      <c r="A423" s="96" t="inlineStr">
        <is>
          <t>PLUS 글로벌휴머노이드로봇액티브</t>
        </is>
      </c>
      <c r="B423" s="96" t="inlineStr">
        <is>
          <t>0035T0</t>
        </is>
      </c>
      <c r="C423" s="96" t="inlineStr">
        <is>
          <t>한화자산운용</t>
        </is>
      </c>
      <c r="D423" s="97" t="n">
        <v>19400</v>
      </c>
      <c r="E423" s="97" t="n">
        <v>93120000000</v>
      </c>
      <c r="F423" s="97" t="n">
        <v>720971286</v>
      </c>
      <c r="G423" s="98" t="n">
        <v>0.004500000000000001</v>
      </c>
      <c r="H423" s="98" t="n">
        <v>0.3536</v>
      </c>
      <c r="I423" s="98" t="n">
        <v>0.0018</v>
      </c>
      <c r="J423" s="98" t="n">
        <v>0.006649</v>
      </c>
      <c r="K423" s="97" t="n">
        <v>2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35.4%(1년 기준, 기준 35% 초과)</t>
        </is>
      </c>
      <c r="O423" s="96" t="inlineStr">
        <is>
          <t>iSelect Global Humanoid Robot Index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2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IFERROR(INDEX($A$4:$A$593,MATCH(420,$X$4:$X$593,0)),"")</f>
        <v/>
      </c>
    </row>
    <row r="424">
      <c r="A424" s="96" t="inlineStr">
        <is>
          <t>WON 200</t>
        </is>
      </c>
      <c r="B424" s="96" t="inlineStr">
        <is>
          <t>448100</t>
        </is>
      </c>
      <c r="C424" s="96" t="inlineStr">
        <is>
          <t>우리자산운용</t>
        </is>
      </c>
      <c r="D424" s="97" t="n">
        <v>114020</v>
      </c>
      <c r="E424" s="97" t="n">
        <v>125422000000</v>
      </c>
      <c r="F424" s="97" t="n">
        <v>3466970413</v>
      </c>
      <c r="G424" s="98" t="n">
        <v>0.0005</v>
      </c>
      <c r="H424" s="98" t="n">
        <v>0.5859000000000001</v>
      </c>
      <c r="I424" s="98" t="n">
        <v>0.0005999999999999999</v>
      </c>
      <c r="J424" s="98" t="n">
        <v>0.006578000000000001</v>
      </c>
      <c r="K424" s="97" t="n">
        <v>41</v>
      </c>
      <c r="L424" s="99" t="inlineStr">
        <is>
          <t>20260929</t>
        </is>
      </c>
      <c r="M424" s="96" t="inlineStr">
        <is>
          <t>제외</t>
        </is>
      </c>
      <c r="N424" s="96" t="inlineStr">
        <is>
          <t>변동성 58.6%(1년 기준, 기준 35% 초과)</t>
        </is>
      </c>
      <c r="O424" s="96" t="inlineStr">
        <is>
          <t>KOSPI 200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월배당</t>
        </is>
      </c>
      <c r="S424" s="97" t="n">
        <v>11</v>
      </c>
      <c r="T424" s="98" t="n">
        <v>1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IFERROR(INDEX($A$4:$A$593,MATCH(421,$X$4:$X$593,0)),"")</f>
        <v/>
      </c>
    </row>
    <row r="425">
      <c r="A425" s="96" t="inlineStr">
        <is>
          <t>PLUS 코스피50</t>
        </is>
      </c>
      <c r="B425" s="96" t="inlineStr">
        <is>
          <t>122090</t>
        </is>
      </c>
      <c r="C425" s="96" t="inlineStr">
        <is>
          <t>한화자산운용</t>
        </is>
      </c>
      <c r="D425" s="97" t="n">
        <v>83735</v>
      </c>
      <c r="E425" s="97" t="n">
        <v>178355550000</v>
      </c>
      <c r="F425" s="97" t="n">
        <v>7627846471</v>
      </c>
      <c r="G425" s="98" t="n">
        <v>0.0033</v>
      </c>
      <c r="H425" s="98" t="n">
        <v>0.6163000000000001</v>
      </c>
      <c r="I425" s="98" t="n">
        <v>0.0013</v>
      </c>
      <c r="J425" s="98" t="n">
        <v>0.006568000000000001</v>
      </c>
      <c r="K425" s="97" t="n">
        <v>14</v>
      </c>
      <c r="L425" s="99" t="inlineStr">
        <is>
          <t>20260730</t>
        </is>
      </c>
      <c r="M425" s="96" t="inlineStr">
        <is>
          <t>제외</t>
        </is>
      </c>
      <c r="N425" s="96" t="inlineStr">
        <is>
          <t>변동성 61.6%(1년 기준, 기준 35% 초과)</t>
        </is>
      </c>
      <c r="O425" s="96" t="inlineStr">
        <is>
          <t>KOSPI 50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분기배당</t>
        </is>
      </c>
      <c r="S425" s="97" t="n">
        <v>3</v>
      </c>
      <c r="T425" s="98" t="n">
        <v>0.84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IFERROR(INDEX($A$4:$A$593,MATCH(422,$X$4:$X$593,0)),"")</f>
        <v/>
      </c>
    </row>
    <row r="426">
      <c r="A426" s="96" t="inlineStr">
        <is>
          <t>RISE 코스닥150선물레버리지</t>
        </is>
      </c>
      <c r="B426" s="96" t="inlineStr">
        <is>
          <t>278240</t>
        </is>
      </c>
      <c r="C426" s="96" t="inlineStr">
        <is>
          <t>KB자산운용</t>
        </is>
      </c>
      <c r="D426" s="97" t="n">
        <v>9155</v>
      </c>
      <c r="E426" s="97" t="n">
        <v>64908950000</v>
      </c>
      <c r="F426" s="97" t="n">
        <v>1166533626</v>
      </c>
      <c r="G426" s="98" t="n">
        <v>0.0032</v>
      </c>
      <c r="H426" s="98" t="n">
        <v>1.1342</v>
      </c>
      <c r="I426" s="98" t="n">
        <v>0.0046</v>
      </c>
      <c r="J426" s="98" t="n">
        <v>0.006554</v>
      </c>
      <c r="K426" s="97" t="n">
        <v>1</v>
      </c>
      <c r="L426" s="99" t="inlineStr">
        <is>
          <t>20251229</t>
        </is>
      </c>
      <c r="M426" s="96" t="inlineStr">
        <is>
          <t>제외</t>
        </is>
      </c>
      <c r="N426" s="96" t="inlineStr">
        <is>
          <t>변동성 113.4%(1년 기준, 기준 35% 초과)</t>
        </is>
      </c>
      <c r="O426" s="96" t="inlineStr">
        <is>
          <t>코스닥150선물지수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연배당</t>
        </is>
      </c>
      <c r="S426" s="97" t="n">
        <v>1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IFERROR(INDEX($A$4:$A$593,MATCH(423,$X$4:$X$593,0)),"")</f>
        <v/>
      </c>
    </row>
    <row r="427">
      <c r="A427" s="96" t="inlineStr">
        <is>
          <t>TIGER 바이오TOP10</t>
        </is>
      </c>
      <c r="B427" s="96" t="inlineStr">
        <is>
          <t>364970</t>
        </is>
      </c>
      <c r="C427" s="96" t="inlineStr">
        <is>
          <t>미래에셋자산운용</t>
        </is>
      </c>
      <c r="D427" s="97" t="n">
        <v>6965</v>
      </c>
      <c r="E427" s="97" t="n">
        <v>261187500000</v>
      </c>
      <c r="F427" s="97" t="n">
        <v>11073085900</v>
      </c>
      <c r="G427" s="98" t="n">
        <v>0.004</v>
      </c>
      <c r="H427" s="98" t="n">
        <v>0.4161</v>
      </c>
      <c r="I427" s="98" t="n">
        <v>0.005500000000000001</v>
      </c>
      <c r="J427" s="98" t="n">
        <v>0.006461</v>
      </c>
      <c r="K427" s="97" t="n">
        <v>5</v>
      </c>
      <c r="L427" s="99" t="inlineStr">
        <is>
          <t>20260429</t>
        </is>
      </c>
      <c r="M427" s="96" t="inlineStr">
        <is>
          <t>제외</t>
        </is>
      </c>
      <c r="N427" s="96" t="inlineStr">
        <is>
          <t>변동성 41.6%(1년 기준, 기준 35% 초과)</t>
        </is>
      </c>
      <c r="O427" s="96" t="inlineStr">
        <is>
          <t>KRX 바이오 TOP 10 지수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연배당</t>
        </is>
      </c>
      <c r="S427" s="97" t="n">
        <v>1</v>
      </c>
      <c r="T427" s="98" t="n">
        <v>0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IFERROR(INDEX($A$4:$A$593,MATCH(424,$X$4:$X$593,0)),"")</f>
        <v/>
      </c>
    </row>
    <row r="428">
      <c r="A428" s="96" t="inlineStr">
        <is>
          <t>KODEX 테슬라밸류체인FactSet</t>
        </is>
      </c>
      <c r="B428" s="96" t="inlineStr">
        <is>
          <t>459560</t>
        </is>
      </c>
      <c r="C428" s="96" t="inlineStr">
        <is>
          <t>삼성자산운용(ETF)</t>
        </is>
      </c>
      <c r="D428" s="97" t="n">
        <v>22110</v>
      </c>
      <c r="E428" s="97" t="n">
        <v>33165000000</v>
      </c>
      <c r="F428" s="97" t="n">
        <v>236710954</v>
      </c>
      <c r="G428" s="98" t="n">
        <v>0.0018</v>
      </c>
      <c r="H428" s="98" t="n">
        <v>0.3006</v>
      </c>
      <c r="I428" s="98" t="n">
        <v>0.0018</v>
      </c>
      <c r="J428" s="98" t="n">
        <v>0.006422</v>
      </c>
      <c r="K428" s="97" t="n">
        <v>7</v>
      </c>
      <c r="L428" s="99" t="inlineStr">
        <is>
          <t>20260730</t>
        </is>
      </c>
      <c r="M428" s="96" t="inlineStr">
        <is>
          <t>제외</t>
        </is>
      </c>
      <c r="N428" s="96" t="inlineStr">
        <is>
          <t>60일 거래대금 2.4억(기준 5억 미만)</t>
        </is>
      </c>
      <c r="O428" s="96" t="inlineStr">
        <is>
          <t>FactSet TSLA Value Chain Index (PR)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분기배당</t>
        </is>
      </c>
      <c r="S428" s="97" t="n">
        <v>3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IFERROR(INDEX($A$4:$A$593,MATCH(425,$X$4:$X$593,0)),"")</f>
        <v/>
      </c>
    </row>
    <row r="429">
      <c r="A429" s="96" t="inlineStr">
        <is>
          <t>SOL 미국AI전력인프라</t>
        </is>
      </c>
      <c r="B429" s="96" t="inlineStr">
        <is>
          <t>486450</t>
        </is>
      </c>
      <c r="C429" s="96" t="inlineStr">
        <is>
          <t>신한자산운용</t>
        </is>
      </c>
      <c r="D429" s="97" t="n">
        <v>18790</v>
      </c>
      <c r="E429" s="97" t="n">
        <v>205750500000</v>
      </c>
      <c r="F429" s="97" t="n">
        <v>1184544861</v>
      </c>
      <c r="G429" s="98" t="n">
        <v>0.004500000000000001</v>
      </c>
      <c r="H429" s="98" t="n">
        <v>0.391</v>
      </c>
      <c r="I429" s="98" t="n">
        <v>0.0048</v>
      </c>
      <c r="J429" s="98" t="n">
        <v>0.006385999999999999</v>
      </c>
      <c r="K429" s="97" t="n">
        <v>2</v>
      </c>
      <c r="L429" s="99" t="inlineStr">
        <is>
          <t>20260429</t>
        </is>
      </c>
      <c r="M429" s="96" t="inlineStr">
        <is>
          <t>제외</t>
        </is>
      </c>
      <c r="N429" s="96" t="inlineStr">
        <is>
          <t>변동성 39.1%(1년 기준, 기준 35% 초과)</t>
        </is>
      </c>
      <c r="O429" s="96" t="inlineStr">
        <is>
          <t>KEDI US AI Electric Power Infrastructure Index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연배당</t>
        </is>
      </c>
      <c r="S429" s="97" t="n">
        <v>1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IFERROR(INDEX($A$4:$A$593,MATCH(426,$X$4:$X$593,0)),"")</f>
        <v/>
      </c>
    </row>
    <row r="430">
      <c r="A430" s="96" t="inlineStr">
        <is>
          <t>KIWOOM KRX100</t>
        </is>
      </c>
      <c r="B430" s="96" t="inlineStr">
        <is>
          <t>100910</t>
        </is>
      </c>
      <c r="C430" s="96" t="inlineStr">
        <is>
          <t>키움투자자산운용</t>
        </is>
      </c>
      <c r="D430" s="97" t="n">
        <v>17440</v>
      </c>
      <c r="E430" s="97" t="n">
        <v>41856000000</v>
      </c>
      <c r="F430" s="97" t="n">
        <v>917102838</v>
      </c>
      <c r="G430" s="98" t="n">
        <v>0.0023</v>
      </c>
      <c r="H430" s="98" t="n">
        <v>0.5893999999999999</v>
      </c>
      <c r="I430" s="98" t="n">
        <v>0.0011</v>
      </c>
      <c r="J430" s="98" t="n">
        <v>0.006307</v>
      </c>
      <c r="K430" s="97" t="n">
        <v>13</v>
      </c>
      <c r="L430" s="99" t="inlineStr">
        <is>
          <t>20260730</t>
        </is>
      </c>
      <c r="M430" s="96" t="inlineStr">
        <is>
          <t>제외</t>
        </is>
      </c>
      <c r="N430" s="96" t="inlineStr">
        <is>
          <t>변동성 58.9%(1년 기준, 기준 35% 초과)</t>
        </is>
      </c>
      <c r="O430" s="96" t="inlineStr">
        <is>
          <t>KRX100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분기배당</t>
        </is>
      </c>
      <c r="S430" s="97" t="n">
        <v>3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IFERROR(INDEX($A$4:$A$593,MATCH(427,$X$4:$X$593,0)),"")</f>
        <v/>
      </c>
    </row>
    <row r="431">
      <c r="A431" s="96" t="inlineStr">
        <is>
          <t>ACE 일본Nikkei225(H)</t>
        </is>
      </c>
      <c r="B431" s="96" t="inlineStr">
        <is>
          <t>238720</t>
        </is>
      </c>
      <c r="C431" s="96" t="inlineStr">
        <is>
          <t>한국투신운용(ETF)</t>
        </is>
      </c>
      <c r="D431" s="97" t="n">
        <v>50285</v>
      </c>
      <c r="E431" s="97" t="n">
        <v>45256500000</v>
      </c>
      <c r="F431" s="97" t="n">
        <v>219834170</v>
      </c>
      <c r="G431" s="98" t="n">
        <v>0.003</v>
      </c>
      <c r="H431" s="98" t="n">
        <v>0.301</v>
      </c>
      <c r="I431" s="98" t="n">
        <v>0.008399999999999999</v>
      </c>
      <c r="J431" s="98" t="n">
        <v>0.006125</v>
      </c>
      <c r="K431" s="97" t="n">
        <v>1</v>
      </c>
      <c r="L431" s="99" t="inlineStr">
        <is>
          <t>20251229</t>
        </is>
      </c>
      <c r="M431" s="96" t="inlineStr">
        <is>
          <t>제외</t>
        </is>
      </c>
      <c r="N431" s="96" t="inlineStr">
        <is>
          <t>60일 거래대금 2.2억(기준 5억 미만)</t>
        </is>
      </c>
      <c r="O431" s="96" t="inlineStr">
        <is>
          <t>니케이225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연배당</t>
        </is>
      </c>
      <c r="S431" s="97" t="n">
        <v>1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IFERROR(INDEX($A$4:$A$593,MATCH(428,$X$4:$X$593,0)),"")</f>
        <v/>
      </c>
    </row>
    <row r="432">
      <c r="A432" s="96" t="inlineStr">
        <is>
          <t>KODEX 한국대만IT프리미어</t>
        </is>
      </c>
      <c r="B432" s="96" t="inlineStr">
        <is>
          <t>298770</t>
        </is>
      </c>
      <c r="C432" s="96" t="inlineStr">
        <is>
          <t>삼성자산운용(ETF)</t>
        </is>
      </c>
      <c r="D432" s="97" t="n">
        <v>84615</v>
      </c>
      <c r="E432" s="97" t="n">
        <v>90538050000</v>
      </c>
      <c r="F432" s="97" t="n">
        <v>1922235701</v>
      </c>
      <c r="G432" s="98" t="n">
        <v>0.005500000000000001</v>
      </c>
      <c r="H432" s="98" t="n">
        <v>0.3501</v>
      </c>
      <c r="I432" s="98" t="n">
        <v>0.0016</v>
      </c>
      <c r="J432" s="98" t="n">
        <v>0.006098</v>
      </c>
      <c r="K432" s="97" t="n">
        <v>14</v>
      </c>
      <c r="L432" s="99" t="inlineStr">
        <is>
          <t>20260730</t>
        </is>
      </c>
      <c r="M432" s="96" t="inlineStr">
        <is>
          <t>제외</t>
        </is>
      </c>
      <c r="N432" s="96" t="inlineStr">
        <is>
          <t>변동성 35.0%(1년 기준, 기준 35% 초과)</t>
        </is>
      </c>
      <c r="O432" s="96" t="inlineStr">
        <is>
          <t>한국대만IT프리미어증권상장지수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분기배당</t>
        </is>
      </c>
      <c r="S432" s="97" t="n">
        <v>3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IFERROR(INDEX($A$4:$A$593,MATCH(429,$X$4:$X$593,0)),"")</f>
        <v/>
      </c>
    </row>
    <row r="433">
      <c r="A433" s="96" t="inlineStr">
        <is>
          <t>RISE 5대그룹주</t>
        </is>
      </c>
      <c r="B433" s="96" t="inlineStr">
        <is>
          <t>105780</t>
        </is>
      </c>
      <c r="C433" s="96" t="inlineStr">
        <is>
          <t>KB자산운용</t>
        </is>
      </c>
      <c r="D433" s="97" t="n">
        <v>16535</v>
      </c>
      <c r="E433" s="97" t="n">
        <v>33070000000</v>
      </c>
      <c r="F433" s="97" t="n">
        <v>167829625</v>
      </c>
      <c r="G433" s="98" t="n">
        <v>0.004</v>
      </c>
      <c r="H433" s="98" t="n">
        <v>0.5484</v>
      </c>
      <c r="I433" s="98" t="n">
        <v>0.0063</v>
      </c>
      <c r="J433" s="98" t="n">
        <v>0.006048</v>
      </c>
      <c r="K433" s="97" t="n">
        <v>8</v>
      </c>
      <c r="L433" s="99" t="inlineStr">
        <is>
          <t>20260429</t>
        </is>
      </c>
      <c r="M433" s="96" t="inlineStr">
        <is>
          <t>제외</t>
        </is>
      </c>
      <c r="N433" s="96" t="inlineStr">
        <is>
          <t>60일 거래대금 1.7억(기준 5억 미만), 변동성 54.8%(1년 기준, 기준 35% 초과)</t>
        </is>
      </c>
      <c r="O433" s="96" t="inlineStr">
        <is>
          <t>FnGuide 5대그룹주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연배당</t>
        </is>
      </c>
      <c r="S433" s="97" t="n">
        <v>1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IFERROR(INDEX($A$4:$A$593,MATCH(430,$X$4:$X$593,0)),"")</f>
        <v/>
      </c>
    </row>
    <row r="434">
      <c r="A434" s="96" t="inlineStr">
        <is>
          <t>TIGER 코스피대형주</t>
        </is>
      </c>
      <c r="B434" s="96" t="inlineStr">
        <is>
          <t>277640</t>
        </is>
      </c>
      <c r="C434" s="96" t="inlineStr">
        <is>
          <t>미래에셋자산운용</t>
        </is>
      </c>
      <c r="D434" s="97" t="n">
        <v>38205</v>
      </c>
      <c r="E434" s="97" t="n">
        <v>64948500000</v>
      </c>
      <c r="F434" s="97" t="n">
        <v>1418630751</v>
      </c>
      <c r="G434" s="98" t="n">
        <v>0.0029</v>
      </c>
      <c r="H434" s="98" t="n">
        <v>0.5654</v>
      </c>
      <c r="I434" s="98" t="n">
        <v>0.0016</v>
      </c>
      <c r="J434" s="98" t="n">
        <v>0.00602</v>
      </c>
      <c r="K434" s="97" t="n">
        <v>16</v>
      </c>
      <c r="L434" s="99" t="inlineStr">
        <is>
          <t>20260730</t>
        </is>
      </c>
      <c r="M434" s="96" t="inlineStr">
        <is>
          <t>제외</t>
        </is>
      </c>
      <c r="N434" s="96" t="inlineStr">
        <is>
          <t>변동성 56.5%(1년 기준, 기준 35% 초과)</t>
        </is>
      </c>
      <c r="O434" s="96" t="inlineStr">
        <is>
          <t>대형주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2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IFERROR(INDEX($A$4:$A$593,MATCH(431,$X$4:$X$593,0)),"")</f>
        <v/>
      </c>
    </row>
    <row r="435">
      <c r="A435" s="96" t="inlineStr">
        <is>
          <t>PLUS 200선물레버리지</t>
        </is>
      </c>
      <c r="B435" s="96" t="inlineStr">
        <is>
          <t>253150</t>
        </is>
      </c>
      <c r="C435" s="96" t="inlineStr">
        <is>
          <t>한화자산운용</t>
        </is>
      </c>
      <c r="D435" s="97" t="n">
        <v>209555</v>
      </c>
      <c r="E435" s="97" t="n">
        <v>52388750000</v>
      </c>
      <c r="F435" s="97" t="n">
        <v>18748126880</v>
      </c>
      <c r="G435" s="98" t="n">
        <v>0.0005999999999999999</v>
      </c>
      <c r="H435" s="98" t="n">
        <v>1.162</v>
      </c>
      <c r="I435" s="98" t="n">
        <v>0.0014</v>
      </c>
      <c r="J435" s="98" t="n">
        <v>0.005755</v>
      </c>
      <c r="K435" s="97" t="n">
        <v>2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변동성 116.2%(1년 기준, 기준 35% 초과)</t>
        </is>
      </c>
      <c r="O435" s="96" t="inlineStr">
        <is>
          <t>KOSPI200선물지수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IFERROR(INDEX($A$4:$A$593,MATCH(432,$X$4:$X$593,0)),"")</f>
        <v/>
      </c>
    </row>
    <row r="436">
      <c r="A436" s="96" t="inlineStr">
        <is>
          <t>TIGER 글로벌4차산업혁신기술(합성 H)</t>
        </is>
      </c>
      <c r="B436" s="96" t="inlineStr">
        <is>
          <t>275980</t>
        </is>
      </c>
      <c r="C436" s="96" t="inlineStr">
        <is>
          <t>미래에셋자산운용</t>
        </is>
      </c>
      <c r="D436" s="97" t="n">
        <v>23820</v>
      </c>
      <c r="E436" s="97" t="n">
        <v>59550000000</v>
      </c>
      <c r="F436" s="97" t="n">
        <v>99839726</v>
      </c>
      <c r="G436" s="98" t="n">
        <v>0.004</v>
      </c>
      <c r="H436" s="98" t="n">
        <v>0.1814</v>
      </c>
      <c r="I436" s="98" t="n">
        <v>0.0066</v>
      </c>
      <c r="J436" s="98" t="n">
        <v>0.005750999999999999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60일 거래대금 1.0억(기준 5억 미만)</t>
        </is>
      </c>
      <c r="O436" s="96" t="inlineStr">
        <is>
          <t>Morningstar Exponential Technologies Equal Weighted Select P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IFERROR(INDEX($A$4:$A$593,MATCH(433,$X$4:$X$593,0)),"")</f>
        <v/>
      </c>
    </row>
    <row r="437">
      <c r="A437" s="96" t="inlineStr">
        <is>
          <t>TIGER 삼성그룹</t>
        </is>
      </c>
      <c r="B437" s="96" t="inlineStr">
        <is>
          <t>138520</t>
        </is>
      </c>
      <c r="C437" s="96" t="inlineStr">
        <is>
          <t>미래에셋자산운용</t>
        </is>
      </c>
      <c r="D437" s="97" t="n">
        <v>36130</v>
      </c>
      <c r="E437" s="97" t="n">
        <v>145965200000</v>
      </c>
      <c r="F437" s="97" t="n">
        <v>2217534792</v>
      </c>
      <c r="G437" s="98" t="n">
        <v>0.0015</v>
      </c>
      <c r="H437" s="98" t="n">
        <v>0.5206000000000001</v>
      </c>
      <c r="I437" s="98" t="n">
        <v>0.0058</v>
      </c>
      <c r="J437" s="98" t="n">
        <v>0.005674</v>
      </c>
      <c r="K437" s="97" t="n">
        <v>10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변동성 52.1%(1년 기준, 기준 35% 초과)</t>
        </is>
      </c>
      <c r="O437" s="96" t="inlineStr">
        <is>
          <t>FnGuide SAMs FW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연배당</t>
        </is>
      </c>
      <c r="S437" s="97" t="n">
        <v>1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IFERROR(INDEX($A$4:$A$593,MATCH(434,$X$4:$X$593,0)),"")</f>
        <v/>
      </c>
    </row>
    <row r="438">
      <c r="A438" s="96" t="inlineStr">
        <is>
          <t>KODEX 미국나스닥100레버리지(합성 H)</t>
        </is>
      </c>
      <c r="B438" s="96" t="inlineStr">
        <is>
          <t>409820</t>
        </is>
      </c>
      <c r="C438" s="96" t="inlineStr">
        <is>
          <t>삼성자산운용(ETF)</t>
        </is>
      </c>
      <c r="D438" s="97" t="n">
        <v>21760</v>
      </c>
      <c r="E438" s="97" t="n">
        <v>270912000000</v>
      </c>
      <c r="F438" s="97" t="n">
        <v>2289884216</v>
      </c>
      <c r="G438" s="98" t="n">
        <v>0.003</v>
      </c>
      <c r="H438" s="98" t="n">
        <v>0.4059</v>
      </c>
      <c r="I438" s="98" t="n">
        <v>0.0075</v>
      </c>
      <c r="J438" s="98" t="n">
        <v>0.005607</v>
      </c>
      <c r="K438" s="97" t="n">
        <v>1</v>
      </c>
      <c r="L438" s="99" t="inlineStr">
        <is>
          <t>20251229</t>
        </is>
      </c>
      <c r="M438" s="96" t="inlineStr">
        <is>
          <t>제외</t>
        </is>
      </c>
      <c r="N438" s="96" t="inlineStr">
        <is>
          <t>변동성 40.6%(1년 기준, 기준 35% 초과)</t>
        </is>
      </c>
      <c r="O438" s="96" t="inlineStr">
        <is>
          <t>나스닥 100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IFERROR(INDEX($A$4:$A$593,MATCH(435,$X$4:$X$593,0)),"")</f>
        <v/>
      </c>
    </row>
    <row r="439">
      <c r="A439" s="96" t="inlineStr">
        <is>
          <t>TIGER Fn메타버스</t>
        </is>
      </c>
      <c r="B439" s="96" t="inlineStr">
        <is>
          <t>400970</t>
        </is>
      </c>
      <c r="C439" s="96" t="inlineStr">
        <is>
          <t>미래에셋자산운용</t>
        </is>
      </c>
      <c r="D439" s="97" t="n">
        <v>7150</v>
      </c>
      <c r="E439" s="97" t="n">
        <v>35750000000</v>
      </c>
      <c r="F439" s="97" t="n">
        <v>120165498</v>
      </c>
      <c r="G439" s="98" t="n">
        <v>0.004500000000000001</v>
      </c>
      <c r="H439" s="98" t="n">
        <v>0.3863</v>
      </c>
      <c r="I439" s="98" t="n">
        <v>0.004500000000000001</v>
      </c>
      <c r="J439" s="98" t="n">
        <v>0.005594</v>
      </c>
      <c r="K439" s="97" t="n">
        <v>5</v>
      </c>
      <c r="L439" s="99" t="inlineStr">
        <is>
          <t>20260429</t>
        </is>
      </c>
      <c r="M439" s="96" t="inlineStr">
        <is>
          <t>제외</t>
        </is>
      </c>
      <c r="N439" s="96" t="inlineStr">
        <is>
          <t>60일 거래대금 1.2억(기준 5억 미만), 변동성 38.6%(1년 기준, 기준 35% 초과)</t>
        </is>
      </c>
      <c r="O439" s="96" t="inlineStr">
        <is>
          <t>FnGuide 메타버스테마 지수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0.2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IFERROR(INDEX($A$4:$A$593,MATCH(436,$X$4:$X$593,0)),"")</f>
        <v/>
      </c>
    </row>
    <row r="440">
      <c r="A440" s="96" t="inlineStr">
        <is>
          <t>ACE ESG액티브</t>
        </is>
      </c>
      <c r="B440" s="96" t="inlineStr">
        <is>
          <t>385590</t>
        </is>
      </c>
      <c r="C440" s="96" t="inlineStr">
        <is>
          <t>한국투신운용(ETF)</t>
        </is>
      </c>
      <c r="D440" s="97" t="n">
        <v>24240</v>
      </c>
      <c r="E440" s="97" t="n">
        <v>55752000000</v>
      </c>
      <c r="F440" s="97" t="n">
        <v>30297654</v>
      </c>
      <c r="G440" s="98" t="n">
        <v>0.005</v>
      </c>
      <c r="H440" s="98" t="n">
        <v>0.5328000000000001</v>
      </c>
      <c r="I440" s="98" t="n">
        <v>0.0062</v>
      </c>
      <c r="J440" s="98" t="n">
        <v>0.005568999999999999</v>
      </c>
      <c r="K440" s="97" t="n">
        <v>5</v>
      </c>
      <c r="L440" s="99" t="inlineStr">
        <is>
          <t>20260429</t>
        </is>
      </c>
      <c r="M440" s="96" t="inlineStr">
        <is>
          <t>제외</t>
        </is>
      </c>
      <c r="N440" s="96" t="inlineStr">
        <is>
          <t>60일 거래대금 0.3억(기준 5억 미만), 변동성 53.3%(1년 기준, 기준 35% 초과)</t>
        </is>
      </c>
      <c r="O440" s="96" t="inlineStr">
        <is>
          <t>MSCI Korea Country ESG Leaders Custom Capped Index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1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IFERROR(INDEX($A$4:$A$593,MATCH(437,$X$4:$X$593,0)),"")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106660</v>
      </c>
      <c r="E441" s="97" t="n">
        <v>1005483820000</v>
      </c>
      <c r="F441" s="97" t="n">
        <v>381903551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0.005494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IFERROR(INDEX($A$4:$A$593,MATCH(438,$X$4:$X$593,0)),"")</f>
        <v/>
      </c>
    </row>
    <row r="442">
      <c r="A442" s="96" t="inlineStr">
        <is>
          <t>KODEX 에너지화학</t>
        </is>
      </c>
      <c r="B442" s="96" t="inlineStr">
        <is>
          <t>117460</t>
        </is>
      </c>
      <c r="C442" s="96" t="inlineStr">
        <is>
          <t>삼성자산운용(ETF)</t>
        </is>
      </c>
      <c r="D442" s="97" t="n">
        <v>14060</v>
      </c>
      <c r="E442" s="97" t="n">
        <v>33462800000</v>
      </c>
      <c r="F442" s="97" t="n">
        <v>754132648</v>
      </c>
      <c r="G442" s="98" t="n">
        <v>0.004500000000000001</v>
      </c>
      <c r="H442" s="98" t="n">
        <v>0.4698</v>
      </c>
      <c r="I442" s="98" t="n">
        <v>0.0031</v>
      </c>
      <c r="J442" s="98" t="n">
        <v>0.005405</v>
      </c>
      <c r="K442" s="97" t="n">
        <v>6</v>
      </c>
      <c r="L442" s="99" t="inlineStr">
        <is>
          <t>20260730</t>
        </is>
      </c>
      <c r="M442" s="96" t="inlineStr">
        <is>
          <t>제외</t>
        </is>
      </c>
      <c r="N442" s="96" t="inlineStr">
        <is>
          <t>변동성 47.0%(1년 기준, 기준 35% 초과)</t>
        </is>
      </c>
      <c r="O442" s="96" t="inlineStr">
        <is>
          <t>KRX 에너지화학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2</v>
      </c>
      <c r="T442" s="98" t="n">
        <v>1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IFERROR(INDEX($A$4:$A$593,MATCH(439,$X$4:$X$593,0)),"")</f>
        <v/>
      </c>
    </row>
    <row r="443">
      <c r="A443" s="96" t="inlineStr">
        <is>
          <t>KODEX 친환경조선해운액티브</t>
        </is>
      </c>
      <c r="B443" s="96" t="inlineStr">
        <is>
          <t>445150</t>
        </is>
      </c>
      <c r="C443" s="96" t="inlineStr">
        <is>
          <t>삼성자산운용(ETF)</t>
        </is>
      </c>
      <c r="D443" s="97" t="n">
        <v>27265</v>
      </c>
      <c r="E443" s="97" t="n">
        <v>50440250000</v>
      </c>
      <c r="F443" s="97" t="n">
        <v>316584455</v>
      </c>
      <c r="G443" s="98" t="n">
        <v>0.005</v>
      </c>
      <c r="H443" s="98" t="n">
        <v>0.4825</v>
      </c>
      <c r="I443" s="98" t="n">
        <v>0.0002</v>
      </c>
      <c r="J443" s="98" t="n">
        <v>0.005355</v>
      </c>
      <c r="K443" s="97" t="n">
        <v>5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60일 거래대금 3.2억(기준 5억 미만), 변동성 48.2%(1년 기준, 기준 35% 초과)</t>
        </is>
      </c>
      <c r="O443" s="96" t="inlineStr">
        <is>
          <t>FnGuide K-친환경 선박 지수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연배당</t>
        </is>
      </c>
      <c r="S443" s="97" t="n">
        <v>2</v>
      </c>
      <c r="T443" s="98" t="n">
        <v>0.9932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IFERROR(INDEX($A$4:$A$593,MATCH(440,$X$4:$X$593,0)),"")</f>
        <v/>
      </c>
    </row>
    <row r="444">
      <c r="A444" s="96" t="inlineStr">
        <is>
          <t>SOL 화장품TOP3플러스</t>
        </is>
      </c>
      <c r="B444" s="96" t="inlineStr">
        <is>
          <t>0008T0</t>
        </is>
      </c>
      <c r="C444" s="96" t="inlineStr">
        <is>
          <t>신한자산운용</t>
        </is>
      </c>
      <c r="D444" s="97" t="n">
        <v>17130</v>
      </c>
      <c r="E444" s="97" t="n">
        <v>98497500000</v>
      </c>
      <c r="F444" s="97" t="n">
        <v>21790745965</v>
      </c>
      <c r="G444" s="98" t="n">
        <v>0.004500000000000001</v>
      </c>
      <c r="H444" s="98" t="n">
        <v>0.4315</v>
      </c>
      <c r="I444" s="98" t="n">
        <v>0.0042</v>
      </c>
      <c r="J444" s="98" t="n">
        <v>0.005195999999999999</v>
      </c>
      <c r="K444" s="97" t="n">
        <v>2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43.2%(1년 기준, 기준 35% 초과)</t>
        </is>
      </c>
      <c r="O444" s="96" t="inlineStr">
        <is>
          <t>FnGuide 화장품 TOP3 플러스 지수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2</v>
      </c>
      <c r="T444" s="98" t="n">
        <v>0.618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IFERROR(INDEX($A$4:$A$593,MATCH(441,$X$4:$X$593,0)),"")</f>
        <v/>
      </c>
    </row>
    <row r="445">
      <c r="A445" s="96" t="inlineStr">
        <is>
          <t>PLUS 미국S&amp;P500성장주</t>
        </is>
      </c>
      <c r="B445" s="96" t="inlineStr">
        <is>
          <t>494410</t>
        </is>
      </c>
      <c r="C445" s="96" t="inlineStr">
        <is>
          <t>한화자산운용</t>
        </is>
      </c>
      <c r="D445" s="97" t="n">
        <v>14435</v>
      </c>
      <c r="E445" s="97" t="n">
        <v>36087500000</v>
      </c>
      <c r="F445" s="97" t="n">
        <v>95314781</v>
      </c>
      <c r="G445" s="98" t="n">
        <v>6.2e-05</v>
      </c>
      <c r="H445" s="98" t="n">
        <v>0.1894</v>
      </c>
      <c r="I445" s="98" t="n">
        <v>0.0011</v>
      </c>
      <c r="J445" s="98" t="n">
        <v>0.005195999999999999</v>
      </c>
      <c r="K445" s="97" t="n">
        <v>7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1.0억(기준 5억 미만)</t>
        </is>
      </c>
      <c r="O445" s="96" t="inlineStr">
        <is>
          <t>S&amp;P 500 Growth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3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IFERROR(INDEX($A$4:$A$593,MATCH(442,$X$4:$X$593,0)),"")</f>
        <v/>
      </c>
    </row>
    <row r="446">
      <c r="A446" s="96" t="inlineStr">
        <is>
          <t>KODEX 삼성그룹</t>
        </is>
      </c>
      <c r="B446" s="96" t="inlineStr">
        <is>
          <t>102780</t>
        </is>
      </c>
      <c r="C446" s="96" t="inlineStr">
        <is>
          <t>삼성자산운용(ETF)</t>
        </is>
      </c>
      <c r="D446" s="97" t="n">
        <v>26575</v>
      </c>
      <c r="E446" s="97" t="n">
        <v>3390970000000</v>
      </c>
      <c r="F446" s="97" t="n">
        <v>24710198154</v>
      </c>
      <c r="G446" s="98" t="n">
        <v>0.0025</v>
      </c>
      <c r="H446" s="98" t="n">
        <v>0.5368999999999999</v>
      </c>
      <c r="I446" s="98" t="n">
        <v>0.006</v>
      </c>
      <c r="J446" s="98" t="n">
        <v>0.005193</v>
      </c>
      <c r="K446" s="97" t="n">
        <v>5</v>
      </c>
      <c r="L446" s="99" t="inlineStr">
        <is>
          <t>20260429</t>
        </is>
      </c>
      <c r="M446" s="96" t="inlineStr">
        <is>
          <t>제외</t>
        </is>
      </c>
      <c r="N446" s="96" t="inlineStr">
        <is>
          <t>변동성 53.7%(1년 기준, 기준 35% 초과)</t>
        </is>
      </c>
      <c r="O446" s="96" t="inlineStr">
        <is>
          <t>FnGuide 삼성그룹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IFERROR(INDEX($A$4:$A$593,MATCH(443,$X$4:$X$593,0)),"")</f>
        <v/>
      </c>
    </row>
    <row r="447">
      <c r="A447" s="96" t="inlineStr">
        <is>
          <t>PLUS 태양광&amp;ESS</t>
        </is>
      </c>
      <c r="B447" s="96" t="inlineStr">
        <is>
          <t>457990</t>
        </is>
      </c>
      <c r="C447" s="96" t="inlineStr">
        <is>
          <t>한화자산운용</t>
        </is>
      </c>
      <c r="D447" s="97" t="n">
        <v>36680</v>
      </c>
      <c r="E447" s="97" t="n">
        <v>143052000000</v>
      </c>
      <c r="F447" s="97" t="n">
        <v>12951217784</v>
      </c>
      <c r="G447" s="98" t="n">
        <v>0.004500000000000001</v>
      </c>
      <c r="H447" s="98" t="n">
        <v>0.6836</v>
      </c>
      <c r="I447" s="98" t="n">
        <v>0.0037</v>
      </c>
      <c r="J447" s="98" t="n">
        <v>0.005180000000000001</v>
      </c>
      <c r="K447" s="97" t="n">
        <v>3</v>
      </c>
      <c r="L447" s="99" t="inlineStr">
        <is>
          <t>20260429</t>
        </is>
      </c>
      <c r="M447" s="96" t="inlineStr">
        <is>
          <t>제외</t>
        </is>
      </c>
      <c r="N447" s="96" t="inlineStr">
        <is>
          <t>변동성 68.4%(1년 기준, 기준 35% 초과)</t>
        </is>
      </c>
      <c r="O447" s="96" t="inlineStr">
        <is>
          <t>FnGuide 태양광 &amp; ESS 지수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1</v>
      </c>
      <c r="T447" s="98" t="n">
        <v>0.1895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IFERROR(INDEX($A$4:$A$593,MATCH(444,$X$4:$X$593,0)),"")</f>
        <v/>
      </c>
    </row>
    <row r="448">
      <c r="A448" s="96" t="inlineStr">
        <is>
          <t>ACE 글로벌반도체TOP4 Plus</t>
        </is>
      </c>
      <c r="B448" s="96" t="inlineStr">
        <is>
          <t>446770</t>
        </is>
      </c>
      <c r="C448" s="96" t="inlineStr">
        <is>
          <t>한국투신운용(ETF)</t>
        </is>
      </c>
      <c r="D448" s="97" t="n">
        <v>82745</v>
      </c>
      <c r="E448" s="97" t="n">
        <v>1659037250000</v>
      </c>
      <c r="F448" s="97" t="n">
        <v>19006244287</v>
      </c>
      <c r="G448" s="98" t="n">
        <v>0.004500000000000001</v>
      </c>
      <c r="H448" s="98" t="n">
        <v>0.4124</v>
      </c>
      <c r="I448" s="98" t="n">
        <v>0.0018</v>
      </c>
      <c r="J448" s="98" t="n">
        <v>0.005148000000000001</v>
      </c>
      <c r="K448" s="97" t="n">
        <v>14</v>
      </c>
      <c r="L448" s="99" t="inlineStr">
        <is>
          <t>20260730</t>
        </is>
      </c>
      <c r="M448" s="96" t="inlineStr">
        <is>
          <t>제외</t>
        </is>
      </c>
      <c r="N448" s="96" t="inlineStr">
        <is>
          <t>변동성 41.2%(1년 기준, 기준 35% 초과)</t>
        </is>
      </c>
      <c r="O448" s="96" t="inlineStr">
        <is>
          <t>Solactive Global Semiconductor Top 4 Plus Index (PR) USD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분기배당</t>
        </is>
      </c>
      <c r="S448" s="97" t="n">
        <v>3</v>
      </c>
      <c r="T448" s="98" t="n">
        <v>1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IFERROR(INDEX($A$4:$A$593,MATCH(445,$X$4:$X$593,0)),"")</f>
        <v/>
      </c>
    </row>
    <row r="449">
      <c r="A449" s="96" t="inlineStr">
        <is>
          <t>ACE 레버리지</t>
        </is>
      </c>
      <c r="B449" s="96" t="inlineStr">
        <is>
          <t>152500</t>
        </is>
      </c>
      <c r="C449" s="96" t="inlineStr">
        <is>
          <t>한국투신운용(ETF)</t>
        </is>
      </c>
      <c r="D449" s="97" t="n">
        <v>46475</v>
      </c>
      <c r="E449" s="97" t="n">
        <v>51122500000</v>
      </c>
      <c r="F449" s="97" t="n">
        <v>2610851776</v>
      </c>
      <c r="G449" s="98" t="n">
        <v>0.003</v>
      </c>
      <c r="H449" s="98" t="n">
        <v>1.1675</v>
      </c>
      <c r="I449" s="98" t="n">
        <v>0.0127</v>
      </c>
      <c r="J449" s="98" t="n">
        <v>0.005078</v>
      </c>
      <c r="K449" s="97" t="n">
        <v>1</v>
      </c>
      <c r="L449" s="99" t="inlineStr">
        <is>
          <t>20251229</t>
        </is>
      </c>
      <c r="M449" s="96" t="inlineStr">
        <is>
          <t>제외</t>
        </is>
      </c>
      <c r="N449" s="96" t="inlineStr">
        <is>
          <t>변동성 116.8%(1년 기준, 기준 35% 초과)</t>
        </is>
      </c>
      <c r="O449" s="96" t="inlineStr">
        <is>
          <t>KOSPI 200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1</v>
      </c>
      <c r="T449" s="98" t="n">
        <v>1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IFERROR(INDEX($A$4:$A$593,MATCH(446,$X$4:$X$593,0)),"")</f>
        <v/>
      </c>
    </row>
    <row r="450">
      <c r="A450" s="96" t="inlineStr">
        <is>
          <t>KODEX 건설</t>
        </is>
      </c>
      <c r="B450" s="96" t="inlineStr">
        <is>
          <t>117700</t>
        </is>
      </c>
      <c r="C450" s="96" t="inlineStr">
        <is>
          <t>삼성자산운용(ETF)</t>
        </is>
      </c>
      <c r="D450" s="97" t="n">
        <v>6740</v>
      </c>
      <c r="E450" s="97" t="n">
        <v>243988000000</v>
      </c>
      <c r="F450" s="97" t="n">
        <v>14193711839</v>
      </c>
      <c r="G450" s="98" t="n">
        <v>0.004500000000000001</v>
      </c>
      <c r="H450" s="98" t="n">
        <v>0.5893999999999999</v>
      </c>
      <c r="I450" s="98" t="n">
        <v>0.0037</v>
      </c>
      <c r="J450" s="98" t="n">
        <v>0.005044999999999999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변동성 58.9%(1년 기준, 기준 35% 초과)</t>
        </is>
      </c>
      <c r="O450" s="96" t="inlineStr">
        <is>
          <t>KRX 건설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연배당</t>
        </is>
      </c>
      <c r="S450" s="97" t="n">
        <v>2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IFERROR(INDEX($A$4:$A$593,MATCH(447,$X$4:$X$593,0)),"")</f>
        <v/>
      </c>
    </row>
    <row r="451">
      <c r="A451" s="96" t="inlineStr">
        <is>
          <t>ACE 원자력TOP10</t>
        </is>
      </c>
      <c r="B451" s="96" t="inlineStr">
        <is>
          <t>433500</t>
        </is>
      </c>
      <c r="C451" s="96" t="inlineStr">
        <is>
          <t>한국투신운용(ETF)</t>
        </is>
      </c>
      <c r="D451" s="97" t="n">
        <v>57040</v>
      </c>
      <c r="E451" s="97" t="n">
        <v>222456000000</v>
      </c>
      <c r="F451" s="97" t="n">
        <v>6819736400</v>
      </c>
      <c r="G451" s="98" t="n">
        <v>0.003</v>
      </c>
      <c r="H451" s="98" t="n">
        <v>0.6252</v>
      </c>
      <c r="I451" s="98" t="n">
        <v>0.0032</v>
      </c>
      <c r="J451" s="98" t="n">
        <v>0.004909</v>
      </c>
      <c r="K451" s="97" t="n">
        <v>4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변동성 62.5%(1년 기준, 기준 35% 초과)</t>
        </is>
      </c>
      <c r="O451" s="96" t="inlineStr">
        <is>
          <t>DeepSearch 원자력Top10지수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1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IFERROR(INDEX($A$4:$A$593,MATCH(448,$X$4:$X$593,0)),"")</f>
        <v/>
      </c>
    </row>
    <row r="452">
      <c r="A452" s="96" t="inlineStr">
        <is>
          <t>SOL 미국원자력SMR</t>
        </is>
      </c>
      <c r="B452" s="96" t="inlineStr">
        <is>
          <t>0051G0</t>
        </is>
      </c>
      <c r="C452" s="96" t="inlineStr">
        <is>
          <t>신한자산운용</t>
        </is>
      </c>
      <c r="D452" s="97" t="n">
        <v>11760</v>
      </c>
      <c r="E452" s="97" t="n">
        <v>145236000000</v>
      </c>
      <c r="F452" s="97" t="n">
        <v>858937738</v>
      </c>
      <c r="G452" s="98" t="n">
        <v>0.004500000000000001</v>
      </c>
      <c r="H452" s="98" t="n">
        <v>0.4781</v>
      </c>
      <c r="I452" s="98" t="n">
        <v>0.0017</v>
      </c>
      <c r="J452" s="98" t="n">
        <v>0.004847000000000001</v>
      </c>
      <c r="K452" s="97" t="n">
        <v>2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47.8%(1년 기준, 기준 35% 초과)</t>
        </is>
      </c>
      <c r="O452" s="96" t="inlineStr">
        <is>
          <t>KEDI U.S. Nuclear Power SMR Index (Price Return)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2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IFERROR(INDEX($A$4:$A$593,MATCH(449,$X$4:$X$593,0)),"")</f>
        <v/>
      </c>
    </row>
    <row r="453">
      <c r="A453" s="96" t="inlineStr">
        <is>
          <t>TIGER 200 헬스케어</t>
        </is>
      </c>
      <c r="B453" s="96" t="inlineStr">
        <is>
          <t>227540</t>
        </is>
      </c>
      <c r="C453" s="96" t="inlineStr">
        <is>
          <t>미래에셋자산운용</t>
        </is>
      </c>
      <c r="D453" s="97" t="n">
        <v>18690</v>
      </c>
      <c r="E453" s="97" t="n">
        <v>31025400000</v>
      </c>
      <c r="F453" s="97" t="n">
        <v>552873186</v>
      </c>
      <c r="G453" s="98" t="n">
        <v>0.004</v>
      </c>
      <c r="H453" s="98" t="n">
        <v>0.3839</v>
      </c>
      <c r="I453" s="98" t="n">
        <v>0.0042</v>
      </c>
      <c r="J453" s="98" t="n">
        <v>0.004815</v>
      </c>
      <c r="K453" s="97" t="n">
        <v>5</v>
      </c>
      <c r="L453" s="99" t="inlineStr">
        <is>
          <t>20260429</t>
        </is>
      </c>
      <c r="M453" s="96" t="inlineStr">
        <is>
          <t>제외</t>
        </is>
      </c>
      <c r="N453" s="96" t="inlineStr">
        <is>
          <t>변동성 38.4%(1년 기준, 기준 35% 초과)</t>
        </is>
      </c>
      <c r="O453" s="96" t="inlineStr">
        <is>
          <t>K200헬스케어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연배당</t>
        </is>
      </c>
      <c r="S453" s="97" t="n">
        <v>1</v>
      </c>
      <c r="T453" s="98" t="n">
        <v>0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IFERROR(INDEX($A$4:$A$593,MATCH(450,$X$4:$X$593,0)),"")</f>
        <v/>
      </c>
    </row>
    <row r="454">
      <c r="A454" s="96" t="inlineStr">
        <is>
          <t>RISE 글로벌원자력</t>
        </is>
      </c>
      <c r="B454" s="96" t="inlineStr">
        <is>
          <t>442320</t>
        </is>
      </c>
      <c r="C454" s="96" t="inlineStr">
        <is>
          <t>KB자산운용</t>
        </is>
      </c>
      <c r="D454" s="97" t="n">
        <v>34340</v>
      </c>
      <c r="E454" s="97" t="n">
        <v>215998600000</v>
      </c>
      <c r="F454" s="97" t="n">
        <v>795632083</v>
      </c>
      <c r="G454" s="98" t="n">
        <v>0.004</v>
      </c>
      <c r="H454" s="98" t="n">
        <v>0.4318</v>
      </c>
      <c r="I454" s="98" t="n">
        <v>0.0026</v>
      </c>
      <c r="J454" s="98" t="n">
        <v>0.004776</v>
      </c>
      <c r="K454" s="97" t="n">
        <v>2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43.2%(1년 기준, 기준 35% 초과)</t>
        </is>
      </c>
      <c r="O454" s="96" t="inlineStr">
        <is>
          <t>iSelect Global Nuclear Power Index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반기배당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IFERROR(INDEX($A$4:$A$593,MATCH(451,$X$4:$X$593,0)),"")</f>
        <v/>
      </c>
    </row>
    <row r="455">
      <c r="A455" s="96" t="inlineStr">
        <is>
          <t>TIGER BBIG</t>
        </is>
      </c>
      <c r="B455" s="96" t="inlineStr">
        <is>
          <t>364960</t>
        </is>
      </c>
      <c r="C455" s="96" t="inlineStr">
        <is>
          <t>미래에셋자산운용</t>
        </is>
      </c>
      <c r="D455" s="97" t="n">
        <v>6315</v>
      </c>
      <c r="E455" s="97" t="n">
        <v>75148500000</v>
      </c>
      <c r="F455" s="97" t="n">
        <v>203021939</v>
      </c>
      <c r="G455" s="98" t="n">
        <v>0.004</v>
      </c>
      <c r="H455" s="98" t="n">
        <v>0.3552</v>
      </c>
      <c r="I455" s="98" t="n">
        <v>0.0037</v>
      </c>
      <c r="J455" s="98" t="n">
        <v>0.004751</v>
      </c>
      <c r="K455" s="97" t="n">
        <v>5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60일 거래대금 2.0억(기준 5억 미만), 변동성 35.5%(1년 기준, 기준 35% 초과)</t>
        </is>
      </c>
      <c r="O455" s="96" t="inlineStr">
        <is>
          <t>KRX BBIG 지수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1</v>
      </c>
      <c r="T455" s="98" t="n">
        <v>0.4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IFERROR(INDEX($A$4:$A$593,MATCH(452,$X$4:$X$593,0)),"")</f>
        <v/>
      </c>
    </row>
    <row r="456">
      <c r="A456" s="96" t="inlineStr">
        <is>
          <t>KIWOOM 미국나스닥100(H)</t>
        </is>
      </c>
      <c r="B456" s="96" t="inlineStr">
        <is>
          <t>453080</t>
        </is>
      </c>
      <c r="C456" s="96" t="inlineStr">
        <is>
          <t>키움투자자산운용</t>
        </is>
      </c>
      <c r="D456" s="97" t="n">
        <v>23915</v>
      </c>
      <c r="E456" s="97" t="n">
        <v>95660000000</v>
      </c>
      <c r="F456" s="97" t="n">
        <v>341255707</v>
      </c>
      <c r="G456" s="98" t="n">
        <v>0.0004</v>
      </c>
      <c r="H456" s="98" t="n">
        <v>0.1939</v>
      </c>
      <c r="I456" s="98" t="n">
        <v>0.0014</v>
      </c>
      <c r="J456" s="98" t="n">
        <v>0.004641</v>
      </c>
      <c r="K456" s="97" t="n">
        <v>6</v>
      </c>
      <c r="L456" s="99" t="inlineStr">
        <is>
          <t>20260730</t>
        </is>
      </c>
      <c r="M456" s="96" t="inlineStr">
        <is>
          <t>제외</t>
        </is>
      </c>
      <c r="N456" s="96" t="inlineStr">
        <is>
          <t>60일 거래대금 3.4억(기준 5억 미만)</t>
        </is>
      </c>
      <c r="O456" s="96" t="inlineStr">
        <is>
          <t>나스닥 100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분기배당</t>
        </is>
      </c>
      <c r="S456" s="97" t="n">
        <v>3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IFERROR(INDEX($A$4:$A$593,MATCH(453,$X$4:$X$593,0)),"")</f>
        <v/>
      </c>
    </row>
    <row r="457">
      <c r="A457" s="96" t="inlineStr">
        <is>
          <t>HANARO 원자력iSelect</t>
        </is>
      </c>
      <c r="B457" s="96" t="inlineStr">
        <is>
          <t>434730</t>
        </is>
      </c>
      <c r="C457" s="96" t="inlineStr">
        <is>
          <t>NH-Amundi자산운용</t>
        </is>
      </c>
      <c r="D457" s="97" t="n">
        <v>57600</v>
      </c>
      <c r="E457" s="97" t="n">
        <v>671040000000</v>
      </c>
      <c r="F457" s="97" t="n">
        <v>16220861524</v>
      </c>
      <c r="G457" s="98" t="n">
        <v>0.004500000000000001</v>
      </c>
      <c r="H457" s="98" t="n">
        <v>0.6045</v>
      </c>
      <c r="I457" s="98" t="n">
        <v>0.003</v>
      </c>
      <c r="J457" s="98" t="n">
        <v>0.004601</v>
      </c>
      <c r="K457" s="97" t="n">
        <v>4</v>
      </c>
      <c r="L457" s="99" t="inlineStr">
        <is>
          <t>20260429</t>
        </is>
      </c>
      <c r="M457" s="96" t="inlineStr">
        <is>
          <t>제외</t>
        </is>
      </c>
      <c r="N457" s="96" t="inlineStr">
        <is>
          <t>변동성 60.5%(1년 기준, 기준 35% 초과)</t>
        </is>
      </c>
      <c r="O457" s="96" t="inlineStr">
        <is>
          <t>iSelect 원자력 지수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1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IFERROR(INDEX($A$4:$A$593,MATCH(454,$X$4:$X$593,0)),"")</f>
        <v/>
      </c>
    </row>
    <row r="458">
      <c r="A458" s="96" t="inlineStr">
        <is>
          <t>RISE 수소경제테마</t>
        </is>
      </c>
      <c r="B458" s="96" t="inlineStr">
        <is>
          <t>367770</t>
        </is>
      </c>
      <c r="C458" s="96" t="inlineStr">
        <is>
          <t>KB자산운용</t>
        </is>
      </c>
      <c r="D458" s="97" t="n">
        <v>21780</v>
      </c>
      <c r="E458" s="97" t="n">
        <v>112167000000</v>
      </c>
      <c r="F458" s="97" t="n">
        <v>2454579152</v>
      </c>
      <c r="G458" s="98" t="n">
        <v>0.004500000000000001</v>
      </c>
      <c r="H458" s="98" t="n">
        <v>0.4866</v>
      </c>
      <c r="I458" s="98" t="n">
        <v>0.0034</v>
      </c>
      <c r="J458" s="98" t="n">
        <v>0.004591</v>
      </c>
      <c r="K458" s="97" t="n">
        <v>5</v>
      </c>
      <c r="L458" s="99" t="inlineStr">
        <is>
          <t>20260429</t>
        </is>
      </c>
      <c r="M458" s="96" t="inlineStr">
        <is>
          <t>제외</t>
        </is>
      </c>
      <c r="N458" s="96" t="inlineStr">
        <is>
          <t>변동성 48.7%(1년 기준, 기준 35% 초과)</t>
        </is>
      </c>
      <c r="O458" s="96" t="inlineStr">
        <is>
          <t>FnGuide 수소 경제 테마 지수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연배당</t>
        </is>
      </c>
      <c r="S458" s="97" t="n">
        <v>1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IFERROR(INDEX($A$4:$A$593,MATCH(455,$X$4:$X$593,0)),"")</f>
        <v/>
      </c>
    </row>
    <row r="459">
      <c r="A459" s="96" t="inlineStr">
        <is>
          <t>KODEX 모멘텀주</t>
        </is>
      </c>
      <c r="B459" s="96" t="inlineStr">
        <is>
          <t>275280</t>
        </is>
      </c>
      <c r="C459" s="96" t="inlineStr">
        <is>
          <t>삼성자산운용(ETF)</t>
        </is>
      </c>
      <c r="D459" s="97" t="n">
        <v>44100</v>
      </c>
      <c r="E459" s="97" t="n">
        <v>39690000000</v>
      </c>
      <c r="F459" s="97" t="n">
        <v>714754654</v>
      </c>
      <c r="G459" s="98" t="n">
        <v>0.003</v>
      </c>
      <c r="H459" s="98" t="n">
        <v>0.601</v>
      </c>
      <c r="I459" s="98" t="n">
        <v>0.0011</v>
      </c>
      <c r="J459" s="98" t="n">
        <v>0.004422</v>
      </c>
      <c r="K459" s="97" t="n">
        <v>6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60.1%(1년 기준, 기준 35% 초과)</t>
        </is>
      </c>
      <c r="O459" s="96" t="inlineStr">
        <is>
          <t>MSCI Korea IMI Momentum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연배당</t>
        </is>
      </c>
      <c r="S459" s="97" t="n">
        <v>2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IFERROR(INDEX($A$4:$A$593,MATCH(456,$X$4:$X$593,0)),"")</f>
        <v/>
      </c>
    </row>
    <row r="460">
      <c r="A460" s="96" t="inlineStr">
        <is>
          <t>FOCUS 200</t>
        </is>
      </c>
      <c r="B460" s="96" t="inlineStr">
        <is>
          <t>0098Z0</t>
        </is>
      </c>
      <c r="C460" s="96" t="inlineStr">
        <is>
          <t>브이아이자산운용</t>
        </is>
      </c>
      <c r="D460" s="97" t="n">
        <v>95140</v>
      </c>
      <c r="E460" s="97" t="n">
        <v>71355000000</v>
      </c>
      <c r="F460" s="97" t="n">
        <v>88597102</v>
      </c>
      <c r="G460" s="98" t="n">
        <v>0.0005</v>
      </c>
      <c r="H460" s="98" t="n">
        <v>0.5939</v>
      </c>
      <c r="I460" s="98" t="n">
        <v>0.0016</v>
      </c>
      <c r="J460" s="98" t="n">
        <v>0.004415</v>
      </c>
      <c r="K460" s="97" t="n">
        <v>2</v>
      </c>
      <c r="L460" s="99" t="inlineStr">
        <is>
          <t>20260730</t>
        </is>
      </c>
      <c r="M460" s="96" t="inlineStr">
        <is>
          <t>제외</t>
        </is>
      </c>
      <c r="N460" s="96" t="inlineStr">
        <is>
          <t>60일 거래대금 0.9억(기준 5억 미만), 변동성 59.4%(1년 기준, 기준 35% 초과)</t>
        </is>
      </c>
      <c r="O460" s="96" t="inlineStr">
        <is>
          <t>KOSPI 200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연배당</t>
        </is>
      </c>
      <c r="S460" s="97" t="n">
        <v>2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IFERROR(INDEX($A$4:$A$593,MATCH(457,$X$4:$X$593,0)),"")</f>
        <v/>
      </c>
    </row>
    <row r="461">
      <c r="A461" s="96" t="inlineStr">
        <is>
          <t>RISE 2차전지액티브</t>
        </is>
      </c>
      <c r="B461" s="96" t="inlineStr">
        <is>
          <t>422420</t>
        </is>
      </c>
      <c r="C461" s="96" t="inlineStr">
        <is>
          <t>KB자산운용</t>
        </is>
      </c>
      <c r="D461" s="97" t="n">
        <v>6825</v>
      </c>
      <c r="E461" s="97" t="n">
        <v>223450500000</v>
      </c>
      <c r="F461" s="97" t="n">
        <v>1326471741</v>
      </c>
      <c r="G461" s="98" t="n">
        <v>0.0035</v>
      </c>
      <c r="H461" s="98" t="n">
        <v>0.6224000000000001</v>
      </c>
      <c r="I461" s="98" t="n">
        <v>0.003</v>
      </c>
      <c r="J461" s="98" t="n">
        <v>0.004396</v>
      </c>
      <c r="K461" s="97" t="n">
        <v>3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62.2%(1년 기준, 기준 35% 초과)</t>
        </is>
      </c>
      <c r="O461" s="96" t="inlineStr">
        <is>
          <t>iSelect 2차전지 지수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반기배당</t>
        </is>
      </c>
      <c r="S461" s="97" t="n">
        <v>2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IFERROR(INDEX($A$4:$A$593,MATCH(458,$X$4:$X$593,0)),"")</f>
        <v/>
      </c>
    </row>
    <row r="462">
      <c r="A462" s="96" t="inlineStr">
        <is>
          <t>ACE 일본TOPIX레버리지(H)</t>
        </is>
      </c>
      <c r="B462" s="96" t="inlineStr">
        <is>
          <t>196030</t>
        </is>
      </c>
      <c r="C462" s="96" t="inlineStr">
        <is>
          <t>한국투신운용(ETF)</t>
        </is>
      </c>
      <c r="D462" s="97" t="n">
        <v>92985</v>
      </c>
      <c r="E462" s="97" t="n">
        <v>46492500000</v>
      </c>
      <c r="F462" s="97" t="n">
        <v>17499200</v>
      </c>
      <c r="G462" s="98" t="n">
        <v>0.005</v>
      </c>
      <c r="H462" s="98" t="n">
        <v>0.4241</v>
      </c>
      <c r="I462" s="98" t="n">
        <v>0.0063</v>
      </c>
      <c r="J462" s="98" t="n">
        <v>0.004366</v>
      </c>
      <c r="K462" s="97" t="n">
        <v>1</v>
      </c>
      <c r="L462" s="99" t="inlineStr">
        <is>
          <t>20251229</t>
        </is>
      </c>
      <c r="M462" s="96" t="inlineStr">
        <is>
          <t>제외</t>
        </is>
      </c>
      <c r="N462" s="96" t="inlineStr">
        <is>
          <t>60일 거래대금 0.2억(기준 5억 미만), 변동성 42.4%(1년 기준, 기준 35% 초과)</t>
        </is>
      </c>
      <c r="O462" s="96" t="inlineStr">
        <is>
          <t>TOPIX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1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IFERROR(INDEX($A$4:$A$593,MATCH(459,$X$4:$X$593,0)),"")</f>
        <v/>
      </c>
    </row>
    <row r="463">
      <c r="A463" s="96" t="inlineStr">
        <is>
          <t>TIGER 2차전지TOP10레버리지</t>
        </is>
      </c>
      <c r="B463" s="96" t="inlineStr">
        <is>
          <t>412570</t>
        </is>
      </c>
      <c r="C463" s="96" t="inlineStr">
        <is>
          <t>미래에셋자산운용</t>
        </is>
      </c>
      <c r="D463" s="97" t="n">
        <v>1157</v>
      </c>
      <c r="E463" s="97" t="n">
        <v>171930200000</v>
      </c>
      <c r="F463" s="97" t="n">
        <v>8426807495</v>
      </c>
      <c r="G463" s="98" t="n">
        <v>0.0029</v>
      </c>
      <c r="H463" s="98" t="n">
        <v>1.1852</v>
      </c>
      <c r="I463" s="98" t="n">
        <v>0.0038</v>
      </c>
      <c r="J463" s="98" t="n">
        <v>0.004321999999999999</v>
      </c>
      <c r="K463" s="97" t="n">
        <v>1</v>
      </c>
      <c r="L463" s="99" t="inlineStr">
        <is>
          <t>20251229</t>
        </is>
      </c>
      <c r="M463" s="96" t="inlineStr">
        <is>
          <t>제외</t>
        </is>
      </c>
      <c r="N463" s="96" t="inlineStr">
        <is>
          <t>변동성 118.5%(1년 기준, 기준 35% 초과)</t>
        </is>
      </c>
      <c r="O463" s="96" t="inlineStr">
        <is>
          <t>KRX 2차전지 TOP 10 지수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1</v>
      </c>
      <c r="T463" s="98" t="n">
        <v>0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IFERROR(INDEX($A$4:$A$593,MATCH(460,$X$4:$X$593,0)),"")</f>
        <v/>
      </c>
    </row>
    <row r="464">
      <c r="A464" s="96" t="inlineStr">
        <is>
          <t>KODEX 아시아AI반도체exChina액티브</t>
        </is>
      </c>
      <c r="B464" s="96" t="inlineStr">
        <is>
          <t>446690</t>
        </is>
      </c>
      <c r="C464" s="96" t="inlineStr">
        <is>
          <t>삼성자산운용(ETF)</t>
        </is>
      </c>
      <c r="D464" s="97" t="n">
        <v>65380</v>
      </c>
      <c r="E464" s="97" t="n">
        <v>32690000000</v>
      </c>
      <c r="F464" s="97" t="n">
        <v>790177634</v>
      </c>
      <c r="G464" s="98" t="n">
        <v>0.005</v>
      </c>
      <c r="H464" s="98" t="n">
        <v>0.453</v>
      </c>
      <c r="I464" s="98" t="n">
        <v>0.0012</v>
      </c>
      <c r="J464" s="98" t="n">
        <v>0.004298</v>
      </c>
      <c r="K464" s="97" t="n">
        <v>13</v>
      </c>
      <c r="L464" s="99" t="inlineStr">
        <is>
          <t>20260730</t>
        </is>
      </c>
      <c r="M464" s="96" t="inlineStr">
        <is>
          <t>제외</t>
        </is>
      </c>
      <c r="N464" s="96" t="inlineStr">
        <is>
          <t>변동성 45.3%(1년 기준, 기준 35% 초과)</t>
        </is>
      </c>
      <c r="O464" s="96" t="inlineStr">
        <is>
          <t>NH iSelect Asia Semiconductor Manufacturing Ecosystem Index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분기배당</t>
        </is>
      </c>
      <c r="S464" s="97" t="n">
        <v>3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IFERROR(INDEX($A$4:$A$593,MATCH(461,$X$4:$X$593,0)),"")</f>
        <v/>
      </c>
    </row>
    <row r="465">
      <c r="A465" s="96" t="inlineStr">
        <is>
          <t>RISE 미국반도체NYSE</t>
        </is>
      </c>
      <c r="B465" s="96" t="inlineStr">
        <is>
          <t>469060</t>
        </is>
      </c>
      <c r="C465" s="96" t="inlineStr">
        <is>
          <t>KB자산운용</t>
        </is>
      </c>
      <c r="D465" s="97" t="n">
        <v>38080</v>
      </c>
      <c r="E465" s="97" t="n">
        <v>79968000000</v>
      </c>
      <c r="F465" s="97" t="n">
        <v>1703654403</v>
      </c>
      <c r="G465" s="98" t="n">
        <v>0.0001</v>
      </c>
      <c r="H465" s="98" t="n">
        <v>0.4644</v>
      </c>
      <c r="I465" s="98" t="n">
        <v>0.0013</v>
      </c>
      <c r="J465" s="98" t="n">
        <v>0.004123</v>
      </c>
      <c r="K465" s="97" t="n">
        <v>11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변동성 46.4%(1년 기준, 기준 35% 초과)</t>
        </is>
      </c>
      <c r="O465" s="96" t="inlineStr">
        <is>
          <t>NYSE Semiconductor Index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분기배당</t>
        </is>
      </c>
      <c r="S465" s="97" t="n">
        <v>3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IFERROR(INDEX($A$4:$A$593,MATCH(462,$X$4:$X$593,0)),"")</f>
        <v/>
      </c>
    </row>
    <row r="466">
      <c r="A466" s="96" t="inlineStr">
        <is>
          <t>PLUS 미국양자컴퓨팅TOP10</t>
        </is>
      </c>
      <c r="B466" s="96" t="inlineStr">
        <is>
          <t>0023B0</t>
        </is>
      </c>
      <c r="C466" s="96" t="inlineStr">
        <is>
          <t>한화자산운용</t>
        </is>
      </c>
      <c r="D466" s="97" t="n">
        <v>16385</v>
      </c>
      <c r="E466" s="97" t="n">
        <v>35227750000</v>
      </c>
      <c r="F466" s="97" t="n">
        <v>378638440</v>
      </c>
      <c r="G466" s="98" t="n">
        <v>0.004500000000000001</v>
      </c>
      <c r="H466" s="98" t="n">
        <v>0.569</v>
      </c>
      <c r="I466" s="98" t="n">
        <v>0.0005999999999999999</v>
      </c>
      <c r="J466" s="98" t="n">
        <v>0.004089</v>
      </c>
      <c r="K466" s="97" t="n">
        <v>2</v>
      </c>
      <c r="L466" s="99" t="inlineStr">
        <is>
          <t>20260429</t>
        </is>
      </c>
      <c r="M466" s="96" t="inlineStr">
        <is>
          <t>제외</t>
        </is>
      </c>
      <c r="N466" s="96" t="inlineStr">
        <is>
          <t>60일 거래대금 3.8억(기준 5억 미만), 변동성 56.9%(1년 기준, 기준 35% 초과)</t>
        </is>
      </c>
      <c r="O466" s="96" t="inlineStr">
        <is>
          <t>iSelect U.S. Quantum Computing TOP10 Index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연배당</t>
        </is>
      </c>
      <c r="S466" s="97" t="n">
        <v>2</v>
      </c>
      <c r="T466" s="98" t="n">
        <v>1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IFERROR(INDEX($A$4:$A$593,MATCH(463,$X$4:$X$593,0)),"")</f>
        <v/>
      </c>
    </row>
    <row r="467">
      <c r="A467" s="96" t="inlineStr">
        <is>
          <t>KODEX 우량주</t>
        </is>
      </c>
      <c r="B467" s="96" t="inlineStr">
        <is>
          <t>275300</t>
        </is>
      </c>
      <c r="C467" s="96" t="inlineStr">
        <is>
          <t>삼성자산운용(ETF)</t>
        </is>
      </c>
      <c r="D467" s="97" t="n">
        <v>30950</v>
      </c>
      <c r="E467" s="97" t="n">
        <v>52615000000</v>
      </c>
      <c r="F467" s="97" t="n">
        <v>302527357</v>
      </c>
      <c r="G467" s="98" t="n">
        <v>0.003</v>
      </c>
      <c r="H467" s="98" t="n">
        <v>0.5841</v>
      </c>
      <c r="I467" s="98" t="n">
        <v>0.0008</v>
      </c>
      <c r="J467" s="98" t="n">
        <v>0.004071</v>
      </c>
      <c r="K467" s="97" t="n">
        <v>6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60일 거래대금 3.0억(기준 5억 미만), 변동성 58.4%(1년 기준, 기준 35% 초과)</t>
        </is>
      </c>
      <c r="O467" s="96" t="inlineStr">
        <is>
          <t>MSCI Korea IMI Quality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IFERROR(INDEX($A$4:$A$593,MATCH(464,$X$4:$X$593,0)),"")</f>
        <v/>
      </c>
    </row>
    <row r="468">
      <c r="A468" s="96" t="inlineStr">
        <is>
          <t>SOL 글로벌AI반도체탑픽액티브</t>
        </is>
      </c>
      <c r="B468" s="96" t="inlineStr">
        <is>
          <t>423170</t>
        </is>
      </c>
      <c r="C468" s="96" t="inlineStr">
        <is>
          <t>신한자산운용</t>
        </is>
      </c>
      <c r="D468" s="97" t="n">
        <v>61895</v>
      </c>
      <c r="E468" s="97" t="n">
        <v>279765400000</v>
      </c>
      <c r="F468" s="97" t="n">
        <v>4966013633</v>
      </c>
      <c r="G468" s="98" t="n">
        <v>0.005500000000000001</v>
      </c>
      <c r="H468" s="98" t="n">
        <v>0.4375</v>
      </c>
      <c r="I468" s="98" t="n">
        <v>0.005</v>
      </c>
      <c r="J468" s="98" t="n">
        <v>0.004039</v>
      </c>
      <c r="K468" s="97" t="n">
        <v>4</v>
      </c>
      <c r="L468" s="99" t="inlineStr">
        <is>
          <t>20260429</t>
        </is>
      </c>
      <c r="M468" s="96" t="inlineStr">
        <is>
          <t>제외</t>
        </is>
      </c>
      <c r="N468" s="96" t="inlineStr">
        <is>
          <t>변동성 43.8%(1년 기준, 기준 35% 초과)</t>
        </is>
      </c>
      <c r="O468" s="96" t="inlineStr">
        <is>
          <t>S&amp;P Global Semiconductor Korea Tilted Index (KRW)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>
        <v>1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IFERROR(INDEX($A$4:$A$593,MATCH(465,$X$4:$X$593,0)),"")</f>
        <v/>
      </c>
    </row>
    <row r="469">
      <c r="A469" s="96" t="inlineStr">
        <is>
          <t>KODEX 은선물(H)</t>
        </is>
      </c>
      <c r="B469" s="96" t="inlineStr">
        <is>
          <t>144600</t>
        </is>
      </c>
      <c r="C469" s="96" t="inlineStr">
        <is>
          <t>삼성자산운용(ETF)</t>
        </is>
      </c>
      <c r="D469" s="97" t="n">
        <v>9915</v>
      </c>
      <c r="E469" s="97" t="n">
        <v>725778000000</v>
      </c>
      <c r="F469" s="97" t="n">
        <v>6821132545</v>
      </c>
      <c r="G469" s="98" t="n">
        <v>0.0068</v>
      </c>
      <c r="H469" s="98" t="n">
        <v>0.6709999999999999</v>
      </c>
      <c r="I469" s="98" t="n">
        <v>0.0031</v>
      </c>
      <c r="J469" s="98" t="n">
        <v>0.004033999999999999</v>
      </c>
      <c r="K469" s="97" t="n">
        <v>1</v>
      </c>
      <c r="L469" s="99" t="inlineStr">
        <is>
          <t>20251229</t>
        </is>
      </c>
      <c r="M469" s="96" t="inlineStr">
        <is>
          <t>제외</t>
        </is>
      </c>
      <c r="N469" s="96" t="inlineStr">
        <is>
          <t>변동성 67.1%(1년 기준, 기준 35% 초과)</t>
        </is>
      </c>
      <c r="O469" s="96" t="inlineStr">
        <is>
          <t>S&amp;P GSCI Silver</t>
        </is>
      </c>
      <c r="P469" s="96" t="inlineStr">
        <is>
          <t>일반</t>
        </is>
      </c>
      <c r="Q469" s="96" t="inlineStr">
        <is>
          <t>원자재</t>
        </is>
      </c>
      <c r="R469" s="96" t="inlineStr">
        <is>
          <t>연배당</t>
        </is>
      </c>
      <c r="S469" s="97" t="n">
        <v>1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IFERROR(INDEX($A$4:$A$593,MATCH(466,$X$4:$X$593,0)),"")</f>
        <v/>
      </c>
    </row>
    <row r="470">
      <c r="A470" s="96" t="inlineStr">
        <is>
          <t>KIWOOM 코리아테크TOP10</t>
        </is>
      </c>
      <c r="B470" s="96" t="inlineStr">
        <is>
          <t>469790</t>
        </is>
      </c>
      <c r="C470" s="96" t="inlineStr">
        <is>
          <t>키움투자자산운용</t>
        </is>
      </c>
      <c r="D470" s="97" t="n">
        <v>44790</v>
      </c>
      <c r="E470" s="97" t="n">
        <v>31353000000</v>
      </c>
      <c r="F470" s="97" t="n">
        <v>385836200</v>
      </c>
      <c r="G470" s="98" t="n">
        <v>0.0039</v>
      </c>
      <c r="H470" s="98" t="n">
        <v>0.6469</v>
      </c>
      <c r="I470" s="98" t="n">
        <v>0.0011</v>
      </c>
      <c r="J470" s="98" t="n">
        <v>0.004019</v>
      </c>
      <c r="K470" s="97" t="n">
        <v>7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60일 거래대금 3.9억(기준 5억 미만), 변동성 64.7%(1년 기준, 기준 35% 초과)</t>
        </is>
      </c>
      <c r="O470" s="96" t="inlineStr">
        <is>
          <t>Solactive K-Tech Top 10 Index PR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분기배당</t>
        </is>
      </c>
      <c r="S470" s="97" t="n">
        <v>3</v>
      </c>
      <c r="T470" s="98" t="n">
        <v>0.3167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IFERROR(INDEX($A$4:$A$593,MATCH(467,$X$4:$X$593,0)),"")</f>
        <v/>
      </c>
    </row>
    <row r="471">
      <c r="A471" s="96" t="inlineStr">
        <is>
          <t>RISE 미국반도체NYSE(H)</t>
        </is>
      </c>
      <c r="B471" s="96" t="inlineStr">
        <is>
          <t>469050</t>
        </is>
      </c>
      <c r="C471" s="96" t="inlineStr">
        <is>
          <t>KB자산운용</t>
        </is>
      </c>
      <c r="D471" s="97" t="n">
        <v>35175</v>
      </c>
      <c r="E471" s="97" t="n">
        <v>40451250000</v>
      </c>
      <c r="F471" s="97" t="n">
        <v>1468311529</v>
      </c>
      <c r="G471" s="98" t="n">
        <v>0.0001</v>
      </c>
      <c r="H471" s="98" t="n">
        <v>0.4656</v>
      </c>
      <c r="I471" s="98" t="n">
        <v>0.0014</v>
      </c>
      <c r="J471" s="98" t="n">
        <v>0.00398</v>
      </c>
      <c r="K471" s="97" t="n">
        <v>11</v>
      </c>
      <c r="L471" s="99" t="inlineStr">
        <is>
          <t>20260730</t>
        </is>
      </c>
      <c r="M471" s="96" t="inlineStr">
        <is>
          <t>제외</t>
        </is>
      </c>
      <c r="N471" s="96" t="inlineStr">
        <is>
          <t>변동성 46.6%(1년 기준, 기준 35% 초과)</t>
        </is>
      </c>
      <c r="O471" s="96" t="inlineStr">
        <is>
          <t>NYSE Semiconductor Index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분기배당</t>
        </is>
      </c>
      <c r="S471" s="97" t="n">
        <v>3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IFERROR(INDEX($A$4:$A$593,MATCH(468,$X$4:$X$593,0)),"")</f>
        <v/>
      </c>
    </row>
    <row r="472">
      <c r="A472" s="96" t="inlineStr">
        <is>
          <t>KODEX 미국반도체</t>
        </is>
      </c>
      <c r="B472" s="96" t="inlineStr">
        <is>
          <t>390390</t>
        </is>
      </c>
      <c r="C472" s="96" t="inlineStr">
        <is>
          <t>삼성자산운용(ETF)</t>
        </is>
      </c>
      <c r="D472" s="97" t="n">
        <v>57630</v>
      </c>
      <c r="E472" s="97" t="n">
        <v>1383120000000</v>
      </c>
      <c r="F472" s="97" t="n">
        <v>43203613261</v>
      </c>
      <c r="G472" s="98" t="n">
        <v>0.0009</v>
      </c>
      <c r="H472" s="98" t="n">
        <v>0.4043</v>
      </c>
      <c r="I472" s="98" t="n">
        <v>0.0011</v>
      </c>
      <c r="J472" s="98" t="n">
        <v>0.003922</v>
      </c>
      <c r="K472" s="97" t="n">
        <v>14</v>
      </c>
      <c r="L472" s="99" t="inlineStr">
        <is>
          <t>20260730</t>
        </is>
      </c>
      <c r="M472" s="96" t="inlineStr">
        <is>
          <t>제외</t>
        </is>
      </c>
      <c r="N472" s="96" t="inlineStr">
        <is>
          <t>변동성 40.4%(1년 기준, 기준 35% 초과)</t>
        </is>
      </c>
      <c r="O472" s="96" t="inlineStr">
        <is>
          <t>MVIS US Listed Semiconductor 25 Index</t>
        </is>
      </c>
      <c r="P472" s="96" t="inlineStr">
        <is>
          <t>일반</t>
        </is>
      </c>
      <c r="Q472" s="96" t="inlineStr">
        <is>
          <t>주식</t>
        </is>
      </c>
      <c r="R472" s="96" t="inlineStr">
        <is>
          <t>분기배당</t>
        </is>
      </c>
      <c r="S472" s="97" t="n">
        <v>3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IFERROR(INDEX($A$4:$A$593,MATCH(469,$X$4:$X$593,0)),"")</f>
        <v/>
      </c>
    </row>
    <row r="473">
      <c r="A473" s="96" t="inlineStr">
        <is>
          <t>PLUS 글로벌원자력밸류체인</t>
        </is>
      </c>
      <c r="B473" s="96" t="inlineStr">
        <is>
          <t>0007G0</t>
        </is>
      </c>
      <c r="C473" s="96" t="inlineStr">
        <is>
          <t>한화자산운용</t>
        </is>
      </c>
      <c r="D473" s="97" t="n">
        <v>12095</v>
      </c>
      <c r="E473" s="97" t="n">
        <v>36889750000</v>
      </c>
      <c r="F473" s="97" t="n">
        <v>102075973</v>
      </c>
      <c r="G473" s="98" t="n">
        <v>0.0039</v>
      </c>
      <c r="H473" s="98" t="n">
        <v>0.4564</v>
      </c>
      <c r="I473" s="98" t="n">
        <v>0.0003</v>
      </c>
      <c r="J473" s="98" t="n">
        <v>0.003886</v>
      </c>
      <c r="K473" s="97" t="n">
        <v>2</v>
      </c>
      <c r="L473" s="99" t="inlineStr">
        <is>
          <t>20260429</t>
        </is>
      </c>
      <c r="M473" s="96" t="inlineStr">
        <is>
          <t>제외</t>
        </is>
      </c>
      <c r="N473" s="96" t="inlineStr">
        <is>
          <t>60일 거래대금 1.0억(기준 5억 미만), 변동성 45.6%(1년 기준, 기준 35% 초과)</t>
        </is>
      </c>
      <c r="O473" s="96" t="inlineStr">
        <is>
          <t>Solactive Global Nuclear Energy Value Chain Index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2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IFERROR(INDEX($A$4:$A$593,MATCH(470,$X$4:$X$593,0)),"")</f>
        <v/>
      </c>
    </row>
    <row r="474">
      <c r="A474" s="96" t="inlineStr">
        <is>
          <t>KODEX 2차전지핵심소재10</t>
        </is>
      </c>
      <c r="B474" s="96" t="inlineStr">
        <is>
          <t>461950</t>
        </is>
      </c>
      <c r="C474" s="96" t="inlineStr">
        <is>
          <t>삼성자산운용(ETF)</t>
        </is>
      </c>
      <c r="D474" s="97" t="n">
        <v>4930</v>
      </c>
      <c r="E474" s="97" t="n">
        <v>173782500000</v>
      </c>
      <c r="F474" s="97" t="n">
        <v>5071360595</v>
      </c>
      <c r="G474" s="98" t="n">
        <v>0.0039</v>
      </c>
      <c r="H474" s="98" t="n">
        <v>0.6635</v>
      </c>
      <c r="I474" s="98" t="n">
        <v>0.0024</v>
      </c>
      <c r="J474" s="98" t="n">
        <v>0.003854</v>
      </c>
      <c r="K474" s="97" t="n">
        <v>4</v>
      </c>
      <c r="L474" s="99" t="inlineStr">
        <is>
          <t>20260730</t>
        </is>
      </c>
      <c r="M474" s="96" t="inlineStr">
        <is>
          <t>제외</t>
        </is>
      </c>
      <c r="N474" s="96" t="inlineStr">
        <is>
          <t>변동성 66.3%(1년 기준, 기준 35% 초과)</t>
        </is>
      </c>
      <c r="O474" s="96" t="inlineStr">
        <is>
          <t>FnGuide 2차전지핵심소재10 지수</t>
        </is>
      </c>
      <c r="P474" s="96" t="inlineStr">
        <is>
          <t>일반</t>
        </is>
      </c>
      <c r="Q474" s="96" t="inlineStr">
        <is>
          <t>주식</t>
        </is>
      </c>
      <c r="R474" s="96" t="inlineStr">
        <is>
          <t>연배당</t>
        </is>
      </c>
      <c r="S474" s="97" t="n">
        <v>2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IFERROR(INDEX($A$4:$A$593,MATCH(471,$X$4:$X$593,0)),"")</f>
        <v/>
      </c>
    </row>
    <row r="475">
      <c r="A475" s="96" t="inlineStr">
        <is>
          <t>TIGER 글로벌이노베이션액티브</t>
        </is>
      </c>
      <c r="B475" s="96" t="inlineStr">
        <is>
          <t>387270</t>
        </is>
      </c>
      <c r="C475" s="96" t="inlineStr">
        <is>
          <t>미래에셋자산운용</t>
        </is>
      </c>
      <c r="D475" s="97" t="n">
        <v>26385</v>
      </c>
      <c r="E475" s="97" t="n">
        <v>30606600000</v>
      </c>
      <c r="F475" s="97" t="n">
        <v>123963088</v>
      </c>
      <c r="G475" s="98" t="n">
        <v>0.005500000000000001</v>
      </c>
      <c r="H475" s="98" t="n">
        <v>0.2919</v>
      </c>
      <c r="I475" s="98" t="n">
        <v>0.0048</v>
      </c>
      <c r="J475" s="98" t="n">
        <v>0.00379</v>
      </c>
      <c r="K475" s="97" t="n">
        <v>1</v>
      </c>
      <c r="L475" s="99" t="inlineStr">
        <is>
          <t>20251229</t>
        </is>
      </c>
      <c r="M475" s="96" t="inlineStr">
        <is>
          <t>제외</t>
        </is>
      </c>
      <c r="N475" s="96" t="inlineStr">
        <is>
          <t>60일 거래대금 1.2억(기준 5억 미만)</t>
        </is>
      </c>
      <c r="O475" s="96" t="inlineStr">
        <is>
          <t>나스닥 100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IFERROR(INDEX($A$4:$A$593,MATCH(472,$X$4:$X$593,0)),"")</f>
        <v/>
      </c>
    </row>
    <row r="476">
      <c r="A476" s="96" t="inlineStr">
        <is>
          <t>TIGER 미국필라델피아반도체레버리지(합성)</t>
        </is>
      </c>
      <c r="B476" s="96" t="inlineStr">
        <is>
          <t>423920</t>
        </is>
      </c>
      <c r="C476" s="96" t="inlineStr">
        <is>
          <t>미래에셋자산운용</t>
        </is>
      </c>
      <c r="D476" s="97" t="n">
        <v>94350</v>
      </c>
      <c r="E476" s="97" t="n">
        <v>654789000000</v>
      </c>
      <c r="F476" s="97" t="n">
        <v>12816071168</v>
      </c>
      <c r="G476" s="98" t="n">
        <v>0.0058</v>
      </c>
      <c r="H476" s="98" t="n">
        <v>0.9281</v>
      </c>
      <c r="I476" s="98" t="n">
        <v>0.0019</v>
      </c>
      <c r="J476" s="98" t="n">
        <v>0.003773</v>
      </c>
      <c r="K476" s="97" t="n">
        <v>9</v>
      </c>
      <c r="L476" s="99" t="inlineStr">
        <is>
          <t>20260730</t>
        </is>
      </c>
      <c r="M476" s="96" t="inlineStr">
        <is>
          <t>제외</t>
        </is>
      </c>
      <c r="N476" s="96" t="inlineStr">
        <is>
          <t>변동성 92.8%(1년 기준, 기준 35% 초과)</t>
        </is>
      </c>
      <c r="O476" s="96" t="inlineStr">
        <is>
          <t>PHLX Semiconductor Sector Index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분기배당</t>
        </is>
      </c>
      <c r="S476" s="97" t="n">
        <v>3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IFERROR(INDEX($A$4:$A$593,MATCH(473,$X$4:$X$593,0)),"")</f>
        <v/>
      </c>
    </row>
    <row r="477">
      <c r="A477" s="96" t="inlineStr">
        <is>
          <t>HANARO 머니마켓액티브</t>
        </is>
      </c>
      <c r="B477" s="96" t="inlineStr">
        <is>
          <t>486830</t>
        </is>
      </c>
      <c r="C477" s="96" t="inlineStr">
        <is>
          <t>NH-Amundi자산운용</t>
        </is>
      </c>
      <c r="D477" s="97" t="n">
        <v>53440</v>
      </c>
      <c r="E477" s="97" t="n">
        <v>254695040000</v>
      </c>
      <c r="F477" s="97" t="n">
        <v>178529621</v>
      </c>
      <c r="G477" s="98" t="n">
        <v>0.0004</v>
      </c>
      <c r="H477" s="98" t="n">
        <v>0.004</v>
      </c>
      <c r="I477" s="98" t="n">
        <v>0.0038</v>
      </c>
      <c r="J477" s="98" t="n">
        <v>0.003743</v>
      </c>
      <c r="K477" s="97" t="n">
        <v>1</v>
      </c>
      <c r="L477" s="99" t="inlineStr">
        <is>
          <t>20251229</t>
        </is>
      </c>
      <c r="M477" s="96" t="inlineStr">
        <is>
          <t>제외</t>
        </is>
      </c>
      <c r="N477" s="96" t="inlineStr">
        <is>
          <t>60일 거래대금 1.8억(기준 5억 미만)</t>
        </is>
      </c>
      <c r="O477" s="96" t="inlineStr">
        <is>
          <t>KIS-NH-Amundi MMF지수</t>
        </is>
      </c>
      <c r="P477" s="96" t="inlineStr">
        <is>
          <t>일반</t>
        </is>
      </c>
      <c r="Q477" s="96" t="inlineStr">
        <is>
          <t>단기자금(파킹형)</t>
        </is>
      </c>
      <c r="R477" s="96" t="inlineStr">
        <is>
          <t>연배당</t>
        </is>
      </c>
      <c r="S477" s="97" t="n">
        <v>1</v>
      </c>
      <c r="T477" s="98" t="n">
        <v>1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IFERROR(INDEX($A$4:$A$593,MATCH(474,$X$4:$X$593,0)),"")</f>
        <v/>
      </c>
    </row>
    <row r="478">
      <c r="A478" s="96" t="inlineStr">
        <is>
          <t>TIGER 미국필라델피아반도체나스닥</t>
        </is>
      </c>
      <c r="B478" s="96" t="inlineStr">
        <is>
          <t>381180</t>
        </is>
      </c>
      <c r="C478" s="96" t="inlineStr">
        <is>
          <t>미래에셋자산운용</t>
        </is>
      </c>
      <c r="D478" s="97" t="n">
        <v>45880</v>
      </c>
      <c r="E478" s="97" t="n">
        <v>6230504000000</v>
      </c>
      <c r="F478" s="97" t="n">
        <v>108323718517</v>
      </c>
      <c r="G478" s="98" t="n">
        <v>0.0049</v>
      </c>
      <c r="H478" s="98" t="n">
        <v>0.4534</v>
      </c>
      <c r="I478" s="98" t="n">
        <v>0.0012</v>
      </c>
      <c r="J478" s="98" t="n">
        <v>0.003684</v>
      </c>
      <c r="K478" s="97" t="n">
        <v>18</v>
      </c>
      <c r="L478" s="99" t="inlineStr">
        <is>
          <t>20260730</t>
        </is>
      </c>
      <c r="M478" s="96" t="inlineStr">
        <is>
          <t>제외</t>
        </is>
      </c>
      <c r="N478" s="96" t="inlineStr">
        <is>
          <t>변동성 45.3%(1년 기준, 기준 35% 초과)</t>
        </is>
      </c>
      <c r="O478" s="96" t="inlineStr">
        <is>
          <t>PHLX Semiconductor Sector Index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분기배당</t>
        </is>
      </c>
      <c r="S478" s="97" t="n">
        <v>3</v>
      </c>
      <c r="T478" s="98" t="n">
        <v>1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IFERROR(INDEX($A$4:$A$593,MATCH(475,$X$4:$X$593,0)),"")</f>
        <v/>
      </c>
    </row>
    <row r="479">
      <c r="A479" s="96" t="inlineStr">
        <is>
          <t>KODEX 원자력SMR</t>
        </is>
      </c>
      <c r="B479" s="96" t="inlineStr">
        <is>
          <t>0098F0</t>
        </is>
      </c>
      <c r="C479" s="96" t="inlineStr">
        <is>
          <t>삼성자산운용(ETF)</t>
        </is>
      </c>
      <c r="D479" s="97" t="n">
        <v>15760</v>
      </c>
      <c r="E479" s="97" t="n">
        <v>282892000000</v>
      </c>
      <c r="F479" s="97" t="n">
        <v>14110429664</v>
      </c>
      <c r="G479" s="98" t="n">
        <v>0.004500000000000001</v>
      </c>
      <c r="H479" s="98" t="n">
        <v>0.6484000000000001</v>
      </c>
      <c r="I479" s="98" t="n">
        <v>0.0024</v>
      </c>
      <c r="J479" s="98" t="n">
        <v>0.00368</v>
      </c>
      <c r="K479" s="97" t="n">
        <v>1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64.8%(1년 기준, 기준 35% 초과)</t>
        </is>
      </c>
      <c r="O479" s="96" t="inlineStr">
        <is>
          <t>iSelect 원자력SMR 지수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0.9828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IFERROR(INDEX($A$4:$A$593,MATCH(476,$X$4:$X$593,0)),"")</f>
        <v/>
      </c>
    </row>
    <row r="480">
      <c r="A480" s="96" t="inlineStr">
        <is>
          <t>RISE 200선물레버리지</t>
        </is>
      </c>
      <c r="B480" s="96" t="inlineStr">
        <is>
          <t>252400</t>
        </is>
      </c>
      <c r="C480" s="96" t="inlineStr">
        <is>
          <t>KB자산운용</t>
        </is>
      </c>
      <c r="D480" s="97" t="n">
        <v>104995</v>
      </c>
      <c r="E480" s="97" t="n">
        <v>62997000000</v>
      </c>
      <c r="F480" s="97" t="n">
        <v>2353310917</v>
      </c>
      <c r="G480" s="98" t="n">
        <v>0.00022</v>
      </c>
      <c r="H480" s="98" t="n">
        <v>1.1575</v>
      </c>
      <c r="I480" s="98" t="n">
        <v>0.0091</v>
      </c>
      <c r="J480" s="98" t="n">
        <v>0.003619</v>
      </c>
      <c r="K480" s="97" t="n">
        <v>1</v>
      </c>
      <c r="L480" s="99" t="inlineStr">
        <is>
          <t>20251229</t>
        </is>
      </c>
      <c r="M480" s="96" t="inlineStr">
        <is>
          <t>제외</t>
        </is>
      </c>
      <c r="N480" s="96" t="inlineStr">
        <is>
          <t>변동성 115.7%(1년 기준, 기준 35% 초과)</t>
        </is>
      </c>
      <c r="O480" s="96" t="inlineStr">
        <is>
          <t>KOSPI200선물지수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1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IFERROR(INDEX($A$4:$A$593,MATCH(477,$X$4:$X$593,0)),"")</f>
        <v/>
      </c>
    </row>
    <row r="481">
      <c r="A481" s="96" t="inlineStr">
        <is>
          <t>SOL 2차전지소부장Fn</t>
        </is>
      </c>
      <c r="B481" s="96" t="inlineStr">
        <is>
          <t>455860</t>
        </is>
      </c>
      <c r="C481" s="96" t="inlineStr">
        <is>
          <t>신한자산운용</t>
        </is>
      </c>
      <c r="D481" s="97" t="n">
        <v>4500</v>
      </c>
      <c r="E481" s="97" t="n">
        <v>108225000000</v>
      </c>
      <c r="F481" s="97" t="n">
        <v>3350849588</v>
      </c>
      <c r="G481" s="98" t="n">
        <v>0.004500000000000001</v>
      </c>
      <c r="H481" s="98" t="n">
        <v>0.6321</v>
      </c>
      <c r="I481" s="98" t="n">
        <v>0.0021</v>
      </c>
      <c r="J481" s="98" t="n">
        <v>0.003556</v>
      </c>
      <c r="K481" s="97" t="n">
        <v>3</v>
      </c>
      <c r="L481" s="99" t="inlineStr">
        <is>
          <t>20260429</t>
        </is>
      </c>
      <c r="M481" s="96" t="inlineStr">
        <is>
          <t>제외</t>
        </is>
      </c>
      <c r="N481" s="96" t="inlineStr">
        <is>
          <t>변동성 63.2%(1년 기준, 기준 35% 초과)</t>
        </is>
      </c>
      <c r="O481" s="96" t="inlineStr">
        <is>
          <t>FnGuide 2차전지 소부장 지수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0.8125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IFERROR(INDEX($A$4:$A$593,MATCH(478,$X$4:$X$593,0)),"")</f>
        <v/>
      </c>
    </row>
    <row r="482">
      <c r="A482" s="96" t="inlineStr">
        <is>
          <t>RISE ESG사회책임투자</t>
        </is>
      </c>
      <c r="B482" s="96" t="inlineStr">
        <is>
          <t>290130</t>
        </is>
      </c>
      <c r="C482" s="96" t="inlineStr">
        <is>
          <t>KB자산운용</t>
        </is>
      </c>
      <c r="D482" s="97" t="n">
        <v>48825</v>
      </c>
      <c r="E482" s="97" t="n">
        <v>688432500000</v>
      </c>
      <c r="F482" s="97" t="n">
        <v>20095506542</v>
      </c>
      <c r="G482" s="98" t="n">
        <v>0.003</v>
      </c>
      <c r="H482" s="98" t="n">
        <v>0.6228</v>
      </c>
      <c r="I482" s="98" t="n">
        <v>0.004099999999999999</v>
      </c>
      <c r="J482" s="98" t="n">
        <v>0.003482</v>
      </c>
      <c r="K482" s="97" t="n">
        <v>6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변동성 62.3%(1년 기준, 기준 35% 초과)</t>
        </is>
      </c>
      <c r="O482" s="96" t="inlineStr">
        <is>
          <t>KRX 사회책임경영지수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IFERROR(INDEX($A$4:$A$593,MATCH(479,$X$4:$X$593,0)),"")</f>
        <v/>
      </c>
    </row>
    <row r="483">
      <c r="A483" s="96" t="inlineStr">
        <is>
          <t>PLUS 미국나스닥테크</t>
        </is>
      </c>
      <c r="B483" s="96" t="inlineStr">
        <is>
          <t>287180</t>
        </is>
      </c>
      <c r="C483" s="96" t="inlineStr">
        <is>
          <t>한화자산운용</t>
        </is>
      </c>
      <c r="D483" s="97" t="n">
        <v>57515</v>
      </c>
      <c r="E483" s="97" t="n">
        <v>51763500000</v>
      </c>
      <c r="F483" s="97" t="n">
        <v>240967552</v>
      </c>
      <c r="G483" s="98" t="n">
        <v>0.005</v>
      </c>
      <c r="H483" s="98" t="n">
        <v>0.2982</v>
      </c>
      <c r="I483" s="98" t="n">
        <v>0.004099999999999999</v>
      </c>
      <c r="J483" s="98" t="n">
        <v>0.003477</v>
      </c>
      <c r="K483" s="97" t="n">
        <v>2</v>
      </c>
      <c r="L483" s="99" t="inlineStr">
        <is>
          <t>20260429</t>
        </is>
      </c>
      <c r="M483" s="96" t="inlineStr">
        <is>
          <t>제외</t>
        </is>
      </c>
      <c r="N483" s="96" t="inlineStr">
        <is>
          <t>60일 거래대금 2.4억(기준 5억 미만)</t>
        </is>
      </c>
      <c r="O483" s="96" t="inlineStr">
        <is>
          <t>NASDAQ-100 Technology Sector Index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연배당</t>
        </is>
      </c>
      <c r="S483" s="97" t="n">
        <v>1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IFERROR(INDEX($A$4:$A$593,MATCH(480,$X$4:$X$593,0)),"")</f>
        <v/>
      </c>
    </row>
    <row r="484">
      <c r="A484" s="96" t="inlineStr">
        <is>
          <t>KODEX K콘텐츠</t>
        </is>
      </c>
      <c r="B484" s="96" t="inlineStr">
        <is>
          <t>266360</t>
        </is>
      </c>
      <c r="C484" s="96" t="inlineStr">
        <is>
          <t>삼성자산운용(ETF)</t>
        </is>
      </c>
      <c r="D484" s="97" t="n">
        <v>9245</v>
      </c>
      <c r="E484" s="97" t="n">
        <v>34206500000</v>
      </c>
      <c r="F484" s="97" t="n">
        <v>279147584</v>
      </c>
      <c r="G484" s="98" t="n">
        <v>0.004500000000000001</v>
      </c>
      <c r="H484" s="98" t="n">
        <v>0.3645</v>
      </c>
      <c r="I484" s="98" t="n">
        <v>0.0026</v>
      </c>
      <c r="J484" s="98" t="n">
        <v>0.003461</v>
      </c>
      <c r="K484" s="97" t="n">
        <v>5</v>
      </c>
      <c r="L484" s="99" t="inlineStr">
        <is>
          <t>20260429</t>
        </is>
      </c>
      <c r="M484" s="96" t="inlineStr">
        <is>
          <t>제외</t>
        </is>
      </c>
      <c r="N484" s="96" t="inlineStr">
        <is>
          <t>60일 거래대금 2.8억(기준 5억 미만), 변동성 36.4%(1년 기준, 기준 35% 초과)</t>
        </is>
      </c>
      <c r="O484" s="96" t="inlineStr">
        <is>
          <t>KRX K콘텐츠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IFERROR(INDEX($A$4:$A$593,MATCH(481,$X$4:$X$593,0)),"")</f>
        <v/>
      </c>
    </row>
    <row r="485">
      <c r="A485" s="96" t="inlineStr">
        <is>
          <t>ACE 구글밸류체인액티브</t>
        </is>
      </c>
      <c r="B485" s="96" t="inlineStr">
        <is>
          <t>483340</t>
        </is>
      </c>
      <c r="C485" s="96" t="inlineStr">
        <is>
          <t>한국투신운용(ETF)</t>
        </is>
      </c>
      <c r="D485" s="97" t="n">
        <v>23070</v>
      </c>
      <c r="E485" s="97" t="n">
        <v>260691000000</v>
      </c>
      <c r="F485" s="97" t="n">
        <v>7000734649</v>
      </c>
      <c r="G485" s="98" t="n">
        <v>0.004500000000000001</v>
      </c>
      <c r="H485" s="98" t="n">
        <v>0.3799</v>
      </c>
      <c r="I485" s="98" t="n">
        <v>0.0051</v>
      </c>
      <c r="J485" s="98" t="n">
        <v>0.003424</v>
      </c>
      <c r="K485" s="97" t="n">
        <v>1</v>
      </c>
      <c r="L485" s="99" t="inlineStr">
        <is>
          <t>20251229</t>
        </is>
      </c>
      <c r="M485" s="96" t="inlineStr">
        <is>
          <t>제외</t>
        </is>
      </c>
      <c r="N485" s="96" t="inlineStr">
        <is>
          <t>변동성 38.0%(1년 기준, 기준 35% 초과)</t>
        </is>
      </c>
      <c r="O485" s="96" t="inlineStr">
        <is>
          <t>KEDI Global AI Cloud Index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1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IFERROR(INDEX($A$4:$A$593,MATCH(482,$X$4:$X$593,0)),"")</f>
        <v/>
      </c>
    </row>
    <row r="486">
      <c r="A486" s="96" t="inlineStr">
        <is>
          <t>TIGER 200선물레버리지</t>
        </is>
      </c>
      <c r="B486" s="96" t="inlineStr">
        <is>
          <t>267770</t>
        </is>
      </c>
      <c r="C486" s="96" t="inlineStr">
        <is>
          <t>미래에셋자산운용</t>
        </is>
      </c>
      <c r="D486" s="97" t="n">
        <v>86795</v>
      </c>
      <c r="E486" s="97" t="n">
        <v>199628500000</v>
      </c>
      <c r="F486" s="97" t="n">
        <v>10082087647</v>
      </c>
      <c r="G486" s="98" t="n">
        <v>0.00022</v>
      </c>
      <c r="H486" s="98" t="n">
        <v>1.1614</v>
      </c>
      <c r="I486" s="98" t="n">
        <v>0.008500000000000001</v>
      </c>
      <c r="J486" s="98" t="n">
        <v>0.003399</v>
      </c>
      <c r="K486" s="97" t="n">
        <v>1</v>
      </c>
      <c r="L486" s="99" t="inlineStr">
        <is>
          <t>20251229</t>
        </is>
      </c>
      <c r="M486" s="96" t="inlineStr">
        <is>
          <t>제외</t>
        </is>
      </c>
      <c r="N486" s="96" t="inlineStr">
        <is>
          <t>변동성 116.1%(1년 기준, 기준 35% 초과)</t>
        </is>
      </c>
      <c r="O486" s="96" t="inlineStr">
        <is>
          <t>KOSPI200선물지수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연배당</t>
        </is>
      </c>
      <c r="S486" s="97" t="n">
        <v>1</v>
      </c>
      <c r="T486" s="98" t="n">
        <v>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IFERROR(INDEX($A$4:$A$593,MATCH(483,$X$4:$X$593,0)),"")</f>
        <v/>
      </c>
    </row>
    <row r="487">
      <c r="A487" s="96" t="inlineStr">
        <is>
          <t>KODEX 메타버스액티브</t>
        </is>
      </c>
      <c r="B487" s="96" t="inlineStr">
        <is>
          <t>401470</t>
        </is>
      </c>
      <c r="C487" s="96" t="inlineStr">
        <is>
          <t>삼성자산운용(ETF)</t>
        </is>
      </c>
      <c r="D487" s="97" t="n">
        <v>9290</v>
      </c>
      <c r="E487" s="97" t="n">
        <v>53417500000</v>
      </c>
      <c r="F487" s="97" t="n">
        <v>133670647</v>
      </c>
      <c r="G487" s="98" t="n">
        <v>0.005</v>
      </c>
      <c r="H487" s="98" t="n">
        <v>0.3538</v>
      </c>
      <c r="I487" s="98" t="n">
        <v>0.0032</v>
      </c>
      <c r="J487" s="98" t="n">
        <v>0.003337</v>
      </c>
      <c r="K487" s="97" t="n">
        <v>5</v>
      </c>
      <c r="L487" s="99" t="inlineStr">
        <is>
          <t>20260429</t>
        </is>
      </c>
      <c r="M487" s="96" t="inlineStr">
        <is>
          <t>제외</t>
        </is>
      </c>
      <c r="N487" s="96" t="inlineStr">
        <is>
          <t>60일 거래대금 1.3억(기준 5억 미만), 변동성 35.4%(1년 기준, 기준 35% 초과)</t>
        </is>
      </c>
      <c r="O487" s="96" t="inlineStr">
        <is>
          <t>FnGuide K-메타버스 지수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연배당</t>
        </is>
      </c>
      <c r="S487" s="97" t="n">
        <v>1</v>
      </c>
      <c r="T487" s="98" t="n">
        <v>0.9677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IFERROR(INDEX($A$4:$A$593,MATCH(484,$X$4:$X$593,0)),"")</f>
        <v/>
      </c>
    </row>
    <row r="488">
      <c r="A488" s="96" t="inlineStr">
        <is>
          <t>TIGER 200 IT</t>
        </is>
      </c>
      <c r="B488" s="96" t="inlineStr">
        <is>
          <t>139260</t>
        </is>
      </c>
      <c r="C488" s="96" t="inlineStr">
        <is>
          <t>미래에셋자산운용</t>
        </is>
      </c>
      <c r="D488" s="97" t="n">
        <v>144915</v>
      </c>
      <c r="E488" s="97" t="n">
        <v>2776571400000</v>
      </c>
      <c r="F488" s="97" t="n">
        <v>131098584272</v>
      </c>
      <c r="G488" s="98" t="n">
        <v>0.004</v>
      </c>
      <c r="H488" s="98" t="n">
        <v>0.7215</v>
      </c>
      <c r="I488" s="98" t="n">
        <v>0.0013</v>
      </c>
      <c r="J488" s="98" t="n">
        <v>0.003243</v>
      </c>
      <c r="K488" s="97" t="n">
        <v>14</v>
      </c>
      <c r="L488" s="99" t="inlineStr">
        <is>
          <t>20260730</t>
        </is>
      </c>
      <c r="M488" s="96" t="inlineStr">
        <is>
          <t>제외</t>
        </is>
      </c>
      <c r="N488" s="96" t="inlineStr">
        <is>
          <t>변동성 72.2%(1년 기준, 기준 35% 초과)</t>
        </is>
      </c>
      <c r="O488" s="96" t="inlineStr">
        <is>
          <t>K200정보기술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분기배당</t>
        </is>
      </c>
      <c r="S488" s="97" t="n">
        <v>3</v>
      </c>
      <c r="T488" s="98" t="n">
        <v>0.5021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IFERROR(INDEX($A$4:$A$593,MATCH(485,$X$4:$X$593,0)),"")</f>
        <v/>
      </c>
    </row>
    <row r="489">
      <c r="A489" s="96" t="inlineStr">
        <is>
          <t>KODEX 차이나AI테크액티브</t>
        </is>
      </c>
      <c r="B489" s="96" t="inlineStr">
        <is>
          <t>428510</t>
        </is>
      </c>
      <c r="C489" s="96" t="inlineStr">
        <is>
          <t>삼성자산운용(ETF)</t>
        </is>
      </c>
      <c r="D489" s="97" t="n">
        <v>22240</v>
      </c>
      <c r="E489" s="97" t="n">
        <v>37808000000</v>
      </c>
      <c r="F489" s="97" t="n">
        <v>652154794</v>
      </c>
      <c r="G489" s="98" t="n">
        <v>0.005</v>
      </c>
      <c r="H489" s="98" t="n">
        <v>0.5015999999999999</v>
      </c>
      <c r="I489" s="98" t="n">
        <v>0.0019</v>
      </c>
      <c r="J489" s="98" t="n">
        <v>0.003237</v>
      </c>
      <c r="K489" s="97" t="n">
        <v>5</v>
      </c>
      <c r="L489" s="99" t="inlineStr">
        <is>
          <t>20260730</t>
        </is>
      </c>
      <c r="M489" s="96" t="inlineStr">
        <is>
          <t>제외</t>
        </is>
      </c>
      <c r="N489" s="96" t="inlineStr">
        <is>
          <t>변동성 50.2%(1년 기준, 기준 35% 초과)</t>
        </is>
      </c>
      <c r="O489" s="96" t="inlineStr">
        <is>
          <t>Bloomberg Greater China Media &amp; Tech Index (USD)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분기배당</t>
        </is>
      </c>
      <c r="S489" s="97" t="n">
        <v>3</v>
      </c>
      <c r="T489" s="98" t="n">
        <v>1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IFERROR(INDEX($A$4:$A$593,MATCH(486,$X$4:$X$593,0)),"")</f>
        <v/>
      </c>
    </row>
    <row r="490">
      <c r="A490" s="96" t="inlineStr">
        <is>
          <t>TIGER 미국필라델피아AI반도체나스닥</t>
        </is>
      </c>
      <c r="B490" s="96" t="inlineStr">
        <is>
          <t>497570</t>
        </is>
      </c>
      <c r="C490" s="96" t="inlineStr">
        <is>
          <t>미래에셋자산운용</t>
        </is>
      </c>
      <c r="D490" s="97" t="n">
        <v>23180</v>
      </c>
      <c r="E490" s="97" t="n">
        <v>1153205000000</v>
      </c>
      <c r="F490" s="97" t="n">
        <v>18400097396</v>
      </c>
      <c r="G490" s="98" t="n">
        <v>0.0049</v>
      </c>
      <c r="H490" s="98" t="n">
        <v>0.4053</v>
      </c>
      <c r="I490" s="98" t="n">
        <v>0.0011</v>
      </c>
      <c r="J490" s="98" t="n">
        <v>0.003236</v>
      </c>
      <c r="K490" s="97" t="n">
        <v>7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40.5%(1년 기준, 기준 35% 초과)</t>
        </is>
      </c>
      <c r="O490" s="96" t="inlineStr">
        <is>
          <t>PHLX US AI Semiconductor Index (Price Return)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3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IFERROR(INDEX($A$4:$A$593,MATCH(487,$X$4:$X$593,0)),"")</f>
        <v/>
      </c>
    </row>
    <row r="491">
      <c r="A491" s="96" t="inlineStr">
        <is>
          <t>ACE 코스닥150</t>
        </is>
      </c>
      <c r="B491" s="96" t="inlineStr">
        <is>
          <t>354500</t>
        </is>
      </c>
      <c r="C491" s="96" t="inlineStr">
        <is>
          <t>한국투신운용(ETF)</t>
        </is>
      </c>
      <c r="D491" s="97" t="n">
        <v>15450</v>
      </c>
      <c r="E491" s="97" t="n">
        <v>163770000000</v>
      </c>
      <c r="F491" s="97" t="n">
        <v>3415485401</v>
      </c>
      <c r="G491" s="98" t="n">
        <v>0.0002</v>
      </c>
      <c r="H491" s="98" t="n">
        <v>0.5478000000000001</v>
      </c>
      <c r="I491" s="98" t="n">
        <v>0.0024</v>
      </c>
      <c r="J491" s="98" t="n">
        <v>0.003236</v>
      </c>
      <c r="K491" s="97" t="n">
        <v>5</v>
      </c>
      <c r="L491" s="99" t="inlineStr">
        <is>
          <t>20260429</t>
        </is>
      </c>
      <c r="M491" s="96" t="inlineStr">
        <is>
          <t>제외</t>
        </is>
      </c>
      <c r="N491" s="96" t="inlineStr">
        <is>
          <t>변동성 54.8%(1년 기준, 기준 35% 초과)</t>
        </is>
      </c>
      <c r="O491" s="96" t="inlineStr">
        <is>
          <t>KOSDAQ 150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연배당</t>
        </is>
      </c>
      <c r="S491" s="97" t="n">
        <v>1</v>
      </c>
      <c r="T491" s="98" t="n">
        <v>0.98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IFERROR(INDEX($A$4:$A$593,MATCH(488,$X$4:$X$593,0)),"")</f>
        <v/>
      </c>
    </row>
    <row r="492">
      <c r="A492" s="96" t="inlineStr">
        <is>
          <t>TIGER 금은선물(H)</t>
        </is>
      </c>
      <c r="B492" s="96" t="inlineStr">
        <is>
          <t>139320</t>
        </is>
      </c>
      <c r="C492" s="96" t="inlineStr">
        <is>
          <t>미래에셋자산운용</t>
        </is>
      </c>
      <c r="D492" s="97" t="n">
        <v>17380</v>
      </c>
      <c r="E492" s="97" t="n">
        <v>39105000000</v>
      </c>
      <c r="F492" s="97" t="n">
        <v>223024081</v>
      </c>
      <c r="G492" s="98" t="n">
        <v>0.0069</v>
      </c>
      <c r="H492" s="98" t="n">
        <v>0.3229</v>
      </c>
      <c r="I492" s="98" t="n">
        <v>0.0028</v>
      </c>
      <c r="J492" s="98" t="n">
        <v>0.003222</v>
      </c>
      <c r="K492" s="97" t="n">
        <v>1</v>
      </c>
      <c r="L492" s="99" t="inlineStr">
        <is>
          <t>20251229</t>
        </is>
      </c>
      <c r="M492" s="96" t="inlineStr">
        <is>
          <t>제외</t>
        </is>
      </c>
      <c r="N492" s="96" t="inlineStr">
        <is>
          <t>60일 거래대금 2.2억(기준 5억 미만)</t>
        </is>
      </c>
      <c r="O492" s="96" t="inlineStr">
        <is>
          <t>S&amp;P GSCI Precious Metals</t>
        </is>
      </c>
      <c r="P492" s="96" t="inlineStr">
        <is>
          <t>일반</t>
        </is>
      </c>
      <c r="Q492" s="96" t="inlineStr">
        <is>
          <t>원자재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IFERROR(INDEX($A$4:$A$593,MATCH(489,$X$4:$X$593,0)),"")</f>
        <v/>
      </c>
    </row>
    <row r="493">
      <c r="A493" s="96" t="inlineStr">
        <is>
          <t>TIGER 반도체</t>
        </is>
      </c>
      <c r="B493" s="96" t="inlineStr">
        <is>
          <t>091230</t>
        </is>
      </c>
      <c r="C493" s="96" t="inlineStr">
        <is>
          <t>미래에셋자산운용</t>
        </is>
      </c>
      <c r="D493" s="97" t="n">
        <v>158220</v>
      </c>
      <c r="E493" s="97" t="n">
        <v>1553720400000</v>
      </c>
      <c r="F493" s="97" t="n">
        <v>58968048575</v>
      </c>
      <c r="G493" s="98" t="n">
        <v>0.0046</v>
      </c>
      <c r="H493" s="98" t="n">
        <v>0.7212000000000001</v>
      </c>
      <c r="I493" s="98" t="n">
        <v>0.0017</v>
      </c>
      <c r="J493" s="98" t="n">
        <v>0.003154</v>
      </c>
      <c r="K493" s="97" t="n">
        <v>11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변동성 72.1%(1년 기준, 기준 35% 초과)</t>
        </is>
      </c>
      <c r="O493" s="96" t="inlineStr">
        <is>
          <t>KRX 반도체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분기배당</t>
        </is>
      </c>
      <c r="S493" s="97" t="n">
        <v>3</v>
      </c>
      <c r="T493" s="98" t="n">
        <v>0.3948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IFERROR(INDEX($A$4:$A$593,MATCH(490,$X$4:$X$593,0)),"")</f>
        <v/>
      </c>
    </row>
    <row r="494">
      <c r="A494" s="96" t="inlineStr">
        <is>
          <t>KIWOOM 글로벌AI반도체</t>
        </is>
      </c>
      <c r="B494" s="96" t="inlineStr">
        <is>
          <t>473490</t>
        </is>
      </c>
      <c r="C494" s="96" t="inlineStr">
        <is>
          <t>키움투자자산운용</t>
        </is>
      </c>
      <c r="D494" s="97" t="n">
        <v>33625</v>
      </c>
      <c r="E494" s="97" t="n">
        <v>50437500000</v>
      </c>
      <c r="F494" s="97" t="n">
        <v>529555820</v>
      </c>
      <c r="G494" s="98" t="n">
        <v>0.004</v>
      </c>
      <c r="H494" s="98" t="n">
        <v>0.4082</v>
      </c>
      <c r="I494" s="98" t="n">
        <v>0.0016</v>
      </c>
      <c r="J494" s="98" t="n">
        <v>0.003093</v>
      </c>
      <c r="K494" s="97" t="n">
        <v>7</v>
      </c>
      <c r="L494" s="99" t="inlineStr">
        <is>
          <t>20260730</t>
        </is>
      </c>
      <c r="M494" s="96" t="inlineStr">
        <is>
          <t>제외</t>
        </is>
      </c>
      <c r="N494" s="96" t="inlineStr">
        <is>
          <t>변동성 40.8%(1년 기준, 기준 35% 초과)</t>
        </is>
      </c>
      <c r="O494" s="96" t="inlineStr">
        <is>
          <t>Solactive Global AI Semiconductor Index PR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분기배당</t>
        </is>
      </c>
      <c r="S494" s="97" t="n">
        <v>3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IFERROR(INDEX($A$4:$A$593,MATCH(491,$X$4:$X$593,0)),"")</f>
        <v/>
      </c>
    </row>
    <row r="495">
      <c r="A495" s="96" t="inlineStr">
        <is>
          <t>TIGER 글로벌온디바이스AI</t>
        </is>
      </c>
      <c r="B495" s="96" t="inlineStr">
        <is>
          <t>480310</t>
        </is>
      </c>
      <c r="C495" s="96" t="inlineStr">
        <is>
          <t>미래에셋자산운용</t>
        </is>
      </c>
      <c r="D495" s="97" t="n">
        <v>22045</v>
      </c>
      <c r="E495" s="97" t="n">
        <v>59521500000</v>
      </c>
      <c r="F495" s="97" t="n">
        <v>743809498</v>
      </c>
      <c r="G495" s="98" t="n">
        <v>0.0049</v>
      </c>
      <c r="H495" s="98" t="n">
        <v>0.3758</v>
      </c>
      <c r="I495" s="98" t="n">
        <v>0.0014</v>
      </c>
      <c r="J495" s="98" t="n">
        <v>0.003039</v>
      </c>
      <c r="K495" s="97" t="n">
        <v>8</v>
      </c>
      <c r="L495" s="99" t="inlineStr">
        <is>
          <t>20260730</t>
        </is>
      </c>
      <c r="M495" s="96" t="inlineStr">
        <is>
          <t>제외</t>
        </is>
      </c>
      <c r="N495" s="96" t="inlineStr">
        <is>
          <t>변동성 37.6%(1년 기준, 기준 35% 초과)</t>
        </is>
      </c>
      <c r="O495" s="96" t="inlineStr">
        <is>
          <t>Mirae Asset Global On-Device AI Index PR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분기배당</t>
        </is>
      </c>
      <c r="S495" s="97" t="n">
        <v>3</v>
      </c>
      <c r="T495" s="98" t="n">
        <v>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IFERROR(INDEX($A$4:$A$593,MATCH(492,$X$4:$X$593,0)),"")</f>
        <v/>
      </c>
    </row>
    <row r="496">
      <c r="A496" s="96" t="inlineStr">
        <is>
          <t>KIWOOM 미국양자컴퓨팅</t>
        </is>
      </c>
      <c r="B496" s="96" t="inlineStr">
        <is>
          <t>498270</t>
        </is>
      </c>
      <c r="C496" s="96" t="inlineStr">
        <is>
          <t>키움투자자산운용</t>
        </is>
      </c>
      <c r="D496" s="97" t="n">
        <v>15250</v>
      </c>
      <c r="E496" s="97" t="n">
        <v>230275000000</v>
      </c>
      <c r="F496" s="97" t="n">
        <v>957647514</v>
      </c>
      <c r="G496" s="98" t="n">
        <v>0.0049</v>
      </c>
      <c r="H496" s="98" t="n">
        <v>0.4734</v>
      </c>
      <c r="I496" s="98" t="n">
        <v>0.001</v>
      </c>
      <c r="J496" s="98" t="n">
        <v>0.003016</v>
      </c>
      <c r="K496" s="97" t="n">
        <v>5</v>
      </c>
      <c r="L496" s="99" t="inlineStr">
        <is>
          <t>20260730</t>
        </is>
      </c>
      <c r="M496" s="96" t="inlineStr">
        <is>
          <t>제외</t>
        </is>
      </c>
      <c r="N496" s="96" t="inlineStr">
        <is>
          <t>변동성 47.3%(1년 기준, 기준 35% 초과)</t>
        </is>
      </c>
      <c r="O496" s="96" t="inlineStr">
        <is>
          <t>Solactive U.S. Quantum Computing Index PR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분기배당</t>
        </is>
      </c>
      <c r="S496" s="97" t="n">
        <v>3</v>
      </c>
      <c r="T496" s="98" t="n">
        <v>1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IFERROR(INDEX($A$4:$A$593,MATCH(493,$X$4:$X$593,0)),"")</f>
        <v/>
      </c>
    </row>
    <row r="497">
      <c r="A497" s="96" t="inlineStr">
        <is>
          <t>KODEX 미국AI전력핵심인프라</t>
        </is>
      </c>
      <c r="B497" s="96" t="inlineStr">
        <is>
          <t>487230</t>
        </is>
      </c>
      <c r="C497" s="96" t="inlineStr">
        <is>
          <t>삼성자산운용(ETF)</t>
        </is>
      </c>
      <c r="D497" s="97" t="n">
        <v>19900</v>
      </c>
      <c r="E497" s="97" t="n">
        <v>1490510000000</v>
      </c>
      <c r="F497" s="97" t="n">
        <v>16722980725</v>
      </c>
      <c r="G497" s="98" t="n">
        <v>0.004500000000000001</v>
      </c>
      <c r="H497" s="98" t="n">
        <v>0.5056</v>
      </c>
      <c r="I497" s="98" t="n">
        <v>0.0008</v>
      </c>
      <c r="J497" s="98" t="n">
        <v>0.003015</v>
      </c>
      <c r="K497" s="97" t="n">
        <v>7</v>
      </c>
      <c r="L497" s="99" t="inlineStr">
        <is>
          <t>20260730</t>
        </is>
      </c>
      <c r="M497" s="96" t="inlineStr">
        <is>
          <t>제외</t>
        </is>
      </c>
      <c r="N497" s="96" t="inlineStr">
        <is>
          <t>변동성 50.6%(1년 기준, 기준 35% 초과)</t>
        </is>
      </c>
      <c r="O497" s="96" t="inlineStr">
        <is>
          <t>iSelect U.S. AI Electric Core Infrastructure Index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분기배당</t>
        </is>
      </c>
      <c r="S497" s="97" t="n">
        <v>3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IFERROR(INDEX($A$4:$A$593,MATCH(494,$X$4:$X$593,0)),"")</f>
        <v/>
      </c>
    </row>
    <row r="498">
      <c r="A498" s="96" t="inlineStr">
        <is>
          <t>TIGER TSMC파운드리밸류체인</t>
        </is>
      </c>
      <c r="B498" s="96" t="inlineStr">
        <is>
          <t>453950</t>
        </is>
      </c>
      <c r="C498" s="96" t="inlineStr">
        <is>
          <t>미래에셋자산운용</t>
        </is>
      </c>
      <c r="D498" s="97" t="n">
        <v>34900</v>
      </c>
      <c r="E498" s="97" t="n">
        <v>68055000000</v>
      </c>
      <c r="F498" s="97" t="n">
        <v>647244655</v>
      </c>
      <c r="G498" s="98" t="n">
        <v>0.0049</v>
      </c>
      <c r="H498" s="98" t="n">
        <v>0.3635</v>
      </c>
      <c r="I498" s="98" t="n">
        <v>0.0011</v>
      </c>
      <c r="J498" s="98" t="n">
        <v>0.003009</v>
      </c>
      <c r="K498" s="97" t="n">
        <v>3</v>
      </c>
      <c r="L498" s="99" t="inlineStr">
        <is>
          <t>20260429</t>
        </is>
      </c>
      <c r="M498" s="96" t="inlineStr">
        <is>
          <t>제외</t>
        </is>
      </c>
      <c r="N498" s="96" t="inlineStr">
        <is>
          <t>변동성 36.4%(1년 기준, 기준 35% 초과)</t>
        </is>
      </c>
      <c r="O498" s="96" t="inlineStr">
        <is>
          <t>FactSet TSMC Value Chain Index PR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1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IFERROR(INDEX($A$4:$A$593,MATCH(495,$X$4:$X$593,0)),"")</f>
        <v/>
      </c>
    </row>
    <row r="499">
      <c r="A499" s="96" t="inlineStr">
        <is>
          <t>TIGER 코스닥150 레버리지</t>
        </is>
      </c>
      <c r="B499" s="96" t="inlineStr">
        <is>
          <t>233160</t>
        </is>
      </c>
      <c r="C499" s="96" t="inlineStr">
        <is>
          <t>미래에셋자산운용</t>
        </is>
      </c>
      <c r="D499" s="97" t="n">
        <v>9005</v>
      </c>
      <c r="E499" s="97" t="n">
        <v>198110000000</v>
      </c>
      <c r="F499" s="97" t="n">
        <v>19428153542</v>
      </c>
      <c r="G499" s="98" t="n">
        <v>0.0032</v>
      </c>
      <c r="H499" s="98" t="n">
        <v>1.1204</v>
      </c>
      <c r="I499" s="98" t="n">
        <v>0.0021</v>
      </c>
      <c r="J499" s="98" t="n">
        <v>0.002998</v>
      </c>
      <c r="K499" s="97" t="n">
        <v>1</v>
      </c>
      <c r="L499" s="99" t="inlineStr">
        <is>
          <t>20251229</t>
        </is>
      </c>
      <c r="M499" s="96" t="inlineStr">
        <is>
          <t>제외</t>
        </is>
      </c>
      <c r="N499" s="96" t="inlineStr">
        <is>
          <t>변동성 112.0%(1년 기준, 기준 35% 초과)</t>
        </is>
      </c>
      <c r="O499" s="96" t="inlineStr">
        <is>
          <t>KOSDAQ 150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IFERROR(INDEX($A$4:$A$593,MATCH(496,$X$4:$X$593,0)),"")</f>
        <v/>
      </c>
    </row>
    <row r="500">
      <c r="A500" s="96" t="inlineStr">
        <is>
          <t>TIGER 2차전지테마</t>
        </is>
      </c>
      <c r="B500" s="96" t="inlineStr">
        <is>
          <t>305540</t>
        </is>
      </c>
      <c r="C500" s="96" t="inlineStr">
        <is>
          <t>미래에셋자산운용</t>
        </is>
      </c>
      <c r="D500" s="97" t="n">
        <v>18620</v>
      </c>
      <c r="E500" s="97" t="n">
        <v>926345000000</v>
      </c>
      <c r="F500" s="97" t="n">
        <v>10455980098</v>
      </c>
      <c r="G500" s="98" t="n">
        <v>0.005</v>
      </c>
      <c r="H500" s="98" t="n">
        <v>0.5931999999999999</v>
      </c>
      <c r="I500" s="98" t="n">
        <v>0.0021</v>
      </c>
      <c r="J500" s="98" t="n">
        <v>0.002954</v>
      </c>
      <c r="K500" s="97" t="n">
        <v>5</v>
      </c>
      <c r="L500" s="99" t="inlineStr">
        <is>
          <t>20260429</t>
        </is>
      </c>
      <c r="M500" s="96" t="inlineStr">
        <is>
          <t>제외</t>
        </is>
      </c>
      <c r="N500" s="96" t="inlineStr">
        <is>
          <t>변동성 59.3%(1년 기준, 기준 35% 초과)</t>
        </is>
      </c>
      <c r="O500" s="96" t="inlineStr">
        <is>
          <t>WISE 2차전지 테마 지수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0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IFERROR(INDEX($A$4:$A$593,MATCH(497,$X$4:$X$593,0)),"")</f>
        <v/>
      </c>
    </row>
    <row r="501">
      <c r="A501" s="96" t="inlineStr">
        <is>
          <t>RISE 메타버스</t>
        </is>
      </c>
      <c r="B501" s="96" t="inlineStr">
        <is>
          <t>401170</t>
        </is>
      </c>
      <c r="C501" s="96" t="inlineStr">
        <is>
          <t>KB자산운용</t>
        </is>
      </c>
      <c r="D501" s="97" t="n">
        <v>10575</v>
      </c>
      <c r="E501" s="97" t="n">
        <v>41242500000</v>
      </c>
      <c r="F501" s="97" t="n">
        <v>149993892</v>
      </c>
      <c r="G501" s="98" t="n">
        <v>0.004500000000000001</v>
      </c>
      <c r="H501" s="98" t="n">
        <v>0.4321</v>
      </c>
      <c r="I501" s="98" t="n">
        <v>0.0016</v>
      </c>
      <c r="J501" s="98" t="n">
        <v>0.002931</v>
      </c>
      <c r="K501" s="97" t="n">
        <v>4</v>
      </c>
      <c r="L501" s="99" t="inlineStr">
        <is>
          <t>20260429</t>
        </is>
      </c>
      <c r="M501" s="96" t="inlineStr">
        <is>
          <t>제외</t>
        </is>
      </c>
      <c r="N501" s="96" t="inlineStr">
        <is>
          <t>60일 거래대금 1.5억(기준 5억 미만), 변동성 43.2%(1년 기준, 기준 35% 초과)</t>
        </is>
      </c>
      <c r="O501" s="96" t="inlineStr">
        <is>
          <t>iSelect 메타버스 지수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연배당</t>
        </is>
      </c>
      <c r="S501" s="97" t="n">
        <v>2</v>
      </c>
      <c r="T501" s="98" t="n">
        <v>0.5161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IFERROR(INDEX($A$4:$A$593,MATCH(498,$X$4:$X$593,0)),"")</f>
        <v/>
      </c>
    </row>
    <row r="502">
      <c r="A502" s="96" t="inlineStr">
        <is>
          <t>WON 미국S&amp;P500</t>
        </is>
      </c>
      <c r="B502" s="96" t="inlineStr">
        <is>
          <t>444490</t>
        </is>
      </c>
      <c r="C502" s="96" t="inlineStr">
        <is>
          <t>우리자산운용</t>
        </is>
      </c>
      <c r="D502" s="97" t="n">
        <v>19940</v>
      </c>
      <c r="E502" s="97" t="n">
        <v>88733000000</v>
      </c>
      <c r="F502" s="97" t="n">
        <v>398847712</v>
      </c>
      <c r="G502" s="98" t="n">
        <v>0.0005</v>
      </c>
      <c r="H502" s="98" t="n">
        <v>0.1465</v>
      </c>
      <c r="I502" s="98" t="n">
        <v>0.003</v>
      </c>
      <c r="J502" s="98" t="n">
        <v>0.002859</v>
      </c>
      <c r="K502" s="97" t="n">
        <v>1</v>
      </c>
      <c r="L502" s="99" t="inlineStr">
        <is>
          <t>20251030</t>
        </is>
      </c>
      <c r="M502" s="96" t="inlineStr">
        <is>
          <t>제외</t>
        </is>
      </c>
      <c r="N502" s="96" t="inlineStr">
        <is>
          <t>60일 거래대금 4.0억(기준 5억 미만), 최근 12개월 분배 없음</t>
        </is>
      </c>
      <c r="O502" s="96" t="inlineStr">
        <is>
          <t>S&amp;P 500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무분배</t>
        </is>
      </c>
      <c r="S502" s="97" t="n">
        <v>0</v>
      </c>
      <c r="T502" s="98" t="n">
        <v>1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IFERROR(INDEX($A$4:$A$593,MATCH(499,$X$4:$X$593,0)),"")</f>
        <v/>
      </c>
    </row>
    <row r="503">
      <c r="A503" s="96" t="inlineStr">
        <is>
          <t>SOL 코리아메가테크액티브</t>
        </is>
      </c>
      <c r="B503" s="96" t="inlineStr">
        <is>
          <t>444200</t>
        </is>
      </c>
      <c r="C503" s="96" t="inlineStr">
        <is>
          <t>신한자산운용</t>
        </is>
      </c>
      <c r="D503" s="97" t="n">
        <v>45600</v>
      </c>
      <c r="E503" s="97" t="n">
        <v>506160000000</v>
      </c>
      <c r="F503" s="97" t="n">
        <v>11275314813</v>
      </c>
      <c r="G503" s="98" t="n">
        <v>0.005500000000000001</v>
      </c>
      <c r="H503" s="98" t="n">
        <v>0.5386</v>
      </c>
      <c r="I503" s="98" t="n">
        <v>0.0025</v>
      </c>
      <c r="J503" s="98" t="n">
        <v>0.002807</v>
      </c>
      <c r="K503" s="97" t="n">
        <v>4</v>
      </c>
      <c r="L503" s="99" t="inlineStr">
        <is>
          <t>20260429</t>
        </is>
      </c>
      <c r="M503" s="96" t="inlineStr">
        <is>
          <t>제외</t>
        </is>
      </c>
      <c r="N503" s="96" t="inlineStr">
        <is>
          <t>변동성 53.9%(1년 기준, 기준 35% 초과)</t>
        </is>
      </c>
      <c r="O503" s="96" t="inlineStr">
        <is>
          <t>KEDI 메가테크 지수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IFERROR(INDEX($A$4:$A$593,MATCH(500,$X$4:$X$593,0)),"")</f>
        <v/>
      </c>
    </row>
    <row r="504">
      <c r="A504" s="96" t="inlineStr">
        <is>
          <t>RISE 미국AI테크액티브</t>
        </is>
      </c>
      <c r="B504" s="96" t="inlineStr">
        <is>
          <t>495940</t>
        </is>
      </c>
      <c r="C504" s="96" t="inlineStr">
        <is>
          <t>KB자산운용</t>
        </is>
      </c>
      <c r="D504" s="97" t="n">
        <v>19850</v>
      </c>
      <c r="E504" s="97" t="n">
        <v>62527500000</v>
      </c>
      <c r="F504" s="97" t="n">
        <v>418383087</v>
      </c>
      <c r="G504" s="98" t="n">
        <v>0.005</v>
      </c>
      <c r="H504" s="98" t="n">
        <v>0.3839</v>
      </c>
      <c r="I504" s="98" t="n">
        <v>0.0013</v>
      </c>
      <c r="J504" s="98" t="n">
        <v>0.00272</v>
      </c>
      <c r="K504" s="97" t="n">
        <v>2</v>
      </c>
      <c r="L504" s="99" t="inlineStr">
        <is>
          <t>20260730</t>
        </is>
      </c>
      <c r="M504" s="96" t="inlineStr">
        <is>
          <t>제외</t>
        </is>
      </c>
      <c r="N504" s="96" t="inlineStr">
        <is>
          <t>60일 거래대금 4.2억(기준 5억 미만), 변동성 38.4%(1년 기준, 기준 35% 초과)</t>
        </is>
      </c>
      <c r="O504" s="96" t="inlineStr">
        <is>
          <t>Solactive US AI Tech Active Index PR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반기배당</t>
        </is>
      </c>
      <c r="S504" s="97" t="n">
        <v>2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IFERROR(INDEX($A$4:$A$593,MATCH(501,$X$4:$X$593,0)),"")</f>
        <v/>
      </c>
    </row>
    <row r="505">
      <c r="A505" s="96" t="inlineStr">
        <is>
          <t>TIGER 레버리지</t>
        </is>
      </c>
      <c r="B505" s="96" t="inlineStr">
        <is>
          <t>123320</t>
        </is>
      </c>
      <c r="C505" s="96" t="inlineStr">
        <is>
          <t>미래에셋자산운용</t>
        </is>
      </c>
      <c r="D505" s="97" t="n">
        <v>114150</v>
      </c>
      <c r="E505" s="97" t="n">
        <v>262545000000</v>
      </c>
      <c r="F505" s="97" t="n">
        <v>30077269630</v>
      </c>
      <c r="G505" s="98" t="n">
        <v>0.00022</v>
      </c>
      <c r="H505" s="98" t="n">
        <v>1.1631</v>
      </c>
      <c r="I505" s="98" t="n">
        <v>0.0067</v>
      </c>
      <c r="J505" s="98" t="n">
        <v>0.002628</v>
      </c>
      <c r="K505" s="97" t="n">
        <v>1</v>
      </c>
      <c r="L505" s="99" t="inlineStr">
        <is>
          <t>20251229</t>
        </is>
      </c>
      <c r="M505" s="96" t="inlineStr">
        <is>
          <t>제외</t>
        </is>
      </c>
      <c r="N505" s="96" t="inlineStr">
        <is>
          <t>변동성 116.3%(1년 기준, 기준 35% 초과)</t>
        </is>
      </c>
      <c r="O505" s="96" t="inlineStr">
        <is>
          <t>KOSPI 200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연배당</t>
        </is>
      </c>
      <c r="S505" s="97" t="n">
        <v>1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IFERROR(INDEX($A$4:$A$593,MATCH(502,$X$4:$X$593,0)),"")</f>
        <v/>
      </c>
    </row>
    <row r="506">
      <c r="A506" s="96" t="inlineStr">
        <is>
          <t>ACE 코리아AI테크핵심산업</t>
        </is>
      </c>
      <c r="B506" s="96" t="inlineStr">
        <is>
          <t>380340</t>
        </is>
      </c>
      <c r="C506" s="96" t="inlineStr">
        <is>
          <t>한국투신운용(ETF)</t>
        </is>
      </c>
      <c r="D506" s="97" t="n">
        <v>28625</v>
      </c>
      <c r="E506" s="97" t="n">
        <v>34350000000</v>
      </c>
      <c r="F506" s="97" t="n">
        <v>1433251704</v>
      </c>
      <c r="G506" s="98" t="n">
        <v>0.0035</v>
      </c>
      <c r="H506" s="98" t="n">
        <v>0.5804</v>
      </c>
      <c r="I506" s="98" t="n">
        <v>0.0031</v>
      </c>
      <c r="J506" s="98" t="n">
        <v>0.00262</v>
      </c>
      <c r="K506" s="97" t="n">
        <v>5</v>
      </c>
      <c r="L506" s="99" t="inlineStr">
        <is>
          <t>20260429</t>
        </is>
      </c>
      <c r="M506" s="96" t="inlineStr">
        <is>
          <t>제외</t>
        </is>
      </c>
      <c r="N506" s="96" t="inlineStr">
        <is>
          <t>변동성 58.0%(1년 기준, 기준 35% 초과)</t>
        </is>
      </c>
      <c r="O506" s="96" t="inlineStr">
        <is>
          <t>FnGuide 5G 플러스 지수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1</v>
      </c>
      <c r="T506" s="98" t="n">
        <v>0.9867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IFERROR(INDEX($A$4:$A$593,MATCH(503,$X$4:$X$593,0)),"")</f>
        <v/>
      </c>
    </row>
    <row r="507">
      <c r="A507" s="96" t="inlineStr">
        <is>
          <t>TIGER 차이나테크TOP10</t>
        </is>
      </c>
      <c r="B507" s="96" t="inlineStr">
        <is>
          <t>0047A0</t>
        </is>
      </c>
      <c r="C507" s="96" t="inlineStr">
        <is>
          <t>미래에셋자산운용</t>
        </is>
      </c>
      <c r="D507" s="97" t="n">
        <v>11640</v>
      </c>
      <c r="E507" s="97" t="n">
        <v>175182000000</v>
      </c>
      <c r="F507" s="97" t="n">
        <v>2120900230</v>
      </c>
      <c r="G507" s="98" t="n">
        <v>0.0049</v>
      </c>
      <c r="H507" s="98" t="n">
        <v>0.3649</v>
      </c>
      <c r="I507" s="98" t="n">
        <v>0.0022</v>
      </c>
      <c r="J507" s="98" t="n">
        <v>0.002577</v>
      </c>
      <c r="K507" s="97" t="n">
        <v>2</v>
      </c>
      <c r="L507" s="99" t="inlineStr">
        <is>
          <t>20251030</t>
        </is>
      </c>
      <c r="M507" s="96" t="inlineStr">
        <is>
          <t>제외</t>
        </is>
      </c>
      <c r="N507" s="96" t="inlineStr">
        <is>
          <t>변동성 36.5%(1년 기준, 기준 35% 초과), 최근 12개월 분배 없음</t>
        </is>
      </c>
      <c r="O507" s="96" t="inlineStr">
        <is>
          <t>Mirae Asset China Tech Top 10 Index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무분배</t>
        </is>
      </c>
      <c r="S507" s="97" t="n">
        <v>0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IFERROR(INDEX($A$4:$A$593,MATCH(504,$X$4:$X$593,0)),"")</f>
        <v/>
      </c>
    </row>
    <row r="508">
      <c r="A508" s="96" t="inlineStr">
        <is>
          <t>DAISHIN AI반도체&amp;인프라액티브</t>
        </is>
      </c>
      <c r="B508" s="96" t="inlineStr">
        <is>
          <t>486240</t>
        </is>
      </c>
      <c r="C508" s="96" t="inlineStr">
        <is>
          <t>대신자산운용</t>
        </is>
      </c>
      <c r="D508" s="97" t="n">
        <v>31875</v>
      </c>
      <c r="E508" s="97" t="n">
        <v>98812500000</v>
      </c>
      <c r="F508" s="97" t="n">
        <v>487962123</v>
      </c>
      <c r="G508" s="98" t="n">
        <v>0.0036</v>
      </c>
      <c r="H508" s="98" t="n">
        <v>0.6531</v>
      </c>
      <c r="I508" s="98" t="n">
        <v>0.0028</v>
      </c>
      <c r="J508" s="98" t="n">
        <v>0.002573</v>
      </c>
      <c r="K508" s="97" t="n">
        <v>2</v>
      </c>
      <c r="L508" s="99" t="inlineStr">
        <is>
          <t>20260429</t>
        </is>
      </c>
      <c r="M508" s="96" t="inlineStr">
        <is>
          <t>제외</t>
        </is>
      </c>
      <c r="N508" s="96" t="inlineStr">
        <is>
          <t>60일 거래대금 4.9억(기준 5억 미만), 변동성 65.3%(1년 기준, 기준 35% 초과)</t>
        </is>
      </c>
      <c r="O508" s="96" t="inlineStr">
        <is>
          <t>FnGuide AI반도체&amp;인프라 지수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연배당</t>
        </is>
      </c>
      <c r="S508" s="97" t="n">
        <v>1</v>
      </c>
      <c r="T508" s="98" t="n">
        <v>0.8537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IFERROR(INDEX($A$4:$A$593,MATCH(505,$X$4:$X$593,0)),"")</f>
        <v/>
      </c>
    </row>
    <row r="509">
      <c r="A509" s="96" t="inlineStr">
        <is>
          <t>TIGER 코스닥150</t>
        </is>
      </c>
      <c r="B509" s="96" t="inlineStr">
        <is>
          <t>232080</t>
        </is>
      </c>
      <c r="C509" s="96" t="inlineStr">
        <is>
          <t>미래에셋자산운용</t>
        </is>
      </c>
      <c r="D509" s="97" t="n">
        <v>15585</v>
      </c>
      <c r="E509" s="97" t="n">
        <v>1522031100000</v>
      </c>
      <c r="F509" s="97" t="n">
        <v>89588899212</v>
      </c>
      <c r="G509" s="98" t="n">
        <v>0.0019</v>
      </c>
      <c r="H509" s="98" t="n">
        <v>0.5477000000000001</v>
      </c>
      <c r="I509" s="98" t="n">
        <v>0.0019</v>
      </c>
      <c r="J509" s="98" t="n">
        <v>0.002567</v>
      </c>
      <c r="K509" s="97" t="n">
        <v>5</v>
      </c>
      <c r="L509" s="99" t="inlineStr">
        <is>
          <t>20260429</t>
        </is>
      </c>
      <c r="M509" s="96" t="inlineStr">
        <is>
          <t>제외</t>
        </is>
      </c>
      <c r="N509" s="96" t="inlineStr">
        <is>
          <t>변동성 54.8%(1년 기준, 기준 35% 초과)</t>
        </is>
      </c>
      <c r="O509" s="96" t="inlineStr">
        <is>
          <t>KOSDAQ 150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IFERROR(INDEX($A$4:$A$593,MATCH(506,$X$4:$X$593,0)),"")</f>
        <v/>
      </c>
    </row>
    <row r="510">
      <c r="A510" s="96" t="inlineStr">
        <is>
          <t>1Q 미국메디컬AI</t>
        </is>
      </c>
      <c r="B510" s="96" t="inlineStr">
        <is>
          <t>0083S0</t>
        </is>
      </c>
      <c r="C510" s="96" t="inlineStr">
        <is>
          <t>하나자산운용</t>
        </is>
      </c>
      <c r="D510" s="97" t="n">
        <v>12230</v>
      </c>
      <c r="E510" s="97" t="n">
        <v>31798000000</v>
      </c>
      <c r="F510" s="97" t="n">
        <v>392196152</v>
      </c>
      <c r="G510" s="98" t="n">
        <v>0.0049</v>
      </c>
      <c r="H510" s="98" t="n">
        <v>0.376</v>
      </c>
      <c r="I510" s="98" t="n">
        <v>0.002</v>
      </c>
      <c r="J510" s="98" t="n">
        <v>0.002535</v>
      </c>
      <c r="K510" s="97" t="n">
        <v>2</v>
      </c>
      <c r="L510" s="99" t="inlineStr">
        <is>
          <t>20260730</t>
        </is>
      </c>
      <c r="M510" s="96" t="inlineStr">
        <is>
          <t>제외</t>
        </is>
      </c>
      <c r="N510" s="96" t="inlineStr">
        <is>
          <t>60일 거래대금 3.9억(기준 5억 미만), 변동성 37.6%(1년 기준, 기준 35% 초과)</t>
        </is>
      </c>
      <c r="O510" s="96" t="inlineStr">
        <is>
          <t>KEDI U.S. Medical AI Index PR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0.3871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IFERROR(INDEX($A$4:$A$593,MATCH(507,$X$4:$X$593,0)),"")</f>
        <v/>
      </c>
    </row>
    <row r="511">
      <c r="A511" s="96" t="inlineStr">
        <is>
          <t>HANARO 글로벌금채굴기업</t>
        </is>
      </c>
      <c r="B511" s="96" t="inlineStr">
        <is>
          <t>473640</t>
        </is>
      </c>
      <c r="C511" s="96" t="inlineStr">
        <is>
          <t>NH-Amundi자산운용</t>
        </is>
      </c>
      <c r="D511" s="97" t="n">
        <v>31570</v>
      </c>
      <c r="E511" s="97" t="n">
        <v>66297000000</v>
      </c>
      <c r="F511" s="97" t="n">
        <v>1191957320</v>
      </c>
      <c r="G511" s="98" t="n">
        <v>0.0015</v>
      </c>
      <c r="H511" s="98" t="n">
        <v>0.4462</v>
      </c>
      <c r="I511" s="98" t="n">
        <v>0.002</v>
      </c>
      <c r="J511" s="98" t="n">
        <v>0.002534</v>
      </c>
      <c r="K511" s="97" t="n">
        <v>2</v>
      </c>
      <c r="L511" s="99" t="inlineStr">
        <is>
          <t>20260129</t>
        </is>
      </c>
      <c r="M511" s="96" t="inlineStr">
        <is>
          <t>제외</t>
        </is>
      </c>
      <c r="N511" s="96" t="inlineStr">
        <is>
          <t>변동성 44.6%(1년 기준, 기준 35% 초과)</t>
        </is>
      </c>
      <c r="O511" s="96" t="inlineStr">
        <is>
          <t>NYSE Arca Gold Miners Index (Price Return)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IFERROR(INDEX($A$4:$A$593,MATCH(508,$X$4:$X$593,0)),"")</f>
        <v/>
      </c>
    </row>
    <row r="512">
      <c r="A512" s="96" t="inlineStr">
        <is>
          <t>TIGER 미국AI반도체팹리스</t>
        </is>
      </c>
      <c r="B512" s="96" t="inlineStr">
        <is>
          <t>491830</t>
        </is>
      </c>
      <c r="C512" s="96" t="inlineStr">
        <is>
          <t>미래에셋자산운용</t>
        </is>
      </c>
      <c r="D512" s="97" t="n">
        <v>23700</v>
      </c>
      <c r="E512" s="97" t="n">
        <v>41475000000</v>
      </c>
      <c r="F512" s="97" t="n">
        <v>1080147328</v>
      </c>
      <c r="G512" s="98" t="n">
        <v>0.0049</v>
      </c>
      <c r="H512" s="98" t="n">
        <v>0.4513</v>
      </c>
      <c r="I512" s="98" t="n">
        <v>0.0007000000000000001</v>
      </c>
      <c r="J512" s="98" t="n">
        <v>0.002447</v>
      </c>
      <c r="K512" s="97" t="n">
        <v>7</v>
      </c>
      <c r="L512" s="99" t="inlineStr">
        <is>
          <t>20260730</t>
        </is>
      </c>
      <c r="M512" s="96" t="inlineStr">
        <is>
          <t>제외</t>
        </is>
      </c>
      <c r="N512" s="96" t="inlineStr">
        <is>
          <t>변동성 45.1%(1년 기준, 기준 35% 초과)</t>
        </is>
      </c>
      <c r="O512" s="96" t="inlineStr">
        <is>
          <t>Mirae Asset U.S. AI Fabless Index PR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분기배당</t>
        </is>
      </c>
      <c r="S512" s="97" t="n">
        <v>3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IFERROR(INDEX($A$4:$A$593,MATCH(509,$X$4:$X$593,0)),"")</f>
        <v/>
      </c>
    </row>
    <row r="513">
      <c r="A513" s="96" t="inlineStr">
        <is>
          <t>HK 머니마켓액티브</t>
        </is>
      </c>
      <c r="B513" s="96" t="inlineStr">
        <is>
          <t>0113P0</t>
        </is>
      </c>
      <c r="C513" s="96" t="inlineStr">
        <is>
          <t>흥국자산운용</t>
        </is>
      </c>
      <c r="D513" s="97" t="n">
        <v>102690</v>
      </c>
      <c r="E513" s="97" t="n">
        <v>51139620000</v>
      </c>
      <c r="F513" s="97" t="n">
        <v>2453758</v>
      </c>
      <c r="G513" s="98" t="n">
        <v>0.00045</v>
      </c>
      <c r="H513" s="98" t="n">
        <v>0.0029</v>
      </c>
      <c r="I513" s="98" t="n">
        <v>0.0024</v>
      </c>
      <c r="J513" s="98" t="n">
        <v>0.002396</v>
      </c>
      <c r="K513" s="97" t="n">
        <v>1</v>
      </c>
      <c r="L513" s="99" t="inlineStr">
        <is>
          <t>20251229</t>
        </is>
      </c>
      <c r="M513" s="96" t="inlineStr">
        <is>
          <t>제외</t>
        </is>
      </c>
      <c r="N513" s="96" t="inlineStr">
        <is>
          <t>60일 거래대금 0.0억(기준 5억 미만)</t>
        </is>
      </c>
      <c r="O513" s="96" t="inlineStr">
        <is>
          <t>KAP 머니마켓 지수(총수익)</t>
        </is>
      </c>
      <c r="P513" s="96" t="inlineStr">
        <is>
          <t>일반</t>
        </is>
      </c>
      <c r="Q513" s="96" t="inlineStr">
        <is>
          <t>단기자금(파킹형)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IFERROR(INDEX($A$4:$A$593,MATCH(510,$X$4:$X$593,0)),"")</f>
        <v/>
      </c>
    </row>
    <row r="514">
      <c r="A514" s="96" t="inlineStr">
        <is>
          <t>PLUS 미국S&amp;P500(H)</t>
        </is>
      </c>
      <c r="B514" s="96" t="inlineStr">
        <is>
          <t>269540</t>
        </is>
      </c>
      <c r="C514" s="96" t="inlineStr">
        <is>
          <t>한화자산운용</t>
        </is>
      </c>
      <c r="D514" s="97" t="n">
        <v>30060</v>
      </c>
      <c r="E514" s="97" t="n">
        <v>90180000000</v>
      </c>
      <c r="F514" s="97" t="n">
        <v>307369725</v>
      </c>
      <c r="G514" s="98" t="n">
        <v>6.2e-05</v>
      </c>
      <c r="H514" s="98" t="n">
        <v>0.1264</v>
      </c>
      <c r="I514" s="98" t="n">
        <v>0.0025</v>
      </c>
      <c r="J514" s="98" t="n">
        <v>0.002329</v>
      </c>
      <c r="K514" s="97" t="n">
        <v>4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60일 거래대금 3.1억(기준 5억 미만)</t>
        </is>
      </c>
      <c r="O514" s="96" t="inlineStr">
        <is>
          <t>S&amp;P 500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IFERROR(INDEX($A$4:$A$593,MATCH(511,$X$4:$X$593,0)),"")</f>
        <v/>
      </c>
    </row>
    <row r="515">
      <c r="A515" s="96" t="inlineStr">
        <is>
          <t>KODEX 로봇액티브</t>
        </is>
      </c>
      <c r="B515" s="96" t="inlineStr">
        <is>
          <t>445290</t>
        </is>
      </c>
      <c r="C515" s="96" t="inlineStr">
        <is>
          <t>삼성자산운용(ETF)</t>
        </is>
      </c>
      <c r="D515" s="97" t="n">
        <v>31060</v>
      </c>
      <c r="E515" s="97" t="n">
        <v>1077782000000</v>
      </c>
      <c r="F515" s="97" t="n">
        <v>19268010291</v>
      </c>
      <c r="G515" s="98" t="n">
        <v>0.005</v>
      </c>
      <c r="H515" s="98" t="n">
        <v>0.584</v>
      </c>
      <c r="I515" s="98" t="n">
        <v>0.0005</v>
      </c>
      <c r="J515" s="98" t="n">
        <v>0.002318</v>
      </c>
      <c r="K515" s="97" t="n">
        <v>5</v>
      </c>
      <c r="L515" s="99" t="inlineStr">
        <is>
          <t>20260730</t>
        </is>
      </c>
      <c r="M515" s="96" t="inlineStr">
        <is>
          <t>제외</t>
        </is>
      </c>
      <c r="N515" s="96" t="inlineStr">
        <is>
          <t>변동성 58.4%(1년 기준, 기준 35% 초과)</t>
        </is>
      </c>
      <c r="O515" s="96" t="inlineStr">
        <is>
          <t>iSelect K-Robotics Index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2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IFERROR(INDEX($A$4:$A$593,MATCH(512,$X$4:$X$593,0)),"")</f>
        <v/>
      </c>
    </row>
    <row r="516">
      <c r="A516" s="96" t="inlineStr">
        <is>
          <t>KODEX 미국AI소프트웨어TOP10</t>
        </is>
      </c>
      <c r="B516" s="96" t="inlineStr">
        <is>
          <t>0041D0</t>
        </is>
      </c>
      <c r="C516" s="96" t="inlineStr">
        <is>
          <t>삼성자산운용(ETF)</t>
        </is>
      </c>
      <c r="D516" s="97" t="n">
        <v>14400</v>
      </c>
      <c r="E516" s="97" t="n">
        <v>53280000000</v>
      </c>
      <c r="F516" s="97" t="n">
        <v>907946251</v>
      </c>
      <c r="G516" s="98" t="n">
        <v>0.004500000000000001</v>
      </c>
      <c r="H516" s="98" t="n">
        <v>0.3909</v>
      </c>
      <c r="I516" s="98" t="n">
        <v>0.001</v>
      </c>
      <c r="J516" s="98" t="n">
        <v>0.002292</v>
      </c>
      <c r="K516" s="97" t="n">
        <v>5</v>
      </c>
      <c r="L516" s="99" t="inlineStr">
        <is>
          <t>20260730</t>
        </is>
      </c>
      <c r="M516" s="96" t="inlineStr">
        <is>
          <t>제외</t>
        </is>
      </c>
      <c r="N516" s="96" t="inlineStr">
        <is>
          <t>변동성 39.1%(1년 기준, 기준 35% 초과)</t>
        </is>
      </c>
      <c r="O516" s="96" t="inlineStr">
        <is>
          <t>iSelect US AI Software TOP10 Index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분기배당</t>
        </is>
      </c>
      <c r="S516" s="97" t="n">
        <v>3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IFERROR(INDEX($A$4:$A$593,MATCH(513,$X$4:$X$593,0)),"")</f>
        <v/>
      </c>
    </row>
    <row r="517">
      <c r="A517" s="96" t="inlineStr">
        <is>
          <t>ACE 엔비디아밸류체인액티브</t>
        </is>
      </c>
      <c r="B517" s="96" t="inlineStr">
        <is>
          <t>483320</t>
        </is>
      </c>
      <c r="C517" s="96" t="inlineStr">
        <is>
          <t>한국투신운용(ETF)</t>
        </is>
      </c>
      <c r="D517" s="97" t="n">
        <v>26340</v>
      </c>
      <c r="E517" s="97" t="n">
        <v>306861000000</v>
      </c>
      <c r="F517" s="97" t="n">
        <v>16181931170</v>
      </c>
      <c r="G517" s="98" t="n">
        <v>0.004500000000000001</v>
      </c>
      <c r="H517" s="98" t="n">
        <v>0.4538</v>
      </c>
      <c r="I517" s="98" t="n">
        <v>0.0038</v>
      </c>
      <c r="J517" s="98" t="n">
        <v>0.002164</v>
      </c>
      <c r="K517" s="97" t="n">
        <v>1</v>
      </c>
      <c r="L517" s="99" t="inlineStr">
        <is>
          <t>20251229</t>
        </is>
      </c>
      <c r="M517" s="96" t="inlineStr">
        <is>
          <t>제외</t>
        </is>
      </c>
      <c r="N517" s="96" t="inlineStr">
        <is>
          <t>변동성 45.4%(1년 기준, 기준 35% 초과)</t>
        </is>
      </c>
      <c r="O517" s="96" t="inlineStr">
        <is>
          <t>KEDI Global AI Semiconductor Index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IFERROR(INDEX($A$4:$A$593,MATCH(514,$X$4:$X$593,0)),"")</f>
        <v/>
      </c>
    </row>
    <row r="518">
      <c r="A518" s="96" t="inlineStr">
        <is>
          <t>RISE IT플러스</t>
        </is>
      </c>
      <c r="B518" s="96" t="inlineStr">
        <is>
          <t>326240</t>
        </is>
      </c>
      <c r="C518" s="96" t="inlineStr">
        <is>
          <t>KB자산운용</t>
        </is>
      </c>
      <c r="D518" s="97" t="n">
        <v>46465</v>
      </c>
      <c r="E518" s="97" t="n">
        <v>116162500000</v>
      </c>
      <c r="F518" s="97" t="n">
        <v>615076742</v>
      </c>
      <c r="G518" s="98" t="n">
        <v>0.004</v>
      </c>
      <c r="H518" s="98" t="n">
        <v>0.6036</v>
      </c>
      <c r="I518" s="98" t="n">
        <v>0.0024</v>
      </c>
      <c r="J518" s="98" t="n">
        <v>0.002152</v>
      </c>
      <c r="K518" s="97" t="n">
        <v>5</v>
      </c>
      <c r="L518" s="99" t="inlineStr">
        <is>
          <t>20260429</t>
        </is>
      </c>
      <c r="M518" s="96" t="inlineStr">
        <is>
          <t>제외</t>
        </is>
      </c>
      <c r="N518" s="96" t="inlineStr">
        <is>
          <t>변동성 60.4%(1년 기준, 기준 35% 초과)</t>
        </is>
      </c>
      <c r="O518" s="96" t="inlineStr">
        <is>
          <t>FnGuide IT플러스 지수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연배당</t>
        </is>
      </c>
      <c r="S518" s="97" t="n">
        <v>1</v>
      </c>
      <c r="T518" s="98" t="n">
        <v>1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IFERROR(INDEX($A$4:$A$593,MATCH(515,$X$4:$X$593,0)),"")</f>
        <v/>
      </c>
    </row>
    <row r="519">
      <c r="A519" s="96" t="inlineStr">
        <is>
          <t>PLUS 우주항공</t>
        </is>
      </c>
      <c r="B519" s="96" t="inlineStr">
        <is>
          <t>421320</t>
        </is>
      </c>
      <c r="C519" s="96" t="inlineStr">
        <is>
          <t>한화자산운용</t>
        </is>
      </c>
      <c r="D519" s="97" t="n">
        <v>28620</v>
      </c>
      <c r="E519" s="97" t="n">
        <v>274752000000</v>
      </c>
      <c r="F519" s="97" t="n">
        <v>2742343482</v>
      </c>
      <c r="G519" s="98" t="n">
        <v>0.004500000000000001</v>
      </c>
      <c r="H519" s="98" t="n">
        <v>0.6453</v>
      </c>
      <c r="I519" s="98" t="n">
        <v>0.0012</v>
      </c>
      <c r="J519" s="98" t="n">
        <v>0.002096</v>
      </c>
      <c r="K519" s="97" t="n">
        <v>4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64.5%(1년 기준, 기준 35% 초과)</t>
        </is>
      </c>
      <c r="O519" s="96" t="inlineStr">
        <is>
          <t>iSelect 우주항공UAM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0.8667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IFERROR(INDEX($A$4:$A$593,MATCH(516,$X$4:$X$593,0)),"")</f>
        <v/>
      </c>
    </row>
    <row r="520">
      <c r="A520" s="96" t="inlineStr">
        <is>
          <t>WON 미국우주항공방산</t>
        </is>
      </c>
      <c r="B520" s="96" t="inlineStr">
        <is>
          <t>440910</t>
        </is>
      </c>
      <c r="C520" s="96" t="inlineStr">
        <is>
          <t>우리자산운용</t>
        </is>
      </c>
      <c r="D520" s="97" t="n">
        <v>21570</v>
      </c>
      <c r="E520" s="97" t="n">
        <v>48532500000</v>
      </c>
      <c r="F520" s="97" t="n">
        <v>343830202</v>
      </c>
      <c r="G520" s="98" t="n">
        <v>0.0035</v>
      </c>
      <c r="H520" s="98" t="n">
        <v>0.3052</v>
      </c>
      <c r="I520" s="98" t="n">
        <v>0.0018</v>
      </c>
      <c r="J520" s="98" t="n">
        <v>0.002086</v>
      </c>
      <c r="K520" s="97" t="n">
        <v>1</v>
      </c>
      <c r="L520" s="99" t="inlineStr">
        <is>
          <t>20251030</t>
        </is>
      </c>
      <c r="M520" s="96" t="inlineStr">
        <is>
          <t>제외</t>
        </is>
      </c>
      <c r="N520" s="96" t="inlineStr">
        <is>
          <t>60일 거래대금 3.4억(기준 5억 미만), 최근 12개월 분배 없음</t>
        </is>
      </c>
      <c r="O520" s="96" t="inlineStr">
        <is>
          <t>S&amp;P Aerospace &amp; Defense Select Industry Index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무분배</t>
        </is>
      </c>
      <c r="S520" s="97" t="n">
        <v>0</v>
      </c>
      <c r="T520" s="98" t="n">
        <v>1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IFERROR(INDEX($A$4:$A$593,MATCH(517,$X$4:$X$593,0)),"")</f>
        <v/>
      </c>
    </row>
    <row r="521">
      <c r="A521" s="96" t="inlineStr">
        <is>
          <t>TIGER 코리아원자력</t>
        </is>
      </c>
      <c r="B521" s="96" t="inlineStr">
        <is>
          <t>0091P0</t>
        </is>
      </c>
      <c r="C521" s="96" t="inlineStr">
        <is>
          <t>미래에셋자산운용</t>
        </is>
      </c>
      <c r="D521" s="97" t="n">
        <v>17040</v>
      </c>
      <c r="E521" s="97" t="n">
        <v>612588000000</v>
      </c>
      <c r="F521" s="97" t="n">
        <v>35015038569</v>
      </c>
      <c r="G521" s="98" t="n">
        <v>0.005</v>
      </c>
      <c r="H521" s="98" t="n">
        <v>0.6825</v>
      </c>
      <c r="I521" s="98" t="n">
        <v>0.0013</v>
      </c>
      <c r="J521" s="98" t="n">
        <v>0.002054</v>
      </c>
      <c r="K521" s="97" t="n">
        <v>1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68.3%(1년 기준, 기준 35% 초과)</t>
        </is>
      </c>
      <c r="O521" s="96" t="inlineStr">
        <is>
          <t>iSelect 코리아 원자력 지수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연배당</t>
        </is>
      </c>
      <c r="S521" s="97" t="n">
        <v>1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IFERROR(INDEX($A$4:$A$593,MATCH(518,$X$4:$X$593,0)),"")</f>
        <v/>
      </c>
    </row>
    <row r="522">
      <c r="A522" s="96" t="inlineStr">
        <is>
          <t>TIGER 2차전지소재Fn</t>
        </is>
      </c>
      <c r="B522" s="96" t="inlineStr">
        <is>
          <t>462010</t>
        </is>
      </c>
      <c r="C522" s="96" t="inlineStr">
        <is>
          <t>미래에셋자산운용</t>
        </is>
      </c>
      <c r="D522" s="97" t="n">
        <v>4870</v>
      </c>
      <c r="E522" s="97" t="n">
        <v>532534500000</v>
      </c>
      <c r="F522" s="97" t="n">
        <v>16215992250</v>
      </c>
      <c r="G522" s="98" t="n">
        <v>0.0039</v>
      </c>
      <c r="H522" s="98" t="n">
        <v>0.6716</v>
      </c>
      <c r="I522" s="98" t="n">
        <v>0.0013</v>
      </c>
      <c r="J522" s="98" t="n">
        <v>0.002053</v>
      </c>
      <c r="K522" s="97" t="n">
        <v>3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67.2%(1년 기준, 기준 35% 초과)</t>
        </is>
      </c>
      <c r="O522" s="96" t="inlineStr">
        <is>
          <t>FnGuide 2차전지소재 지수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1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IFERROR(INDEX($A$4:$A$593,MATCH(519,$X$4:$X$593,0)),"")</f>
        <v/>
      </c>
    </row>
    <row r="523">
      <c r="A523" s="96" t="inlineStr">
        <is>
          <t>TIGER 차이나반도체FACTSET</t>
        </is>
      </c>
      <c r="B523" s="96" t="inlineStr">
        <is>
          <t>396520</t>
        </is>
      </c>
      <c r="C523" s="96" t="inlineStr">
        <is>
          <t>미래에셋자산운용</t>
        </is>
      </c>
      <c r="D523" s="97" t="n">
        <v>12215</v>
      </c>
      <c r="E523" s="97" t="n">
        <v>504235200000</v>
      </c>
      <c r="F523" s="97" t="n">
        <v>18634392946</v>
      </c>
      <c r="G523" s="98" t="n">
        <v>0.0049</v>
      </c>
      <c r="H523" s="98" t="n">
        <v>0.5229</v>
      </c>
      <c r="I523" s="98" t="n">
        <v>0.0025</v>
      </c>
      <c r="J523" s="98" t="n">
        <v>0.002047</v>
      </c>
      <c r="K523" s="97" t="n">
        <v>1</v>
      </c>
      <c r="L523" s="99" t="inlineStr">
        <is>
          <t>20251229</t>
        </is>
      </c>
      <c r="M523" s="96" t="inlineStr">
        <is>
          <t>제외</t>
        </is>
      </c>
      <c r="N523" s="96" t="inlineStr">
        <is>
          <t>변동성 52.3%(1년 기준, 기준 35% 초과)</t>
        </is>
      </c>
      <c r="O523" s="96" t="inlineStr">
        <is>
          <t>FactSet China Semiconductor Index PR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0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IFERROR(INDEX($A$4:$A$593,MATCH(520,$X$4:$X$593,0)),"")</f>
        <v/>
      </c>
    </row>
    <row r="524">
      <c r="A524" s="96" t="inlineStr">
        <is>
          <t>SOL 코스닥150</t>
        </is>
      </c>
      <c r="B524" s="96" t="inlineStr">
        <is>
          <t>450910</t>
        </is>
      </c>
      <c r="C524" s="96" t="inlineStr">
        <is>
          <t>신한자산운용</t>
        </is>
      </c>
      <c r="D524" s="97" t="n">
        <v>14970</v>
      </c>
      <c r="E524" s="97" t="n">
        <v>39221400000</v>
      </c>
      <c r="F524" s="97" t="n">
        <v>1020912161</v>
      </c>
      <c r="G524" s="98" t="n">
        <v>0.0015</v>
      </c>
      <c r="H524" s="98" t="n">
        <v>0.5474</v>
      </c>
      <c r="I524" s="98" t="n">
        <v>0.0015</v>
      </c>
      <c r="J524" s="98" t="n">
        <v>0.002004</v>
      </c>
      <c r="K524" s="97" t="n">
        <v>3</v>
      </c>
      <c r="L524" s="99" t="inlineStr">
        <is>
          <t>20260429</t>
        </is>
      </c>
      <c r="M524" s="96" t="inlineStr">
        <is>
          <t>제외</t>
        </is>
      </c>
      <c r="N524" s="96" t="inlineStr">
        <is>
          <t>변동성 54.7%(1년 기준, 기준 35% 초과)</t>
        </is>
      </c>
      <c r="O524" s="96" t="inlineStr">
        <is>
          <t>KOSDAQ 150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IFERROR(INDEX($A$4:$A$593,MATCH(521,$X$4:$X$593,0)),"")</f>
        <v/>
      </c>
    </row>
    <row r="525">
      <c r="A525" s="96" t="inlineStr">
        <is>
          <t>SOL 조선TOP3플러스</t>
        </is>
      </c>
      <c r="B525" s="96" t="inlineStr">
        <is>
          <t>466920</t>
        </is>
      </c>
      <c r="C525" s="96" t="inlineStr">
        <is>
          <t>신한자산운용</t>
        </is>
      </c>
      <c r="D525" s="97" t="n">
        <v>26165</v>
      </c>
      <c r="E525" s="97" t="n">
        <v>1380203750000</v>
      </c>
      <c r="F525" s="97" t="n">
        <v>51185977305</v>
      </c>
      <c r="G525" s="98" t="n">
        <v>0.004500000000000001</v>
      </c>
      <c r="H525" s="98" t="n">
        <v>0.5474</v>
      </c>
      <c r="I525" s="98" t="n">
        <v>0.0012</v>
      </c>
      <c r="J525" s="98" t="n">
        <v>0.001987</v>
      </c>
      <c r="K525" s="97" t="n">
        <v>2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54.7%(1년 기준, 기준 35% 초과)</t>
        </is>
      </c>
      <c r="O525" s="96" t="inlineStr">
        <is>
          <t>FnGuide 조선 TOP3 플러스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IFERROR(INDEX($A$4:$A$593,MATCH(522,$X$4:$X$593,0)),"")</f>
        <v/>
      </c>
    </row>
    <row r="526">
      <c r="A526" s="96" t="inlineStr">
        <is>
          <t>TIGER 헬스케어</t>
        </is>
      </c>
      <c r="B526" s="96" t="inlineStr">
        <is>
          <t>143860</t>
        </is>
      </c>
      <c r="C526" s="96" t="inlineStr">
        <is>
          <t>미래에셋자산운용</t>
        </is>
      </c>
      <c r="D526" s="97" t="n">
        <v>36370</v>
      </c>
      <c r="E526" s="97" t="n">
        <v>144752600000</v>
      </c>
      <c r="F526" s="97" t="n">
        <v>1286189667</v>
      </c>
      <c r="G526" s="98" t="n">
        <v>0.004</v>
      </c>
      <c r="H526" s="98" t="n">
        <v>0.4338</v>
      </c>
      <c r="I526" s="98" t="n">
        <v>0.0015</v>
      </c>
      <c r="J526" s="98" t="n">
        <v>0.00198</v>
      </c>
      <c r="K526" s="97" t="n">
        <v>5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43.4%(1년 기준, 기준 35% 초과)</t>
        </is>
      </c>
      <c r="O526" s="96" t="inlineStr">
        <is>
          <t>KRX 헬스케어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IFERROR(INDEX($A$4:$A$593,MATCH(523,$X$4:$X$593,0)),"")</f>
        <v/>
      </c>
    </row>
    <row r="527">
      <c r="A527" s="96" t="inlineStr">
        <is>
          <t>SOL 조선TOP3플러스레버리지</t>
        </is>
      </c>
      <c r="B527" s="96" t="inlineStr">
        <is>
          <t>0080Y0</t>
        </is>
      </c>
      <c r="C527" s="96" t="inlineStr">
        <is>
          <t>신한자산운용</t>
        </is>
      </c>
      <c r="D527" s="97" t="n">
        <v>7620</v>
      </c>
      <c r="E527" s="97" t="n">
        <v>99822000000</v>
      </c>
      <c r="F527" s="97" t="n">
        <v>7458191138</v>
      </c>
      <c r="G527" s="98" t="n">
        <v>0.005</v>
      </c>
      <c r="H527" s="98" t="n">
        <v>1.0682</v>
      </c>
      <c r="I527" s="98" t="n">
        <v>0.0009</v>
      </c>
      <c r="J527" s="98" t="n">
        <v>0.001969</v>
      </c>
      <c r="K527" s="97" t="n">
        <v>1</v>
      </c>
      <c r="L527" s="99" t="inlineStr">
        <is>
          <t>20251229</t>
        </is>
      </c>
      <c r="M527" s="96" t="inlineStr">
        <is>
          <t>제외</t>
        </is>
      </c>
      <c r="N527" s="96" t="inlineStr">
        <is>
          <t>변동성 106.8%(1년 기준, 기준 35% 초과)</t>
        </is>
      </c>
      <c r="O527" s="96" t="inlineStr">
        <is>
          <t>FnGuide 조선 TOP3 플러스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0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IFERROR(INDEX($A$4:$A$593,MATCH(524,$X$4:$X$593,0)),"")</f>
        <v/>
      </c>
    </row>
    <row r="528">
      <c r="A528" s="96" t="inlineStr">
        <is>
          <t>KIWOOM 코스닥150</t>
        </is>
      </c>
      <c r="B528" s="96" t="inlineStr">
        <is>
          <t>316670</t>
        </is>
      </c>
      <c r="C528" s="96" t="inlineStr">
        <is>
          <t>키움투자자산운용</t>
        </is>
      </c>
      <c r="D528" s="97" t="n">
        <v>7620</v>
      </c>
      <c r="E528" s="97" t="n">
        <v>49834800000</v>
      </c>
      <c r="F528" s="97" t="n">
        <v>971069022</v>
      </c>
      <c r="G528" s="98" t="n">
        <v>0.0015</v>
      </c>
      <c r="H528" s="98" t="n">
        <v>0.5477000000000001</v>
      </c>
      <c r="I528" s="98" t="n">
        <v>0.0015</v>
      </c>
      <c r="J528" s="98" t="n">
        <v>0.001969</v>
      </c>
      <c r="K528" s="97" t="n">
        <v>5</v>
      </c>
      <c r="L528" s="99" t="inlineStr">
        <is>
          <t>20260429</t>
        </is>
      </c>
      <c r="M528" s="96" t="inlineStr">
        <is>
          <t>제외</t>
        </is>
      </c>
      <c r="N528" s="96" t="inlineStr">
        <is>
          <t>변동성 54.8%(1년 기준, 기준 35% 초과)</t>
        </is>
      </c>
      <c r="O528" s="96" t="inlineStr">
        <is>
          <t>KOSDAQ 150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1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IFERROR(INDEX($A$4:$A$593,MATCH(525,$X$4:$X$593,0)),"")</f>
        <v/>
      </c>
    </row>
    <row r="529">
      <c r="A529" s="96" t="inlineStr">
        <is>
          <t>HANARO CAPEX설비투자iSelect</t>
        </is>
      </c>
      <c r="B529" s="96" t="inlineStr">
        <is>
          <t>454320</t>
        </is>
      </c>
      <c r="C529" s="96" t="inlineStr">
        <is>
          <t>NH-Amundi자산운용</t>
        </is>
      </c>
      <c r="D529" s="97" t="n">
        <v>41550</v>
      </c>
      <c r="E529" s="97" t="n">
        <v>89332500000</v>
      </c>
      <c r="F529" s="97" t="n">
        <v>559827789</v>
      </c>
      <c r="G529" s="98" t="n">
        <v>0.004500000000000001</v>
      </c>
      <c r="H529" s="98" t="n">
        <v>0.5672</v>
      </c>
      <c r="I529" s="98" t="n">
        <v>0.0014</v>
      </c>
      <c r="J529" s="98" t="n">
        <v>0.001925</v>
      </c>
      <c r="K529" s="97" t="n">
        <v>3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56.7%(1년 기준, 기준 35% 초과)</t>
        </is>
      </c>
      <c r="O529" s="96" t="inlineStr">
        <is>
          <t>iSelect CAPEX 설비투자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1</v>
      </c>
      <c r="T529" s="98" t="n">
        <v>1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IFERROR(INDEX($A$4:$A$593,MATCH(526,$X$4:$X$593,0)),"")</f>
        <v/>
      </c>
    </row>
    <row r="530">
      <c r="A530" s="96" t="inlineStr">
        <is>
          <t>SOL 한국원자력SMR</t>
        </is>
      </c>
      <c r="B530" s="96" t="inlineStr">
        <is>
          <t>0092B0</t>
        </is>
      </c>
      <c r="C530" s="96" t="inlineStr">
        <is>
          <t>신한자산운용</t>
        </is>
      </c>
      <c r="D530" s="97" t="n">
        <v>15590</v>
      </c>
      <c r="E530" s="97" t="n">
        <v>130176500000</v>
      </c>
      <c r="F530" s="97" t="n">
        <v>2773397079</v>
      </c>
      <c r="G530" s="98" t="n">
        <v>0.004500000000000001</v>
      </c>
      <c r="H530" s="98" t="n">
        <v>0.6445000000000001</v>
      </c>
      <c r="I530" s="98" t="n">
        <v>0.001</v>
      </c>
      <c r="J530" s="98" t="n">
        <v>0.001924</v>
      </c>
      <c r="K530" s="97" t="n">
        <v>2</v>
      </c>
      <c r="L530" s="99" t="inlineStr">
        <is>
          <t>20260429</t>
        </is>
      </c>
      <c r="M530" s="96" t="inlineStr">
        <is>
          <t>제외</t>
        </is>
      </c>
      <c r="N530" s="96" t="inlineStr">
        <is>
          <t>변동성 64.4%(1년 기준, 기준 35% 초과)</t>
        </is>
      </c>
      <c r="O530" s="96" t="inlineStr">
        <is>
          <t>FnGuide 한국원자력SMR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2</v>
      </c>
      <c r="T530" s="98" t="n">
        <v>0.8333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IFERROR(INDEX($A$4:$A$593,MATCH(527,$X$4:$X$593,0)),"")</f>
        <v/>
      </c>
    </row>
    <row r="531">
      <c r="A531" s="96" t="inlineStr">
        <is>
          <t>TIGER 반도체TOP10</t>
        </is>
      </c>
      <c r="B531" s="96" t="inlineStr">
        <is>
          <t>396500</t>
        </is>
      </c>
      <c r="C531" s="96" t="inlineStr">
        <is>
          <t>미래에셋자산운용</t>
        </is>
      </c>
      <c r="D531" s="97" t="n">
        <v>39950</v>
      </c>
      <c r="E531" s="97" t="n">
        <v>10554790000000</v>
      </c>
      <c r="F531" s="97" t="n">
        <v>470085810688</v>
      </c>
      <c r="G531" s="98" t="n">
        <v>0.004500000000000001</v>
      </c>
      <c r="H531" s="98" t="n">
        <v>0.7570999999999999</v>
      </c>
      <c r="I531" s="98" t="n">
        <v>0.0015</v>
      </c>
      <c r="J531" s="98" t="n">
        <v>0.001877</v>
      </c>
      <c r="K531" s="97" t="n">
        <v>9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75.7%(1년 기준, 기준 35% 초과)</t>
        </is>
      </c>
      <c r="O531" s="96" t="inlineStr">
        <is>
          <t>FnGuide 반도체 TOP10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1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IFERROR(INDEX($A$4:$A$593,MATCH(528,$X$4:$X$593,0)),"")</f>
        <v/>
      </c>
    </row>
    <row r="532">
      <c r="A532" s="96" t="inlineStr">
        <is>
          <t>IBK K-AI반도체코어테크</t>
        </is>
      </c>
      <c r="B532" s="96" t="inlineStr">
        <is>
          <t>0005G0</t>
        </is>
      </c>
      <c r="C532" s="96" t="inlineStr">
        <is>
          <t>IBK자산운용</t>
        </is>
      </c>
      <c r="D532" s="97" t="n">
        <v>57275</v>
      </c>
      <c r="E532" s="97" t="n">
        <v>197598750000</v>
      </c>
      <c r="F532" s="97" t="n">
        <v>2169310071</v>
      </c>
      <c r="G532" s="98" t="n">
        <v>0.0028</v>
      </c>
      <c r="H532" s="98" t="n">
        <v>0.6997</v>
      </c>
      <c r="I532" s="98" t="n">
        <v>0.0003</v>
      </c>
      <c r="J532" s="98" t="n">
        <v>0.001851</v>
      </c>
      <c r="K532" s="97" t="n">
        <v>6</v>
      </c>
      <c r="L532" s="99" t="inlineStr">
        <is>
          <t>20260730</t>
        </is>
      </c>
      <c r="M532" s="96" t="inlineStr">
        <is>
          <t>제외</t>
        </is>
      </c>
      <c r="N532" s="96" t="inlineStr">
        <is>
          <t>변동성 70.0%(1년 기준, 기준 35% 초과)</t>
        </is>
      </c>
      <c r="O532" s="96" t="inlineStr">
        <is>
          <t>FnGuide K-AI반도체 코어테크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분기배당</t>
        </is>
      </c>
      <c r="S532" s="97" t="n">
        <v>3</v>
      </c>
      <c r="T532" s="98" t="n">
        <v>0.8208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IFERROR(INDEX($A$4:$A$593,MATCH(529,$X$4:$X$593,0)),"")</f>
        <v/>
      </c>
    </row>
    <row r="533">
      <c r="A533" s="96" t="inlineStr">
        <is>
          <t>HANARO 전력설비투자</t>
        </is>
      </c>
      <c r="B533" s="96" t="inlineStr">
        <is>
          <t>491820</t>
        </is>
      </c>
      <c r="C533" s="96" t="inlineStr">
        <is>
          <t>NH-Amundi자산운용</t>
        </is>
      </c>
      <c r="D533" s="97" t="n">
        <v>43600</v>
      </c>
      <c r="E533" s="97" t="n">
        <v>159140000000</v>
      </c>
      <c r="F533" s="97" t="n">
        <v>7179244523</v>
      </c>
      <c r="G533" s="98" t="n">
        <v>0.0035</v>
      </c>
      <c r="H533" s="98" t="n">
        <v>0.7036</v>
      </c>
      <c r="I533" s="98" t="n">
        <v>0.0014</v>
      </c>
      <c r="J533" s="98" t="n">
        <v>0.001835</v>
      </c>
      <c r="K533" s="97" t="n">
        <v>2</v>
      </c>
      <c r="L533" s="99" t="inlineStr">
        <is>
          <t>20260429</t>
        </is>
      </c>
      <c r="M533" s="96" t="inlineStr">
        <is>
          <t>제외</t>
        </is>
      </c>
      <c r="N533" s="96" t="inlineStr">
        <is>
          <t>변동성 70.4%(1년 기준, 기준 35% 초과)</t>
        </is>
      </c>
      <c r="O533" s="96" t="inlineStr">
        <is>
          <t>iSelect 전력설비투자 지수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IFERROR(INDEX($A$4:$A$593,MATCH(530,$X$4:$X$593,0)),"")</f>
        <v/>
      </c>
    </row>
    <row r="534">
      <c r="A534" s="96" t="inlineStr">
        <is>
          <t>KODEX 코스닥150</t>
        </is>
      </c>
      <c r="B534" s="96" t="inlineStr">
        <is>
          <t>229200</t>
        </is>
      </c>
      <c r="C534" s="96" t="inlineStr">
        <is>
          <t>삼성자산운용(ETF)</t>
        </is>
      </c>
      <c r="D534" s="97" t="n">
        <v>15315</v>
      </c>
      <c r="E534" s="97" t="n">
        <v>5095300500000</v>
      </c>
      <c r="F534" s="97" t="n">
        <v>497944013823</v>
      </c>
      <c r="G534" s="98" t="n">
        <v>0.0025</v>
      </c>
      <c r="H534" s="98" t="n">
        <v>0.5478999999999999</v>
      </c>
      <c r="I534" s="98" t="n">
        <v>0.0014</v>
      </c>
      <c r="J534" s="98" t="n">
        <v>0.001828</v>
      </c>
      <c r="K534" s="97" t="n">
        <v>5</v>
      </c>
      <c r="L534" s="99" t="inlineStr">
        <is>
          <t>20260429</t>
        </is>
      </c>
      <c r="M534" s="96" t="inlineStr">
        <is>
          <t>제외</t>
        </is>
      </c>
      <c r="N534" s="96" t="inlineStr">
        <is>
          <t>변동성 54.8%(1년 기준, 기준 35% 초과)</t>
        </is>
      </c>
      <c r="O534" s="96" t="inlineStr">
        <is>
          <t>KOSDAQ 150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0.9643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IFERROR(INDEX($A$4:$A$593,MATCH(531,$X$4:$X$593,0)),"")</f>
        <v/>
      </c>
    </row>
    <row r="535">
      <c r="A535" s="96" t="inlineStr">
        <is>
          <t>ACE AI반도체TOP3+</t>
        </is>
      </c>
      <c r="B535" s="96" t="inlineStr">
        <is>
          <t>469150</t>
        </is>
      </c>
      <c r="C535" s="96" t="inlineStr">
        <is>
          <t>한국투신운용(ETF)</t>
        </is>
      </c>
      <c r="D535" s="97" t="n">
        <v>66500</v>
      </c>
      <c r="E535" s="97" t="n">
        <v>1369900000000</v>
      </c>
      <c r="F535" s="97" t="n">
        <v>53779027772</v>
      </c>
      <c r="G535" s="98" t="n">
        <v>0.003</v>
      </c>
      <c r="H535" s="98" t="n">
        <v>0.7515000000000001</v>
      </c>
      <c r="I535" s="98" t="n">
        <v>0.002</v>
      </c>
      <c r="J535" s="98" t="n">
        <v>0.001805</v>
      </c>
      <c r="K535" s="97" t="n">
        <v>3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75.1%(1년 기준, 기준 35% 초과)</t>
        </is>
      </c>
      <c r="O535" s="96" t="inlineStr">
        <is>
          <t>FnGuide AI 반도체 TOP3+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0.9833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IFERROR(INDEX($A$4:$A$593,MATCH(532,$X$4:$X$593,0)),"")</f>
        <v/>
      </c>
    </row>
    <row r="536">
      <c r="A536" s="96" t="inlineStr">
        <is>
          <t>PLUS 한화그룹주</t>
        </is>
      </c>
      <c r="B536" s="96" t="inlineStr">
        <is>
          <t>0000J0</t>
        </is>
      </c>
      <c r="C536" s="96" t="inlineStr">
        <is>
          <t>한화자산운용</t>
        </is>
      </c>
      <c r="D536" s="97" t="n">
        <v>28250</v>
      </c>
      <c r="E536" s="97" t="n">
        <v>113000000000</v>
      </c>
      <c r="F536" s="97" t="n">
        <v>4561965948</v>
      </c>
      <c r="G536" s="98" t="n">
        <v>0.0019</v>
      </c>
      <c r="H536" s="98" t="n">
        <v>0.5760000000000001</v>
      </c>
      <c r="I536" s="98" t="n">
        <v>0.0012</v>
      </c>
      <c r="J536" s="98" t="n">
        <v>0.00177</v>
      </c>
      <c r="K536" s="97" t="n">
        <v>2</v>
      </c>
      <c r="L536" s="99" t="inlineStr">
        <is>
          <t>20260429</t>
        </is>
      </c>
      <c r="M536" s="96" t="inlineStr">
        <is>
          <t>제외</t>
        </is>
      </c>
      <c r="N536" s="96" t="inlineStr">
        <is>
          <t>변동성 57.6%(1년 기준, 기준 35% 초과)</t>
        </is>
      </c>
      <c r="O536" s="96" t="inlineStr">
        <is>
          <t>FnGuide 한화그룹주 지수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1</v>
      </c>
      <c r="T536" s="98" t="n">
        <v>0.92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IFERROR(INDEX($A$4:$A$593,MATCH(533,$X$4:$X$593,0)),"")</f>
        <v/>
      </c>
    </row>
    <row r="537">
      <c r="A537" s="96" t="inlineStr">
        <is>
          <t>TIGER 유로스탁스50(합성 H)</t>
        </is>
      </c>
      <c r="B537" s="96" t="inlineStr">
        <is>
          <t>195930</t>
        </is>
      </c>
      <c r="C537" s="96" t="inlineStr">
        <is>
          <t>미래에셋자산운용</t>
        </is>
      </c>
      <c r="D537" s="97" t="n">
        <v>22935</v>
      </c>
      <c r="E537" s="97" t="n">
        <v>36696000000</v>
      </c>
      <c r="F537" s="97" t="n">
        <v>223811953</v>
      </c>
      <c r="G537" s="98" t="n">
        <v>0.0024</v>
      </c>
      <c r="H537" s="98" t="n">
        <v>0.1542</v>
      </c>
      <c r="I537" s="98" t="n">
        <v>0.0019</v>
      </c>
      <c r="J537" s="98" t="n">
        <v>0.001744</v>
      </c>
      <c r="K537" s="97" t="n">
        <v>1</v>
      </c>
      <c r="L537" s="99" t="inlineStr">
        <is>
          <t>20251229</t>
        </is>
      </c>
      <c r="M537" s="96" t="inlineStr">
        <is>
          <t>제외</t>
        </is>
      </c>
      <c r="N537" s="96" t="inlineStr">
        <is>
          <t>60일 거래대금 2.2억(기준 5억 미만)</t>
        </is>
      </c>
      <c r="O537" s="96" t="inlineStr">
        <is>
          <t>EURO STOXX 50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1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IFERROR(INDEX($A$4:$A$593,MATCH(534,$X$4:$X$593,0)),"")</f>
        <v/>
      </c>
    </row>
    <row r="538">
      <c r="A538" s="96" t="inlineStr">
        <is>
          <t>RISE 비메모리반도체액티브</t>
        </is>
      </c>
      <c r="B538" s="96" t="inlineStr">
        <is>
          <t>388420</t>
        </is>
      </c>
      <c r="C538" s="96" t="inlineStr">
        <is>
          <t>KB자산운용</t>
        </is>
      </c>
      <c r="D538" s="97" t="n">
        <v>31640</v>
      </c>
      <c r="E538" s="97" t="n">
        <v>277799200000</v>
      </c>
      <c r="F538" s="97" t="n">
        <v>7582490677</v>
      </c>
      <c r="G538" s="98" t="n">
        <v>0.005</v>
      </c>
      <c r="H538" s="98" t="n">
        <v>0.6937000000000001</v>
      </c>
      <c r="I538" s="98" t="n">
        <v>0.0026</v>
      </c>
      <c r="J538" s="98" t="n">
        <v>0.001738</v>
      </c>
      <c r="K538" s="97" t="n">
        <v>5</v>
      </c>
      <c r="L538" s="99" t="inlineStr">
        <is>
          <t>20260730</t>
        </is>
      </c>
      <c r="M538" s="96" t="inlineStr">
        <is>
          <t>제외</t>
        </is>
      </c>
      <c r="N538" s="96" t="inlineStr">
        <is>
          <t>변동성 69.4%(1년 기준, 기준 35% 초과)</t>
        </is>
      </c>
      <c r="O538" s="96" t="inlineStr">
        <is>
          <t>iSelect 비메모리 반도체 지수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0.3455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IFERROR(INDEX($A$4:$A$593,MATCH(535,$X$4:$X$593,0)),"")</f>
        <v/>
      </c>
    </row>
    <row r="539">
      <c r="A539" s="96" t="inlineStr">
        <is>
          <t>TIGER 글로벌AI사이버보안</t>
        </is>
      </c>
      <c r="B539" s="96" t="inlineStr">
        <is>
          <t>418670</t>
        </is>
      </c>
      <c r="C539" s="96" t="inlineStr">
        <is>
          <t>미래에셋자산운용</t>
        </is>
      </c>
      <c r="D539" s="97" t="n">
        <v>19200</v>
      </c>
      <c r="E539" s="97" t="n">
        <v>66816000000</v>
      </c>
      <c r="F539" s="97" t="n">
        <v>1578550472</v>
      </c>
      <c r="G539" s="98" t="n">
        <v>0.0049</v>
      </c>
      <c r="H539" s="98" t="n">
        <v>0.3782</v>
      </c>
      <c r="I539" s="98" t="n">
        <v>0.0024</v>
      </c>
      <c r="J539" s="98" t="n">
        <v>0.001719</v>
      </c>
      <c r="K539" s="97" t="n">
        <v>1</v>
      </c>
      <c r="L539" s="99" t="inlineStr">
        <is>
          <t>20251229</t>
        </is>
      </c>
      <c r="M539" s="96" t="inlineStr">
        <is>
          <t>제외</t>
        </is>
      </c>
      <c r="N539" s="96" t="inlineStr">
        <is>
          <t>변동성 37.8%(1년 기준, 기준 35% 초과)</t>
        </is>
      </c>
      <c r="O539" s="96" t="inlineStr">
        <is>
          <t>Indxx Cybersecurity Index PR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IFERROR(INDEX($A$4:$A$593,MATCH(536,$X$4:$X$593,0)),"")</f>
        <v/>
      </c>
    </row>
    <row r="540">
      <c r="A540" s="96" t="inlineStr">
        <is>
          <t>TIGER 미디어컨텐츠</t>
        </is>
      </c>
      <c r="B540" s="96" t="inlineStr">
        <is>
          <t>228810</t>
        </is>
      </c>
      <c r="C540" s="96" t="inlineStr">
        <is>
          <t>미래에셋자산운용</t>
        </is>
      </c>
      <c r="D540" s="97" t="n">
        <v>3000</v>
      </c>
      <c r="E540" s="97" t="n">
        <v>73710000000</v>
      </c>
      <c r="F540" s="97" t="n">
        <v>807951257</v>
      </c>
      <c r="G540" s="98" t="n">
        <v>0.005</v>
      </c>
      <c r="H540" s="98" t="n">
        <v>0.4055</v>
      </c>
      <c r="I540" s="98" t="n">
        <v>0.001</v>
      </c>
      <c r="J540" s="98" t="n">
        <v>0.001667</v>
      </c>
      <c r="K540" s="97" t="n">
        <v>5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40.6%(1년 기준, 기준 35% 초과)</t>
        </is>
      </c>
      <c r="O540" s="96" t="inlineStr">
        <is>
          <t>WISE 미디어컨텐츠 지수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0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IFERROR(INDEX($A$4:$A$593,MATCH(537,$X$4:$X$593,0)),"")</f>
        <v/>
      </c>
    </row>
    <row r="541">
      <c r="A541" s="96" t="inlineStr">
        <is>
          <t>KODEX 성장주</t>
        </is>
      </c>
      <c r="B541" s="96" t="inlineStr">
        <is>
          <t>325010</t>
        </is>
      </c>
      <c r="C541" s="96" t="inlineStr">
        <is>
          <t>삼성자산운용(ETF)</t>
        </is>
      </c>
      <c r="D541" s="97" t="n">
        <v>44615</v>
      </c>
      <c r="E541" s="97" t="n">
        <v>129383500000</v>
      </c>
      <c r="F541" s="97" t="n">
        <v>1541851761</v>
      </c>
      <c r="G541" s="98" t="n">
        <v>0.003</v>
      </c>
      <c r="H541" s="98" t="n">
        <v>0.5897</v>
      </c>
      <c r="I541" s="98" t="n">
        <v>0.0001</v>
      </c>
      <c r="J541" s="98" t="n">
        <v>0.001659</v>
      </c>
      <c r="K541" s="97" t="n">
        <v>6</v>
      </c>
      <c r="L541" s="99" t="inlineStr">
        <is>
          <t>20260730</t>
        </is>
      </c>
      <c r="M541" s="96" t="inlineStr">
        <is>
          <t>제외</t>
        </is>
      </c>
      <c r="N541" s="96" t="inlineStr">
        <is>
          <t>변동성 59.0%(1년 기준, 기준 35% 초과)</t>
        </is>
      </c>
      <c r="O541" s="96" t="inlineStr">
        <is>
          <t>FnGuide 성장 지수(PR)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2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IFERROR(INDEX($A$4:$A$593,MATCH(538,$X$4:$X$593,0)),"")</f>
        <v/>
      </c>
    </row>
    <row r="542">
      <c r="A542" s="96" t="inlineStr">
        <is>
          <t>TIGER K방산&amp;우주</t>
        </is>
      </c>
      <c r="B542" s="96" t="inlineStr">
        <is>
          <t>463250</t>
        </is>
      </c>
      <c r="C542" s="96" t="inlineStr">
        <is>
          <t>미래에셋자산운용</t>
        </is>
      </c>
      <c r="D542" s="97" t="n">
        <v>33295</v>
      </c>
      <c r="E542" s="97" t="n">
        <v>494430750000</v>
      </c>
      <c r="F542" s="97" t="n">
        <v>21358278271</v>
      </c>
      <c r="G542" s="98" t="n">
        <v>0.004500000000000001</v>
      </c>
      <c r="H542" s="98" t="n">
        <v>0.6242</v>
      </c>
      <c r="I542" s="98" t="n">
        <v>0.0011</v>
      </c>
      <c r="J542" s="98" t="n">
        <v>0.001652</v>
      </c>
      <c r="K542" s="97" t="n">
        <v>3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변동성 62.4%(1년 기준, 기준 35% 초과)</t>
        </is>
      </c>
      <c r="O542" s="96" t="inlineStr">
        <is>
          <t>iSelect K방산&amp;우주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1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IFERROR(INDEX($A$4:$A$593,MATCH(539,$X$4:$X$593,0)),"")</f>
        <v/>
      </c>
    </row>
    <row r="543">
      <c r="A543" s="96" t="inlineStr">
        <is>
          <t>TIGER 차이나과창판STAR50(합성)</t>
        </is>
      </c>
      <c r="B543" s="96" t="inlineStr">
        <is>
          <t>414780</t>
        </is>
      </c>
      <c r="C543" s="96" t="inlineStr">
        <is>
          <t>미래에셋자산운용</t>
        </is>
      </c>
      <c r="D543" s="97" t="n">
        <v>12665</v>
      </c>
      <c r="E543" s="97" t="n">
        <v>176043500000</v>
      </c>
      <c r="F543" s="97" t="n">
        <v>4793286989</v>
      </c>
      <c r="G543" s="98" t="n">
        <v>0.0009</v>
      </c>
      <c r="H543" s="98" t="n">
        <v>0.4531</v>
      </c>
      <c r="I543" s="98" t="n">
        <v>0.0018</v>
      </c>
      <c r="J543" s="98" t="n">
        <v>0.001579</v>
      </c>
      <c r="K543" s="97" t="n">
        <v>1</v>
      </c>
      <c r="L543" s="99" t="inlineStr">
        <is>
          <t>20251229</t>
        </is>
      </c>
      <c r="M543" s="96" t="inlineStr">
        <is>
          <t>제외</t>
        </is>
      </c>
      <c r="N543" s="96" t="inlineStr">
        <is>
          <t>변동성 45.3%(1년 기준, 기준 35% 초과)</t>
        </is>
      </c>
      <c r="O543" s="96" t="inlineStr">
        <is>
          <t>STAR50 Index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1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IFERROR(INDEX($A$4:$A$593,MATCH(540,$X$4:$X$593,0)),"")</f>
        <v/>
      </c>
    </row>
    <row r="544">
      <c r="A544" s="96" t="inlineStr">
        <is>
          <t>TIGER 글로벌AI액티브</t>
        </is>
      </c>
      <c r="B544" s="96" t="inlineStr">
        <is>
          <t>466950</t>
        </is>
      </c>
      <c r="C544" s="96" t="inlineStr">
        <is>
          <t>미래에셋자산운용</t>
        </is>
      </c>
      <c r="D544" s="97" t="n">
        <v>32295</v>
      </c>
      <c r="E544" s="97" t="n">
        <v>608114850000</v>
      </c>
      <c r="F544" s="97" t="n">
        <v>9333177479</v>
      </c>
      <c r="G544" s="98" t="n">
        <v>0.007900000000000001</v>
      </c>
      <c r="H544" s="98" t="n">
        <v>0.4540999999999999</v>
      </c>
      <c r="I544" s="98" t="n">
        <v>0.0022</v>
      </c>
      <c r="J544" s="98" t="n">
        <v>0.001548</v>
      </c>
      <c r="K544" s="97" t="n">
        <v>1</v>
      </c>
      <c r="L544" s="99" t="inlineStr">
        <is>
          <t>20251229</t>
        </is>
      </c>
      <c r="M544" s="96" t="inlineStr">
        <is>
          <t>제외</t>
        </is>
      </c>
      <c r="N544" s="96" t="inlineStr">
        <is>
          <t>변동성 45.4%(1년 기준, 기준 35% 초과)</t>
        </is>
      </c>
      <c r="O544" s="96" t="inlineStr">
        <is>
          <t>Indxx Artificial Intelligence and Big Data Index PR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IFERROR(INDEX($A$4:$A$593,MATCH(541,$X$4:$X$593,0)),"")</f>
        <v/>
      </c>
    </row>
    <row r="545">
      <c r="A545" s="96" t="inlineStr">
        <is>
          <t>PLUS K방산</t>
        </is>
      </c>
      <c r="B545" s="96" t="inlineStr">
        <is>
          <t>449450</t>
        </is>
      </c>
      <c r="C545" s="96" t="inlineStr">
        <is>
          <t>한화자산운용</t>
        </is>
      </c>
      <c r="D545" s="97" t="n">
        <v>50500</v>
      </c>
      <c r="E545" s="97" t="n">
        <v>971115000000</v>
      </c>
      <c r="F545" s="97" t="n">
        <v>23123505127</v>
      </c>
      <c r="G545" s="98" t="n">
        <v>0.004500000000000001</v>
      </c>
      <c r="H545" s="98" t="n">
        <v>0.5995</v>
      </c>
      <c r="I545" s="98" t="n">
        <v>0.001</v>
      </c>
      <c r="J545" s="98" t="n">
        <v>0.001485</v>
      </c>
      <c r="K545" s="97" t="n">
        <v>3</v>
      </c>
      <c r="L545" s="99" t="inlineStr">
        <is>
          <t>20260429</t>
        </is>
      </c>
      <c r="M545" s="96" t="inlineStr">
        <is>
          <t>제외</t>
        </is>
      </c>
      <c r="N545" s="96" t="inlineStr">
        <is>
          <t>변동성 59.9%(1년 기준, 기준 35% 초과)</t>
        </is>
      </c>
      <c r="O545" s="96" t="inlineStr">
        <is>
          <t>FnGuide K-방위산업 지수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0.6933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IFERROR(INDEX($A$4:$A$593,MATCH(542,$X$4:$X$593,0)),"")</f>
        <v/>
      </c>
    </row>
    <row r="546">
      <c r="A546" s="96" t="inlineStr">
        <is>
          <t>SOL 미국AI반도체칩메이커</t>
        </is>
      </c>
      <c r="B546" s="96" t="inlineStr">
        <is>
          <t>479620</t>
        </is>
      </c>
      <c r="C546" s="96" t="inlineStr">
        <is>
          <t>신한자산운용</t>
        </is>
      </c>
      <c r="D546" s="97" t="n">
        <v>27725</v>
      </c>
      <c r="E546" s="97" t="n">
        <v>95651250000</v>
      </c>
      <c r="F546" s="97" t="n">
        <v>1645399183</v>
      </c>
      <c r="G546" s="98" t="n">
        <v>0.004500000000000001</v>
      </c>
      <c r="H546" s="98" t="n">
        <v>0.4834000000000001</v>
      </c>
      <c r="I546" s="98" t="n">
        <v>0.0018</v>
      </c>
      <c r="J546" s="98" t="n">
        <v>0.001443</v>
      </c>
      <c r="K546" s="97" t="n">
        <v>2</v>
      </c>
      <c r="L546" s="99" t="inlineStr">
        <is>
          <t>20260429</t>
        </is>
      </c>
      <c r="M546" s="96" t="inlineStr">
        <is>
          <t>제외</t>
        </is>
      </c>
      <c r="N546" s="96" t="inlineStr">
        <is>
          <t>변동성 48.3%(1년 기준, 기준 35% 초과)</t>
        </is>
      </c>
      <c r="O546" s="96" t="inlineStr">
        <is>
          <t>Solactive US AI Semiconductor Chip Makers Index PR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IFERROR(INDEX($A$4:$A$593,MATCH(543,$X$4:$X$593,0)),"")</f>
        <v/>
      </c>
    </row>
    <row r="547">
      <c r="A547" s="96" t="inlineStr">
        <is>
          <t>SOL 반도체전공정</t>
        </is>
      </c>
      <c r="B547" s="96" t="inlineStr">
        <is>
          <t>475300</t>
        </is>
      </c>
      <c r="C547" s="96" t="inlineStr">
        <is>
          <t>신한자산운용</t>
        </is>
      </c>
      <c r="D547" s="97" t="n">
        <v>28150</v>
      </c>
      <c r="E547" s="97" t="n">
        <v>367357500000</v>
      </c>
      <c r="F547" s="97" t="n">
        <v>59538794480</v>
      </c>
      <c r="G547" s="98" t="n">
        <v>0.004500000000000001</v>
      </c>
      <c r="H547" s="98" t="n">
        <v>0.7964</v>
      </c>
      <c r="I547" s="98" t="n">
        <v>0.0018</v>
      </c>
      <c r="J547" s="98" t="n">
        <v>0.001421</v>
      </c>
      <c r="K547" s="97" t="n">
        <v>2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변동성 79.6%(1년 기준, 기준 35% 초과)</t>
        </is>
      </c>
      <c r="O547" s="96" t="inlineStr">
        <is>
          <t>FnGuide 반도체 전공정 지수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연배당</t>
        </is>
      </c>
      <c r="S547" s="97" t="n">
        <v>1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IFERROR(INDEX($A$4:$A$593,MATCH(544,$X$4:$X$593,0)),"")</f>
        <v/>
      </c>
    </row>
    <row r="548">
      <c r="A548" s="96" t="inlineStr">
        <is>
          <t>KODEX 200롱코스닥150숏선물</t>
        </is>
      </c>
      <c r="B548" s="96" t="inlineStr">
        <is>
          <t>360140</t>
        </is>
      </c>
      <c r="C548" s="96" t="inlineStr">
        <is>
          <t>삼성자산운용(ETF)</t>
        </is>
      </c>
      <c r="D548" s="97" t="n">
        <v>21130</v>
      </c>
      <c r="E548" s="97" t="n">
        <v>46486000000</v>
      </c>
      <c r="F548" s="97" t="n">
        <v>2643452375</v>
      </c>
      <c r="G548" s="98" t="n">
        <v>0.0064</v>
      </c>
      <c r="H548" s="98" t="n">
        <v>0.4858</v>
      </c>
      <c r="I548" s="98" t="n">
        <v>0.0022</v>
      </c>
      <c r="J548" s="98" t="n">
        <v>0.001278</v>
      </c>
      <c r="K548" s="97" t="n">
        <v>1</v>
      </c>
      <c r="L548" s="99" t="inlineStr">
        <is>
          <t>20251229</t>
        </is>
      </c>
      <c r="M548" s="96" t="inlineStr">
        <is>
          <t>제외</t>
        </is>
      </c>
      <c r="N548" s="96" t="inlineStr">
        <is>
          <t>변동성 48.6%(1년 기준, 기준 35% 초과)</t>
        </is>
      </c>
      <c r="O548" s="96" t="inlineStr">
        <is>
          <t>코스피200 롱 코스닥150 숏 선물지수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1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IFERROR(INDEX($A$4:$A$593,MATCH(545,$X$4:$X$593,0)),"")</f>
        <v/>
      </c>
    </row>
    <row r="549">
      <c r="A549" s="96" t="inlineStr">
        <is>
          <t>TIGER 200IT레버리지</t>
        </is>
      </c>
      <c r="B549" s="96" t="inlineStr">
        <is>
          <t>243880</t>
        </is>
      </c>
      <c r="C549" s="96" t="inlineStr">
        <is>
          <t>미래에셋자산운용</t>
        </is>
      </c>
      <c r="D549" s="97" t="n">
        <v>358000</v>
      </c>
      <c r="E549" s="97" t="n">
        <v>465400000000</v>
      </c>
      <c r="F549" s="97" t="n">
        <v>65827756498</v>
      </c>
      <c r="G549" s="98" t="n">
        <v>0.0069</v>
      </c>
      <c r="H549" s="98" t="n">
        <v>1.4225</v>
      </c>
      <c r="I549" s="98" t="n">
        <v>0.0051</v>
      </c>
      <c r="J549" s="98" t="n">
        <v>0.001265</v>
      </c>
      <c r="K549" s="97" t="n">
        <v>1</v>
      </c>
      <c r="L549" s="99" t="inlineStr">
        <is>
          <t>20251229</t>
        </is>
      </c>
      <c r="M549" s="96" t="inlineStr">
        <is>
          <t>제외</t>
        </is>
      </c>
      <c r="N549" s="96" t="inlineStr">
        <is>
          <t>변동성 142.3%(1년 기준, 기준 35% 초과)</t>
        </is>
      </c>
      <c r="O549" s="96" t="inlineStr">
        <is>
          <t>K200정보기술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IFERROR(INDEX($A$4:$A$593,MATCH(546,$X$4:$X$593,0)),"")</f>
        <v/>
      </c>
    </row>
    <row r="550">
      <c r="A550" s="96" t="inlineStr">
        <is>
          <t>KODEX 2차전지산업</t>
        </is>
      </c>
      <c r="B550" s="96" t="inlineStr">
        <is>
          <t>305720</t>
        </is>
      </c>
      <c r="C550" s="96" t="inlineStr">
        <is>
          <t>삼성자산운용(ETF)</t>
        </is>
      </c>
      <c r="D550" s="97" t="n">
        <v>14665</v>
      </c>
      <c r="E550" s="97" t="n">
        <v>1891785000000</v>
      </c>
      <c r="F550" s="97" t="n">
        <v>54658334169</v>
      </c>
      <c r="G550" s="98" t="n">
        <v>0.004500000000000001</v>
      </c>
      <c r="H550" s="98" t="n">
        <v>0.6061</v>
      </c>
      <c r="I550" s="98" t="n">
        <v>0.0008</v>
      </c>
      <c r="J550" s="98" t="n">
        <v>0.001227</v>
      </c>
      <c r="K550" s="97" t="n">
        <v>5</v>
      </c>
      <c r="L550" s="99" t="inlineStr">
        <is>
          <t>20260429</t>
        </is>
      </c>
      <c r="M550" s="96" t="inlineStr">
        <is>
          <t>제외</t>
        </is>
      </c>
      <c r="N550" s="96" t="inlineStr">
        <is>
          <t>변동성 60.6%(1년 기준, 기준 35% 초과)</t>
        </is>
      </c>
      <c r="O550" s="96" t="inlineStr">
        <is>
          <t>FnGuide 2차전지 산업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1</v>
      </c>
      <c r="T550" s="98" t="n">
        <v>0.9444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IFERROR(INDEX($A$4:$A$593,MATCH(547,$X$4:$X$593,0)),"")</f>
        <v/>
      </c>
    </row>
    <row r="551">
      <c r="A551" s="96" t="inlineStr">
        <is>
          <t>MIDAS 코스피액티브</t>
        </is>
      </c>
      <c r="B551" s="96" t="inlineStr">
        <is>
          <t>403790</t>
        </is>
      </c>
      <c r="C551" s="96" t="inlineStr">
        <is>
          <t>마이다스에셋자산운용</t>
        </is>
      </c>
      <c r="D551" s="97" t="n">
        <v>58675</v>
      </c>
      <c r="E551" s="97" t="n">
        <v>171624375000</v>
      </c>
      <c r="F551" s="97" t="n">
        <v>411502198</v>
      </c>
      <c r="G551" s="98" t="n">
        <v>0.0029</v>
      </c>
      <c r="H551" s="98" t="n">
        <v>0.5238</v>
      </c>
      <c r="I551" s="98" t="n">
        <v>0.0021</v>
      </c>
      <c r="J551" s="98" t="n">
        <v>0.001227</v>
      </c>
      <c r="K551" s="97" t="n">
        <v>1</v>
      </c>
      <c r="L551" s="99" t="inlineStr">
        <is>
          <t>20251229</t>
        </is>
      </c>
      <c r="M551" s="96" t="inlineStr">
        <is>
          <t>제외</t>
        </is>
      </c>
      <c r="N551" s="96" t="inlineStr">
        <is>
          <t>60일 거래대금 4.1억(기준 5억 미만), 변동성 52.4%(1년 기준, 기준 35% 초과)</t>
        </is>
      </c>
      <c r="O551" s="96" t="inlineStr">
        <is>
          <t>코스피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1</v>
      </c>
      <c r="T551" s="98" t="n">
        <v>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IFERROR(INDEX($A$4:$A$593,MATCH(548,$X$4:$X$593,0)),"")</f>
        <v/>
      </c>
    </row>
    <row r="552">
      <c r="A552" s="96" t="inlineStr">
        <is>
          <t>HANARO Fn K-반도체</t>
        </is>
      </c>
      <c r="B552" s="96" t="inlineStr">
        <is>
          <t>395270</t>
        </is>
      </c>
      <c r="C552" s="96" t="inlineStr">
        <is>
          <t>NH-Amundi자산운용</t>
        </is>
      </c>
      <c r="D552" s="97" t="n">
        <v>61500</v>
      </c>
      <c r="E552" s="97" t="n">
        <v>3819150000000</v>
      </c>
      <c r="F552" s="97" t="n">
        <v>146290951414</v>
      </c>
      <c r="G552" s="98" t="n">
        <v>0.004500000000000001</v>
      </c>
      <c r="H552" s="98" t="n">
        <v>0.7432</v>
      </c>
      <c r="I552" s="98" t="n">
        <v>0.0016</v>
      </c>
      <c r="J552" s="98" t="n">
        <v>0.00122</v>
      </c>
      <c r="K552" s="97" t="n">
        <v>9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74.3%(1년 기준, 기준 35% 초과)</t>
        </is>
      </c>
      <c r="O552" s="96" t="inlineStr">
        <is>
          <t>FnGuide K-반도체 지수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1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IFERROR(INDEX($A$4:$A$593,MATCH(549,$X$4:$X$593,0)),"")</f>
        <v/>
      </c>
    </row>
    <row r="553">
      <c r="A553" s="96" t="inlineStr">
        <is>
          <t>ACE 글로벌AI맞춤형반도체</t>
        </is>
      </c>
      <c r="B553" s="96" t="inlineStr">
        <is>
          <t>494340</t>
        </is>
      </c>
      <c r="C553" s="96" t="inlineStr">
        <is>
          <t>한국투신운용(ETF)</t>
        </is>
      </c>
      <c r="D553" s="97" t="n">
        <v>21430</v>
      </c>
      <c r="E553" s="97" t="n">
        <v>32145000000</v>
      </c>
      <c r="F553" s="97" t="n">
        <v>379415912</v>
      </c>
      <c r="G553" s="98" t="n">
        <v>0.004500000000000001</v>
      </c>
      <c r="H553" s="98" t="n">
        <v>0.4969</v>
      </c>
      <c r="I553" s="98" t="n">
        <v>0.0021</v>
      </c>
      <c r="J553" s="98" t="n">
        <v>0.001213</v>
      </c>
      <c r="K553" s="97" t="n">
        <v>1</v>
      </c>
      <c r="L553" s="99" t="inlineStr">
        <is>
          <t>20251229</t>
        </is>
      </c>
      <c r="M553" s="96" t="inlineStr">
        <is>
          <t>제외</t>
        </is>
      </c>
      <c r="N553" s="96" t="inlineStr">
        <is>
          <t>60일 거래대금 3.8억(기준 5억 미만), 변동성 49.7%(1년 기준, 기준 35% 초과)</t>
        </is>
      </c>
      <c r="O553" s="96" t="inlineStr">
        <is>
          <t>Solactive AI Custom Semicounductor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IFERROR(INDEX($A$4:$A$593,MATCH(550,$X$4:$X$593,0)),"")</f>
        <v/>
      </c>
    </row>
    <row r="554">
      <c r="A554" s="96" t="inlineStr">
        <is>
          <t>KODEX AI전력핵심설비</t>
        </is>
      </c>
      <c r="B554" s="96" t="inlineStr">
        <is>
          <t>487240</t>
        </is>
      </c>
      <c r="C554" s="96" t="inlineStr">
        <is>
          <t>삼성자산운용(ETF)</t>
        </is>
      </c>
      <c r="D554" s="97" t="n">
        <v>36410</v>
      </c>
      <c r="E554" s="97" t="n">
        <v>3196798000000</v>
      </c>
      <c r="F554" s="97" t="n">
        <v>131313698565</v>
      </c>
      <c r="G554" s="98" t="n">
        <v>0.0039</v>
      </c>
      <c r="H554" s="98" t="n">
        <v>0.7076</v>
      </c>
      <c r="I554" s="98" t="n">
        <v>0.0002</v>
      </c>
      <c r="J554" s="98" t="n">
        <v>0.001208</v>
      </c>
      <c r="K554" s="97" t="n">
        <v>3</v>
      </c>
      <c r="L554" s="99" t="inlineStr">
        <is>
          <t>20260730</t>
        </is>
      </c>
      <c r="M554" s="96" t="inlineStr">
        <is>
          <t>제외</t>
        </is>
      </c>
      <c r="N554" s="96" t="inlineStr">
        <is>
          <t>변동성 70.8%(1년 기준, 기준 35% 초과)</t>
        </is>
      </c>
      <c r="O554" s="96" t="inlineStr">
        <is>
          <t>iSelect AI전력핵심설비 지수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2</v>
      </c>
      <c r="T554" s="98" t="n">
        <v>0.8864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IFERROR(INDEX($A$4:$A$593,MATCH(551,$X$4:$X$593,0)),"")</f>
        <v/>
      </c>
    </row>
    <row r="555">
      <c r="A555" s="96" t="inlineStr">
        <is>
          <t>ACE 미국주식베스트셀러</t>
        </is>
      </c>
      <c r="B555" s="96" t="inlineStr">
        <is>
          <t>473590</t>
        </is>
      </c>
      <c r="C555" s="96" t="inlineStr">
        <is>
          <t>한국투신운용(ETF)</t>
        </is>
      </c>
      <c r="D555" s="97" t="n">
        <v>20075</v>
      </c>
      <c r="E555" s="97" t="n">
        <v>47176250000</v>
      </c>
      <c r="F555" s="97" t="n">
        <v>1075060486</v>
      </c>
      <c r="G555" s="98" t="n">
        <v>0.003</v>
      </c>
      <c r="H555" s="98" t="n">
        <v>0.4006</v>
      </c>
      <c r="I555" s="98" t="n">
        <v>0.0012</v>
      </c>
      <c r="J555" s="98" t="n">
        <v>0.001196</v>
      </c>
      <c r="K555" s="97" t="n">
        <v>1</v>
      </c>
      <c r="L555" s="99" t="inlineStr">
        <is>
          <t>20251229</t>
        </is>
      </c>
      <c r="M555" s="96" t="inlineStr">
        <is>
          <t>제외</t>
        </is>
      </c>
      <c r="N555" s="96" t="inlineStr">
        <is>
          <t>변동성 40.1%(1년 기준, 기준 35% 초과)</t>
        </is>
      </c>
      <c r="O555" s="96" t="inlineStr">
        <is>
          <t>FnGuide US Equity BestSeller Index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IFERROR(INDEX($A$4:$A$593,MATCH(552,$X$4:$X$593,0)),"")</f>
        <v/>
      </c>
    </row>
    <row r="556">
      <c r="A556" s="96" t="inlineStr">
        <is>
          <t>HANARO 글로벌생성형AI액티브</t>
        </is>
      </c>
      <c r="B556" s="96" t="inlineStr">
        <is>
          <t>461340</t>
        </is>
      </c>
      <c r="C556" s="96" t="inlineStr">
        <is>
          <t>NH-Amundi자산운용</t>
        </is>
      </c>
      <c r="D556" s="97" t="n">
        <v>44960</v>
      </c>
      <c r="E556" s="97" t="n">
        <v>49456000000</v>
      </c>
      <c r="F556" s="97" t="n">
        <v>154354785</v>
      </c>
      <c r="G556" s="98" t="n">
        <v>0.006</v>
      </c>
      <c r="H556" s="98" t="n">
        <v>0.4049</v>
      </c>
      <c r="I556" s="98" t="n">
        <v>0.0004</v>
      </c>
      <c r="J556" s="98" t="n">
        <v>0.001179</v>
      </c>
      <c r="K556" s="97" t="n">
        <v>5</v>
      </c>
      <c r="L556" s="99" t="inlineStr">
        <is>
          <t>20260429</t>
        </is>
      </c>
      <c r="M556" s="96" t="inlineStr">
        <is>
          <t>제외</t>
        </is>
      </c>
      <c r="N556" s="96" t="inlineStr">
        <is>
          <t>60일 거래대금 1.5억(기준 5억 미만), 변동성 40.5%(1년 기준, 기준 35% 초과)</t>
        </is>
      </c>
      <c r="O556" s="96" t="inlineStr">
        <is>
          <t>Solactive United States Technology 100 Index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2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IFERROR(INDEX($A$4:$A$593,MATCH(553,$X$4:$X$593,0)),"")</f>
        <v/>
      </c>
    </row>
    <row r="557">
      <c r="A557" s="96" t="inlineStr">
        <is>
          <t>SOL 미국양자컴퓨팅TOP10</t>
        </is>
      </c>
      <c r="B557" s="96" t="inlineStr">
        <is>
          <t>0023A0</t>
        </is>
      </c>
      <c r="C557" s="96" t="inlineStr">
        <is>
          <t>신한자산운용</t>
        </is>
      </c>
      <c r="D557" s="97" t="n">
        <v>24285</v>
      </c>
      <c r="E557" s="97" t="n">
        <v>427416000000</v>
      </c>
      <c r="F557" s="97" t="n">
        <v>4584883124</v>
      </c>
      <c r="G557" s="98" t="n">
        <v>0.004500000000000001</v>
      </c>
      <c r="H557" s="98" t="n">
        <v>0.6306</v>
      </c>
      <c r="I557" s="98" t="n">
        <v>0.0002</v>
      </c>
      <c r="J557" s="98" t="n">
        <v>0.001029</v>
      </c>
      <c r="K557" s="97" t="n">
        <v>2</v>
      </c>
      <c r="L557" s="99" t="inlineStr">
        <is>
          <t>20260429</t>
        </is>
      </c>
      <c r="M557" s="96" t="inlineStr">
        <is>
          <t>제외</t>
        </is>
      </c>
      <c r="N557" s="96" t="inlineStr">
        <is>
          <t>변동성 63.1%(1년 기준, 기준 35% 초과)</t>
        </is>
      </c>
      <c r="O557" s="96" t="inlineStr">
        <is>
          <t>KEDI U.S. Quantum Computing TOP10 Index PR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2</v>
      </c>
      <c r="T557" s="98" t="n">
        <v>1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IFERROR(INDEX($A$4:$A$593,MATCH(554,$X$4:$X$593,0)),"")</f>
        <v/>
      </c>
    </row>
    <row r="558">
      <c r="A558" s="96" t="inlineStr">
        <is>
          <t>TIGER 글로벌리튬&amp;2차전지SOLACTIVE(합성)</t>
        </is>
      </c>
      <c r="B558" s="96" t="inlineStr">
        <is>
          <t>394670</t>
        </is>
      </c>
      <c r="C558" s="96" t="inlineStr">
        <is>
          <t>미래에셋자산운용</t>
        </is>
      </c>
      <c r="D558" s="97" t="n">
        <v>10230</v>
      </c>
      <c r="E558" s="97" t="n">
        <v>149358000000</v>
      </c>
      <c r="F558" s="97" t="n">
        <v>428398129</v>
      </c>
      <c r="G558" s="98" t="n">
        <v>0.0049</v>
      </c>
      <c r="H558" s="98" t="n">
        <v>0.2976</v>
      </c>
      <c r="I558" s="98" t="n">
        <v>0.0009</v>
      </c>
      <c r="J558" s="98" t="n">
        <v>0.0009779999999999999</v>
      </c>
      <c r="K558" s="97" t="n">
        <v>1</v>
      </c>
      <c r="L558" s="99" t="inlineStr">
        <is>
          <t>20251229</t>
        </is>
      </c>
      <c r="M558" s="96" t="inlineStr">
        <is>
          <t>제외</t>
        </is>
      </c>
      <c r="N558" s="96" t="inlineStr">
        <is>
          <t>60일 거래대금 4.3억(기준 5억 미만)</t>
        </is>
      </c>
      <c r="O558" s="96" t="inlineStr">
        <is>
          <t>Solactive Global Lithium Index PR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IFERROR(INDEX($A$4:$A$593,MATCH(555,$X$4:$X$593,0)),"")</f>
        <v/>
      </c>
    </row>
    <row r="559">
      <c r="A559" s="96" t="inlineStr">
        <is>
          <t>RISE 2차전지TOP10</t>
        </is>
      </c>
      <c r="B559" s="96" t="inlineStr">
        <is>
          <t>465330</t>
        </is>
      </c>
      <c r="C559" s="96" t="inlineStr">
        <is>
          <t>KB자산운용</t>
        </is>
      </c>
      <c r="D559" s="97" t="n">
        <v>11375</v>
      </c>
      <c r="E559" s="97" t="n">
        <v>66828125000</v>
      </c>
      <c r="F559" s="97" t="n">
        <v>2966206236</v>
      </c>
      <c r="G559" s="98" t="n">
        <v>0.0007000000000000001</v>
      </c>
      <c r="H559" s="98" t="n">
        <v>0.6127</v>
      </c>
      <c r="I559" s="98" t="n">
        <v>0.0007000000000000001</v>
      </c>
      <c r="J559" s="98" t="n">
        <v>0.000967</v>
      </c>
      <c r="K559" s="97" t="n">
        <v>2</v>
      </c>
      <c r="L559" s="99" t="inlineStr">
        <is>
          <t>20260429</t>
        </is>
      </c>
      <c r="M559" s="96" t="inlineStr">
        <is>
          <t>제외</t>
        </is>
      </c>
      <c r="N559" s="96" t="inlineStr">
        <is>
          <t>변동성 61.3%(1년 기준, 기준 35% 초과)</t>
        </is>
      </c>
      <c r="O559" s="96" t="inlineStr">
        <is>
          <t>iSelect 2차전지 Top10 지수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1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IFERROR(INDEX($A$4:$A$593,MATCH(556,$X$4:$X$593,0)),"")</f>
        <v/>
      </c>
    </row>
    <row r="560">
      <c r="A560" s="96" t="inlineStr">
        <is>
          <t>KODEX AI반도체핵심장비</t>
        </is>
      </c>
      <c r="B560" s="96" t="inlineStr">
        <is>
          <t>471990</t>
        </is>
      </c>
      <c r="C560" s="96" t="inlineStr">
        <is>
          <t>삼성자산운용(ETF)</t>
        </is>
      </c>
      <c r="D560" s="97" t="n">
        <v>30530</v>
      </c>
      <c r="E560" s="97" t="n">
        <v>552593000000</v>
      </c>
      <c r="F560" s="97" t="n">
        <v>44538204785</v>
      </c>
      <c r="G560" s="98" t="n">
        <v>0.0039</v>
      </c>
      <c r="H560" s="98" t="n">
        <v>0.7359</v>
      </c>
      <c r="I560" s="98" t="n">
        <v>0.0003</v>
      </c>
      <c r="J560" s="98" t="n">
        <v>0.00095</v>
      </c>
      <c r="K560" s="97" t="n">
        <v>4</v>
      </c>
      <c r="L560" s="99" t="inlineStr">
        <is>
          <t>20260730</t>
        </is>
      </c>
      <c r="M560" s="96" t="inlineStr">
        <is>
          <t>제외</t>
        </is>
      </c>
      <c r="N560" s="96" t="inlineStr">
        <is>
          <t>변동성 73.6%(1년 기준, 기준 35% 초과)</t>
        </is>
      </c>
      <c r="O560" s="96" t="inlineStr">
        <is>
          <t>iSelect AI반도체핵심장비 지수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2</v>
      </c>
      <c r="T560" s="98" t="n">
        <v>0.931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IFERROR(INDEX($A$4:$A$593,MATCH(557,$X$4:$X$593,0)),"")</f>
        <v/>
      </c>
    </row>
    <row r="561">
      <c r="A561" s="96" t="inlineStr">
        <is>
          <t>PLUS 글로벌HBM반도체</t>
        </is>
      </c>
      <c r="B561" s="96" t="inlineStr">
        <is>
          <t>442580</t>
        </is>
      </c>
      <c r="C561" s="96" t="inlineStr">
        <is>
          <t>한화자산운용</t>
        </is>
      </c>
      <c r="D561" s="97" t="n">
        <v>109680</v>
      </c>
      <c r="E561" s="97" t="n">
        <v>1841527200000</v>
      </c>
      <c r="F561" s="97" t="n">
        <v>110623614300</v>
      </c>
      <c r="G561" s="98" t="n">
        <v>0.005</v>
      </c>
      <c r="H561" s="98" t="n">
        <v>0.6257</v>
      </c>
      <c r="I561" s="98" t="n">
        <v>0.0013</v>
      </c>
      <c r="J561" s="98" t="n">
        <v>0.0009120000000000001</v>
      </c>
      <c r="K561" s="97" t="n">
        <v>3</v>
      </c>
      <c r="L561" s="99" t="inlineStr">
        <is>
          <t>20260429</t>
        </is>
      </c>
      <c r="M561" s="96" t="inlineStr">
        <is>
          <t>제외</t>
        </is>
      </c>
      <c r="N561" s="96" t="inlineStr">
        <is>
          <t>변동성 62.6%(1년 기준, 기준 35% 초과)</t>
        </is>
      </c>
      <c r="O561" s="96" t="inlineStr">
        <is>
          <t>iSelect Global HBM Semiconductor Index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IFERROR(INDEX($A$4:$A$593,MATCH(558,$X$4:$X$593,0)),"")</f>
        <v/>
      </c>
    </row>
    <row r="562">
      <c r="A562" s="96" t="inlineStr">
        <is>
          <t>RISE AI&amp;로봇</t>
        </is>
      </c>
      <c r="B562" s="96" t="inlineStr">
        <is>
          <t>469070</t>
        </is>
      </c>
      <c r="C562" s="96" t="inlineStr">
        <is>
          <t>KB자산운용</t>
        </is>
      </c>
      <c r="D562" s="97" t="n">
        <v>11035</v>
      </c>
      <c r="E562" s="97" t="n">
        <v>369672500000</v>
      </c>
      <c r="F562" s="97" t="n">
        <v>4834442146</v>
      </c>
      <c r="G562" s="98" t="n">
        <v>0.004</v>
      </c>
      <c r="H562" s="98" t="n">
        <v>0.6053999999999999</v>
      </c>
      <c r="I562" s="98" t="n">
        <v>0.0005999999999999999</v>
      </c>
      <c r="J562" s="98" t="n">
        <v>0.000906</v>
      </c>
      <c r="K562" s="97" t="n">
        <v>2</v>
      </c>
      <c r="L562" s="99" t="inlineStr">
        <is>
          <t>20260429</t>
        </is>
      </c>
      <c r="M562" s="96" t="inlineStr">
        <is>
          <t>제외</t>
        </is>
      </c>
      <c r="N562" s="96" t="inlineStr">
        <is>
          <t>변동성 60.5%(1년 기준, 기준 35% 초과)</t>
        </is>
      </c>
      <c r="O562" s="96" t="inlineStr">
        <is>
          <t>iSelect AI&amp;로봇 지수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0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IFERROR(INDEX($A$4:$A$593,MATCH(559,$X$4:$X$593,0)),"")</f>
        <v/>
      </c>
    </row>
    <row r="563">
      <c r="A563" s="96" t="inlineStr">
        <is>
          <t>RISE 네트워크인프라</t>
        </is>
      </c>
      <c r="B563" s="96" t="inlineStr">
        <is>
          <t>367760</t>
        </is>
      </c>
      <c r="C563" s="96" t="inlineStr">
        <is>
          <t>KB자산운용</t>
        </is>
      </c>
      <c r="D563" s="97" t="n">
        <v>63350</v>
      </c>
      <c r="E563" s="97" t="n">
        <v>728525000000</v>
      </c>
      <c r="F563" s="97" t="n">
        <v>24553035799</v>
      </c>
      <c r="G563" s="98" t="n">
        <v>0.004500000000000001</v>
      </c>
      <c r="H563" s="98" t="n">
        <v>0.7078</v>
      </c>
      <c r="I563" s="98" t="n">
        <v>0.0011</v>
      </c>
      <c r="J563" s="98" t="n">
        <v>0.000884</v>
      </c>
      <c r="K563" s="97" t="n">
        <v>5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70.8%(1년 기준, 기준 35% 초과)</t>
        </is>
      </c>
      <c r="O563" s="96" t="inlineStr">
        <is>
          <t>FnGuide 네트워크 인프라 지수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IFERROR(INDEX($A$4:$A$593,MATCH(560,$X$4:$X$593,0)),"")</f>
        <v/>
      </c>
    </row>
    <row r="564">
      <c r="A564" s="96" t="inlineStr">
        <is>
          <t>SOL 전고체배터리&amp;실리콘음극재</t>
        </is>
      </c>
      <c r="B564" s="96" t="inlineStr">
        <is>
          <t>0005D0</t>
        </is>
      </c>
      <c r="C564" s="96" t="inlineStr">
        <is>
          <t>신한자산운용</t>
        </is>
      </c>
      <c r="D564" s="97" t="n">
        <v>15435</v>
      </c>
      <c r="E564" s="97" t="n">
        <v>160524000000</v>
      </c>
      <c r="F564" s="97" t="n">
        <v>10147261237</v>
      </c>
      <c r="G564" s="98" t="n">
        <v>0.004500000000000001</v>
      </c>
      <c r="H564" s="98" t="n">
        <v>0.6814</v>
      </c>
      <c r="I564" s="98" t="n">
        <v>0.001</v>
      </c>
      <c r="J564" s="98" t="n">
        <v>0.000842</v>
      </c>
      <c r="K564" s="97" t="n">
        <v>1</v>
      </c>
      <c r="L564" s="99" t="inlineStr">
        <is>
          <t>20251229</t>
        </is>
      </c>
      <c r="M564" s="96" t="inlineStr">
        <is>
          <t>제외</t>
        </is>
      </c>
      <c r="N564" s="96" t="inlineStr">
        <is>
          <t>변동성 68.1%(1년 기준, 기준 35% 초과)</t>
        </is>
      </c>
      <c r="O564" s="96" t="inlineStr">
        <is>
          <t>FnGuide 전고체배터리&amp;실리콘음극재 지수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0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IFERROR(INDEX($A$4:$A$593,MATCH(561,$X$4:$X$593,0)),"")</f>
        <v/>
      </c>
    </row>
    <row r="565">
      <c r="A565" s="96" t="inlineStr">
        <is>
          <t>KODEX AI반도체TOP2플러스</t>
        </is>
      </c>
      <c r="B565" s="96" t="inlineStr">
        <is>
          <t>395160</t>
        </is>
      </c>
      <c r="C565" s="96" t="inlineStr">
        <is>
          <t>삼성자산운용(ETF)</t>
        </is>
      </c>
      <c r="D565" s="97" t="n">
        <v>43005</v>
      </c>
      <c r="E565" s="97" t="n">
        <v>4210189500000</v>
      </c>
      <c r="F565" s="97" t="n">
        <v>277367775179</v>
      </c>
      <c r="G565" s="98" t="n">
        <v>0.004500000000000001</v>
      </c>
      <c r="H565" s="98" t="n">
        <v>0.7552</v>
      </c>
      <c r="I565" s="98" t="n">
        <v>0.001</v>
      </c>
      <c r="J565" s="98" t="n">
        <v>0.0008140000000000001</v>
      </c>
      <c r="K565" s="97" t="n">
        <v>5</v>
      </c>
      <c r="L565" s="99" t="inlineStr">
        <is>
          <t>20260429</t>
        </is>
      </c>
      <c r="M565" s="96" t="inlineStr">
        <is>
          <t>제외</t>
        </is>
      </c>
      <c r="N565" s="96" t="inlineStr">
        <is>
          <t>변동성 75.5%(1년 기준, 기준 35% 초과)</t>
        </is>
      </c>
      <c r="O565" s="96" t="inlineStr">
        <is>
          <t>FnGuide AI반도체 TOP2+ 지수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IFERROR(INDEX($A$4:$A$593,MATCH(562,$X$4:$X$593,0)),"")</f>
        <v/>
      </c>
    </row>
    <row r="566">
      <c r="A566" s="96" t="inlineStr">
        <is>
          <t>TIGER 미국AI소프트웨어TOP4Plus</t>
        </is>
      </c>
      <c r="B566" s="96" t="inlineStr">
        <is>
          <t>0102A0</t>
        </is>
      </c>
      <c r="C566" s="96" t="inlineStr">
        <is>
          <t>미래에셋자산운용</t>
        </is>
      </c>
      <c r="D566" s="97" t="n">
        <v>8750</v>
      </c>
      <c r="E566" s="97" t="n">
        <v>70437500000</v>
      </c>
      <c r="F566" s="97" t="n">
        <v>853702105</v>
      </c>
      <c r="G566" s="98" t="n">
        <v>0.0049</v>
      </c>
      <c r="H566" s="98" t="n">
        <v>0.4463</v>
      </c>
      <c r="I566" s="98" t="n">
        <v>0.0005999999999999999</v>
      </c>
      <c r="J566" s="98" t="n">
        <v>0.0008</v>
      </c>
      <c r="K566" s="97" t="n">
        <v>1</v>
      </c>
      <c r="L566" s="99" t="inlineStr">
        <is>
          <t>20251229</t>
        </is>
      </c>
      <c r="M566" s="96" t="inlineStr">
        <is>
          <t>제외</t>
        </is>
      </c>
      <c r="N566" s="96" t="inlineStr">
        <is>
          <t>변동성 44.6%(1년 기준, 기준 35% 초과)</t>
        </is>
      </c>
      <c r="O566" s="96" t="inlineStr">
        <is>
          <t>Akros US AI Software Top4 Plus Index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IFERROR(INDEX($A$4:$A$593,MATCH(563,$X$4:$X$593,0)),"")</f>
        <v/>
      </c>
    </row>
    <row r="567">
      <c r="A567" s="96" t="inlineStr">
        <is>
          <t>TIGER 글로벌AI전력인프라액티브</t>
        </is>
      </c>
      <c r="B567" s="96" t="inlineStr">
        <is>
          <t>491010</t>
        </is>
      </c>
      <c r="C567" s="96" t="inlineStr">
        <is>
          <t>미래에셋자산운용</t>
        </is>
      </c>
      <c r="D567" s="97" t="n">
        <v>25480</v>
      </c>
      <c r="E567" s="97" t="n">
        <v>644644000000</v>
      </c>
      <c r="F567" s="97" t="n">
        <v>4492577185</v>
      </c>
      <c r="G567" s="98" t="n">
        <v>0.0049</v>
      </c>
      <c r="H567" s="98" t="n">
        <v>0.4962</v>
      </c>
      <c r="I567" s="98" t="n">
        <v>0.0011</v>
      </c>
      <c r="J567" s="98" t="n">
        <v>0.000785</v>
      </c>
      <c r="K567" s="97" t="n">
        <v>1</v>
      </c>
      <c r="L567" s="99" t="inlineStr">
        <is>
          <t>20251229</t>
        </is>
      </c>
      <c r="M567" s="96" t="inlineStr">
        <is>
          <t>제외</t>
        </is>
      </c>
      <c r="N567" s="96" t="inlineStr">
        <is>
          <t>변동성 49.6%(1년 기준, 기준 35% 초과)</t>
        </is>
      </c>
      <c r="O567" s="96" t="inlineStr">
        <is>
          <t>Mirae Asset AI Infrastructure Index PR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연배당</t>
        </is>
      </c>
      <c r="S567" s="97" t="n">
        <v>1</v>
      </c>
      <c r="T567" s="98" t="n">
        <v>1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IFERROR(INDEX($A$4:$A$593,MATCH(564,$X$4:$X$593,0)),"")</f>
        <v/>
      </c>
    </row>
    <row r="568">
      <c r="A568" s="96" t="inlineStr">
        <is>
          <t>KODEX 반도체</t>
        </is>
      </c>
      <c r="B568" s="96" t="inlineStr">
        <is>
          <t>091160</t>
        </is>
      </c>
      <c r="C568" s="96" t="inlineStr">
        <is>
          <t>삼성자산운용(ETF)</t>
        </is>
      </c>
      <c r="D568" s="97" t="n">
        <v>149700</v>
      </c>
      <c r="E568" s="97" t="n">
        <v>6317340000000</v>
      </c>
      <c r="F568" s="97" t="n">
        <v>274857962891</v>
      </c>
      <c r="G568" s="98" t="n">
        <v>0.004500000000000001</v>
      </c>
      <c r="H568" s="98" t="n">
        <v>0.7226</v>
      </c>
      <c r="I568" s="98" t="n">
        <v>0.0009</v>
      </c>
      <c r="J568" s="98" t="n">
        <v>0.0007679999999999999</v>
      </c>
      <c r="K568" s="97" t="n">
        <v>5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72.3%(1년 기준, 기준 35% 초과)</t>
        </is>
      </c>
      <c r="O568" s="96" t="inlineStr">
        <is>
          <t>KRX 반도체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1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IFERROR(INDEX($A$4:$A$593,MATCH(565,$X$4:$X$593,0)),"")</f>
        <v/>
      </c>
    </row>
    <row r="569">
      <c r="A569" s="96" t="inlineStr">
        <is>
          <t>KODEX IT</t>
        </is>
      </c>
      <c r="B569" s="96" t="inlineStr">
        <is>
          <t>266370</t>
        </is>
      </c>
      <c r="C569" s="96" t="inlineStr">
        <is>
          <t>삼성자산운용(ETF)</t>
        </is>
      </c>
      <c r="D569" s="97" t="n">
        <v>73570</v>
      </c>
      <c r="E569" s="97" t="n">
        <v>114033500000</v>
      </c>
      <c r="F569" s="97" t="n">
        <v>8862673575</v>
      </c>
      <c r="G569" s="98" t="n">
        <v>0.004500000000000001</v>
      </c>
      <c r="H569" s="98" t="n">
        <v>0.6909000000000001</v>
      </c>
      <c r="I569" s="98" t="n">
        <v>0.0009</v>
      </c>
      <c r="J569" s="98" t="n">
        <v>0.000693</v>
      </c>
      <c r="K569" s="97" t="n">
        <v>5</v>
      </c>
      <c r="L569" s="99" t="inlineStr">
        <is>
          <t>20260429</t>
        </is>
      </c>
      <c r="M569" s="96" t="inlineStr">
        <is>
          <t>제외</t>
        </is>
      </c>
      <c r="N569" s="96" t="inlineStr">
        <is>
          <t>변동성 69.1%(1년 기준, 기준 35% 초과)</t>
        </is>
      </c>
      <c r="O569" s="96" t="inlineStr">
        <is>
          <t>KRX 정보기술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1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IFERROR(INDEX($A$4:$A$593,MATCH(566,$X$4:$X$593,0)),"")</f>
        <v/>
      </c>
    </row>
    <row r="570">
      <c r="A570" s="96" t="inlineStr">
        <is>
          <t>RISE 코스닥150</t>
        </is>
      </c>
      <c r="B570" s="96" t="inlineStr">
        <is>
          <t>270810</t>
        </is>
      </c>
      <c r="C570" s="96" t="inlineStr">
        <is>
          <t>KB자산운용</t>
        </is>
      </c>
      <c r="D570" s="97" t="n">
        <v>15200</v>
      </c>
      <c r="E570" s="97" t="n">
        <v>354768000000</v>
      </c>
      <c r="F570" s="97" t="n">
        <v>4336222210</v>
      </c>
      <c r="G570" s="98" t="n">
        <v>0.0002</v>
      </c>
      <c r="H570" s="98" t="n">
        <v>0.5478000000000001</v>
      </c>
      <c r="I570" s="98" t="n">
        <v>0.0005</v>
      </c>
      <c r="J570" s="98" t="n">
        <v>0.0006579999999999999</v>
      </c>
      <c r="K570" s="97" t="n">
        <v>5</v>
      </c>
      <c r="L570" s="99" t="inlineStr">
        <is>
          <t>20260429</t>
        </is>
      </c>
      <c r="M570" s="96" t="inlineStr">
        <is>
          <t>제외</t>
        </is>
      </c>
      <c r="N570" s="96" t="inlineStr">
        <is>
          <t>변동성 54.8%(1년 기준, 기준 35% 초과)</t>
        </is>
      </c>
      <c r="O570" s="96" t="inlineStr">
        <is>
          <t>KOSDAQ 150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IFERROR(INDEX($A$4:$A$593,MATCH(567,$X$4:$X$593,0)),"")</f>
        <v/>
      </c>
    </row>
    <row r="571">
      <c r="A571" s="96" t="inlineStr">
        <is>
          <t>TIME 미국나스닥100액티브</t>
        </is>
      </c>
      <c r="B571" s="96" t="inlineStr">
        <is>
          <t>426030</t>
        </is>
      </c>
      <c r="C571" s="96" t="inlineStr">
        <is>
          <t>타임폴리오자산운용</t>
        </is>
      </c>
      <c r="D571" s="97" t="n">
        <v>48655</v>
      </c>
      <c r="E571" s="97" t="n">
        <v>2670186400000</v>
      </c>
      <c r="F571" s="97" t="n">
        <v>61932703429</v>
      </c>
      <c r="G571" s="98" t="n">
        <v>0.008</v>
      </c>
      <c r="H571" s="98" t="n">
        <v>0.4364</v>
      </c>
      <c r="I571" s="98" t="n">
        <v>0.0009</v>
      </c>
      <c r="J571" s="98" t="n">
        <v>0.0006169999999999999</v>
      </c>
      <c r="K571" s="97" t="n">
        <v>1</v>
      </c>
      <c r="L571" s="99" t="inlineStr">
        <is>
          <t>20251229</t>
        </is>
      </c>
      <c r="M571" s="96" t="inlineStr">
        <is>
          <t>제외</t>
        </is>
      </c>
      <c r="N571" s="96" t="inlineStr">
        <is>
          <t>변동성 43.6%(1년 기준, 기준 35% 초과)</t>
        </is>
      </c>
      <c r="O571" s="96" t="inlineStr">
        <is>
          <t>나스닥 100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1</v>
      </c>
      <c r="T571" s="98" t="n">
        <v>1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IFERROR(INDEX($A$4:$A$593,MATCH(568,$X$4:$X$593,0)),"")</f>
        <v/>
      </c>
    </row>
    <row r="572">
      <c r="A572" s="96" t="inlineStr">
        <is>
          <t>HANARO 글로벌피지컬AI액티브</t>
        </is>
      </c>
      <c r="B572" s="96" t="inlineStr">
        <is>
          <t>0040S0</t>
        </is>
      </c>
      <c r="C572" s="96" t="inlineStr">
        <is>
          <t>NH-Amundi자산운용</t>
        </is>
      </c>
      <c r="D572" s="97" t="n">
        <v>23735</v>
      </c>
      <c r="E572" s="97" t="n">
        <v>59337500000</v>
      </c>
      <c r="F572" s="97" t="n">
        <v>486372061</v>
      </c>
      <c r="G572" s="98" t="n">
        <v>0.006</v>
      </c>
      <c r="H572" s="98" t="n">
        <v>0.4156</v>
      </c>
      <c r="I572" s="98" t="n">
        <v>0.0007000000000000001</v>
      </c>
      <c r="J572" s="98" t="n">
        <v>0.0005059999999999999</v>
      </c>
      <c r="K572" s="97" t="n">
        <v>1</v>
      </c>
      <c r="L572" s="99" t="inlineStr">
        <is>
          <t>20260129</t>
        </is>
      </c>
      <c r="M572" s="96" t="inlineStr">
        <is>
          <t>제외</t>
        </is>
      </c>
      <c r="N572" s="96" t="inlineStr">
        <is>
          <t>60일 거래대금 4.9억(기준 5억 미만), 변동성 41.6%(1년 기준, 기준 35% 초과)</t>
        </is>
      </c>
      <c r="O572" s="96" t="inlineStr">
        <is>
          <t>Solactive Physical AI Index PR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IFERROR(INDEX($A$4:$A$593,MATCH(569,$X$4:$X$593,0)),"")</f>
        <v/>
      </c>
    </row>
    <row r="573">
      <c r="A573" s="96" t="inlineStr">
        <is>
          <t>KODEX 방산TOP10</t>
        </is>
      </c>
      <c r="B573" s="96" t="inlineStr">
        <is>
          <t>0080G0</t>
        </is>
      </c>
      <c r="C573" s="96" t="inlineStr">
        <is>
          <t>삼성자산운용(ETF)</t>
        </is>
      </c>
      <c r="D573" s="97" t="n">
        <v>10120</v>
      </c>
      <c r="E573" s="97" t="n">
        <v>351164000000</v>
      </c>
      <c r="F573" s="97" t="n">
        <v>33920598536</v>
      </c>
      <c r="G573" s="98" t="n">
        <v>0.004500000000000001</v>
      </c>
      <c r="H573" s="98" t="n">
        <v>0.6037</v>
      </c>
      <c r="I573" s="98" t="n">
        <v>0.0005999999999999999</v>
      </c>
      <c r="J573" s="98" t="n">
        <v>0.000494</v>
      </c>
      <c r="K573" s="97" t="n">
        <v>1</v>
      </c>
      <c r="L573" s="99" t="inlineStr">
        <is>
          <t>20260730</t>
        </is>
      </c>
      <c r="M573" s="96" t="inlineStr">
        <is>
          <t>제외</t>
        </is>
      </c>
      <c r="N573" s="96" t="inlineStr">
        <is>
          <t>변동성 60.4%(1년 기준, 기준 35% 초과)</t>
        </is>
      </c>
      <c r="O573" s="96" t="inlineStr">
        <is>
          <t>iSelect 방산TOP10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0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IFERROR(INDEX($A$4:$A$593,MATCH(570,$X$4:$X$593,0)),"")</f>
        <v/>
      </c>
    </row>
    <row r="574">
      <c r="A574" s="96" t="inlineStr">
        <is>
          <t>RISE 바이오TOP10액티브</t>
        </is>
      </c>
      <c r="B574" s="96" t="inlineStr">
        <is>
          <t>0000Z0</t>
        </is>
      </c>
      <c r="C574" s="96" t="inlineStr">
        <is>
          <t>KB자산운용</t>
        </is>
      </c>
      <c r="D574" s="97" t="n">
        <v>8680</v>
      </c>
      <c r="E574" s="97" t="n">
        <v>50778000000</v>
      </c>
      <c r="F574" s="97" t="n">
        <v>2576592489</v>
      </c>
      <c r="G574" s="98" t="n">
        <v>0.005</v>
      </c>
      <c r="H574" s="98" t="n">
        <v>0.6235000000000001</v>
      </c>
      <c r="I574" s="98" t="n">
        <v>0.0003</v>
      </c>
      <c r="J574" s="98" t="n">
        <v>0.000461</v>
      </c>
      <c r="K574" s="97" t="n">
        <v>2</v>
      </c>
      <c r="L574" s="99" t="inlineStr">
        <is>
          <t>20260730</t>
        </is>
      </c>
      <c r="M574" s="96" t="inlineStr">
        <is>
          <t>제외</t>
        </is>
      </c>
      <c r="N574" s="96" t="inlineStr">
        <is>
          <t>변동성 62.4%(1년 기준, 기준 35% 초과)</t>
        </is>
      </c>
      <c r="O574" s="96" t="inlineStr">
        <is>
          <t>KRX 바이오 TOP 10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반기배당</t>
        </is>
      </c>
      <c r="S574" s="97" t="n">
        <v>2</v>
      </c>
      <c r="T574" s="98" t="n">
        <v>0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IFERROR(INDEX($A$4:$A$593,MATCH(571,$X$4:$X$593,0)),"")</f>
        <v/>
      </c>
    </row>
    <row r="575">
      <c r="A575" s="96" t="inlineStr">
        <is>
          <t>TIME 글로벌AI인공지능액티브</t>
        </is>
      </c>
      <c r="B575" s="96" t="inlineStr">
        <is>
          <t>456600</t>
        </is>
      </c>
      <c r="C575" s="96" t="inlineStr">
        <is>
          <t>타임폴리오자산운용</t>
        </is>
      </c>
      <c r="D575" s="97" t="n">
        <v>59610</v>
      </c>
      <c r="E575" s="97" t="n">
        <v>2134038000000</v>
      </c>
      <c r="F575" s="97" t="n">
        <v>22579293374</v>
      </c>
      <c r="G575" s="98" t="n">
        <v>0.008</v>
      </c>
      <c r="H575" s="98" t="n">
        <v>0.4099</v>
      </c>
      <c r="I575" s="98" t="n">
        <v>0.0008</v>
      </c>
      <c r="J575" s="98" t="n">
        <v>0.000453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변동성 41.0%(1년 기준, 기준 35% 초과)</t>
        </is>
      </c>
      <c r="O575" s="96" t="inlineStr">
        <is>
          <t>Solactive Global Artificial Intelligence Index PR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IFERROR(INDEX($A$4:$A$593,MATCH(572,$X$4:$X$593,0)),"")</f>
        <v/>
      </c>
    </row>
    <row r="576">
      <c r="A576" s="96" t="inlineStr">
        <is>
          <t>TIME 차이나AI테크액티브</t>
        </is>
      </c>
      <c r="B576" s="96" t="inlineStr">
        <is>
          <t>0043Y0</t>
        </is>
      </c>
      <c r="C576" s="96" t="inlineStr">
        <is>
          <t>타임폴리오자산운용</t>
        </is>
      </c>
      <c r="D576" s="97" t="n">
        <v>19005</v>
      </c>
      <c r="E576" s="97" t="n">
        <v>325935750000</v>
      </c>
      <c r="F576" s="97" t="n">
        <v>5316289267</v>
      </c>
      <c r="G576" s="98" t="n">
        <v>0.008</v>
      </c>
      <c r="H576" s="98" t="n">
        <v>0.467</v>
      </c>
      <c r="I576" s="98" t="n">
        <v>0.0005999999999999999</v>
      </c>
      <c r="J576" s="98" t="n">
        <v>0.000421</v>
      </c>
      <c r="K576" s="97" t="n">
        <v>1</v>
      </c>
      <c r="L576" s="99" t="inlineStr">
        <is>
          <t>20251229</t>
        </is>
      </c>
      <c r="M576" s="96" t="inlineStr">
        <is>
          <t>제외</t>
        </is>
      </c>
      <c r="N576" s="96" t="inlineStr">
        <is>
          <t>변동성 46.7%(1년 기준, 기준 35% 초과)</t>
        </is>
      </c>
      <c r="O576" s="96" t="inlineStr">
        <is>
          <t>Solactive China Artificial Intelligence Index PR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IFERROR(INDEX($A$4:$A$593,MATCH(573,$X$4:$X$593,0)),"")</f>
        <v/>
      </c>
    </row>
    <row r="577">
      <c r="A577" s="96" t="inlineStr">
        <is>
          <t>SOL K방산</t>
        </is>
      </c>
      <c r="B577" s="96" t="inlineStr">
        <is>
          <t>490480</t>
        </is>
      </c>
      <c r="C577" s="96" t="inlineStr">
        <is>
          <t>신한자산운용</t>
        </is>
      </c>
      <c r="D577" s="97" t="n">
        <v>27820</v>
      </c>
      <c r="E577" s="97" t="n">
        <v>75114000000</v>
      </c>
      <c r="F577" s="97" t="n">
        <v>2281753394</v>
      </c>
      <c r="G577" s="98" t="n">
        <v>0.004500000000000001</v>
      </c>
      <c r="H577" s="98" t="n">
        <v>0.5649000000000001</v>
      </c>
      <c r="I577" s="98" t="n">
        <v>0.0003</v>
      </c>
      <c r="J577" s="98" t="n">
        <v>0.000395</v>
      </c>
      <c r="K577" s="97" t="n">
        <v>2</v>
      </c>
      <c r="L577" s="99" t="inlineStr">
        <is>
          <t>20260429</t>
        </is>
      </c>
      <c r="M577" s="96" t="inlineStr">
        <is>
          <t>제외</t>
        </is>
      </c>
      <c r="N577" s="96" t="inlineStr">
        <is>
          <t>변동성 56.5%(1년 기준, 기준 35% 초과)</t>
        </is>
      </c>
      <c r="O577" s="96" t="inlineStr">
        <is>
          <t>KEDI K방산 지수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0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IFERROR(INDEX($A$4:$A$593,MATCH(574,$X$4:$X$593,0)),"")</f>
        <v/>
      </c>
    </row>
    <row r="578">
      <c r="A578" s="96" t="inlineStr">
        <is>
          <t>SOL AI반도체소부장</t>
        </is>
      </c>
      <c r="B578" s="96" t="inlineStr">
        <is>
          <t>455850</t>
        </is>
      </c>
      <c r="C578" s="96" t="inlineStr">
        <is>
          <t>신한자산운용</t>
        </is>
      </c>
      <c r="D578" s="97" t="n">
        <v>30915</v>
      </c>
      <c r="E578" s="97" t="n">
        <v>1301521500000</v>
      </c>
      <c r="F578" s="97" t="n">
        <v>58229611704</v>
      </c>
      <c r="G578" s="98" t="n">
        <v>0.004500000000000001</v>
      </c>
      <c r="H578" s="98" t="n">
        <v>0.7312000000000001</v>
      </c>
      <c r="I578" s="98" t="n">
        <v>0.0004</v>
      </c>
      <c r="J578" s="98" t="n">
        <v>0.000388</v>
      </c>
      <c r="K578" s="97" t="n">
        <v>3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73.1%(1년 기준, 기준 35% 초과)</t>
        </is>
      </c>
      <c r="O578" s="96" t="inlineStr">
        <is>
          <t>FnGuide AI 반도체 소부장 지수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0.8333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IFERROR(INDEX($A$4:$A$593,MATCH(575,$X$4:$X$593,0)),"")</f>
        <v/>
      </c>
    </row>
    <row r="579">
      <c r="A579" s="96" t="inlineStr">
        <is>
          <t>RISE AI반도체TOP10</t>
        </is>
      </c>
      <c r="B579" s="96" t="inlineStr">
        <is>
          <t>0093A0</t>
        </is>
      </c>
      <c r="C579" s="96" t="inlineStr">
        <is>
          <t>KB자산운용</t>
        </is>
      </c>
      <c r="D579" s="97" t="n">
        <v>38970</v>
      </c>
      <c r="E579" s="97" t="n">
        <v>212386500000</v>
      </c>
      <c r="F579" s="97" t="n">
        <v>8107418469</v>
      </c>
      <c r="G579" s="98" t="n">
        <v>0.002</v>
      </c>
      <c r="H579" s="98" t="n">
        <v>0.7373999999999999</v>
      </c>
      <c r="I579" s="98" t="n">
        <v>0.0003</v>
      </c>
      <c r="J579" s="98" t="n">
        <v>0.000385</v>
      </c>
      <c r="K579" s="97" t="n">
        <v>2</v>
      </c>
      <c r="L579" s="99" t="inlineStr">
        <is>
          <t>20260429</t>
        </is>
      </c>
      <c r="M579" s="96" t="inlineStr">
        <is>
          <t>제외</t>
        </is>
      </c>
      <c r="N579" s="96" t="inlineStr">
        <is>
          <t>변동성 73.7%(1년 기준, 기준 35% 초과)</t>
        </is>
      </c>
      <c r="O579" s="96" t="inlineStr">
        <is>
          <t>FnGuide AI반도체TOP10 지수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2</v>
      </c>
      <c r="T579" s="98" t="n">
        <v>0.6667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IFERROR(INDEX($A$4:$A$593,MATCH(576,$X$4:$X$593,0)),"")</f>
        <v/>
      </c>
    </row>
    <row r="580">
      <c r="A580" s="96" t="inlineStr">
        <is>
          <t>TIGER 코스닥150IT</t>
        </is>
      </c>
      <c r="B580" s="96" t="inlineStr">
        <is>
          <t>261060</t>
        </is>
      </c>
      <c r="C580" s="96" t="inlineStr">
        <is>
          <t>미래에셋자산운용</t>
        </is>
      </c>
      <c r="D580" s="97" t="n">
        <v>29310</v>
      </c>
      <c r="E580" s="97" t="n">
        <v>32241000000</v>
      </c>
      <c r="F580" s="97" t="n">
        <v>928637155</v>
      </c>
      <c r="G580" s="98" t="n">
        <v>0.004</v>
      </c>
      <c r="H580" s="98" t="n">
        <v>0.6834</v>
      </c>
      <c r="I580" s="98" t="n">
        <v>0.0003</v>
      </c>
      <c r="J580" s="98" t="n">
        <v>0.000341</v>
      </c>
      <c r="K580" s="97" t="n">
        <v>5</v>
      </c>
      <c r="L580" s="99" t="inlineStr">
        <is>
          <t>20260429</t>
        </is>
      </c>
      <c r="M580" s="96" t="inlineStr">
        <is>
          <t>제외</t>
        </is>
      </c>
      <c r="N580" s="96" t="inlineStr">
        <is>
          <t>변동성 68.3%(1년 기준, 기준 35% 초과)</t>
        </is>
      </c>
      <c r="O580" s="96" t="inlineStr">
        <is>
          <t>코스닥 150 정보기술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1</v>
      </c>
      <c r="T580" s="98" t="n">
        <v>0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IFERROR(INDEX($A$4:$A$593,MATCH(577,$X$4:$X$593,0)),"")</f>
        <v/>
      </c>
    </row>
    <row r="581">
      <c r="A581" s="96" t="inlineStr">
        <is>
          <t>PLUS 신흥국MSCI(합성 H)</t>
        </is>
      </c>
      <c r="B581" s="96" t="inlineStr">
        <is>
          <t>195980</t>
        </is>
      </c>
      <c r="C581" s="96" t="inlineStr">
        <is>
          <t>한화자산운용</t>
        </is>
      </c>
      <c r="D581" s="97" t="n">
        <v>15270</v>
      </c>
      <c r="E581" s="97" t="n">
        <v>93757800000</v>
      </c>
      <c r="F581" s="97" t="n">
        <v>394352209</v>
      </c>
      <c r="G581" s="98" t="n">
        <v>0.005</v>
      </c>
      <c r="H581" s="98" t="n">
        <v>0.2342</v>
      </c>
      <c r="I581" s="98" t="n">
        <v>0.0004</v>
      </c>
      <c r="J581" s="98" t="n">
        <v>0.000327</v>
      </c>
      <c r="K581" s="97" t="n">
        <v>1</v>
      </c>
      <c r="L581" s="99" t="inlineStr">
        <is>
          <t>20251229</t>
        </is>
      </c>
      <c r="M581" s="96" t="inlineStr">
        <is>
          <t>제외</t>
        </is>
      </c>
      <c r="N581" s="96" t="inlineStr">
        <is>
          <t>60일 거래대금 3.9억(기준 5억 미만)</t>
        </is>
      </c>
      <c r="O581" s="96" t="inlineStr">
        <is>
          <t>MSCI Emerging Markets Index</t>
        </is>
      </c>
      <c r="P581" s="96" t="inlineStr">
        <is>
          <t>일반</t>
        </is>
      </c>
      <c r="Q581" s="96" t="inlineStr">
        <is>
          <t>주식</t>
        </is>
      </c>
      <c r="R581" s="96" t="inlineStr">
        <is>
          <t>연배당</t>
        </is>
      </c>
      <c r="S581" s="97" t="n">
        <v>1</v>
      </c>
      <c r="T581" s="98" t="n">
        <v>1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IFERROR(INDEX($A$4:$A$593,MATCH(578,$X$4:$X$593,0)),"")</f>
        <v/>
      </c>
    </row>
    <row r="582">
      <c r="A582" s="96" t="inlineStr">
        <is>
          <t>TIGER AI반도체핵심공정</t>
        </is>
      </c>
      <c r="B582" s="96" t="inlineStr">
        <is>
          <t>471760</t>
        </is>
      </c>
      <c r="C582" s="96" t="inlineStr">
        <is>
          <t>미래에셋자산운용</t>
        </is>
      </c>
      <c r="D582" s="97" t="n">
        <v>16870</v>
      </c>
      <c r="E582" s="97" t="n">
        <v>158578000000</v>
      </c>
      <c r="F582" s="97" t="n">
        <v>13594421232</v>
      </c>
      <c r="G582" s="98" t="n">
        <v>0.004500000000000001</v>
      </c>
      <c r="H582" s="98" t="n">
        <v>0.7439</v>
      </c>
      <c r="I582" s="98" t="n">
        <v>0.0002</v>
      </c>
      <c r="J582" s="98" t="n">
        <v>0.000296</v>
      </c>
      <c r="K582" s="97" t="n">
        <v>3</v>
      </c>
      <c r="L582" s="99" t="inlineStr">
        <is>
          <t>20260429</t>
        </is>
      </c>
      <c r="M582" s="96" t="inlineStr">
        <is>
          <t>제외</t>
        </is>
      </c>
      <c r="N582" s="96" t="inlineStr">
        <is>
          <t>변동성 74.4%(1년 기준, 기준 35% 초과)</t>
        </is>
      </c>
      <c r="O582" s="96" t="inlineStr">
        <is>
          <t>iSelect AI반도체핵심공정 지수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1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IFERROR(INDEX($A$4:$A$593,MATCH(579,$X$4:$X$593,0)),"")</f>
        <v/>
      </c>
    </row>
    <row r="583">
      <c r="A583" s="96" t="inlineStr">
        <is>
          <t>SOL 미국AI소프트웨어</t>
        </is>
      </c>
      <c r="B583" s="96" t="inlineStr">
        <is>
          <t>481180</t>
        </is>
      </c>
      <c r="C583" s="96" t="inlineStr">
        <is>
          <t>신한자산운용</t>
        </is>
      </c>
      <c r="D583" s="97" t="n">
        <v>16900</v>
      </c>
      <c r="E583" s="97" t="n">
        <v>145340000000</v>
      </c>
      <c r="F583" s="97" t="n">
        <v>1776961465</v>
      </c>
      <c r="G583" s="98" t="n">
        <v>0.004500000000000001</v>
      </c>
      <c r="H583" s="98" t="n">
        <v>0.3578</v>
      </c>
      <c r="I583" s="98" t="n">
        <v>0.0004</v>
      </c>
      <c r="J583" s="98" t="n">
        <v>0.000296</v>
      </c>
      <c r="K583" s="97" t="n">
        <v>2</v>
      </c>
      <c r="L583" s="99" t="inlineStr">
        <is>
          <t>20260429</t>
        </is>
      </c>
      <c r="M583" s="96" t="inlineStr">
        <is>
          <t>제외</t>
        </is>
      </c>
      <c r="N583" s="96" t="inlineStr">
        <is>
          <t>변동성 35.8%(1년 기준, 기준 35% 초과)</t>
        </is>
      </c>
      <c r="O583" s="96" t="inlineStr">
        <is>
          <t>KEDI US AI Software Index(PR)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IFERROR(INDEX($A$4:$A$593,MATCH(580,$X$4:$X$593,0)),"")</f>
        <v/>
      </c>
    </row>
    <row r="584">
      <c r="A584" s="96" t="inlineStr">
        <is>
          <t>TIGER 한중반도체(합성)</t>
        </is>
      </c>
      <c r="B584" s="96" t="inlineStr">
        <is>
          <t>449690</t>
        </is>
      </c>
      <c r="C584" s="96" t="inlineStr">
        <is>
          <t>미래에셋자산운용</t>
        </is>
      </c>
      <c r="D584" s="97" t="n">
        <v>49457</v>
      </c>
      <c r="E584" s="97" t="n">
        <v>37092750000</v>
      </c>
      <c r="F584" s="97" t="n">
        <v>53695668</v>
      </c>
      <c r="G584" s="98" t="n">
        <v>0.0035</v>
      </c>
      <c r="H584" s="98" t="n">
        <v>0.5322</v>
      </c>
      <c r="I584" s="98" t="n">
        <v>0.0005</v>
      </c>
      <c r="J584" s="98" t="n">
        <v>0.000263</v>
      </c>
      <c r="K584" s="97" t="n">
        <v>1</v>
      </c>
      <c r="L584" s="99" t="inlineStr">
        <is>
          <t>20251229</t>
        </is>
      </c>
      <c r="M584" s="96" t="inlineStr">
        <is>
          <t>제외</t>
        </is>
      </c>
      <c r="N584" s="96" t="inlineStr">
        <is>
          <t>60일 거래대금 0.5억(기준 5억 미만), 변동성 53.2%(1년 기준, 기준 35% 초과)</t>
        </is>
      </c>
      <c r="O584" s="96" t="inlineStr">
        <is>
          <t>KRX CSI 한.중 반도체지수</t>
        </is>
      </c>
      <c r="P584" s="96" t="inlineStr">
        <is>
          <t>일반</t>
        </is>
      </c>
      <c r="Q584" s="96" t="inlineStr">
        <is>
          <t>주식</t>
        </is>
      </c>
      <c r="R584" s="96" t="inlineStr">
        <is>
          <t>연배당</t>
        </is>
      </c>
      <c r="S584" s="97" t="n">
        <v>1</v>
      </c>
      <c r="T584" s="98" t="n">
        <v>1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IFERROR(INDEX($A$4:$A$593,MATCH(581,$X$4:$X$593,0)),"")</f>
        <v/>
      </c>
    </row>
    <row r="585">
      <c r="A585" s="96" t="inlineStr">
        <is>
          <t>KODEX 신재생에너지액티브</t>
        </is>
      </c>
      <c r="B585" s="96" t="inlineStr">
        <is>
          <t>385510</t>
        </is>
      </c>
      <c r="C585" s="96" t="inlineStr">
        <is>
          <t>삼성자산운용(ETF)</t>
        </is>
      </c>
      <c r="D585" s="97" t="n">
        <v>39995</v>
      </c>
      <c r="E585" s="97" t="n">
        <v>347956500000</v>
      </c>
      <c r="F585" s="97" t="n">
        <v>5452035623</v>
      </c>
      <c r="G585" s="98" t="n">
        <v>0.005</v>
      </c>
      <c r="H585" s="98" t="n">
        <v>0.6086</v>
      </c>
      <c r="I585" s="98" t="n">
        <v>0.0002</v>
      </c>
      <c r="J585" s="98" t="n">
        <v>0.00025</v>
      </c>
      <c r="K585" s="97" t="n">
        <v>5</v>
      </c>
      <c r="L585" s="99" t="inlineStr">
        <is>
          <t>20260429</t>
        </is>
      </c>
      <c r="M585" s="96" t="inlineStr">
        <is>
          <t>제외</t>
        </is>
      </c>
      <c r="N585" s="96" t="inlineStr">
        <is>
          <t>변동성 60.9%(1년 기준, 기준 35% 초과)</t>
        </is>
      </c>
      <c r="O585" s="96" t="inlineStr">
        <is>
          <t>FnGuide K-재생에너지 플러스 지수</t>
        </is>
      </c>
      <c r="P585" s="96" t="inlineStr">
        <is>
          <t>일반</t>
        </is>
      </c>
      <c r="Q585" s="96" t="inlineStr">
        <is>
          <t>주식</t>
        </is>
      </c>
      <c r="R585" s="96" t="inlineStr">
        <is>
          <t>연배당</t>
        </is>
      </c>
      <c r="S585" s="97" t="n">
        <v>1</v>
      </c>
      <c r="T585" s="98" t="n">
        <v>0.8</v>
      </c>
      <c r="U585">
        <f>IF(AND($J585&lt;&gt;"",OR(조회_주기="전체",$R585=조회_주기),$J585&gt;=조회_최소,$J585&lt;=조회_최대),1,0)</f>
        <v/>
      </c>
      <c r="V585">
        <f>IF($U585=1,$V584+1,$V584)</f>
        <v/>
      </c>
      <c r="W585">
        <f>IF(검색어="",1,IF(ISNUMBER(SEARCH(검색어,$A585)),1,0))</f>
        <v/>
      </c>
      <c r="X585">
        <f>IF($W585=1,$X584+1,$X584)</f>
        <v/>
      </c>
      <c r="Y585">
        <f>IFERROR(INDEX($A$4:$A$593,MATCH(582,$X$4:$X$593,0)),"")</f>
        <v/>
      </c>
    </row>
    <row r="586">
      <c r="A586" s="96" t="inlineStr">
        <is>
          <t>SOL 반도체후공정</t>
        </is>
      </c>
      <c r="B586" s="96" t="inlineStr">
        <is>
          <t>475310</t>
        </is>
      </c>
      <c r="C586" s="96" t="inlineStr">
        <is>
          <t>신한자산운용</t>
        </is>
      </c>
      <c r="D586" s="97" t="n">
        <v>33195</v>
      </c>
      <c r="E586" s="97" t="n">
        <v>112863000000</v>
      </c>
      <c r="F586" s="97" t="n">
        <v>7135557236</v>
      </c>
      <c r="G586" s="98" t="n">
        <v>0.004500000000000001</v>
      </c>
      <c r="H586" s="98" t="n">
        <v>0.7322</v>
      </c>
      <c r="I586" s="98" t="n">
        <v>0.0001</v>
      </c>
      <c r="J586" s="98" t="n">
        <v>0.000151</v>
      </c>
      <c r="K586" s="97" t="n">
        <v>2</v>
      </c>
      <c r="L586" s="99" t="inlineStr">
        <is>
          <t>20260429</t>
        </is>
      </c>
      <c r="M586" s="96" t="inlineStr">
        <is>
          <t>제외</t>
        </is>
      </c>
      <c r="N586" s="96" t="inlineStr">
        <is>
          <t>변동성 73.2%(1년 기준, 기준 35% 초과)</t>
        </is>
      </c>
      <c r="O586" s="96" t="inlineStr">
        <is>
          <t>FnGuide 반도체 후공정 지수</t>
        </is>
      </c>
      <c r="P586" s="96" t="inlineStr">
        <is>
          <t>일반</t>
        </is>
      </c>
      <c r="Q586" s="96" t="inlineStr">
        <is>
          <t>주식</t>
        </is>
      </c>
      <c r="R586" s="96" t="inlineStr">
        <is>
          <t>연배당</t>
        </is>
      </c>
      <c r="S586" s="97" t="n">
        <v>1</v>
      </c>
      <c r="T586" s="98" t="n">
        <v>0.4</v>
      </c>
      <c r="U586">
        <f>IF(AND($J586&lt;&gt;"",OR(조회_주기="전체",$R586=조회_주기),$J586&gt;=조회_최소,$J586&lt;=조회_최대),1,0)</f>
        <v/>
      </c>
      <c r="V586">
        <f>IF($U586=1,$V585+1,$V585)</f>
        <v/>
      </c>
      <c r="W586">
        <f>IF(검색어="",1,IF(ISNUMBER(SEARCH(검색어,$A586)),1,0))</f>
        <v/>
      </c>
      <c r="X586">
        <f>IF($W586=1,$X585+1,$X585)</f>
        <v/>
      </c>
      <c r="Y586">
        <f>IFERROR(INDEX($A$4:$A$593,MATCH(583,$X$4:$X$593,0)),"")</f>
        <v/>
      </c>
    </row>
    <row r="587">
      <c r="A587" s="96" t="inlineStr">
        <is>
          <t>TIGER 반도체TOP10레버리지</t>
        </is>
      </c>
      <c r="B587" s="96" t="inlineStr">
        <is>
          <t>488080</t>
        </is>
      </c>
      <c r="C587" s="96" t="inlineStr">
        <is>
          <t>미래에셋자산운용</t>
        </is>
      </c>
      <c r="D587" s="97" t="n">
        <v>40760</v>
      </c>
      <c r="E587" s="97" t="n">
        <v>737756000000</v>
      </c>
      <c r="F587" s="97" t="n">
        <v>127078527621</v>
      </c>
      <c r="G587" s="98" t="n">
        <v>0.0049</v>
      </c>
      <c r="H587" s="98" t="n">
        <v>1.4705</v>
      </c>
      <c r="I587" s="98" t="n">
        <v>0.0004</v>
      </c>
      <c r="J587" s="98" t="n">
        <v>0.000147</v>
      </c>
      <c r="K587" s="97" t="n">
        <v>1</v>
      </c>
      <c r="L587" s="99" t="inlineStr">
        <is>
          <t>20251229</t>
        </is>
      </c>
      <c r="M587" s="96" t="inlineStr">
        <is>
          <t>제외</t>
        </is>
      </c>
      <c r="N587" s="96" t="inlineStr">
        <is>
          <t>변동성 147.0%(1년 기준, 기준 35% 초과)</t>
        </is>
      </c>
      <c r="O587" s="96" t="inlineStr">
        <is>
          <t>FnGuide 반도체 TOP10 지수</t>
        </is>
      </c>
      <c r="P587" s="96" t="inlineStr">
        <is>
          <t>일반</t>
        </is>
      </c>
      <c r="Q587" s="96" t="inlineStr">
        <is>
          <t>주식</t>
        </is>
      </c>
      <c r="R587" s="96" t="inlineStr">
        <is>
          <t>연배당</t>
        </is>
      </c>
      <c r="S587" s="97" t="n">
        <v>1</v>
      </c>
      <c r="T587" s="98" t="n">
        <v>0</v>
      </c>
      <c r="U587">
        <f>IF(AND($J587&lt;&gt;"",OR(조회_주기="전체",$R587=조회_주기),$J587&gt;=조회_최소,$J587&lt;=조회_최대),1,0)</f>
        <v/>
      </c>
      <c r="V587">
        <f>IF($U587=1,$V586+1,$V586)</f>
        <v/>
      </c>
      <c r="W587">
        <f>IF(검색어="",1,IF(ISNUMBER(SEARCH(검색어,$A587)),1,0))</f>
        <v/>
      </c>
      <c r="X587">
        <f>IF($W587=1,$X586+1,$X586)</f>
        <v/>
      </c>
      <c r="Y587">
        <f>IFERROR(INDEX($A$4:$A$593,MATCH(584,$X$4:$X$593,0)),"")</f>
        <v/>
      </c>
    </row>
    <row r="588">
      <c r="A588" s="96" t="inlineStr">
        <is>
          <t>KIWOOM CD금리액티브(합성)</t>
        </is>
      </c>
      <c r="B588" s="96" t="inlineStr">
        <is>
          <t>458210</t>
        </is>
      </c>
      <c r="C588" s="96" t="inlineStr">
        <is>
          <t>키움투자자산운용</t>
        </is>
      </c>
      <c r="D588" s="97" t="n">
        <v>110895</v>
      </c>
      <c r="E588" s="97" t="n">
        <v>148931985000</v>
      </c>
      <c r="F588" s="97" t="n">
        <v>104516916</v>
      </c>
      <c r="G588" s="98" t="n">
        <v>0.0003</v>
      </c>
      <c r="H588" s="98" t="n">
        <v>0.0012</v>
      </c>
      <c r="I588" s="98" t="n">
        <v>0.0001</v>
      </c>
      <c r="J588" s="98" t="n">
        <v>0.000144</v>
      </c>
      <c r="K588" s="97" t="n">
        <v>1</v>
      </c>
      <c r="L588" s="99" t="inlineStr">
        <is>
          <t>20251229</t>
        </is>
      </c>
      <c r="M588" s="96" t="inlineStr">
        <is>
          <t>제외</t>
        </is>
      </c>
      <c r="N588" s="96" t="inlineStr">
        <is>
          <t>60일 거래대금 1.0억(기준 5억 미만)</t>
        </is>
      </c>
      <c r="O588" s="96" t="inlineStr">
        <is>
          <t>FnGuide CD수익률 투자 지수</t>
        </is>
      </c>
      <c r="P588" s="96" t="inlineStr">
        <is>
          <t>일반</t>
        </is>
      </c>
      <c r="Q588" s="96" t="inlineStr">
        <is>
          <t>단기자금(파킹형)</t>
        </is>
      </c>
      <c r="R588" s="96" t="inlineStr">
        <is>
          <t>연배당</t>
        </is>
      </c>
      <c r="S588" s="97" t="n">
        <v>1</v>
      </c>
      <c r="T588" s="98" t="n">
        <v>1</v>
      </c>
      <c r="U588">
        <f>IF(AND($J588&lt;&gt;"",OR(조회_주기="전체",$R588=조회_주기),$J588&gt;=조회_최소,$J588&lt;=조회_최대),1,0)</f>
        <v/>
      </c>
      <c r="V588">
        <f>IF($U588=1,$V587+1,$V587)</f>
        <v/>
      </c>
      <c r="W588">
        <f>IF(검색어="",1,IF(ISNUMBER(SEARCH(검색어,$A588)),1,0))</f>
        <v/>
      </c>
      <c r="X588">
        <f>IF($W588=1,$X587+1,$X587)</f>
        <v/>
      </c>
      <c r="Y588">
        <f>IFERROR(INDEX($A$4:$A$593,MATCH(585,$X$4:$X$593,0)),"")</f>
        <v/>
      </c>
    </row>
    <row r="589">
      <c r="A589" s="96" t="inlineStr">
        <is>
          <t>TIGER AI코리아그로스액티브</t>
        </is>
      </c>
      <c r="B589" s="96" t="inlineStr">
        <is>
          <t>365040</t>
        </is>
      </c>
      <c r="C589" s="96" t="inlineStr">
        <is>
          <t>미래에셋자산운용</t>
        </is>
      </c>
      <c r="D589" s="97" t="n">
        <v>36915</v>
      </c>
      <c r="E589" s="97" t="n">
        <v>77521500000</v>
      </c>
      <c r="F589" s="97" t="n">
        <v>681090862</v>
      </c>
      <c r="G589" s="98" t="n">
        <v>0.004</v>
      </c>
      <c r="H589" s="98" t="n">
        <v>0.5401</v>
      </c>
      <c r="I589" s="98" t="n">
        <v>0.0001</v>
      </c>
      <c r="J589" s="98" t="n">
        <v>0.000135</v>
      </c>
      <c r="K589" s="97" t="n">
        <v>5</v>
      </c>
      <c r="L589" s="99" t="inlineStr">
        <is>
          <t>20260429</t>
        </is>
      </c>
      <c r="M589" s="96" t="inlineStr">
        <is>
          <t>제외</t>
        </is>
      </c>
      <c r="N589" s="96" t="inlineStr">
        <is>
          <t>변동성 54.0%(1년 기준, 기준 35% 초과)</t>
        </is>
      </c>
      <c r="O589" s="96" t="inlineStr">
        <is>
          <t>코스피</t>
        </is>
      </c>
      <c r="P589" s="96" t="inlineStr">
        <is>
          <t>일반</t>
        </is>
      </c>
      <c r="Q589" s="96" t="inlineStr">
        <is>
          <t>주식</t>
        </is>
      </c>
      <c r="R589" s="96" t="inlineStr">
        <is>
          <t>연배당</t>
        </is>
      </c>
      <c r="S589" s="97" t="n">
        <v>1</v>
      </c>
      <c r="T589" s="98" t="n">
        <v>1</v>
      </c>
      <c r="U589">
        <f>IF(AND($J589&lt;&gt;"",OR(조회_주기="전체",$R589=조회_주기),$J589&gt;=조회_최소,$J589&lt;=조회_최대),1,0)</f>
        <v/>
      </c>
      <c r="V589">
        <f>IF($U589=1,$V588+1,$V588)</f>
        <v/>
      </c>
      <c r="W589">
        <f>IF(검색어="",1,IF(ISNUMBER(SEARCH(검색어,$A589)),1,0))</f>
        <v/>
      </c>
      <c r="X589">
        <f>IF($W589=1,$X588+1,$X588)</f>
        <v/>
      </c>
      <c r="Y589">
        <f>IFERROR(INDEX($A$4:$A$593,MATCH(586,$X$4:$X$593,0)),"")</f>
        <v/>
      </c>
    </row>
    <row r="590">
      <c r="A590" s="96" t="inlineStr">
        <is>
          <t>TIGER 코리아테크액티브</t>
        </is>
      </c>
      <c r="B590" s="96" t="inlineStr">
        <is>
          <t>471780</t>
        </is>
      </c>
      <c r="C590" s="96" t="inlineStr">
        <is>
          <t>미래에셋자산운용</t>
        </is>
      </c>
      <c r="D590" s="97" t="n">
        <v>40725</v>
      </c>
      <c r="E590" s="97" t="n">
        <v>313989750000</v>
      </c>
      <c r="F590" s="97" t="n">
        <v>5589769007</v>
      </c>
      <c r="G590" s="98" t="n">
        <v>0.0077</v>
      </c>
      <c r="H590" s="98" t="n">
        <v>0.6513</v>
      </c>
      <c r="I590" s="98" t="n">
        <v>0.0001</v>
      </c>
      <c r="J590" s="98" t="n">
        <v>0.000123</v>
      </c>
      <c r="K590" s="97" t="n">
        <v>3</v>
      </c>
      <c r="L590" s="99" t="inlineStr">
        <is>
          <t>20260429</t>
        </is>
      </c>
      <c r="M590" s="96" t="inlineStr">
        <is>
          <t>제외</t>
        </is>
      </c>
      <c r="N590" s="96" t="inlineStr">
        <is>
          <t>변동성 65.1%(1년 기준, 기준 35% 초과)</t>
        </is>
      </c>
      <c r="O590" s="96" t="inlineStr">
        <is>
          <t>KRX 정보기술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연배당</t>
        </is>
      </c>
      <c r="S590" s="97" t="n">
        <v>1</v>
      </c>
      <c r="T590" s="98" t="n">
        <v>1</v>
      </c>
      <c r="U590">
        <f>IF(AND($J590&lt;&gt;"",OR(조회_주기="전체",$R590=조회_주기),$J590&gt;=조회_최소,$J590&lt;=조회_최대),1,0)</f>
        <v/>
      </c>
      <c r="V590">
        <f>IF($U590=1,$V589+1,$V589)</f>
        <v/>
      </c>
      <c r="W590">
        <f>IF(검색어="",1,IF(ISNUMBER(SEARCH(검색어,$A590)),1,0))</f>
        <v/>
      </c>
      <c r="X590">
        <f>IF($W590=1,$X589+1,$X589)</f>
        <v/>
      </c>
      <c r="Y590">
        <f>IFERROR(INDEX($A$4:$A$593,MATCH(587,$X$4:$X$593,0)),"")</f>
        <v/>
      </c>
    </row>
    <row r="591">
      <c r="A591" s="96" t="inlineStr">
        <is>
          <t>KIWOOM 인도Nifty50(합성)</t>
        </is>
      </c>
      <c r="B591" s="96" t="inlineStr">
        <is>
          <t>200250</t>
        </is>
      </c>
      <c r="C591" s="96" t="inlineStr">
        <is>
          <t>키움투자자산운용</t>
        </is>
      </c>
      <c r="D591" s="97" t="n">
        <v>19660</v>
      </c>
      <c r="E591" s="97" t="n">
        <v>155314000000</v>
      </c>
      <c r="F591" s="97" t="n">
        <v>251455675</v>
      </c>
      <c r="G591" s="98" t="n">
        <v>0.0029</v>
      </c>
      <c r="H591" s="98" t="n">
        <v>0.1705</v>
      </c>
      <c r="I591" s="98" t="n">
        <v>0.0001</v>
      </c>
      <c r="J591" s="98" t="n">
        <v>0.000102</v>
      </c>
      <c r="K591" s="97" t="n">
        <v>1</v>
      </c>
      <c r="L591" s="99" t="inlineStr">
        <is>
          <t>20251229</t>
        </is>
      </c>
      <c r="M591" s="96" t="inlineStr">
        <is>
          <t>제외</t>
        </is>
      </c>
      <c r="N591" s="96" t="inlineStr">
        <is>
          <t>60일 거래대금 2.5억(기준 5억 미만)</t>
        </is>
      </c>
      <c r="O591" s="96" t="inlineStr">
        <is>
          <t>CNX NIFTY INDEX</t>
        </is>
      </c>
      <c r="P591" s="96" t="inlineStr">
        <is>
          <t>일반</t>
        </is>
      </c>
      <c r="Q591" s="96" t="inlineStr">
        <is>
          <t>주식</t>
        </is>
      </c>
      <c r="R591" s="96" t="inlineStr">
        <is>
          <t>연배당</t>
        </is>
      </c>
      <c r="S591" s="97" t="n">
        <v>1</v>
      </c>
      <c r="T591" s="98" t="n">
        <v>1</v>
      </c>
      <c r="U591">
        <f>IF(AND($J591&lt;&gt;"",OR(조회_주기="전체",$R591=조회_주기),$J591&gt;=조회_최소,$J591&lt;=조회_최대),1,0)</f>
        <v/>
      </c>
      <c r="V591">
        <f>IF($U591=1,$V590+1,$V590)</f>
        <v/>
      </c>
      <c r="W591">
        <f>IF(검색어="",1,IF(ISNUMBER(SEARCH(검색어,$A591)),1,0))</f>
        <v/>
      </c>
      <c r="X591">
        <f>IF($W591=1,$X590+1,$X590)</f>
        <v/>
      </c>
      <c r="Y591">
        <f>IFERROR(INDEX($A$4:$A$593,MATCH(588,$X$4:$X$593,0)),"")</f>
        <v/>
      </c>
    </row>
    <row r="592">
      <c r="A592" s="96" t="inlineStr">
        <is>
          <t>RISE 미국달러SOFR금리액티브(합성)</t>
        </is>
      </c>
      <c r="B592" s="96" t="inlineStr">
        <is>
          <t>455960</t>
        </is>
      </c>
      <c r="C592" s="96" t="inlineStr">
        <is>
          <t>KB자산운용</t>
        </is>
      </c>
      <c r="D592" s="97" t="n">
        <v>11950</v>
      </c>
      <c r="E592" s="97" t="n">
        <v>54731000000</v>
      </c>
      <c r="F592" s="97" t="n">
        <v>29998149</v>
      </c>
      <c r="G592" s="98" t="n">
        <v>0.0005</v>
      </c>
      <c r="H592" s="98" t="n">
        <v>0.1027</v>
      </c>
      <c r="I592" s="98" t="n">
        <v>0.0001</v>
      </c>
      <c r="J592" s="98" t="n">
        <v>8.4e-05</v>
      </c>
      <c r="K592" s="97" t="n">
        <v>1</v>
      </c>
      <c r="L592" s="99" t="inlineStr">
        <is>
          <t>20251229</t>
        </is>
      </c>
      <c r="M592" s="96" t="inlineStr">
        <is>
          <t>제외</t>
        </is>
      </c>
      <c r="N592" s="96" t="inlineStr">
        <is>
          <t>60일 거래대금 0.3억(기준 5억 미만)</t>
        </is>
      </c>
      <c r="O592" s="96" t="inlineStr">
        <is>
          <t>KAP SOFR Index</t>
        </is>
      </c>
      <c r="P592" s="96" t="inlineStr">
        <is>
          <t>일반</t>
        </is>
      </c>
      <c r="Q592" s="96" t="inlineStr">
        <is>
          <t>단기자금(파킹형)</t>
        </is>
      </c>
      <c r="R592" s="96" t="inlineStr">
        <is>
          <t>연배당</t>
        </is>
      </c>
      <c r="S592" s="97" t="n">
        <v>1</v>
      </c>
      <c r="T592" s="98" t="n">
        <v>1</v>
      </c>
      <c r="U592">
        <f>IF(AND($J592&lt;&gt;"",OR(조회_주기="전체",$R592=조회_주기),$J592&gt;=조회_최소,$J592&lt;=조회_최대),1,0)</f>
        <v/>
      </c>
      <c r="V592">
        <f>IF($U592=1,$V591+1,$V591)</f>
        <v/>
      </c>
      <c r="W592">
        <f>IF(검색어="",1,IF(ISNUMBER(SEARCH(검색어,$A592)),1,0))</f>
        <v/>
      </c>
      <c r="X592">
        <f>IF($W592=1,$X591+1,$X591)</f>
        <v/>
      </c>
      <c r="Y592">
        <f>IFERROR(INDEX($A$4:$A$593,MATCH(589,$X$4:$X$593,0)),"")</f>
        <v/>
      </c>
    </row>
    <row r="593">
      <c r="A593" s="96" t="inlineStr">
        <is>
          <t>RISE AI전력인프라</t>
        </is>
      </c>
      <c r="B593" s="96" t="inlineStr">
        <is>
          <t>0101N0</t>
        </is>
      </c>
      <c r="C593" s="96" t="inlineStr">
        <is>
          <t>KB자산운용</t>
        </is>
      </c>
      <c r="D593" s="97" t="n">
        <v>21585</v>
      </c>
      <c r="E593" s="97" t="n">
        <v>682086000000</v>
      </c>
      <c r="F593" s="97" t="n">
        <v>10111752628</v>
      </c>
      <c r="G593" s="98" t="n">
        <v>0.002</v>
      </c>
      <c r="H593" s="98" t="n">
        <v>0.6704000000000001</v>
      </c>
      <c r="I593" s="98" t="n">
        <v>0.0001</v>
      </c>
      <c r="J593" s="98" t="n">
        <v>4.6e-05</v>
      </c>
      <c r="K593" s="97" t="n">
        <v>1</v>
      </c>
      <c r="L593" s="99" t="inlineStr">
        <is>
          <t>20251229</t>
        </is>
      </c>
      <c r="M593" s="96" t="inlineStr">
        <is>
          <t>제외</t>
        </is>
      </c>
      <c r="N593" s="96" t="inlineStr">
        <is>
          <t>변동성 67.0%(1년 기준, 기준 35% 초과)</t>
        </is>
      </c>
      <c r="O593" s="96" t="inlineStr">
        <is>
          <t>KRX-Akros AI 전력인프라 지수</t>
        </is>
      </c>
      <c r="P593" s="96" t="inlineStr">
        <is>
          <t>일반</t>
        </is>
      </c>
      <c r="Q593" s="96" t="inlineStr">
        <is>
          <t>주식</t>
        </is>
      </c>
      <c r="R593" s="96" t="inlineStr">
        <is>
          <t>연배당</t>
        </is>
      </c>
      <c r="S593" s="97" t="n">
        <v>1</v>
      </c>
      <c r="T593" s="98" t="n">
        <v>0</v>
      </c>
      <c r="U593">
        <f>IF(AND($J593&lt;&gt;"",OR(조회_주기="전체",$R593=조회_주기),$J593&gt;=조회_최소,$J593&lt;=조회_최대),1,0)</f>
        <v/>
      </c>
      <c r="V593">
        <f>IF($U593=1,$V592+1,$V592)</f>
        <v/>
      </c>
      <c r="W593">
        <f>IF(검색어="",1,IF(ISNUMBER(SEARCH(검색어,$A593)),1,0))</f>
        <v/>
      </c>
      <c r="X593">
        <f>IF($W593=1,$X592+1,$X592)</f>
        <v/>
      </c>
      <c r="Y593">
        <f>IFERROR(INDEX($A$4:$A$593,MATCH(590,$X$4:$X$593,0)),"")</f>
        <v/>
      </c>
    </row>
    <row r="594">
      <c r="A594" s="96" t="inlineStr">
        <is>
          <t>KODEX 삼성전자SK하이닉스채권혼합50</t>
        </is>
      </c>
      <c r="B594" s="96" t="inlineStr">
        <is>
          <t>0177N0</t>
        </is>
      </c>
      <c r="C594" s="96" t="inlineStr">
        <is>
          <t>삼성자산운용(ETF)</t>
        </is>
      </c>
      <c r="D594" s="97" t="n">
        <v>14690</v>
      </c>
      <c r="E594" s="97" t="n">
        <v>1576237000000</v>
      </c>
      <c r="F594" s="97" t="n">
        <v>81301070816</v>
      </c>
      <c r="G594" s="98" t="n">
        <v>0.0007000000000000001</v>
      </c>
      <c r="H594" s="98" t="n">
        <v>0.4829</v>
      </c>
      <c r="I594" s="98" t="n">
        <v>0.0016</v>
      </c>
      <c r="J594" s="98" t="n"/>
      <c r="K594" s="97" t="n">
        <v>5</v>
      </c>
      <c r="L594" s="99" t="inlineStr">
        <is>
          <t>20260914</t>
        </is>
      </c>
      <c r="M594" s="96" t="inlineStr">
        <is>
          <t>제외</t>
        </is>
      </c>
      <c r="N594" s="96" t="inlineStr">
        <is>
          <t>변동성 48.3%(113거래일 기준, 기준 35% 초과), 상장 6개월(기준 12개월 미만), 연 분배율 산출 불가(상장 1년 미만 — 12개월 창이 안 채워짐)</t>
        </is>
      </c>
      <c r="O594" s="96" t="inlineStr">
        <is>
          <t>Wise 삼성전자 SK하이닉스 채권혼합 지수</t>
        </is>
      </c>
      <c r="P594" s="96" t="inlineStr">
        <is>
          <t>일반</t>
        </is>
      </c>
      <c r="Q594" s="96" t="inlineStr">
        <is>
          <t>멀티에셋</t>
        </is>
      </c>
      <c r="R594" s="96" t="inlineStr">
        <is>
          <t>판정 불가</t>
        </is>
      </c>
      <c r="S594" s="97" t="n">
        <v>5</v>
      </c>
      <c r="T594" s="98" t="n"/>
    </row>
    <row r="595">
      <c r="A595" s="96" t="inlineStr">
        <is>
          <t>KODEX 200커버드콜액티브</t>
        </is>
      </c>
      <c r="B595" s="96" t="inlineStr">
        <is>
          <t>0219E0</t>
        </is>
      </c>
      <c r="C595" s="96" t="inlineStr">
        <is>
          <t>삼성자산운용(ETF)</t>
        </is>
      </c>
      <c r="D595" s="97" t="n">
        <v>8410</v>
      </c>
      <c r="E595" s="97" t="n">
        <v>971355000000</v>
      </c>
      <c r="F595" s="97" t="n">
        <v>45928053742</v>
      </c>
      <c r="G595" s="98" t="n">
        <v>0.005</v>
      </c>
      <c r="H595" s="98" t="n"/>
      <c r="I595" s="98" t="n">
        <v>0.0206</v>
      </c>
      <c r="J595" s="98" t="n"/>
      <c r="K595" s="97" t="n">
        <v>3</v>
      </c>
      <c r="L595" s="99" t="inlineStr">
        <is>
          <t>20260929</t>
        </is>
      </c>
      <c r="M595" s="96" t="inlineStr">
        <is>
          <t>제외</t>
        </is>
      </c>
      <c r="N595" s="96" t="inlineStr">
        <is>
          <t>변동성 산출 불가(시세 47일치뿐), 상장 3개월(기준 12개월 미만), 연 분배율 산출 불가(상장 1년 미만 — 12개월 창이 안 채워짐)</t>
        </is>
      </c>
      <c r="O595" s="96" t="inlineStr">
        <is>
          <t>코스피 200 커버드콜 5% OTM</t>
        </is>
      </c>
      <c r="P595" s="96" t="inlineStr">
        <is>
          <t>커버드콜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3</v>
      </c>
      <c r="T595" s="98" t="n"/>
    </row>
    <row r="596">
      <c r="A596" s="96" t="inlineStr">
        <is>
          <t>TIGER 반도체TOP10커버드콜액티브</t>
        </is>
      </c>
      <c r="B596" s="96" t="inlineStr">
        <is>
          <t>0177R0</t>
        </is>
      </c>
      <c r="C596" s="96" t="inlineStr">
        <is>
          <t>미래에셋자산운용</t>
        </is>
      </c>
      <c r="D596" s="97" t="n">
        <v>12190</v>
      </c>
      <c r="E596" s="97" t="n">
        <v>860614000000</v>
      </c>
      <c r="F596" s="97" t="n">
        <v>30370363474</v>
      </c>
      <c r="G596" s="98" t="n">
        <v>0.004500000000000001</v>
      </c>
      <c r="H596" s="98" t="n">
        <v>0.9062</v>
      </c>
      <c r="I596" s="98" t="n">
        <v>0.0155</v>
      </c>
      <c r="J596" s="98" t="n"/>
      <c r="K596" s="97" t="n">
        <v>5</v>
      </c>
      <c r="L596" s="99" t="inlineStr">
        <is>
          <t>20260914</t>
        </is>
      </c>
      <c r="M596" s="96" t="inlineStr">
        <is>
          <t>제외</t>
        </is>
      </c>
      <c r="N596" s="96" t="inlineStr">
        <is>
          <t>변동성 90.6%(103거래일 기준, 기준 35% 초과), 상장 6개월(기준 12개월 미만), 연 분배율 산출 불가(상장 1년 미만 — 12개월 창이 안 채워짐)</t>
        </is>
      </c>
      <c r="O596" s="96" t="inlineStr">
        <is>
          <t>FnGuide 반도체 TOP10 Capped 지수</t>
        </is>
      </c>
      <c r="P596" s="96" t="inlineStr">
        <is>
          <t>커버드콜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5</v>
      </c>
      <c r="T596" s="98" t="n"/>
    </row>
    <row r="597">
      <c r="A597" s="96" t="inlineStr">
        <is>
          <t>SOL 200타겟위클리커버드콜</t>
        </is>
      </c>
      <c r="B597" s="96" t="inlineStr">
        <is>
          <t>0167B0</t>
        </is>
      </c>
      <c r="C597" s="96" t="inlineStr">
        <is>
          <t>신한자산운용</t>
        </is>
      </c>
      <c r="D597" s="97" t="n">
        <v>11880</v>
      </c>
      <c r="E597" s="97" t="n">
        <v>672408000000</v>
      </c>
      <c r="F597" s="97" t="n">
        <v>19506634851</v>
      </c>
      <c r="G597" s="98" t="n">
        <v>0.003</v>
      </c>
      <c r="H597" s="98" t="n">
        <v>0.6896</v>
      </c>
      <c r="I597" s="98" t="n">
        <v>0.0143</v>
      </c>
      <c r="J597" s="98" t="n"/>
      <c r="K597" s="97" t="n">
        <v>6</v>
      </c>
      <c r="L597" s="99" t="inlineStr">
        <is>
          <t>20260929</t>
        </is>
      </c>
      <c r="M597" s="96" t="inlineStr">
        <is>
          <t>제외</t>
        </is>
      </c>
      <c r="N597" s="96" t="inlineStr">
        <is>
          <t>변동성 69.0%(128거래일 기준, 기준 35% 초과), 상장 7개월(기준 12개월 미만), 연 분배율 산출 불가(상장 1년 미만 — 12개월 창이 안 채워짐)</t>
        </is>
      </c>
      <c r="O597" s="96" t="inlineStr">
        <is>
          <t>코스피 200 타겟 15% 위클리 커버드콜 지수</t>
        </is>
      </c>
      <c r="P597" s="96" t="inlineStr">
        <is>
          <t>커버드콜</t>
        </is>
      </c>
      <c r="Q597" s="96" t="inlineStr">
        <is>
          <t>주식</t>
        </is>
      </c>
      <c r="R597" s="96" t="inlineStr">
        <is>
          <t>판정 불가</t>
        </is>
      </c>
      <c r="S597" s="97" t="n">
        <v>6</v>
      </c>
      <c r="T597" s="98" t="n"/>
    </row>
    <row r="598">
      <c r="A598" s="96" t="inlineStr">
        <is>
          <t>KODEX 미국성장커버드콜액티브</t>
        </is>
      </c>
      <c r="B598" s="96" t="inlineStr">
        <is>
          <t>0144L0</t>
        </is>
      </c>
      <c r="C598" s="96" t="inlineStr">
        <is>
          <t>삼성자산운용(ETF)</t>
        </is>
      </c>
      <c r="D598" s="97" t="n">
        <v>9530</v>
      </c>
      <c r="E598" s="97" t="n">
        <v>347845000000</v>
      </c>
      <c r="F598" s="97" t="n">
        <v>2373492467</v>
      </c>
      <c r="G598" s="98" t="n">
        <v>0.0049</v>
      </c>
      <c r="H598" s="98" t="n">
        <v>0.1824</v>
      </c>
      <c r="I598" s="98" t="n">
        <v>0.0101</v>
      </c>
      <c r="J598" s="98" t="n"/>
      <c r="K598" s="97" t="n">
        <v>9</v>
      </c>
      <c r="L598" s="99" t="inlineStr">
        <is>
          <t>20260929</t>
        </is>
      </c>
      <c r="M598" s="96" t="inlineStr">
        <is>
          <t>제외</t>
        </is>
      </c>
      <c r="N598" s="96" t="inlineStr">
        <is>
          <t>상장 10개월(기준 12개월 미만), 연 분배율 산출 불가(상장 1년 미만 — 12개월 창이 안 채워짐)</t>
        </is>
      </c>
      <c r="O598" s="96" t="inlineStr">
        <is>
          <t>나스닥 100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9</v>
      </c>
      <c r="T598" s="98" t="n"/>
    </row>
    <row r="599">
      <c r="A599" s="96" t="inlineStr">
        <is>
          <t>KODEX 은행</t>
        </is>
      </c>
      <c r="B599" s="96" t="inlineStr">
        <is>
          <t>091170</t>
        </is>
      </c>
      <c r="C599" s="96" t="inlineStr">
        <is>
          <t>삼성자산운용(ETF)</t>
        </is>
      </c>
      <c r="D599" s="97" t="n"/>
      <c r="E599" s="97" t="n"/>
      <c r="F599" s="97" t="n"/>
      <c r="G599" s="98" t="n"/>
      <c r="H599" s="98" t="n"/>
      <c r="I599" s="98" t="n"/>
      <c r="J599" s="98" t="n"/>
      <c r="K599" s="97" t="n"/>
      <c r="L599" s="99" t="n"/>
      <c r="M599" s="96" t="inlineStr">
        <is>
          <t>제외</t>
        </is>
      </c>
      <c r="N599" s="96" t="inlineStr">
        <is>
          <t>수집 실패(세 번 다시 물었으나 답이 오지 않음: HTTP 403)</t>
        </is>
      </c>
      <c r="O599" s="96" t="inlineStr"/>
      <c r="P599" s="96" t="inlineStr">
        <is>
          <t>일반</t>
        </is>
      </c>
      <c r="Q599" s="96" t="inlineStr"/>
      <c r="R599" s="96" t="inlineStr"/>
      <c r="S599" s="97" t="n"/>
      <c r="T599" s="98" t="n"/>
    </row>
    <row r="600">
      <c r="A600" s="96" t="inlineStr">
        <is>
          <t>KIWOOM 삼성전자&amp;SK하이닉스채권혼합50</t>
        </is>
      </c>
      <c r="B600" s="96" t="inlineStr">
        <is>
          <t>0183V0</t>
        </is>
      </c>
      <c r="C600" s="96" t="inlineStr">
        <is>
          <t>키움투자자산운용</t>
        </is>
      </c>
      <c r="D600" s="97" t="n">
        <v>12080</v>
      </c>
      <c r="E600" s="97" t="n">
        <v>273008000000</v>
      </c>
      <c r="F600" s="97" t="n">
        <v>12517049698</v>
      </c>
      <c r="G600" s="98" t="n">
        <v>0.0007000000000000001</v>
      </c>
      <c r="H600" s="98" t="n">
        <v>0.499</v>
      </c>
      <c r="I600" s="98" t="n">
        <v>0.0126</v>
      </c>
      <c r="J600" s="98" t="n"/>
      <c r="K600" s="97" t="n">
        <v>5</v>
      </c>
      <c r="L600" s="99" t="inlineStr">
        <is>
          <t>20260914</t>
        </is>
      </c>
      <c r="M600" s="96" t="inlineStr">
        <is>
          <t>제외</t>
        </is>
      </c>
      <c r="N600" s="96" t="inlineStr">
        <is>
          <t>변동성 49.9%(103거래일 기준, 기준 35% 초과), 상장 6개월(기준 12개월 미만), 연 분배율 산출 불가(상장 1년 미만 — 12개월 창이 안 채워짐)</t>
        </is>
      </c>
      <c r="O600" s="96" t="inlineStr">
        <is>
          <t>FnGuide 삼성전자 &amp; SK하이닉스 채권혼합 지수</t>
        </is>
      </c>
      <c r="P600" s="96" t="inlineStr">
        <is>
          <t>일반</t>
        </is>
      </c>
      <c r="Q600" s="96" t="inlineStr">
        <is>
          <t>멀티에셋</t>
        </is>
      </c>
      <c r="R600" s="96" t="inlineStr">
        <is>
          <t>판정 불가</t>
        </is>
      </c>
      <c r="S600" s="97" t="n">
        <v>5</v>
      </c>
      <c r="T600" s="98" t="n"/>
    </row>
    <row r="601">
      <c r="A601" s="96" t="inlineStr">
        <is>
          <t>TIGER 삼성전자SK하이닉스미국채혼합50</t>
        </is>
      </c>
      <c r="B601" s="96" t="inlineStr">
        <is>
          <t>0233J0</t>
        </is>
      </c>
      <c r="C601" s="96" t="inlineStr">
        <is>
          <t>미래에셋자산운용</t>
        </is>
      </c>
      <c r="D601" s="97" t="n">
        <v>10710</v>
      </c>
      <c r="E601" s="97" t="n">
        <v>214200000000</v>
      </c>
      <c r="F601" s="97" t="n"/>
      <c r="G601" s="98" t="n">
        <v>0.0015</v>
      </c>
      <c r="H601" s="98" t="n"/>
      <c r="I601" s="98" t="n">
        <v>0.0007000000000000001</v>
      </c>
      <c r="J601" s="98" t="n"/>
      <c r="K601" s="97" t="n">
        <v>1</v>
      </c>
      <c r="L601" s="99" t="inlineStr">
        <is>
          <t>20260929</t>
        </is>
      </c>
      <c r="M601" s="96" t="inlineStr">
        <is>
          <t>제외</t>
        </is>
      </c>
      <c r="N601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1" s="96" t="inlineStr">
        <is>
          <t>KRX 삼성전자 SK하이닉스 미국채 혼합지수</t>
        </is>
      </c>
      <c r="P601" s="96" t="inlineStr">
        <is>
          <t>일반</t>
        </is>
      </c>
      <c r="Q601" s="96" t="inlineStr">
        <is>
          <t>멀티에셋</t>
        </is>
      </c>
      <c r="R601" s="96" t="inlineStr">
        <is>
          <t>판정 불가</t>
        </is>
      </c>
      <c r="S601" s="97" t="n">
        <v>1</v>
      </c>
      <c r="T601" s="98" t="n"/>
    </row>
    <row r="602">
      <c r="A602" s="96" t="inlineStr">
        <is>
          <t>KODEX 주주환원고배당주</t>
        </is>
      </c>
      <c r="B602" s="96" t="inlineStr">
        <is>
          <t>0153K0</t>
        </is>
      </c>
      <c r="C602" s="96" t="inlineStr">
        <is>
          <t>삼성자산운용(ETF)</t>
        </is>
      </c>
      <c r="D602" s="97" t="n">
        <v>11835</v>
      </c>
      <c r="E602" s="97" t="n">
        <v>204745500000</v>
      </c>
      <c r="F602" s="97" t="n">
        <v>2388601941</v>
      </c>
      <c r="G602" s="98" t="n">
        <v>0.0033</v>
      </c>
      <c r="H602" s="98" t="n">
        <v>0.3531</v>
      </c>
      <c r="I602" s="98" t="n">
        <v>0.0038</v>
      </c>
      <c r="J602" s="98" t="n"/>
      <c r="K602" s="97" t="n">
        <v>7</v>
      </c>
      <c r="L602" s="99" t="inlineStr">
        <is>
          <t>20260914</t>
        </is>
      </c>
      <c r="M602" s="96" t="inlineStr">
        <is>
          <t>제외</t>
        </is>
      </c>
      <c r="N602" s="96" t="inlineStr">
        <is>
          <t>변동성 35.3%(164거래일 기준, 기준 35% 초과), 상장 9개월(기준 12개월 미만), 연 분배율 산출 불가(상장 1년 미만 — 12개월 창이 안 채워짐)</t>
        </is>
      </c>
      <c r="O602" s="96" t="inlineStr">
        <is>
          <t>Akros 주주환원 고배당 지수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7</v>
      </c>
      <c r="T602" s="98" t="n"/>
    </row>
    <row r="603">
      <c r="A603" s="96" t="inlineStr">
        <is>
          <t>KODEX 반도체타겟위클리커버드콜</t>
        </is>
      </c>
      <c r="B603" s="96" t="inlineStr">
        <is>
          <t>0190G0</t>
        </is>
      </c>
      <c r="C603" s="96" t="inlineStr">
        <is>
          <t>삼성자산운용(ETF)</t>
        </is>
      </c>
      <c r="D603" s="97" t="n">
        <v>10305</v>
      </c>
      <c r="E603" s="97" t="n">
        <v>193734000000</v>
      </c>
      <c r="F603" s="97" t="n">
        <v>8062701820</v>
      </c>
      <c r="G603" s="98" t="n">
        <v>0.004500000000000001</v>
      </c>
      <c r="H603" s="98" t="n">
        <v>0.8498</v>
      </c>
      <c r="I603" s="98" t="n">
        <v>0.0072</v>
      </c>
      <c r="J603" s="98" t="n"/>
      <c r="K603" s="97" t="n">
        <v>5</v>
      </c>
      <c r="L603" s="99" t="inlineStr">
        <is>
          <t>20260929</t>
        </is>
      </c>
      <c r="M603" s="96" t="inlineStr">
        <is>
          <t>제외</t>
        </is>
      </c>
      <c r="N603" s="96" t="inlineStr">
        <is>
          <t>변동성 85.0%(90거래일 기준, 기준 35% 초과), 상장 5개월(기준 12개월 미만), 연 분배율 산출 불가(상장 1년 미만 — 12개월 창이 안 채워짐)</t>
        </is>
      </c>
      <c r="O603" s="96" t="inlineStr">
        <is>
          <t>KRX 반도체 타겟 9% 분배 위클리 커버드콜 지수</t>
        </is>
      </c>
      <c r="P603" s="96" t="inlineStr">
        <is>
          <t>커버드콜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5</v>
      </c>
      <c r="T603" s="98" t="n"/>
    </row>
    <row r="604">
      <c r="A604" s="96" t="inlineStr">
        <is>
          <t>ACE 고배당주Plus커버드콜액티브</t>
        </is>
      </c>
      <c r="B604" s="96" t="inlineStr">
        <is>
          <t>0199C0</t>
        </is>
      </c>
      <c r="C604" s="96" t="inlineStr">
        <is>
          <t>한국투신운용(ETF)</t>
        </is>
      </c>
      <c r="D604" s="97" t="n">
        <v>8900</v>
      </c>
      <c r="E604" s="97" t="n">
        <v>141955000000</v>
      </c>
      <c r="F604" s="97" t="n">
        <v>6347591355</v>
      </c>
      <c r="G604" s="98" t="n">
        <v>0.004</v>
      </c>
      <c r="H604" s="98" t="n">
        <v>0.355</v>
      </c>
      <c r="I604" s="98" t="n">
        <v>0.0169</v>
      </c>
      <c r="J604" s="98" t="n"/>
      <c r="K604" s="97" t="n">
        <v>4</v>
      </c>
      <c r="L604" s="99" t="inlineStr">
        <is>
          <t>20260929</t>
        </is>
      </c>
      <c r="M604" s="96" t="inlineStr">
        <is>
          <t>제외</t>
        </is>
      </c>
      <c r="N604" s="96" t="inlineStr">
        <is>
          <t>변동성 35.5%(76거래일 기준, 기준 35% 초과), 상장 4개월(기준 12개월 미만), 연 분배율 산출 불가(상장 1년 미만 — 12개월 창이 안 채워짐)</t>
        </is>
      </c>
      <c r="O604" s="96" t="inlineStr">
        <is>
          <t>KRX-Akros 고배당주 20 위클리 고정 30% 커버드콜 지수</t>
        </is>
      </c>
      <c r="P604" s="96" t="inlineStr">
        <is>
          <t>커버드콜</t>
        </is>
      </c>
      <c r="Q604" s="96" t="inlineStr">
        <is>
          <t>주식</t>
        </is>
      </c>
      <c r="R604" s="96" t="inlineStr">
        <is>
          <t>판정 불가</t>
        </is>
      </c>
      <c r="S604" s="97" t="n">
        <v>4</v>
      </c>
      <c r="T604" s="98" t="n"/>
    </row>
    <row r="605">
      <c r="A605" s="96" t="inlineStr">
        <is>
          <t>PLUS 테슬라위클리커버드콜채권혼합</t>
        </is>
      </c>
      <c r="B605" s="96" t="inlineStr">
        <is>
          <t>0132K0</t>
        </is>
      </c>
      <c r="C605" s="96" t="inlineStr">
        <is>
          <t>한화자산운용</t>
        </is>
      </c>
      <c r="D605" s="97" t="n">
        <v>7895</v>
      </c>
      <c r="E605" s="97" t="n">
        <v>105398250000</v>
      </c>
      <c r="F605" s="97" t="n">
        <v>1267039621</v>
      </c>
      <c r="G605" s="98" t="n">
        <v>0.0039</v>
      </c>
      <c r="H605" s="98" t="n">
        <v>0.1301</v>
      </c>
      <c r="I605" s="98" t="n">
        <v>0.02</v>
      </c>
      <c r="J605" s="98" t="n"/>
      <c r="K605" s="97" t="n">
        <v>10</v>
      </c>
      <c r="L605" s="99" t="inlineStr">
        <is>
          <t>20260914</t>
        </is>
      </c>
      <c r="M605" s="96" t="inlineStr">
        <is>
          <t>제외</t>
        </is>
      </c>
      <c r="N605" s="96" t="inlineStr">
        <is>
          <t>상장 10개월(기준 12개월 미만), 연 분배율 산출 불가(상장 1년 미만 — 12개월 창이 안 채워짐)</t>
        </is>
      </c>
      <c r="O605" s="96" t="inlineStr">
        <is>
          <t>Akros Tesla Weekly Covered Call Treasury Balanced Index</t>
        </is>
      </c>
      <c r="P605" s="96" t="inlineStr">
        <is>
          <t>커버드콜</t>
        </is>
      </c>
      <c r="Q605" s="96" t="inlineStr">
        <is>
          <t>멀티에셋</t>
        </is>
      </c>
      <c r="R605" s="96" t="inlineStr">
        <is>
          <t>판정 불가</t>
        </is>
      </c>
      <c r="S605" s="97" t="n">
        <v>10</v>
      </c>
      <c r="T605" s="98" t="n"/>
    </row>
    <row r="606">
      <c r="A606" s="96" t="inlineStr">
        <is>
          <t>KIWOOM 코스닥150커버드콜액티브</t>
        </is>
      </c>
      <c r="B606" s="96" t="inlineStr">
        <is>
          <t>0198A0</t>
        </is>
      </c>
      <c r="C606" s="96" t="inlineStr">
        <is>
          <t>키움투자자산운용</t>
        </is>
      </c>
      <c r="D606" s="97" t="n">
        <v>9125</v>
      </c>
      <c r="E606" s="97" t="n">
        <v>92618750000</v>
      </c>
      <c r="F606" s="97" t="n">
        <v>4916621435</v>
      </c>
      <c r="G606" s="98" t="n">
        <v>0.0063</v>
      </c>
      <c r="H606" s="98" t="n"/>
      <c r="I606" s="98" t="n">
        <v>0.0245</v>
      </c>
      <c r="J606" s="98" t="n"/>
      <c r="K606" s="97" t="n">
        <v>3</v>
      </c>
      <c r="L606" s="99" t="inlineStr">
        <is>
          <t>20260929</t>
        </is>
      </c>
      <c r="M606" s="96" t="inlineStr">
        <is>
          <t>제외</t>
        </is>
      </c>
      <c r="N606" s="96" t="inlineStr">
        <is>
          <t>변동성 산출 불가(시세 57일치뿐), 상장 4개월(기준 12개월 미만), 연 분배율 산출 불가(상장 1년 미만 — 12개월 창이 안 채워짐)</t>
        </is>
      </c>
      <c r="O606" s="96" t="inlineStr">
        <is>
          <t>코스닥 150 위클리 고정 30% 커버드콜 지수</t>
        </is>
      </c>
      <c r="P606" s="96" t="inlineStr">
        <is>
          <t>커버드콜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3</v>
      </c>
      <c r="T606" s="98" t="n"/>
    </row>
    <row r="607">
      <c r="A607" s="96" t="inlineStr">
        <is>
          <t>PLUS 200커버드콜액티브</t>
        </is>
      </c>
      <c r="B607" s="96" t="inlineStr">
        <is>
          <t>0210E0</t>
        </is>
      </c>
      <c r="C607" s="96" t="inlineStr">
        <is>
          <t>한화자산운용</t>
        </is>
      </c>
      <c r="D607" s="97" t="n">
        <v>7325</v>
      </c>
      <c r="E607" s="97" t="n">
        <v>71785000000</v>
      </c>
      <c r="F607" s="97" t="n">
        <v>2496072934</v>
      </c>
      <c r="G607" s="98" t="n">
        <v>0.00491</v>
      </c>
      <c r="H607" s="98" t="n">
        <v>0.757</v>
      </c>
      <c r="I607" s="98" t="n">
        <v>0.0205</v>
      </c>
      <c r="J607" s="98" t="n"/>
      <c r="K607" s="97" t="n">
        <v>3</v>
      </c>
      <c r="L607" s="99" t="inlineStr">
        <is>
          <t>20260929</t>
        </is>
      </c>
      <c r="M607" s="96" t="inlineStr">
        <is>
          <t>제외</t>
        </is>
      </c>
      <c r="N607" s="96" t="inlineStr">
        <is>
          <t>변동성 75.7%(62거래일 기준, 기준 35% 초과), 상장 4개월(기준 12개월 미만), 연 분배율 산출 불가(상장 1년 미만 — 12개월 창이 안 채워짐)</t>
        </is>
      </c>
      <c r="O607" s="96" t="inlineStr">
        <is>
          <t>코스피 200 위클리 고정 30% 커버드콜 지수</t>
        </is>
      </c>
      <c r="P607" s="96" t="inlineStr">
        <is>
          <t>커버드콜</t>
        </is>
      </c>
      <c r="Q607" s="96" t="inlineStr">
        <is>
          <t>주식</t>
        </is>
      </c>
      <c r="R607" s="96" t="inlineStr">
        <is>
          <t>판정 불가</t>
        </is>
      </c>
      <c r="S607" s="97" t="n">
        <v>3</v>
      </c>
      <c r="T607" s="98" t="n"/>
    </row>
    <row r="608">
      <c r="A608" s="96" t="inlineStr">
        <is>
          <t>ACE 삼성전자SK하이닉스플러스채권혼합50</t>
        </is>
      </c>
      <c r="B608" s="96" t="inlineStr">
        <is>
          <t>0233A0</t>
        </is>
      </c>
      <c r="C608" s="96" t="inlineStr">
        <is>
          <t>한국투신운용(ETF)</t>
        </is>
      </c>
      <c r="D608" s="97" t="n">
        <v>10805</v>
      </c>
      <c r="E608" s="97" t="n">
        <v>69152000000</v>
      </c>
      <c r="F608" s="97" t="n"/>
      <c r="G608" s="98" t="n">
        <v>0.0007000000000000001</v>
      </c>
      <c r="H608" s="98" t="n"/>
      <c r="I608" s="98" t="n">
        <v>0.0012</v>
      </c>
      <c r="J608" s="98" t="n"/>
      <c r="K608" s="97" t="n">
        <v>1</v>
      </c>
      <c r="L608" s="99" t="inlineStr">
        <is>
          <t>20260929</t>
        </is>
      </c>
      <c r="M608" s="96" t="inlineStr">
        <is>
          <t>제외</t>
        </is>
      </c>
      <c r="N608" s="96" t="inlineStr">
        <is>
          <t>거래대금 미확인, 변동성 산출 불가(시세 26일치뿐), 상장 2개월(기준 12개월 미만), 연 분배율 산출 불가(상장 1년 미만 — 12개월 창이 안 채워짐)</t>
        </is>
      </c>
      <c r="O608" s="96" t="inlineStr">
        <is>
          <t>KAP 삼성전자SK하이닉스플러스채권혼합50지수</t>
        </is>
      </c>
      <c r="P608" s="96" t="inlineStr">
        <is>
          <t>일반</t>
        </is>
      </c>
      <c r="Q608" s="96" t="inlineStr">
        <is>
          <t>멀티에셋</t>
        </is>
      </c>
      <c r="R608" s="96" t="inlineStr">
        <is>
          <t>판정 불가</t>
        </is>
      </c>
      <c r="S608" s="97" t="n">
        <v>1</v>
      </c>
      <c r="T608" s="98" t="n"/>
    </row>
    <row r="609">
      <c r="A609" s="96" t="inlineStr">
        <is>
          <t>KoAct 고배당액티브</t>
        </is>
      </c>
      <c r="B609" s="96" t="inlineStr">
        <is>
          <t>0222D0</t>
        </is>
      </c>
      <c r="C609" s="96" t="inlineStr">
        <is>
          <t>삼성액티브자산(ETF)</t>
        </is>
      </c>
      <c r="D609" s="97" t="n">
        <v>9990</v>
      </c>
      <c r="E609" s="97" t="n">
        <v>63936000000</v>
      </c>
      <c r="F609" s="97" t="n"/>
      <c r="G609" s="98" t="n">
        <v>0.005</v>
      </c>
      <c r="H609" s="98" t="n"/>
      <c r="I609" s="98" t="n">
        <v>0.007900000000000001</v>
      </c>
      <c r="J609" s="98" t="n"/>
      <c r="K609" s="97" t="n">
        <v>2</v>
      </c>
      <c r="L609" s="99" t="inlineStr">
        <is>
          <t>20260929</t>
        </is>
      </c>
      <c r="M609" s="96" t="inlineStr">
        <is>
          <t>제외</t>
        </is>
      </c>
      <c r="N609" s="96" t="inlineStr">
        <is>
          <t>거래대금 미확인, 변동성 산출 불가(시세 38일치뿐), 상장 3개월(기준 12개월 미만), 연 분배율 산출 불가(상장 1년 미만 — 12개월 창이 안 채워짐)</t>
        </is>
      </c>
      <c r="O609" s="96" t="inlineStr">
        <is>
          <t>K200고배당</t>
        </is>
      </c>
      <c r="P609" s="96" t="inlineStr">
        <is>
          <t>일반</t>
        </is>
      </c>
      <c r="Q609" s="96" t="inlineStr">
        <is>
          <t>주식</t>
        </is>
      </c>
      <c r="R609" s="96" t="inlineStr">
        <is>
          <t>판정 불가</t>
        </is>
      </c>
      <c r="S609" s="97" t="n">
        <v>2</v>
      </c>
      <c r="T609" s="98" t="n"/>
    </row>
    <row r="610">
      <c r="A610" s="96" t="inlineStr">
        <is>
          <t>HANARO 증권고배당TOP3플러스</t>
        </is>
      </c>
      <c r="B610" s="96" t="inlineStr">
        <is>
          <t>0111J0</t>
        </is>
      </c>
      <c r="C610" s="96" t="inlineStr">
        <is>
          <t>NH-Amundi자산운용</t>
        </is>
      </c>
      <c r="D610" s="97" t="n">
        <v>11990</v>
      </c>
      <c r="E610" s="97" t="n">
        <v>52756000000</v>
      </c>
      <c r="F610" s="97" t="n">
        <v>1758153622</v>
      </c>
      <c r="G610" s="98" t="n">
        <v>0.0007000000000000001</v>
      </c>
      <c r="H610" s="98" t="n">
        <v>0.6385000000000001</v>
      </c>
      <c r="I610" s="98" t="n">
        <v>0.0033</v>
      </c>
      <c r="J610" s="98" t="n"/>
      <c r="K610" s="97" t="n">
        <v>9</v>
      </c>
      <c r="L610" s="99" t="inlineStr">
        <is>
          <t>20260929</t>
        </is>
      </c>
      <c r="M610" s="96" t="inlineStr">
        <is>
          <t>제외</t>
        </is>
      </c>
      <c r="N610" s="96" t="inlineStr">
        <is>
          <t>변동성 63.8%(1년 기준, 기준 35% 초과), 연 분배율 산출 불가(상장 1년 미만 — 12개월 창이 안 채워짐)</t>
        </is>
      </c>
      <c r="O610" s="96" t="inlineStr">
        <is>
          <t>FnGuide 증권 고배당 TOP3 플러스 지수</t>
        </is>
      </c>
      <c r="P610" s="96" t="inlineStr">
        <is>
          <t>일반</t>
        </is>
      </c>
      <c r="Q610" s="96" t="inlineStr">
        <is>
          <t>주식</t>
        </is>
      </c>
      <c r="R610" s="96" t="inlineStr">
        <is>
          <t>비정기</t>
        </is>
      </c>
      <c r="S610" s="97" t="n">
        <v>9</v>
      </c>
      <c r="T610" s="98" t="n"/>
    </row>
    <row r="611">
      <c r="A611" s="96" t="inlineStr">
        <is>
          <t>ACE 고배당주</t>
        </is>
      </c>
      <c r="B611" s="96" t="inlineStr">
        <is>
          <t>0139P0</t>
        </is>
      </c>
      <c r="C611" s="96" t="inlineStr">
        <is>
          <t>한국투신운용(ETF)</t>
        </is>
      </c>
      <c r="D611" s="97" t="n">
        <v>13120</v>
      </c>
      <c r="E611" s="97" t="n">
        <v>49856000000</v>
      </c>
      <c r="F611" s="97" t="n">
        <v>563038880</v>
      </c>
      <c r="G611" s="98" t="n">
        <v>0.0015</v>
      </c>
      <c r="H611" s="98" t="n">
        <v>0.3882</v>
      </c>
      <c r="I611" s="98" t="n">
        <v>0.0039</v>
      </c>
      <c r="J611" s="98" t="n"/>
      <c r="K611" s="97" t="n">
        <v>10</v>
      </c>
      <c r="L611" s="99" t="inlineStr">
        <is>
          <t>20260929</t>
        </is>
      </c>
      <c r="M611" s="96" t="inlineStr">
        <is>
          <t>제외</t>
        </is>
      </c>
      <c r="N611" s="96" t="inlineStr">
        <is>
          <t>변동성 38.8%(186거래일 기준, 기준 35% 초과), 상장 10개월(기준 12개월 미만), 연 분배율 산출 불가(상장 1년 미만 — 12개월 창이 안 채워짐)</t>
        </is>
      </c>
      <c r="O611" s="96" t="inlineStr">
        <is>
          <t>KRX-Akros 고배당주 20 지수</t>
        </is>
      </c>
      <c r="P611" s="96" t="inlineStr">
        <is>
          <t>일반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10</v>
      </c>
      <c r="T611" s="98" t="n"/>
    </row>
    <row r="612">
      <c r="A612" s="96" t="inlineStr">
        <is>
          <t>RISE 미국S&amp;P500데일리고정커버드콜</t>
        </is>
      </c>
      <c r="B612" s="96" t="inlineStr">
        <is>
          <t>0138T0</t>
        </is>
      </c>
      <c r="C612" s="96" t="inlineStr">
        <is>
          <t>KB자산운용</t>
        </is>
      </c>
      <c r="D612" s="97" t="n">
        <v>9315</v>
      </c>
      <c r="E612" s="97" t="n">
        <v>32602500000</v>
      </c>
      <c r="F612" s="97" t="n">
        <v>309472134</v>
      </c>
      <c r="G612" s="98" t="n">
        <v>0.0025</v>
      </c>
      <c r="H612" s="98" t="n">
        <v>0.1561</v>
      </c>
      <c r="I612" s="98" t="n">
        <v>0.008</v>
      </c>
      <c r="J612" s="98" t="n"/>
      <c r="K612" s="97" t="n">
        <v>10</v>
      </c>
      <c r="L612" s="99" t="inlineStr">
        <is>
          <t>20260914</t>
        </is>
      </c>
      <c r="M612" s="96" t="inlineStr">
        <is>
          <t>제외</t>
        </is>
      </c>
      <c r="N612" s="96" t="inlineStr">
        <is>
          <t>60일 거래대금 3.1억(기준 5억 미만), 상장 10개월(기준 12개월 미만), 연 분배율 산출 불가(상장 1년 미만 — 12개월 창이 안 채워짐)</t>
        </is>
      </c>
      <c r="O612" s="96" t="inlineStr">
        <is>
          <t>S&amp;P 500 10% Daily Fixed Covered Call Index (USD) TR</t>
        </is>
      </c>
      <c r="P612" s="96" t="inlineStr">
        <is>
          <t>커버드콜</t>
        </is>
      </c>
      <c r="Q612" s="96" t="inlineStr">
        <is>
          <t>주식</t>
        </is>
      </c>
      <c r="R612" s="96" t="inlineStr">
        <is>
          <t>판정 불가</t>
        </is>
      </c>
      <c r="S612" s="97" t="n">
        <v>10</v>
      </c>
      <c r="T612" s="98" t="n"/>
    </row>
    <row r="613">
      <c r="A613" s="96" t="inlineStr">
        <is>
          <t>1Q 엔비디아알파벳미국채혼합50</t>
        </is>
      </c>
      <c r="B613" s="96" t="inlineStr">
        <is>
          <t>0224X0</t>
        </is>
      </c>
      <c r="C613" s="96" t="inlineStr">
        <is>
          <t>하나자산운용</t>
        </is>
      </c>
      <c r="D613" s="97" t="n">
        <v>9825</v>
      </c>
      <c r="E613" s="97" t="n">
        <v>28001250000</v>
      </c>
      <c r="F613" s="97" t="n"/>
      <c r="G613" s="98" t="n">
        <v>0.004500000000000001</v>
      </c>
      <c r="H613" s="98" t="n"/>
      <c r="I613" s="98" t="n">
        <v>0.0012</v>
      </c>
      <c r="J613" s="98" t="n"/>
      <c r="K613" s="97" t="n">
        <v>2</v>
      </c>
      <c r="L613" s="99" t="inlineStr">
        <is>
          <t>20260929</t>
        </is>
      </c>
      <c r="M613" s="96" t="inlineStr">
        <is>
          <t>제외</t>
        </is>
      </c>
      <c r="N613" s="96" t="inlineStr">
        <is>
          <t>순자산 280억(기준 300억 미만), 거래대금 미확인, 변동성 산출 불가(시세 38일치뿐), 상장 3개월(기준 12개월 미만), 연 분배율 산출 불가(상장 1년 미만 — 12개월 창이 안 채워짐)</t>
        </is>
      </c>
      <c r="O613" s="96" t="inlineStr">
        <is>
          <t>KEDI Nvidia Alphabet U.S. Short-Term Treasury Balanced 50 In</t>
        </is>
      </c>
      <c r="P613" s="96" t="inlineStr">
        <is>
          <t>일반</t>
        </is>
      </c>
      <c r="Q613" s="96" t="inlineStr">
        <is>
          <t>멀티에셋</t>
        </is>
      </c>
      <c r="R613" s="96" t="inlineStr">
        <is>
          <t>판정 불가</t>
        </is>
      </c>
      <c r="S613" s="97" t="n">
        <v>2</v>
      </c>
      <c r="T613" s="98" t="n"/>
    </row>
    <row r="614">
      <c r="A614" s="96" t="inlineStr">
        <is>
          <t>SOL 배당성향탑픽액티브</t>
        </is>
      </c>
      <c r="B614" s="96" t="inlineStr">
        <is>
          <t>0152E0</t>
        </is>
      </c>
      <c r="C614" s="96" t="inlineStr">
        <is>
          <t>신한자산운용</t>
        </is>
      </c>
      <c r="D614" s="97" t="n">
        <v>10645</v>
      </c>
      <c r="E614" s="97" t="n">
        <v>26080250000</v>
      </c>
      <c r="F614" s="97" t="n">
        <v>236148461</v>
      </c>
      <c r="G614" s="98" t="n">
        <v>0.003</v>
      </c>
      <c r="H614" s="98" t="n">
        <v>0.33</v>
      </c>
      <c r="I614" s="98" t="n">
        <v>0.0046</v>
      </c>
      <c r="J614" s="98" t="n"/>
      <c r="K614" s="97" t="n">
        <v>8</v>
      </c>
      <c r="L614" s="99" t="inlineStr">
        <is>
          <t>20260929</t>
        </is>
      </c>
      <c r="M614" s="96" t="inlineStr">
        <is>
          <t>제외</t>
        </is>
      </c>
      <c r="N614" s="96" t="inlineStr">
        <is>
          <t>순자산 261억(기준 300억 미만), 60일 거래대금 2.4억(기준 5억 미만), 상장 9개월(기준 12개월 미만), 연 분배율 산출 불가(상장 1년 미만 — 12개월 창이 안 채워짐)</t>
        </is>
      </c>
      <c r="O614" s="96" t="inlineStr">
        <is>
          <t>FnGuide 배당성향탑픽 지수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8</v>
      </c>
      <c r="T614" s="98" t="n"/>
    </row>
    <row r="615">
      <c r="A615" s="96" t="inlineStr">
        <is>
          <t>RISE 미국고배당다우존스TOP10</t>
        </is>
      </c>
      <c r="B615" s="96" t="inlineStr">
        <is>
          <t>0115C0</t>
        </is>
      </c>
      <c r="C615" s="96" t="inlineStr">
        <is>
          <t>KB자산운용</t>
        </is>
      </c>
      <c r="D615" s="97" t="n">
        <v>10500</v>
      </c>
      <c r="E615" s="97" t="n">
        <v>24675000000</v>
      </c>
      <c r="F615" s="97" t="n">
        <v>192184455</v>
      </c>
      <c r="G615" s="98" t="n">
        <v>0.0001</v>
      </c>
      <c r="H615" s="98" t="n">
        <v>0.16</v>
      </c>
      <c r="I615" s="98" t="n">
        <v>0.0031</v>
      </c>
      <c r="J615" s="98" t="n"/>
      <c r="K615" s="97" t="n">
        <v>10</v>
      </c>
      <c r="L615" s="99" t="inlineStr">
        <is>
          <t>20260914</t>
        </is>
      </c>
      <c r="M615" s="96" t="inlineStr">
        <is>
          <t>제외</t>
        </is>
      </c>
      <c r="N615" s="96" t="inlineStr">
        <is>
          <t>순자산 247억(기준 300억 미만), 60일 거래대금 1.9억(기준 5억 미만), 연 분배율 산출 불가(상장 1년 미만 — 12개월 창이 안 채워짐)</t>
        </is>
      </c>
      <c r="O615" s="96" t="inlineStr">
        <is>
          <t>Dow Jones U.S. High Dividend 10 Index (USD)</t>
        </is>
      </c>
      <c r="P615" s="96" t="inlineStr">
        <is>
          <t>일반</t>
        </is>
      </c>
      <c r="Q615" s="96" t="inlineStr">
        <is>
          <t>주식</t>
        </is>
      </c>
      <c r="R615" s="96" t="inlineStr">
        <is>
          <t>월배당</t>
        </is>
      </c>
      <c r="S615" s="97" t="n">
        <v>10</v>
      </c>
      <c r="T615" s="98" t="n"/>
    </row>
    <row r="616">
      <c r="A616" s="96" t="inlineStr">
        <is>
          <t>SOL 코스피200채권혼합50</t>
        </is>
      </c>
      <c r="B616" s="96" t="inlineStr">
        <is>
          <t>0192S0</t>
        </is>
      </c>
      <c r="C616" s="96" t="inlineStr">
        <is>
          <t>신한자산운용</t>
        </is>
      </c>
      <c r="D616" s="97" t="n">
        <v>9540</v>
      </c>
      <c r="E616" s="97" t="n">
        <v>22896000000</v>
      </c>
      <c r="F616" s="97" t="n">
        <v>1860366438</v>
      </c>
      <c r="G616" s="98" t="n">
        <v>0.0015</v>
      </c>
      <c r="H616" s="98" t="n">
        <v>0.3939</v>
      </c>
      <c r="I616" s="98" t="n">
        <v>0.0013</v>
      </c>
      <c r="J616" s="98" t="n"/>
      <c r="K616" s="97" t="n">
        <v>4</v>
      </c>
      <c r="L616" s="99" t="inlineStr">
        <is>
          <t>20260929</t>
        </is>
      </c>
      <c r="M616" s="96" t="inlineStr">
        <is>
          <t>제외</t>
        </is>
      </c>
      <c r="N616" s="96" t="inlineStr">
        <is>
          <t>순자산 229억(기준 300억 미만), 변동성 39.4%(85거래일 기준, 기준 35% 초과), 상장 5개월(기준 12개월 미만), 연 분배율 산출 불가(상장 1년 미만 — 12개월 창이 안 채워짐)</t>
        </is>
      </c>
      <c r="O616" s="96" t="inlineStr">
        <is>
          <t>코스피 200 KTB 혼합지수</t>
        </is>
      </c>
      <c r="P616" s="96" t="inlineStr">
        <is>
          <t>일반</t>
        </is>
      </c>
      <c r="Q616" s="96" t="inlineStr">
        <is>
          <t>멀티에셋</t>
        </is>
      </c>
      <c r="R616" s="96" t="inlineStr">
        <is>
          <t>판정 불가</t>
        </is>
      </c>
      <c r="S616" s="97" t="n">
        <v>4</v>
      </c>
      <c r="T616" s="98" t="n"/>
    </row>
    <row r="617">
      <c r="A617" s="96" t="inlineStr">
        <is>
          <t>RISE 코스닥커버드콜액티브</t>
        </is>
      </c>
      <c r="B617" s="96" t="inlineStr">
        <is>
          <t>0223A0</t>
        </is>
      </c>
      <c r="C617" s="96" t="inlineStr">
        <is>
          <t>KB자산운용</t>
        </is>
      </c>
      <c r="D617" s="97" t="n">
        <v>11900</v>
      </c>
      <c r="E617" s="97" t="n">
        <v>22015000000</v>
      </c>
      <c r="F617" s="97" t="n"/>
      <c r="G617" s="98" t="n">
        <v>0.003</v>
      </c>
      <c r="H617" s="98" t="n"/>
      <c r="I617" s="98" t="n">
        <v>0.0206</v>
      </c>
      <c r="J617" s="98" t="n"/>
      <c r="K617" s="97" t="n">
        <v>2</v>
      </c>
      <c r="L617" s="99" t="inlineStr">
        <is>
          <t>20260929</t>
        </is>
      </c>
      <c r="M617" s="96" t="inlineStr">
        <is>
          <t>제외</t>
        </is>
      </c>
      <c r="N617" s="96" t="inlineStr">
        <is>
          <t>순자산 220억(기준 300억 미만), 거래대금 미확인, 변동성 산출 불가(시세 38일치뿐), 상장 3개월(기준 12개월 미만), 연 분배율 산출 불가(상장 1년 미만 — 12개월 창이 안 채워짐)</t>
        </is>
      </c>
      <c r="O617" s="96" t="inlineStr">
        <is>
          <t>코스닥 150 타겟 15% 위클리 커버드콜 지수</t>
        </is>
      </c>
      <c r="P617" s="96" t="inlineStr">
        <is>
          <t>커버드콜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2</v>
      </c>
      <c r="T617" s="98" t="n"/>
    </row>
    <row r="618">
      <c r="A618" s="96" t="inlineStr">
        <is>
          <t>PLUS 미국고배당주액티브</t>
        </is>
      </c>
      <c r="B618" s="96" t="inlineStr">
        <is>
          <t>0153X0</t>
        </is>
      </c>
      <c r="C618" s="96" t="inlineStr">
        <is>
          <t>한화자산운용</t>
        </is>
      </c>
      <c r="D618" s="97" t="n">
        <v>10390</v>
      </c>
      <c r="E618" s="97" t="n">
        <v>19221500000</v>
      </c>
      <c r="F618" s="97" t="n">
        <v>489526016</v>
      </c>
      <c r="G618" s="98" t="n">
        <v>0.0023</v>
      </c>
      <c r="H618" s="98" t="n">
        <v>0.155</v>
      </c>
      <c r="I618" s="98" t="n">
        <v>0.0042</v>
      </c>
      <c r="J618" s="98" t="n"/>
      <c r="K618" s="97" t="n">
        <v>8</v>
      </c>
      <c r="L618" s="99" t="inlineStr">
        <is>
          <t>20260929</t>
        </is>
      </c>
      <c r="M618" s="96" t="inlineStr">
        <is>
          <t>제외</t>
        </is>
      </c>
      <c r="N618" s="96" t="inlineStr">
        <is>
          <t>순자산 192억(기준 300억 미만), 60일 거래대금 4.9억(기준 5억 미만), 상장 9개월(기준 12개월 미만), 연 분배율 산출 불가(상장 1년 미만 — 12개월 창이 안 채워짐)</t>
        </is>
      </c>
      <c r="O618" s="96" t="inlineStr">
        <is>
          <t>Akros U.S. High Dividend 20 Index</t>
        </is>
      </c>
      <c r="P618" s="96" t="inlineStr">
        <is>
          <t>일반</t>
        </is>
      </c>
      <c r="Q618" s="96" t="inlineStr">
        <is>
          <t>주식</t>
        </is>
      </c>
      <c r="R618" s="96" t="inlineStr">
        <is>
          <t>판정 불가</t>
        </is>
      </c>
      <c r="S618" s="97" t="n">
        <v>8</v>
      </c>
      <c r="T618" s="98" t="n"/>
    </row>
    <row r="619">
      <c r="A619" s="96" t="inlineStr">
        <is>
          <t>KODEX 대만테크고배당다우존스</t>
        </is>
      </c>
      <c r="B619" s="96" t="inlineStr">
        <is>
          <t>487950</t>
        </is>
      </c>
      <c r="C619" s="96" t="inlineStr">
        <is>
          <t>삼성자산운용(ETF)</t>
        </is>
      </c>
      <c r="D619" s="97" t="n"/>
      <c r="E619" s="97" t="n"/>
      <c r="F619" s="97" t="n"/>
      <c r="G619" s="98" t="n"/>
      <c r="H619" s="98" t="n"/>
      <c r="I619" s="98" t="n"/>
      <c r="J619" s="98" t="n"/>
      <c r="K619" s="97" t="n"/>
      <c r="L619" s="99" t="n"/>
      <c r="M619" s="96" t="inlineStr">
        <is>
          <t>제외</t>
        </is>
      </c>
      <c r="N619" s="96" t="inlineStr">
        <is>
          <t>수집 실패(세 번 다시 물었으나 답이 오지 않음: page.goto: net::ERR_EMPTY_RESPONSE at https://www.etfcheck.co.kr/
Call log:
  - )</t>
        </is>
      </c>
      <c r="O619" s="96" t="inlineStr"/>
      <c r="P619" s="96" t="inlineStr">
        <is>
          <t>일반</t>
        </is>
      </c>
      <c r="Q619" s="96" t="inlineStr"/>
      <c r="R619" s="96" t="inlineStr"/>
      <c r="S619" s="97" t="n"/>
      <c r="T619" s="98" t="n"/>
    </row>
    <row r="620">
      <c r="A620" s="96" t="inlineStr">
        <is>
          <t>KIWOOM 미국대형주500월간목표헤지액티브</t>
        </is>
      </c>
      <c r="B620" s="96" t="inlineStr">
        <is>
          <t>0084E0</t>
        </is>
      </c>
      <c r="C620" s="96" t="inlineStr">
        <is>
          <t>키움투자자산운용</t>
        </is>
      </c>
      <c r="D620" s="97" t="n">
        <v>9880</v>
      </c>
      <c r="E620" s="97" t="n">
        <v>14326000000</v>
      </c>
      <c r="F620" s="97" t="n">
        <v>1425990</v>
      </c>
      <c r="G620" s="98" t="n">
        <v>0.0049</v>
      </c>
      <c r="H620" s="98" t="n">
        <v>0.1156</v>
      </c>
      <c r="I620" s="98" t="n">
        <v>0.0016</v>
      </c>
      <c r="J620" s="98" t="n"/>
      <c r="K620" s="97" t="n">
        <v>11</v>
      </c>
      <c r="L620" s="99" t="inlineStr">
        <is>
          <t>20260929</t>
        </is>
      </c>
      <c r="M620" s="96" t="inlineStr">
        <is>
          <t>제외</t>
        </is>
      </c>
      <c r="N620" s="96" t="inlineStr">
        <is>
          <t>순자산 143억(기준 300억 미만), 60일 거래대금 0.0억(기준 5억 미만), 연 분배율 산출 불가(상장 1년 미만 — 12개월 창이 안 채워짐)</t>
        </is>
      </c>
      <c r="O620" s="96" t="inlineStr">
        <is>
          <t>Akros U.S. Large Cap 500 Protective Allocation Monthly Index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월배당</t>
        </is>
      </c>
      <c r="S620" s="97" t="n">
        <v>11</v>
      </c>
      <c r="T620" s="98" t="n"/>
    </row>
    <row r="621">
      <c r="A621" s="96" t="inlineStr">
        <is>
          <t>ACE 리츠부동산인프라액티브</t>
        </is>
      </c>
      <c r="B621" s="96" t="inlineStr">
        <is>
          <t>0153P0</t>
        </is>
      </c>
      <c r="C621" s="96" t="inlineStr">
        <is>
          <t>한국투신운용(ETF)</t>
        </is>
      </c>
      <c r="D621" s="97" t="n">
        <v>9380</v>
      </c>
      <c r="E621" s="97" t="n">
        <v>13601000000</v>
      </c>
      <c r="F621" s="97" t="n">
        <v>69126544</v>
      </c>
      <c r="G621" s="98" t="n">
        <v>0.0005999999999999999</v>
      </c>
      <c r="H621" s="98" t="n">
        <v>0.1896</v>
      </c>
      <c r="I621" s="98" t="n">
        <v>0.005699999999999999</v>
      </c>
      <c r="J621" s="98" t="n"/>
      <c r="K621" s="97" t="n">
        <v>8</v>
      </c>
      <c r="L621" s="99" t="inlineStr">
        <is>
          <t>20260929</t>
        </is>
      </c>
      <c r="M621" s="96" t="inlineStr">
        <is>
          <t>제외</t>
        </is>
      </c>
      <c r="N621" s="96" t="inlineStr">
        <is>
          <t>순자산 136억(기준 300억 미만), 60일 거래대금 0.7억(기준 5억 미만), 상장 9개월(기준 12개월 미만), 연 분배율 산출 불가(상장 1년 미만 — 12개월 창이 안 채워짐)</t>
        </is>
      </c>
      <c r="O621" s="96" t="inlineStr">
        <is>
          <t>FnGuide 맥쿼리인프라 배당 리츠 지수</t>
        </is>
      </c>
      <c r="P621" s="96" t="inlineStr">
        <is>
          <t>일반</t>
        </is>
      </c>
      <c r="Q621" s="96" t="inlineStr">
        <is>
          <t>부동산</t>
        </is>
      </c>
      <c r="R621" s="96" t="inlineStr">
        <is>
          <t>판정 불가</t>
        </is>
      </c>
      <c r="S621" s="97" t="n">
        <v>8</v>
      </c>
      <c r="T621" s="98" t="n"/>
    </row>
    <row r="622">
      <c r="A622" s="96" t="inlineStr">
        <is>
          <t>KIWOOM 미국S&amp;P500 TOP10&amp;배당다우비중전환</t>
        </is>
      </c>
      <c r="B622" s="96" t="inlineStr">
        <is>
          <t>0127V0</t>
        </is>
      </c>
      <c r="C622" s="96" t="inlineStr">
        <is>
          <t>키움투자자산운용</t>
        </is>
      </c>
      <c r="D622" s="97" t="n">
        <v>10745</v>
      </c>
      <c r="E622" s="97" t="n">
        <v>13431250000</v>
      </c>
      <c r="F622" s="97" t="n">
        <v>36143664</v>
      </c>
      <c r="G622" s="98" t="n">
        <v>0.0019</v>
      </c>
      <c r="H622" s="98" t="n">
        <v>0.1589</v>
      </c>
      <c r="I622" s="98" t="n">
        <v>0.0009</v>
      </c>
      <c r="J622" s="98" t="n"/>
      <c r="K622" s="97" t="n">
        <v>10</v>
      </c>
      <c r="L622" s="99" t="inlineStr">
        <is>
          <t>20260929</t>
        </is>
      </c>
      <c r="M622" s="96" t="inlineStr">
        <is>
          <t>제외</t>
        </is>
      </c>
      <c r="N622" s="96" t="inlineStr">
        <is>
          <t>순자산 134억(기준 300억 미만), 60일 거래대금 0.4억(기준 5억 미만), 상장 11개월(기준 12개월 미만), 연 분배율 산출 불가(상장 1년 미만 — 12개월 창이 안 채워짐)</t>
        </is>
      </c>
      <c r="O622" s="96" t="inlineStr">
        <is>
          <t>S&amp;P 500 Top 10 and Dow Jones U.S. Dividend 100 Life Cycle 20</t>
        </is>
      </c>
      <c r="P622" s="96" t="inlineStr">
        <is>
          <t>일반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10</v>
      </c>
      <c r="T622" s="98" t="n"/>
    </row>
    <row r="623">
      <c r="A623" s="96" t="inlineStr">
        <is>
          <t>KIWOOM 미국S&amp;P500&amp;배당다우존스비중전환</t>
        </is>
      </c>
      <c r="B623" s="96" t="inlineStr">
        <is>
          <t>0127T0</t>
        </is>
      </c>
      <c r="C623" s="96" t="inlineStr">
        <is>
          <t>키움투자자산운용</t>
        </is>
      </c>
      <c r="D623" s="97" t="n">
        <v>10805</v>
      </c>
      <c r="E623" s="97" t="n">
        <v>12966000000</v>
      </c>
      <c r="F623" s="97" t="n">
        <v>39613605</v>
      </c>
      <c r="G623" s="98" t="n">
        <v>0.0009</v>
      </c>
      <c r="H623" s="98" t="n">
        <v>0.1321</v>
      </c>
      <c r="I623" s="98" t="n">
        <v>0.0014</v>
      </c>
      <c r="J623" s="98" t="n"/>
      <c r="K623" s="97" t="n">
        <v>10</v>
      </c>
      <c r="L623" s="99" t="inlineStr">
        <is>
          <t>20260929</t>
        </is>
      </c>
      <c r="M623" s="96" t="inlineStr">
        <is>
          <t>제외</t>
        </is>
      </c>
      <c r="N623" s="96" t="inlineStr">
        <is>
          <t>순자산 130억(기준 300억 미만), 60일 거래대금 0.4억(기준 5억 미만), 상장 11개월(기준 12개월 미만), 연 분배율 산출 불가(상장 1년 미만 — 12개월 창이 안 채워짐)</t>
        </is>
      </c>
      <c r="O623" s="96" t="inlineStr">
        <is>
          <t>S&amp;P 500 and Dow Jones U.S. Dividend 100 Life Cycle 2040 Inde</t>
        </is>
      </c>
      <c r="P623" s="96" t="inlineStr">
        <is>
          <t>일반</t>
        </is>
      </c>
      <c r="Q623" s="96" t="inlineStr">
        <is>
          <t>주식</t>
        </is>
      </c>
      <c r="R623" s="96" t="inlineStr">
        <is>
          <t>판정 불가</t>
        </is>
      </c>
      <c r="S623" s="97" t="n">
        <v>10</v>
      </c>
      <c r="T623" s="98" t="n"/>
    </row>
    <row r="624">
      <c r="A624" s="96" t="inlineStr">
        <is>
          <t>KIWOOM SK하이닉스선물단일종목레버리지</t>
        </is>
      </c>
      <c r="B624" s="96" t="inlineStr">
        <is>
          <t>0194R0</t>
        </is>
      </c>
      <c r="C624" s="96" t="inlineStr">
        <is>
          <t>키움투자자산운용</t>
        </is>
      </c>
      <c r="D624" s="97" t="n">
        <v>9435</v>
      </c>
      <c r="E624" s="97" t="n">
        <v>12737250000</v>
      </c>
      <c r="F624" s="97" t="n">
        <v>4091059742</v>
      </c>
      <c r="G624" s="98" t="n">
        <v>0.0025</v>
      </c>
      <c r="H624" s="98" t="n">
        <v>2.3558</v>
      </c>
      <c r="I624" s="98" t="n">
        <v>0.0008</v>
      </c>
      <c r="J624" s="98" t="n"/>
      <c r="K624" s="97" t="n">
        <v>3</v>
      </c>
      <c r="L624" s="99" t="inlineStr">
        <is>
          <t>20260914</t>
        </is>
      </c>
      <c r="M624" s="96" t="inlineStr">
        <is>
          <t>제외</t>
        </is>
      </c>
      <c r="N624" s="96" t="inlineStr">
        <is>
          <t>순자산 127억(기준 300억 미만), 변동성 235.6%(80거래일 기준, 기준 35% 초과), 상장 5개월(기준 12개월 미만), 연 분배율 산출 불가(상장 1년 미만 — 12개월 창이 안 채워짐)</t>
        </is>
      </c>
      <c r="O624" s="96" t="inlineStr">
        <is>
          <t>KRX SK하이닉스 선물 지수</t>
        </is>
      </c>
      <c r="P624" s="96" t="inlineStr">
        <is>
          <t>일반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3</v>
      </c>
      <c r="T624" s="98" t="n"/>
    </row>
    <row r="625">
      <c r="A625" s="96" t="inlineStr">
        <is>
          <t>KIWOOM 현대차그룹TOP3채권혼합50</t>
        </is>
      </c>
      <c r="B625" s="96" t="inlineStr">
        <is>
          <t>0220A0</t>
        </is>
      </c>
      <c r="C625" s="96" t="inlineStr">
        <is>
          <t>키움투자자산운용</t>
        </is>
      </c>
      <c r="D625" s="97" t="n">
        <v>8760</v>
      </c>
      <c r="E625" s="97" t="n">
        <v>12264000000</v>
      </c>
      <c r="F625" s="97" t="n">
        <v>403243333</v>
      </c>
      <c r="G625" s="98" t="n">
        <v>0.0015</v>
      </c>
      <c r="H625" s="98" t="n"/>
      <c r="I625" s="98" t="n">
        <v>0.0011</v>
      </c>
      <c r="J625" s="98" t="n"/>
      <c r="K625" s="97" t="n">
        <v>2</v>
      </c>
      <c r="L625" s="99" t="inlineStr">
        <is>
          <t>20260929</t>
        </is>
      </c>
      <c r="M625" s="96" t="inlineStr">
        <is>
          <t>제외</t>
        </is>
      </c>
      <c r="N625" s="96" t="inlineStr">
        <is>
          <t>순자산 123억(기준 300억 미만), 60일 거래대금 4.0억(기준 5억 미만), 변동성 산출 불가(시세 47일치뿐), 상장 3개월(기준 12개월 미만), 연 분배율 산출 불가(상장 1년 미만 — 12개월 창이 안 채워짐)</t>
        </is>
      </c>
      <c r="O625" s="96" t="inlineStr">
        <is>
          <t>FnGuide 현대차그룹TOP3 채권혼합지수</t>
        </is>
      </c>
      <c r="P625" s="96" t="inlineStr">
        <is>
          <t>일반</t>
        </is>
      </c>
      <c r="Q625" s="96" t="inlineStr">
        <is>
          <t>멀티에셋</t>
        </is>
      </c>
      <c r="R625" s="96" t="inlineStr">
        <is>
          <t>판정 불가</t>
        </is>
      </c>
      <c r="S625" s="97" t="n">
        <v>2</v>
      </c>
      <c r="T625" s="98" t="n"/>
    </row>
    <row r="626">
      <c r="A626" s="96" t="inlineStr">
        <is>
          <t>PLUS 200위클리커버드콜채권혼합</t>
        </is>
      </c>
      <c r="B626" s="96" t="inlineStr">
        <is>
          <t>0203D0</t>
        </is>
      </c>
      <c r="C626" s="96" t="inlineStr">
        <is>
          <t>한화자산운용</t>
        </is>
      </c>
      <c r="D626" s="97" t="n">
        <v>9015</v>
      </c>
      <c r="E626" s="97" t="n">
        <v>11719500000</v>
      </c>
      <c r="F626" s="97" t="n">
        <v>262267768</v>
      </c>
      <c r="G626" s="98" t="n">
        <v>0.0039</v>
      </c>
      <c r="H626" s="98" t="n">
        <v>0.3766</v>
      </c>
      <c r="I626" s="98" t="n">
        <v>0.0071</v>
      </c>
      <c r="J626" s="98" t="n"/>
      <c r="K626" s="97" t="n">
        <v>4</v>
      </c>
      <c r="L626" s="99" t="inlineStr">
        <is>
          <t>20260929</t>
        </is>
      </c>
      <c r="M626" s="96" t="inlineStr">
        <is>
          <t>제외</t>
        </is>
      </c>
      <c r="N626" s="96" t="inlineStr">
        <is>
          <t>순자산 117억(기준 300억 미만), 60일 거래대금 2.6억(기준 5억 미만), 변동성 37.7%(76거래일 기준, 기준 35% 초과), 상장 4개월(기준 12개월 미만), 연 분배율 산출 불가(상장 1년 미만 — 12개월 창이 안 채워짐)</t>
        </is>
      </c>
      <c r="O626" s="96" t="inlineStr">
        <is>
          <t>코스피 200 KTB 혼합 위클리 고정 10% 커버드콜 지수</t>
        </is>
      </c>
      <c r="P626" s="96" t="inlineStr">
        <is>
          <t>커버드콜</t>
        </is>
      </c>
      <c r="Q626" s="96" t="inlineStr">
        <is>
          <t>멀티에셋</t>
        </is>
      </c>
      <c r="R626" s="96" t="inlineStr">
        <is>
          <t>판정 불가</t>
        </is>
      </c>
      <c r="S626" s="97" t="n">
        <v>4</v>
      </c>
      <c r="T626" s="98" t="n"/>
    </row>
    <row r="627">
      <c r="A627" s="96" t="inlineStr">
        <is>
          <t>DAISHIN 금융&amp;지주고배당</t>
        </is>
      </c>
      <c r="B627" s="96" t="inlineStr">
        <is>
          <t>0189Z0</t>
        </is>
      </c>
      <c r="C627" s="96" t="inlineStr">
        <is>
          <t>대신자산운용</t>
        </is>
      </c>
      <c r="D627" s="97" t="n">
        <v>10120</v>
      </c>
      <c r="E627" s="97" t="n">
        <v>10120000000</v>
      </c>
      <c r="F627" s="97" t="n">
        <v>37434895</v>
      </c>
      <c r="G627" s="98" t="n">
        <v>0.0024</v>
      </c>
      <c r="H627" s="98" t="n">
        <v>0.2824</v>
      </c>
      <c r="I627" s="98" t="n">
        <v>0.0019</v>
      </c>
      <c r="J627" s="98" t="n"/>
      <c r="K627" s="97" t="n">
        <v>3</v>
      </c>
      <c r="L627" s="99" t="inlineStr">
        <is>
          <t>20260929</t>
        </is>
      </c>
      <c r="M627" s="96" t="inlineStr">
        <is>
          <t>제외</t>
        </is>
      </c>
      <c r="N627" s="96" t="inlineStr">
        <is>
          <t>순자산 101억(기준 300억 미만), 60일 거래대금 0.4억(기준 5억 미만), 상장 4개월(기준 12개월 미만), 연 분배율 산출 불가(상장 1년 미만 — 12개월 창이 안 채워짐)</t>
        </is>
      </c>
      <c r="O627" s="96" t="inlineStr">
        <is>
          <t>KRX-Akros 금융 &amp; 지주 고배당 지수</t>
        </is>
      </c>
      <c r="P627" s="96" t="inlineStr">
        <is>
          <t>일반</t>
        </is>
      </c>
      <c r="Q627" s="96" t="inlineStr">
        <is>
          <t>주식</t>
        </is>
      </c>
      <c r="R627" s="96" t="inlineStr">
        <is>
          <t>판정 불가</t>
        </is>
      </c>
      <c r="S627" s="97" t="n">
        <v>3</v>
      </c>
      <c r="T627" s="98" t="n"/>
    </row>
    <row r="628">
      <c r="A628" s="96" t="inlineStr">
        <is>
          <t>KIWOOM 삼성전자선물단일종목레버리지</t>
        </is>
      </c>
      <c r="B628" s="96" t="inlineStr">
        <is>
          <t>0194N0</t>
        </is>
      </c>
      <c r="C628" s="96" t="inlineStr">
        <is>
          <t>키움투자자산운용</t>
        </is>
      </c>
      <c r="D628" s="97" t="n">
        <v>12350</v>
      </c>
      <c r="E628" s="97" t="n">
        <v>9571250000</v>
      </c>
      <c r="F628" s="97" t="n">
        <v>1545462957</v>
      </c>
      <c r="G628" s="98" t="n">
        <v>0.0025</v>
      </c>
      <c r="H628" s="98" t="n">
        <v>1.9173</v>
      </c>
      <c r="I628" s="98" t="n">
        <v>0.0011</v>
      </c>
      <c r="J628" s="98" t="n"/>
      <c r="K628" s="97" t="n">
        <v>4</v>
      </c>
      <c r="L628" s="99" t="inlineStr">
        <is>
          <t>20260929</t>
        </is>
      </c>
      <c r="M628" s="96" t="inlineStr">
        <is>
          <t>제외</t>
        </is>
      </c>
      <c r="N628" s="96" t="inlineStr">
        <is>
          <t>순자산 96억(기준 300억 미만), 변동성 191.7%(80거래일 기준, 기준 35% 초과), 상장 5개월(기준 12개월 미만), 연 분배율 산출 불가(상장 1년 미만 — 12개월 창이 안 채워짐)</t>
        </is>
      </c>
      <c r="O628" s="96" t="inlineStr">
        <is>
          <t>KRX 삼성전자 선물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판정 불가</t>
        </is>
      </c>
      <c r="S628" s="97" t="n">
        <v>4</v>
      </c>
      <c r="T628" s="98" t="n"/>
    </row>
    <row r="629">
      <c r="A629" s="96" t="inlineStr">
        <is>
          <t>KIWOOM 미국우주테크TOP2채권혼합50</t>
        </is>
      </c>
      <c r="B629" s="96" t="inlineStr">
        <is>
          <t>0216K0</t>
        </is>
      </c>
      <c r="C629" s="96" t="inlineStr">
        <is>
          <t>키움투자자산운용</t>
        </is>
      </c>
      <c r="D629" s="97" t="n">
        <v>8910</v>
      </c>
      <c r="E629" s="97" t="n">
        <v>8910000000</v>
      </c>
      <c r="F629" s="97" t="n">
        <v>418854355</v>
      </c>
      <c r="G629" s="98" t="n">
        <v>0.0021</v>
      </c>
      <c r="H629" s="98" t="n"/>
      <c r="I629" s="98" t="n">
        <v>0.0011</v>
      </c>
      <c r="J629" s="98" t="n"/>
      <c r="K629" s="97" t="n">
        <v>2</v>
      </c>
      <c r="L629" s="99" t="inlineStr">
        <is>
          <t>20260929</t>
        </is>
      </c>
      <c r="M629" s="96" t="inlineStr">
        <is>
          <t>제외</t>
        </is>
      </c>
      <c r="N629" s="96" t="inlineStr">
        <is>
          <t>순자산 89억(기준 300억 미만), 60일 거래대금 4.2억(기준 5억 미만), 변동성 산출 불가(시세 52일치뿐), 상장 3개월(기준 12개월 미만), 연 분배율 산출 불가(상장 1년 미만 — 12개월 창이 안 채워짐)</t>
        </is>
      </c>
      <c r="O629" s="96" t="inlineStr">
        <is>
          <t>Akros 미국우주 Top2 채권혼합 지수</t>
        </is>
      </c>
      <c r="P629" s="96" t="inlineStr">
        <is>
          <t>일반</t>
        </is>
      </c>
      <c r="Q629" s="96" t="inlineStr">
        <is>
          <t>멀티에셋</t>
        </is>
      </c>
      <c r="R629" s="96" t="inlineStr">
        <is>
          <t>판정 불가</t>
        </is>
      </c>
      <c r="S629" s="97" t="n">
        <v>2</v>
      </c>
      <c r="T629" s="98" t="n"/>
    </row>
    <row r="630">
      <c r="A630" s="96" t="inlineStr">
        <is>
          <t>FOCUS AI반도체위클리고정커버드콜</t>
        </is>
      </c>
      <c r="B630" s="96" t="inlineStr">
        <is>
          <t>0176P0</t>
        </is>
      </c>
      <c r="C630" s="96" t="inlineStr">
        <is>
          <t>브이아이자산운용</t>
        </is>
      </c>
      <c r="D630" s="97" t="n">
        <v>14820</v>
      </c>
      <c r="E630" s="97" t="n">
        <v>8151000000</v>
      </c>
      <c r="F630" s="97" t="n">
        <v>159440956</v>
      </c>
      <c r="G630" s="98" t="n">
        <v>0.003</v>
      </c>
      <c r="H630" s="98" t="n">
        <v>0.794</v>
      </c>
      <c r="I630" s="98" t="n">
        <v>0.0159</v>
      </c>
      <c r="J630" s="98" t="n"/>
      <c r="K630" s="97" t="n">
        <v>6</v>
      </c>
      <c r="L630" s="99" t="inlineStr">
        <is>
          <t>20260929</t>
        </is>
      </c>
      <c r="M630" s="96" t="inlineStr">
        <is>
          <t>제외</t>
        </is>
      </c>
      <c r="N630" s="96" t="inlineStr">
        <is>
          <t>순자산 82억(기준 300억 미만), 60일 거래대금 1.6억(기준 5억 미만), 변동성 79.4%(113거래일 기준, 기준 35% 초과), 상장 6개월(기준 12개월 미만), 연 분배율 산출 불가(상장 1년 미만 — 12개월 창이 안 채워짐)</t>
        </is>
      </c>
      <c r="O630" s="96" t="inlineStr">
        <is>
          <t>AI 반도체 위클리 고정 30% 커버드콜 지수</t>
        </is>
      </c>
      <c r="P630" s="96" t="inlineStr">
        <is>
          <t>커버드콜</t>
        </is>
      </c>
      <c r="Q630" s="96" t="inlineStr">
        <is>
          <t>주식</t>
        </is>
      </c>
      <c r="R630" s="96" t="inlineStr">
        <is>
          <t>판정 불가</t>
        </is>
      </c>
      <c r="S630" s="97" t="n">
        <v>6</v>
      </c>
      <c r="T630" s="98" t="n"/>
    </row>
    <row r="631">
      <c r="A631" s="96" t="inlineStr">
        <is>
          <t>DAISHIN 오피스리츠플러스</t>
        </is>
      </c>
      <c r="B631" s="96" t="inlineStr">
        <is>
          <t>0174J0</t>
        </is>
      </c>
      <c r="C631" s="96" t="inlineStr">
        <is>
          <t>대신자산운용</t>
        </is>
      </c>
      <c r="D631" s="97" t="n">
        <v>8685</v>
      </c>
      <c r="E631" s="97" t="n">
        <v>5211000000</v>
      </c>
      <c r="F631" s="97" t="n">
        <v>33635722</v>
      </c>
      <c r="G631" s="98" t="n">
        <v>0.0019</v>
      </c>
      <c r="H631" s="98" t="n">
        <v>0.2775</v>
      </c>
      <c r="I631" s="98" t="n">
        <v>0.005699999999999999</v>
      </c>
      <c r="J631" s="98" t="n"/>
      <c r="K631" s="97" t="n">
        <v>6</v>
      </c>
      <c r="L631" s="99" t="inlineStr">
        <is>
          <t>20260929</t>
        </is>
      </c>
      <c r="M631" s="96" t="inlineStr">
        <is>
          <t>제외</t>
        </is>
      </c>
      <c r="N631" s="96" t="inlineStr">
        <is>
          <t>순자산 52억(기준 300억 미만), 60일 거래대금 0.3억(기준 5억 미만), 상장 7개월(기준 12개월 미만), 연 분배율 산출 불가(상장 1년 미만 — 12개월 창이 안 채워짐)</t>
        </is>
      </c>
      <c r="O631" s="96" t="inlineStr">
        <is>
          <t>KRX 프라임 오피스 리츠 지수</t>
        </is>
      </c>
      <c r="P631" s="96" t="inlineStr">
        <is>
          <t>일반</t>
        </is>
      </c>
      <c r="Q631" s="96" t="inlineStr">
        <is>
          <t>부동산</t>
        </is>
      </c>
      <c r="R631" s="96" t="inlineStr">
        <is>
          <t>판정 불가</t>
        </is>
      </c>
      <c r="S631" s="97" t="n">
        <v>6</v>
      </c>
      <c r="T631" s="98" t="n"/>
    </row>
    <row r="632">
      <c r="A632" s="96" t="inlineStr">
        <is>
          <t>PLUS 차이나항셍테크위클리타겟커버드콜</t>
        </is>
      </c>
      <c r="B632" s="96" t="inlineStr">
        <is>
          <t>0128D0</t>
        </is>
      </c>
      <c r="C632" s="96" t="inlineStr">
        <is>
          <t>한화자산운용</t>
        </is>
      </c>
      <c r="D632" s="97" t="n">
        <v>6310</v>
      </c>
      <c r="E632" s="97" t="n">
        <v>4417000000</v>
      </c>
      <c r="F632" s="97" t="n">
        <v>28670911</v>
      </c>
      <c r="G632" s="98" t="n">
        <v>0.0039</v>
      </c>
      <c r="H632" s="98" t="n">
        <v>0.2718</v>
      </c>
      <c r="I632" s="98" t="n">
        <v>0.0126</v>
      </c>
      <c r="J632" s="98" t="n"/>
      <c r="K632" s="97" t="n">
        <v>10</v>
      </c>
      <c r="L632" s="99" t="inlineStr">
        <is>
          <t>20260929</t>
        </is>
      </c>
      <c r="M632" s="96" t="inlineStr">
        <is>
          <t>제외</t>
        </is>
      </c>
      <c r="N632" s="96" t="inlineStr">
        <is>
          <t>순자산 44억(기준 300억 미만), 60일 거래대금 0.3억(기준 5억 미만), 상장 11개월(기준 12개월 미만), 연 분배율 산출 불가(상장 1년 미만 — 12개월 창이 안 채워짐)</t>
        </is>
      </c>
      <c r="O632" s="96" t="inlineStr">
        <is>
          <t>HSTECH 15% Target Premium Weekly Covered Call Index</t>
        </is>
      </c>
      <c r="P632" s="96" t="inlineStr">
        <is>
          <t>커버드콜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10</v>
      </c>
      <c r="T632" s="98" t="n"/>
    </row>
    <row r="633">
      <c r="A633" s="96" t="inlineStr">
        <is>
          <t>RISE 삼성전자SK하이닉스채권혼합50</t>
        </is>
      </c>
      <c r="B633" s="96" t="inlineStr">
        <is>
          <t>0162Z0</t>
        </is>
      </c>
      <c r="C633" s="96" t="inlineStr">
        <is>
          <t>KB자산운용</t>
        </is>
      </c>
      <c r="D633" s="97" t="n">
        <v>13930</v>
      </c>
      <c r="E633" s="97" t="n">
        <v>4191537000000</v>
      </c>
      <c r="F633" s="97" t="n">
        <v>142582529011</v>
      </c>
      <c r="G633" s="98" t="n">
        <v>0.0001</v>
      </c>
      <c r="H633" s="98" t="n">
        <v>0.4802</v>
      </c>
      <c r="I633" s="98" t="n">
        <v>0.0022</v>
      </c>
      <c r="J633" s="98" t="n"/>
      <c r="K633" s="97" t="n">
        <v>2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48.0%(140거래일 기준, 기준 35% 초과), 상장 8개월(기준 12개월 미만), 연 분배율 산출 불가(상장 1년 미만 — 12개월 창이 안 채워짐)</t>
        </is>
      </c>
      <c r="O633" s="96" t="inlineStr">
        <is>
          <t>KAP 삼성전자SK하이닉스채권혼합50지수</t>
        </is>
      </c>
      <c r="P633" s="96" t="inlineStr">
        <is>
          <t>일반</t>
        </is>
      </c>
      <c r="Q633" s="96" t="inlineStr">
        <is>
          <t>멀티에셋</t>
        </is>
      </c>
      <c r="R633" s="96" t="inlineStr">
        <is>
          <t>판정 불가</t>
        </is>
      </c>
      <c r="S633" s="97" t="n">
        <v>2</v>
      </c>
      <c r="T633" s="98" t="n"/>
    </row>
    <row r="634">
      <c r="A634" s="96" t="inlineStr">
        <is>
          <t>TIGER 코리아AI전력기기TOP3플러스</t>
        </is>
      </c>
      <c r="B634" s="96" t="inlineStr">
        <is>
          <t>0117V0</t>
        </is>
      </c>
      <c r="C634" s="96" t="inlineStr">
        <is>
          <t>미래에셋자산운용</t>
        </is>
      </c>
      <c r="D634" s="97" t="n">
        <v>19070</v>
      </c>
      <c r="E634" s="97" t="n">
        <v>1009756500000</v>
      </c>
      <c r="F634" s="97" t="n">
        <v>47008982104</v>
      </c>
      <c r="G634" s="98" t="n">
        <v>0.004</v>
      </c>
      <c r="H634" s="98" t="n">
        <v>0.7399</v>
      </c>
      <c r="I634" s="98" t="n">
        <v>0.0066</v>
      </c>
      <c r="J634" s="98" t="n"/>
      <c r="K634" s="97" t="n">
        <v>1</v>
      </c>
      <c r="L634" s="99" t="inlineStr">
        <is>
          <t>20260730</t>
        </is>
      </c>
      <c r="M634" s="96" t="inlineStr">
        <is>
          <t>제외</t>
        </is>
      </c>
      <c r="N634" s="96" t="inlineStr">
        <is>
          <t>변동성 74.0%(1년 기준, 기준 35% 초과), 연 분배율 산출 불가(상장 1년 미만 — 12개월 창이 안 채워짐)</t>
        </is>
      </c>
      <c r="O634" s="96" t="inlineStr">
        <is>
          <t>KEDI 코리아AI전력기기TOP3플러스 지수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연배당</t>
        </is>
      </c>
      <c r="S634" s="97" t="n">
        <v>1</v>
      </c>
      <c r="T634" s="98" t="n"/>
    </row>
    <row r="635">
      <c r="A635" s="96" t="inlineStr">
        <is>
          <t>KODEX 26-12 금융채(AA-이상)액티브</t>
        </is>
      </c>
      <c r="B635" s="96" t="inlineStr">
        <is>
          <t>0117L0</t>
        </is>
      </c>
      <c r="C635" s="96" t="inlineStr">
        <is>
          <t>삼성자산운용(ETF)</t>
        </is>
      </c>
      <c r="D635" s="97" t="n">
        <v>10185</v>
      </c>
      <c r="E635" s="97" t="n">
        <v>872141550000</v>
      </c>
      <c r="F635" s="97" t="n">
        <v>294287960</v>
      </c>
      <c r="G635" s="98" t="n">
        <v>0.0009</v>
      </c>
      <c r="H635" s="98" t="n">
        <v>0.006</v>
      </c>
      <c r="I635" s="98" t="n">
        <v>0.0053</v>
      </c>
      <c r="J635" s="98" t="n"/>
      <c r="K635" s="97" t="n">
        <v>1</v>
      </c>
      <c r="L635" s="99" t="inlineStr">
        <is>
          <t>20251212</t>
        </is>
      </c>
      <c r="M635" s="96" t="inlineStr">
        <is>
          <t>제외</t>
        </is>
      </c>
      <c r="N635" s="96" t="inlineStr">
        <is>
          <t>60일 거래대금 2.9억(기준 5억 미만), 연 분배율 산출 불가(상장 1년 미만 — 12개월 창이 안 채워짐)</t>
        </is>
      </c>
      <c r="O635" s="96" t="inlineStr">
        <is>
          <t>KAP 26-12 금융채 총수익 지수(AA- 이상)</t>
        </is>
      </c>
      <c r="P635" s="96" t="inlineStr">
        <is>
          <t>일반</t>
        </is>
      </c>
      <c r="Q635" s="96" t="inlineStr">
        <is>
          <t>채권</t>
        </is>
      </c>
      <c r="R635" s="96" t="inlineStr">
        <is>
          <t>연배당</t>
        </is>
      </c>
      <c r="S635" s="97" t="n">
        <v>1</v>
      </c>
      <c r="T635" s="98" t="n"/>
    </row>
    <row r="636">
      <c r="A636" s="96" t="inlineStr">
        <is>
          <t>ACE 미국대형성장주액티브</t>
        </is>
      </c>
      <c r="B636" s="96" t="inlineStr">
        <is>
          <t>0127P0</t>
        </is>
      </c>
      <c r="C636" s="96" t="inlineStr">
        <is>
          <t>한국투신운용(ETF)</t>
        </is>
      </c>
      <c r="D636" s="97" t="n">
        <v>10695</v>
      </c>
      <c r="E636" s="97" t="n">
        <v>701592000000</v>
      </c>
      <c r="F636" s="97" t="n">
        <v>1225197970</v>
      </c>
      <c r="G636" s="98" t="n">
        <v>0.003</v>
      </c>
      <c r="H636" s="98" t="n">
        <v>0.2192</v>
      </c>
      <c r="I636" s="98" t="n">
        <v>0.0017</v>
      </c>
      <c r="J636" s="98" t="n"/>
      <c r="K636" s="97" t="n">
        <v>2</v>
      </c>
      <c r="L636" s="99" t="inlineStr">
        <is>
          <t>20260730</t>
        </is>
      </c>
      <c r="M636" s="96" t="inlineStr">
        <is>
          <t>제외</t>
        </is>
      </c>
      <c r="N636" s="96" t="inlineStr">
        <is>
          <t>상장 11개월(기준 12개월 미만), 연 분배율 산출 불가(상장 1년 미만 — 12개월 창이 안 채워짐)</t>
        </is>
      </c>
      <c r="O636" s="96" t="inlineStr">
        <is>
          <t>Morningstar US Large Cap Growth PR USD</t>
        </is>
      </c>
      <c r="P636" s="96" t="inlineStr">
        <is>
          <t>일반</t>
        </is>
      </c>
      <c r="Q636" s="96" t="inlineStr">
        <is>
          <t>주식</t>
        </is>
      </c>
      <c r="R636" s="96" t="inlineStr">
        <is>
          <t>판정 불가</t>
        </is>
      </c>
      <c r="S636" s="97" t="n">
        <v>2</v>
      </c>
      <c r="T636" s="98" t="n"/>
    </row>
    <row r="637">
      <c r="A637" s="96" t="inlineStr">
        <is>
          <t>TIGER 2차전지TOP10</t>
        </is>
      </c>
      <c r="B637" s="96" t="inlineStr">
        <is>
          <t>364980</t>
        </is>
      </c>
      <c r="C637" s="96" t="inlineStr">
        <is>
          <t>미래에셋자산운용</t>
        </is>
      </c>
      <c r="D637" s="97" t="n">
        <v>10070</v>
      </c>
      <c r="E637" s="97" t="n">
        <v>685767000000</v>
      </c>
      <c r="F637" s="97" t="n">
        <v>32793152792</v>
      </c>
      <c r="G637" s="98" t="n">
        <v>0.004</v>
      </c>
      <c r="H637" s="98" t="n">
        <v>0.5734</v>
      </c>
      <c r="I637" s="98" t="n">
        <v>0.0054</v>
      </c>
      <c r="J637" s="98" t="n"/>
      <c r="K637" s="97" t="n">
        <v>4</v>
      </c>
      <c r="L637" s="99" t="inlineStr">
        <is>
          <t>20250429</t>
        </is>
      </c>
      <c r="M637" s="96" t="inlineStr">
        <is>
          <t>제외</t>
        </is>
      </c>
      <c r="N637" s="96" t="inlineStr">
        <is>
          <t>변동성 57.3%(1년 기준, 기준 35% 초과), 최근 12개월 분배 없음, 연 분배율 산출 불가(최근 12개월 분배 기록 없음)</t>
        </is>
      </c>
      <c r="O637" s="96" t="inlineStr">
        <is>
          <t>KRX 2차전지 TOP 10 지수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무분배</t>
        </is>
      </c>
      <c r="S637" s="97" t="n">
        <v>0</v>
      </c>
      <c r="T637" s="98" t="n"/>
    </row>
    <row r="638">
      <c r="A638" s="96" t="inlineStr">
        <is>
          <t>KODEX 미국AI광통신네트워크</t>
        </is>
      </c>
      <c r="B638" s="96" t="inlineStr">
        <is>
          <t>0173Y0</t>
        </is>
      </c>
      <c r="C638" s="96" t="inlineStr">
        <is>
          <t>삼성자산운용(ETF)</t>
        </is>
      </c>
      <c r="D638" s="97" t="n">
        <v>11285</v>
      </c>
      <c r="E638" s="97" t="n">
        <v>419237750000</v>
      </c>
      <c r="F638" s="97" t="n">
        <v>12967224926</v>
      </c>
      <c r="G638" s="98" t="n">
        <v>0.005500000000000001</v>
      </c>
      <c r="H638" s="98" t="n">
        <v>0.8053</v>
      </c>
      <c r="I638" s="98" t="n">
        <v>0.0005</v>
      </c>
      <c r="J638" s="98" t="n"/>
      <c r="K638" s="97" t="n">
        <v>1</v>
      </c>
      <c r="L638" s="99" t="inlineStr">
        <is>
          <t>20260730</t>
        </is>
      </c>
      <c r="M638" s="96" t="inlineStr">
        <is>
          <t>제외</t>
        </is>
      </c>
      <c r="N638" s="96" t="inlineStr">
        <is>
          <t>변동성 80.5%(118거래일 기준, 기준 35% 초과), 상장 7개월(기준 12개월 미만), 연 분배율 산출 불가(상장 1년 미만 — 12개월 창이 안 채워짐)</t>
        </is>
      </c>
      <c r="O638" s="96" t="inlineStr">
        <is>
          <t>Akros U.S. AI Optical Communication and Network Infrastructu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판정 불가</t>
        </is>
      </c>
      <c r="S638" s="97" t="n">
        <v>1</v>
      </c>
      <c r="T638" s="98" t="n"/>
    </row>
    <row r="639">
      <c r="A639" s="96" t="inlineStr">
        <is>
          <t>1Q 미국우주항공테크</t>
        </is>
      </c>
      <c r="B639" s="96" t="inlineStr">
        <is>
          <t>0131V0</t>
        </is>
      </c>
      <c r="C639" s="96" t="inlineStr">
        <is>
          <t>하나자산운용</t>
        </is>
      </c>
      <c r="D639" s="97" t="n">
        <v>10885</v>
      </c>
      <c r="E639" s="97" t="n">
        <v>355939500000</v>
      </c>
      <c r="F639" s="97" t="n">
        <v>2383728714</v>
      </c>
      <c r="G639" s="98" t="n">
        <v>0.0049</v>
      </c>
      <c r="H639" s="98" t="n">
        <v>0.5281</v>
      </c>
      <c r="I639" s="98" t="n">
        <v>0.001</v>
      </c>
      <c r="J639" s="98" t="n"/>
      <c r="K639" s="97" t="n">
        <v>1</v>
      </c>
      <c r="L639" s="99" t="inlineStr">
        <is>
          <t>20260429</t>
        </is>
      </c>
      <c r="M639" s="96" t="inlineStr">
        <is>
          <t>제외</t>
        </is>
      </c>
      <c r="N639" s="96" t="inlineStr">
        <is>
          <t>변동성 52.8%(1년 기준, 기준 35% 초과), 상장 11개월(기준 12개월 미만), 연 분배율 산출 불가(상장 1년 미만 — 12개월 창이 안 채워짐)</t>
        </is>
      </c>
      <c r="O639" s="96" t="inlineStr">
        <is>
          <t>Akros U.S. Aerospace Tech Index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KODEX 미국우주항공</t>
        </is>
      </c>
      <c r="B640" s="96" t="inlineStr">
        <is>
          <t>0167Z0</t>
        </is>
      </c>
      <c r="C640" s="96" t="inlineStr">
        <is>
          <t>삼성자산운용(ETF)</t>
        </is>
      </c>
      <c r="D640" s="97" t="n">
        <v>7570</v>
      </c>
      <c r="E640" s="97" t="n">
        <v>347841500000</v>
      </c>
      <c r="F640" s="97" t="n">
        <v>7598276114</v>
      </c>
      <c r="G640" s="98" t="n">
        <v>0.005500000000000001</v>
      </c>
      <c r="H640" s="98" t="n">
        <v>0.6807</v>
      </c>
      <c r="I640" s="98" t="n">
        <v>0.0011</v>
      </c>
      <c r="J640" s="98" t="n"/>
      <c r="K640" s="97" t="n">
        <v>1</v>
      </c>
      <c r="L640" s="99" t="inlineStr">
        <is>
          <t>20260730</t>
        </is>
      </c>
      <c r="M640" s="96" t="inlineStr">
        <is>
          <t>제외</t>
        </is>
      </c>
      <c r="N640" s="96" t="inlineStr">
        <is>
          <t>변동성 68.1%(128거래일 기준, 기준 35% 초과), 상장 7개월(기준 12개월 미만), 연 분배율 산출 불가(상장 1년 미만 — 12개월 창이 안 채워짐)</t>
        </is>
      </c>
      <c r="O640" s="96" t="inlineStr">
        <is>
          <t>iSelect U.S. Aerospace Index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1</v>
      </c>
      <c r="T640" s="98" t="n"/>
    </row>
    <row r="641">
      <c r="A641" s="96" t="inlineStr">
        <is>
          <t>KoAct 바이오헬스케어액티브</t>
        </is>
      </c>
      <c r="B641" s="96" t="inlineStr">
        <is>
          <t>462900</t>
        </is>
      </c>
      <c r="C641" s="96" t="inlineStr">
        <is>
          <t>삼성액티브자산(ETF)</t>
        </is>
      </c>
      <c r="D641" s="97" t="n">
        <v>13300</v>
      </c>
      <c r="E641" s="97" t="n">
        <v>347795000000</v>
      </c>
      <c r="F641" s="97" t="n">
        <v>24836085323</v>
      </c>
      <c r="G641" s="98" t="n">
        <v>0.005</v>
      </c>
      <c r="H641" s="98" t="n">
        <v>0.5984</v>
      </c>
      <c r="I641" s="98" t="n">
        <v>0.0024</v>
      </c>
      <c r="J641" s="98" t="n"/>
      <c r="K641" s="97" t="n">
        <v>1</v>
      </c>
      <c r="L641" s="99" t="inlineStr">
        <is>
          <t>20240429</t>
        </is>
      </c>
      <c r="M641" s="96" t="inlineStr">
        <is>
          <t>제외</t>
        </is>
      </c>
      <c r="N641" s="96" t="inlineStr">
        <is>
          <t>변동성 59.8%(1년 기준, 기준 35% 초과), 최근 12개월 분배 없음, 연 분배율 산출 불가(최근 12개월 분배 기록 없음)</t>
        </is>
      </c>
      <c r="O641" s="96" t="inlineStr">
        <is>
          <t>iSelect 바이오헬스케어 PR 지수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무분배</t>
        </is>
      </c>
      <c r="S641" s="97" t="n">
        <v>0</v>
      </c>
      <c r="T641" s="98" t="n"/>
    </row>
    <row r="642">
      <c r="A642" s="96" t="inlineStr">
        <is>
          <t>KODEX 미국AI반도체TOP3플러스</t>
        </is>
      </c>
      <c r="B642" s="96" t="inlineStr">
        <is>
          <t>0151S0</t>
        </is>
      </c>
      <c r="C642" s="96" t="inlineStr">
        <is>
          <t>삼성자산운용(ETF)</t>
        </is>
      </c>
      <c r="D642" s="97" t="n">
        <v>16285</v>
      </c>
      <c r="E642" s="97" t="n">
        <v>223104500000</v>
      </c>
      <c r="F642" s="97" t="n">
        <v>6225662466</v>
      </c>
      <c r="G642" s="98" t="n">
        <v>0.0049</v>
      </c>
      <c r="H642" s="98" t="n">
        <v>0.4686</v>
      </c>
      <c r="I642" s="98" t="n">
        <v>0.0009</v>
      </c>
      <c r="J642" s="98" t="n"/>
      <c r="K642" s="97" t="n">
        <v>2</v>
      </c>
      <c r="L642" s="99" t="inlineStr">
        <is>
          <t>20260730</t>
        </is>
      </c>
      <c r="M642" s="96" t="inlineStr">
        <is>
          <t>제외</t>
        </is>
      </c>
      <c r="N642" s="96" t="inlineStr">
        <is>
          <t>변동성 46.9%(169거래일 기준, 기준 35% 초과), 상장 9개월(기준 12개월 미만), 연 분배율 산출 불가(상장 1년 미만 — 12개월 창이 안 채워짐)</t>
        </is>
      </c>
      <c r="O642" s="96" t="inlineStr">
        <is>
          <t>Akros U.S. AI Semiconductor TOP3 Plus Index</t>
        </is>
      </c>
      <c r="P642" s="96" t="inlineStr">
        <is>
          <t>일반</t>
        </is>
      </c>
      <c r="Q642" s="96" t="inlineStr">
        <is>
          <t>주식</t>
        </is>
      </c>
      <c r="R642" s="96" t="inlineStr">
        <is>
          <t>판정 불가</t>
        </is>
      </c>
      <c r="S642" s="97" t="n">
        <v>2</v>
      </c>
      <c r="T642" s="98" t="n"/>
    </row>
    <row r="643">
      <c r="A643" s="96" t="inlineStr">
        <is>
          <t>KODEX 바이오</t>
        </is>
      </c>
      <c r="B643" s="96" t="inlineStr">
        <is>
          <t>244580</t>
        </is>
      </c>
      <c r="C643" s="96" t="inlineStr">
        <is>
          <t>삼성자산운용(ETF)</t>
        </is>
      </c>
      <c r="D643" s="97" t="n">
        <v>8485</v>
      </c>
      <c r="E643" s="97" t="n">
        <v>222646400000</v>
      </c>
      <c r="F643" s="97" t="n">
        <v>6218003415</v>
      </c>
      <c r="G643" s="98" t="n">
        <v>0.004500000000000001</v>
      </c>
      <c r="H643" s="98" t="n">
        <v>0.5007</v>
      </c>
      <c r="I643" s="98" t="n">
        <v>0.0018</v>
      </c>
      <c r="J643" s="98" t="n"/>
      <c r="K643" s="97" t="n">
        <v>2</v>
      </c>
      <c r="L643" s="99" t="inlineStr">
        <is>
          <t>20250429</t>
        </is>
      </c>
      <c r="M643" s="96" t="inlineStr">
        <is>
          <t>제외</t>
        </is>
      </c>
      <c r="N643" s="96" t="inlineStr">
        <is>
          <t>변동성 50.1%(1년 기준, 기준 35% 초과), 최근 12개월 분배 없음, 연 분배율 산출 불가(최근 12개월 분배 기록 없음)</t>
        </is>
      </c>
      <c r="O643" s="96" t="inlineStr">
        <is>
          <t>FnGuide 바이오 지수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무분배</t>
        </is>
      </c>
      <c r="S643" s="97" t="n">
        <v>0</v>
      </c>
      <c r="T643" s="98" t="n"/>
    </row>
    <row r="644">
      <c r="A644" s="96" t="inlineStr">
        <is>
          <t>KODEX 28-12 회사채(AA-이상)액티브</t>
        </is>
      </c>
      <c r="B644" s="96" t="inlineStr">
        <is>
          <t>0119H0</t>
        </is>
      </c>
      <c r="C644" s="96" t="inlineStr">
        <is>
          <t>삼성자산운용(ETF)</t>
        </is>
      </c>
      <c r="D644" s="97" t="n">
        <v>9915</v>
      </c>
      <c r="E644" s="97" t="n">
        <v>213866550000</v>
      </c>
      <c r="F644" s="97" t="n">
        <v>217952686</v>
      </c>
      <c r="G644" s="98" t="n">
        <v>0.0009</v>
      </c>
      <c r="H644" s="98" t="n">
        <v>0.0207</v>
      </c>
      <c r="I644" s="98" t="n">
        <v>0.0049</v>
      </c>
      <c r="J644" s="98" t="n"/>
      <c r="K644" s="97" t="n">
        <v>1</v>
      </c>
      <c r="L644" s="99" t="inlineStr">
        <is>
          <t>20251212</t>
        </is>
      </c>
      <c r="M644" s="96" t="inlineStr">
        <is>
          <t>제외</t>
        </is>
      </c>
      <c r="N644" s="96" t="inlineStr">
        <is>
          <t>60일 거래대금 2.2억(기준 5억 미만), 상장 11개월(기준 12개월 미만), 연 분배율 산출 불가(상장 1년 미만 — 12개월 창이 안 채워짐)</t>
        </is>
      </c>
      <c r="O644" s="96" t="inlineStr">
        <is>
          <t>KAP 28-12 회사채 총수익 지수(AA- 이상)</t>
        </is>
      </c>
      <c r="P644" s="96" t="inlineStr">
        <is>
          <t>일반</t>
        </is>
      </c>
      <c r="Q644" s="96" t="inlineStr">
        <is>
          <t>채권</t>
        </is>
      </c>
      <c r="R644" s="96" t="inlineStr">
        <is>
          <t>판정 불가</t>
        </is>
      </c>
      <c r="S644" s="97" t="n">
        <v>1</v>
      </c>
      <c r="T644" s="98" t="n"/>
    </row>
    <row r="645">
      <c r="A645" s="96" t="inlineStr">
        <is>
          <t>KODEX 조선TOP10</t>
        </is>
      </c>
      <c r="B645" s="96" t="inlineStr">
        <is>
          <t>0115D0</t>
        </is>
      </c>
      <c r="C645" s="96" t="inlineStr">
        <is>
          <t>삼성자산운용(ETF)</t>
        </is>
      </c>
      <c r="D645" s="97" t="n">
        <v>7220</v>
      </c>
      <c r="E645" s="97" t="n">
        <v>187720000000</v>
      </c>
      <c r="F645" s="97" t="n">
        <v>19137944386</v>
      </c>
      <c r="G645" s="98" t="n">
        <v>0.004500000000000001</v>
      </c>
      <c r="H645" s="98" t="n">
        <v>0.5650999999999999</v>
      </c>
      <c r="I645" s="98" t="n">
        <v>0.0022</v>
      </c>
      <c r="J645" s="98" t="n"/>
      <c r="K645" s="97" t="n">
        <v>1</v>
      </c>
      <c r="L645" s="99" t="inlineStr">
        <is>
          <t>20260429</t>
        </is>
      </c>
      <c r="M645" s="96" t="inlineStr">
        <is>
          <t>제외</t>
        </is>
      </c>
      <c r="N645" s="96" t="inlineStr">
        <is>
          <t>변동성 56.5%(1년 기준, 기준 35% 초과), 연 분배율 산출 불가(상장 1년 미만 — 12개월 창이 안 채워짐)</t>
        </is>
      </c>
      <c r="O645" s="96" t="inlineStr">
        <is>
          <t>KRX 조선 TOP10</t>
        </is>
      </c>
      <c r="P645" s="96" t="inlineStr">
        <is>
          <t>일반</t>
        </is>
      </c>
      <c r="Q645" s="96" t="inlineStr">
        <is>
          <t>주식</t>
        </is>
      </c>
      <c r="R645" s="96" t="inlineStr">
        <is>
          <t>연배당</t>
        </is>
      </c>
      <c r="S645" s="97" t="n">
        <v>1</v>
      </c>
      <c r="T645" s="98" t="n"/>
    </row>
    <row r="646">
      <c r="A646" s="96" t="inlineStr">
        <is>
          <t>RISE 코리아전략산업액티브</t>
        </is>
      </c>
      <c r="B646" s="96" t="inlineStr">
        <is>
          <t>0151P0</t>
        </is>
      </c>
      <c r="C646" s="96" t="inlineStr">
        <is>
          <t>KB자산운용</t>
        </is>
      </c>
      <c r="D646" s="97" t="n">
        <v>15360</v>
      </c>
      <c r="E646" s="97" t="n">
        <v>149760000000</v>
      </c>
      <c r="F646" s="97" t="n">
        <v>5883506468</v>
      </c>
      <c r="G646" s="98" t="n">
        <v>0.005</v>
      </c>
      <c r="H646" s="98" t="n">
        <v>0.7214</v>
      </c>
      <c r="I646" s="98" t="n">
        <v>0.0025</v>
      </c>
      <c r="J646" s="98" t="n"/>
      <c r="K646" s="97" t="n">
        <v>1</v>
      </c>
      <c r="L646" s="99" t="inlineStr">
        <is>
          <t>20260730</t>
        </is>
      </c>
      <c r="M646" s="96" t="inlineStr">
        <is>
          <t>제외</t>
        </is>
      </c>
      <c r="N646" s="96" t="inlineStr">
        <is>
          <t>변동성 72.1%(164거래일 기준, 기준 35% 초과), 상장 9개월(기준 12개월 미만), 연 분배율 산출 불가(상장 1년 미만 — 12개월 창이 안 채워짐)</t>
        </is>
      </c>
      <c r="O646" s="96" t="inlineStr">
        <is>
          <t>KAP 코리아전략산업지수</t>
        </is>
      </c>
      <c r="P646" s="96" t="inlineStr">
        <is>
          <t>일반</t>
        </is>
      </c>
      <c r="Q646" s="96" t="inlineStr">
        <is>
          <t>주식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ACE 미국대형가치주액티브</t>
        </is>
      </c>
      <c r="B647" s="96" t="inlineStr">
        <is>
          <t>0127M0</t>
        </is>
      </c>
      <c r="C647" s="96" t="inlineStr">
        <is>
          <t>한국투신운용(ETF)</t>
        </is>
      </c>
      <c r="D647" s="97" t="n">
        <v>11910</v>
      </c>
      <c r="E647" s="97" t="n">
        <v>142324500000</v>
      </c>
      <c r="F647" s="97" t="n">
        <v>970803017</v>
      </c>
      <c r="G647" s="98" t="n">
        <v>0.003</v>
      </c>
      <c r="H647" s="98" t="n">
        <v>0.1526</v>
      </c>
      <c r="I647" s="98" t="n">
        <v>0.0036</v>
      </c>
      <c r="J647" s="98" t="n"/>
      <c r="K647" s="97" t="n">
        <v>4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상장 11개월(기준 12개월 미만), 연 분배율 산출 불가(상장 1년 미만 — 12개월 창이 안 채워짐)</t>
        </is>
      </c>
      <c r="O647" s="96" t="inlineStr">
        <is>
          <t>Morningstar US Large Cap Value PR USD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4</v>
      </c>
      <c r="T647" s="98" t="n"/>
    </row>
    <row r="648">
      <c r="A648" s="96" t="inlineStr">
        <is>
          <t>TIGER 미국AI전력SMR</t>
        </is>
      </c>
      <c r="B648" s="96" t="inlineStr">
        <is>
          <t>0123G0</t>
        </is>
      </c>
      <c r="C648" s="96" t="inlineStr">
        <is>
          <t>미래에셋자산운용</t>
        </is>
      </c>
      <c r="D648" s="97" t="n">
        <v>5975</v>
      </c>
      <c r="E648" s="97" t="n">
        <v>123682500000</v>
      </c>
      <c r="F648" s="97" t="n">
        <v>805144623</v>
      </c>
      <c r="G648" s="98" t="n">
        <v>0.0049</v>
      </c>
      <c r="H648" s="98" t="n">
        <v>0.5508</v>
      </c>
      <c r="I648" s="98" t="n">
        <v>0.0005</v>
      </c>
      <c r="J648" s="98" t="n"/>
      <c r="K648" s="97" t="n">
        <v>1</v>
      </c>
      <c r="L648" s="99" t="inlineStr">
        <is>
          <t>20251229</t>
        </is>
      </c>
      <c r="M648" s="96" t="inlineStr">
        <is>
          <t>제외</t>
        </is>
      </c>
      <c r="N648" s="96" t="inlineStr">
        <is>
          <t>변동성 55.1%(1년 기준, 기준 35% 초과), 상장 11개월(기준 12개월 미만), 연 분배율 산출 불가(상장 1년 미만 — 12개월 창이 안 채워짐)</t>
        </is>
      </c>
      <c r="O648" s="96" t="inlineStr">
        <is>
          <t>Akros U.S. AI Electricity SMR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KIWOOM 미국S&amp;P500모멘텀</t>
        </is>
      </c>
      <c r="B649" s="96" t="inlineStr">
        <is>
          <t>0137V0</t>
        </is>
      </c>
      <c r="C649" s="96" t="inlineStr">
        <is>
          <t>키움투자자산운용</t>
        </is>
      </c>
      <c r="D649" s="97" t="n">
        <v>11700</v>
      </c>
      <c r="E649" s="97" t="n">
        <v>107055000000</v>
      </c>
      <c r="F649" s="97" t="n">
        <v>1445882562</v>
      </c>
      <c r="G649" s="98" t="n">
        <v>0.0012</v>
      </c>
      <c r="H649" s="98" t="n">
        <v>0.2775</v>
      </c>
      <c r="I649" s="98" t="n">
        <v>0.0014</v>
      </c>
      <c r="J649" s="98" t="n"/>
      <c r="K649" s="97" t="n">
        <v>3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상장 10개월(기준 12개월 미만), 연 분배율 산출 불가(상장 1년 미만 — 12개월 창이 안 채워짐)</t>
        </is>
      </c>
      <c r="O649" s="96" t="inlineStr">
        <is>
          <t>S&amp;P 500 Momentum Index (US Dollar)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판정 불가</t>
        </is>
      </c>
      <c r="S649" s="97" t="n">
        <v>3</v>
      </c>
      <c r="T649" s="98" t="n"/>
    </row>
    <row r="650">
      <c r="A650" s="96" t="inlineStr">
        <is>
          <t>PLUS 금채권혼합</t>
        </is>
      </c>
      <c r="B650" s="96" t="inlineStr">
        <is>
          <t>0138Y0</t>
        </is>
      </c>
      <c r="C650" s="96" t="inlineStr">
        <is>
          <t>한화자산운용</t>
        </is>
      </c>
      <c r="D650" s="97" t="n">
        <v>9520</v>
      </c>
      <c r="E650" s="97" t="n">
        <v>104720000000</v>
      </c>
      <c r="F650" s="97" t="n">
        <v>1519932711</v>
      </c>
      <c r="G650" s="98" t="n">
        <v>0.0015</v>
      </c>
      <c r="H650" s="98" t="n">
        <v>0.1538</v>
      </c>
      <c r="I650" s="98" t="n">
        <v>0.0002</v>
      </c>
      <c r="J650" s="98" t="n"/>
      <c r="K650" s="97" t="n">
        <v>1</v>
      </c>
      <c r="L650" s="99" t="inlineStr">
        <is>
          <t>20251229</t>
        </is>
      </c>
      <c r="M650" s="96" t="inlineStr">
        <is>
          <t>제외</t>
        </is>
      </c>
      <c r="N650" s="96" t="inlineStr">
        <is>
          <t>상장 10개월(기준 12개월 미만), 연 분배율 산출 불가(상장 1년 미만 — 12개월 창이 안 채워짐)</t>
        </is>
      </c>
      <c r="O650" s="96" t="inlineStr">
        <is>
          <t>Akros U.S. Gold ETF Treasury Balanced Index</t>
        </is>
      </c>
      <c r="P650" s="96" t="inlineStr">
        <is>
          <t>일반</t>
        </is>
      </c>
      <c r="Q650" s="96" t="inlineStr">
        <is>
          <t>멀티에셋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RISE 26-11 회사채(AA-이상)액티브</t>
        </is>
      </c>
      <c r="B651" s="96" t="inlineStr">
        <is>
          <t>0122W0</t>
        </is>
      </c>
      <c r="C651" s="96" t="inlineStr">
        <is>
          <t>KB자산운용</t>
        </is>
      </c>
      <c r="D651" s="97" t="n">
        <v>51115</v>
      </c>
      <c r="E651" s="97" t="n">
        <v>101923310000</v>
      </c>
      <c r="F651" s="97" t="n">
        <v>226559895</v>
      </c>
      <c r="G651" s="98" t="n">
        <v>0.0005</v>
      </c>
      <c r="H651" s="98" t="n">
        <v>0.0035</v>
      </c>
      <c r="I651" s="98" t="n">
        <v>0.0027</v>
      </c>
      <c r="J651" s="98" t="n"/>
      <c r="K651" s="97" t="n">
        <v>1</v>
      </c>
      <c r="L651" s="99" t="inlineStr">
        <is>
          <t>20251212</t>
        </is>
      </c>
      <c r="M651" s="96" t="inlineStr">
        <is>
          <t>제외</t>
        </is>
      </c>
      <c r="N651" s="96" t="inlineStr">
        <is>
          <t>60일 거래대금 2.3억(기준 5억 미만), 상장 11개월(기준 12개월 미만), 연 분배율 산출 불가(상장 1년 미만 — 12개월 창이 안 채워짐)</t>
        </is>
      </c>
      <c r="O651" s="96" t="inlineStr">
        <is>
          <t>KAP 26-11 회사채(AA-이상) 총수익지수</t>
        </is>
      </c>
      <c r="P651" s="96" t="inlineStr">
        <is>
          <t>일반</t>
        </is>
      </c>
      <c r="Q651" s="96" t="inlineStr">
        <is>
          <t>채권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TIGER 미국AI데이터센터TOP4Plus</t>
        </is>
      </c>
      <c r="B652" s="96" t="inlineStr">
        <is>
          <t>0142D0</t>
        </is>
      </c>
      <c r="C652" s="96" t="inlineStr">
        <is>
          <t>미래에셋자산운용</t>
        </is>
      </c>
      <c r="D652" s="97" t="n">
        <v>10615</v>
      </c>
      <c r="E652" s="97" t="n">
        <v>99781000000</v>
      </c>
      <c r="F652" s="97" t="n">
        <v>2061079934</v>
      </c>
      <c r="G652" s="98" t="n">
        <v>0.0049</v>
      </c>
      <c r="H652" s="98" t="n">
        <v>0.7544</v>
      </c>
      <c r="I652" s="98" t="n">
        <v>0.0002</v>
      </c>
      <c r="J652" s="98" t="n"/>
      <c r="K652" s="97" t="n">
        <v>1</v>
      </c>
      <c r="L652" s="99" t="inlineStr">
        <is>
          <t>20251229</t>
        </is>
      </c>
      <c r="M652" s="96" t="inlineStr">
        <is>
          <t>제외</t>
        </is>
      </c>
      <c r="N652" s="96" t="inlineStr">
        <is>
          <t>변동성 75.4%(191거래일 기준, 기준 35% 초과), 상장 10개월(기준 12개월 미만), 연 분배율 산출 불가(상장 1년 미만 — 12개월 창이 안 채워짐)</t>
        </is>
      </c>
      <c r="O652" s="96" t="inlineStr">
        <is>
          <t>Akros U.S. AI Data Center TOP4 Plus Index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판정 불가</t>
        </is>
      </c>
      <c r="S652" s="97" t="n">
        <v>1</v>
      </c>
      <c r="T652" s="98" t="n"/>
    </row>
    <row r="653">
      <c r="A653" s="96" t="inlineStr">
        <is>
          <t>KODEX 차이나AI반도체TOP10</t>
        </is>
      </c>
      <c r="B653" s="96" t="inlineStr">
        <is>
          <t>0162L0</t>
        </is>
      </c>
      <c r="C653" s="96" t="inlineStr">
        <is>
          <t>삼성자산운용(ETF)</t>
        </is>
      </c>
      <c r="D653" s="97" t="n">
        <v>12370</v>
      </c>
      <c r="E653" s="97" t="n">
        <v>99578500000</v>
      </c>
      <c r="F653" s="97" t="n">
        <v>15475102875</v>
      </c>
      <c r="G653" s="98" t="n">
        <v>0.005500000000000001</v>
      </c>
      <c r="H653" s="98" t="n">
        <v>0.6381</v>
      </c>
      <c r="I653" s="98" t="n">
        <v>0.0012</v>
      </c>
      <c r="J653" s="98" t="n"/>
      <c r="K653" s="97" t="n">
        <v>2</v>
      </c>
      <c r="L653" s="99" t="inlineStr">
        <is>
          <t>20260730</t>
        </is>
      </c>
      <c r="M653" s="96" t="inlineStr">
        <is>
          <t>제외</t>
        </is>
      </c>
      <c r="N653" s="96" t="inlineStr">
        <is>
          <t>변동성 63.8%(140거래일 기준, 기준 35% 초과), 상장 8개월(기준 12개월 미만), 연 분배율 산출 불가(상장 1년 미만 — 12개월 창이 안 채워짐)</t>
        </is>
      </c>
      <c r="O653" s="96" t="inlineStr">
        <is>
          <t>Indxx China AI Semiconductor Top 10 Index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  <c r="T653" s="98" t="n"/>
    </row>
    <row r="654">
      <c r="A654" s="96" t="inlineStr">
        <is>
          <t>KODEX 헬스케어</t>
        </is>
      </c>
      <c r="B654" s="96" t="inlineStr">
        <is>
          <t>266420</t>
        </is>
      </c>
      <c r="C654" s="96" t="inlineStr">
        <is>
          <t>삼성자산운용(ETF)</t>
        </is>
      </c>
      <c r="D654" s="97" t="n">
        <v>16470</v>
      </c>
      <c r="E654" s="97" t="n">
        <v>70821000000</v>
      </c>
      <c r="F654" s="97" t="n">
        <v>692670966</v>
      </c>
      <c r="G654" s="98" t="n">
        <v>0.0009</v>
      </c>
      <c r="H654" s="98" t="n">
        <v>0.4351</v>
      </c>
      <c r="I654" s="98" t="n">
        <v>0.0026</v>
      </c>
      <c r="J654" s="98" t="n"/>
      <c r="K654" s="97" t="n">
        <v>2</v>
      </c>
      <c r="L654" s="99" t="inlineStr">
        <is>
          <t>20250429</t>
        </is>
      </c>
      <c r="M654" s="96" t="inlineStr">
        <is>
          <t>제외</t>
        </is>
      </c>
      <c r="N654" s="96" t="inlineStr">
        <is>
          <t>변동성 43.5%(1년 기준, 기준 35% 초과), 최근 12개월 분배 없음, 연 분배율 산출 불가(최근 12개월 분배 기록 없음)</t>
        </is>
      </c>
      <c r="O654" s="96" t="inlineStr">
        <is>
          <t>KRX 헬스케어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무분배</t>
        </is>
      </c>
      <c r="S654" s="97" t="n">
        <v>0</v>
      </c>
      <c r="T654" s="98" t="n"/>
    </row>
    <row r="655">
      <c r="A655" s="96" t="inlineStr">
        <is>
          <t>TIGER 구글밸류체인</t>
        </is>
      </c>
      <c r="B655" s="96" t="inlineStr">
        <is>
          <t>0190Y0</t>
        </is>
      </c>
      <c r="C655" s="96" t="inlineStr">
        <is>
          <t>미래에셋자산운용</t>
        </is>
      </c>
      <c r="D655" s="97" t="n">
        <v>8725</v>
      </c>
      <c r="E655" s="97" t="n">
        <v>70672500000</v>
      </c>
      <c r="F655" s="97" t="n">
        <v>1065745256</v>
      </c>
      <c r="G655" s="98" t="n">
        <v>0.004500000000000001</v>
      </c>
      <c r="H655" s="98" t="n">
        <v>0.384</v>
      </c>
      <c r="I655" s="98" t="n">
        <v>0.0037</v>
      </c>
      <c r="J655" s="98" t="n"/>
      <c r="K655" s="97" t="n">
        <v>1</v>
      </c>
      <c r="L655" s="99" t="inlineStr">
        <is>
          <t>20260730</t>
        </is>
      </c>
      <c r="M655" s="96" t="inlineStr">
        <is>
          <t>제외</t>
        </is>
      </c>
      <c r="N655" s="96" t="inlineStr">
        <is>
          <t>변동성 38.4%(90거래일 기준, 기준 35% 초과), 상장 5개월(기준 12개월 미만), 연 분배율 산출 불가(상장 1년 미만 — 12개월 창이 안 채워짐)</t>
        </is>
      </c>
      <c r="O655" s="96" t="inlineStr">
        <is>
          <t>Akros Google Value Chain Index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1</v>
      </c>
      <c r="T655" s="98" t="n"/>
    </row>
    <row r="656">
      <c r="A656" s="96" t="inlineStr">
        <is>
          <t>TIME 글로벌탑픽액티브</t>
        </is>
      </c>
      <c r="B656" s="96" t="inlineStr">
        <is>
          <t>0113D0</t>
        </is>
      </c>
      <c r="C656" s="96" t="inlineStr">
        <is>
          <t>타임폴리오자산운용</t>
        </is>
      </c>
      <c r="D656" s="97" t="n">
        <v>11740</v>
      </c>
      <c r="E656" s="97" t="n">
        <v>66918000000</v>
      </c>
      <c r="F656" s="97" t="n">
        <v>554578116</v>
      </c>
      <c r="G656" s="98" t="n">
        <v>0.0005999999999999999</v>
      </c>
      <c r="H656" s="98" t="n">
        <v>0.1902</v>
      </c>
      <c r="I656" s="98" t="n">
        <v>0.0016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연 분배율 산출 불가(상장 1년 미만 — 12개월 창이 안 채워짐)</t>
        </is>
      </c>
      <c r="O656" s="96" t="inlineStr">
        <is>
          <t>Bloomberg World Large, Mid &amp; Small Cap Price Return Index</t>
        </is>
      </c>
      <c r="P656" s="96" t="inlineStr">
        <is>
          <t>일반</t>
        </is>
      </c>
      <c r="Q656" s="96" t="inlineStr">
        <is>
          <t>멀티에셋</t>
        </is>
      </c>
      <c r="R656" s="96" t="inlineStr">
        <is>
          <t>연배당</t>
        </is>
      </c>
      <c r="S656" s="97" t="n">
        <v>1</v>
      </c>
      <c r="T656" s="98" t="n"/>
    </row>
    <row r="657">
      <c r="A657" s="96" t="inlineStr">
        <is>
          <t>KODEX 코리아소버린AI</t>
        </is>
      </c>
      <c r="B657" s="96" t="inlineStr">
        <is>
          <t>0115E0</t>
        </is>
      </c>
      <c r="C657" s="96" t="inlineStr">
        <is>
          <t>삼성자산운용(ETF)</t>
        </is>
      </c>
      <c r="D657" s="97" t="n">
        <v>14300</v>
      </c>
      <c r="E657" s="97" t="n">
        <v>62205000000</v>
      </c>
      <c r="F657" s="97" t="n">
        <v>1140078874</v>
      </c>
      <c r="G657" s="98" t="n">
        <v>0.004500000000000001</v>
      </c>
      <c r="H657" s="98" t="n">
        <v>0.4719</v>
      </c>
      <c r="I657" s="98" t="n">
        <v>0.0021</v>
      </c>
      <c r="J657" s="98" t="n"/>
      <c r="K657" s="97" t="n">
        <v>2</v>
      </c>
      <c r="L657" s="99" t="inlineStr">
        <is>
          <t>20260730</t>
        </is>
      </c>
      <c r="M657" s="96" t="inlineStr">
        <is>
          <t>제외</t>
        </is>
      </c>
      <c r="N657" s="96" t="inlineStr">
        <is>
          <t>변동성 47.2%(1년 기준, 기준 35% 초과), 연 분배율 산출 불가(상장 1년 미만 — 12개월 창이 안 채워짐)</t>
        </is>
      </c>
      <c r="O657" s="96" t="inlineStr">
        <is>
          <t>KRX 코리아 소버린 AI 지수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연배당</t>
        </is>
      </c>
      <c r="S657" s="97" t="n">
        <v>2</v>
      </c>
      <c r="T657" s="98" t="n"/>
    </row>
    <row r="658">
      <c r="A658" s="96" t="inlineStr">
        <is>
          <t>HANARO 반도체핵심공정주도주</t>
        </is>
      </c>
      <c r="B658" s="96" t="inlineStr">
        <is>
          <t>476260</t>
        </is>
      </c>
      <c r="C658" s="96" t="inlineStr">
        <is>
          <t>NH-Amundi자산운용</t>
        </is>
      </c>
      <c r="D658" s="97" t="n">
        <v>15870</v>
      </c>
      <c r="E658" s="97" t="n">
        <v>56338500000</v>
      </c>
      <c r="F658" s="97" t="n">
        <v>7349299008</v>
      </c>
      <c r="G658" s="98" t="n">
        <v>0.004500000000000001</v>
      </c>
      <c r="H658" s="98" t="n">
        <v>0.7841</v>
      </c>
      <c r="I658" s="98" t="n">
        <v>0.0067</v>
      </c>
      <c r="J658" s="98" t="n"/>
      <c r="K658" s="97" t="n">
        <v>1</v>
      </c>
      <c r="L658" s="99" t="inlineStr">
        <is>
          <t>20250429</t>
        </is>
      </c>
      <c r="M658" s="96" t="inlineStr">
        <is>
          <t>제외</t>
        </is>
      </c>
      <c r="N658" s="96" t="inlineStr">
        <is>
          <t>변동성 78.4%(1년 기준, 기준 35% 초과), 최근 12개월 분배 없음, 연 분배율 산출 불가(최근 12개월 분배 기록 없음)</t>
        </is>
      </c>
      <c r="O658" s="96" t="inlineStr">
        <is>
          <t>FnGuide 반도체 핵심 공정 주도주 지수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무분배</t>
        </is>
      </c>
      <c r="S658" s="97" t="n">
        <v>0</v>
      </c>
      <c r="T658" s="98" t="n"/>
    </row>
    <row r="659">
      <c r="A659" s="96" t="inlineStr">
        <is>
          <t>SOL 조선기자재</t>
        </is>
      </c>
      <c r="B659" s="96" t="inlineStr">
        <is>
          <t>0141S0</t>
        </is>
      </c>
      <c r="C659" s="96" t="inlineStr">
        <is>
          <t>신한자산운용</t>
        </is>
      </c>
      <c r="D659" s="97" t="n">
        <v>8535</v>
      </c>
      <c r="E659" s="97" t="n">
        <v>55477500000</v>
      </c>
      <c r="F659" s="97" t="n">
        <v>2636381007</v>
      </c>
      <c r="G659" s="98" t="n">
        <v>0.004500000000000001</v>
      </c>
      <c r="H659" s="98" t="n">
        <v>0.5914</v>
      </c>
      <c r="I659" s="98" t="n">
        <v>0.0007000000000000001</v>
      </c>
      <c r="J659" s="98" t="n"/>
      <c r="K659" s="97" t="n">
        <v>2</v>
      </c>
      <c r="L659" s="99" t="inlineStr">
        <is>
          <t>20260429</t>
        </is>
      </c>
      <c r="M659" s="96" t="inlineStr">
        <is>
          <t>제외</t>
        </is>
      </c>
      <c r="N659" s="96" t="inlineStr">
        <is>
          <t>변동성 59.1%(186거래일 기준, 기준 35% 초과), 상장 10개월(기준 12개월 미만), 연 분배율 산출 불가(상장 1년 미만 — 12개월 창이 안 채워짐)</t>
        </is>
      </c>
      <c r="O659" s="96" t="inlineStr">
        <is>
          <t>FnGuide 조선 기자재 지수</t>
        </is>
      </c>
      <c r="P659" s="96" t="inlineStr">
        <is>
          <t>일반</t>
        </is>
      </c>
      <c r="Q659" s="96" t="inlineStr">
        <is>
          <t>주식</t>
        </is>
      </c>
      <c r="R659" s="96" t="inlineStr">
        <is>
          <t>판정 불가</t>
        </is>
      </c>
      <c r="S659" s="97" t="n">
        <v>2</v>
      </c>
      <c r="T659" s="98" t="n"/>
    </row>
    <row r="660">
      <c r="A660" s="96" t="inlineStr">
        <is>
          <t>PLUS K제조업핵심기업액티브</t>
        </is>
      </c>
      <c r="B660" s="96" t="inlineStr">
        <is>
          <t>0166S0</t>
        </is>
      </c>
      <c r="C660" s="96" t="inlineStr">
        <is>
          <t>한화자산운용</t>
        </is>
      </c>
      <c r="D660" s="97" t="n">
        <v>11730</v>
      </c>
      <c r="E660" s="97" t="n">
        <v>53371500000</v>
      </c>
      <c r="F660" s="97" t="n">
        <v>907604672</v>
      </c>
      <c r="G660" s="98" t="n">
        <v>0.0063</v>
      </c>
      <c r="H660" s="98" t="n">
        <v>0.7199</v>
      </c>
      <c r="I660" s="98" t="n">
        <v>0.0004</v>
      </c>
      <c r="J660" s="98" t="n"/>
      <c r="K660" s="97" t="n">
        <v>1</v>
      </c>
      <c r="L660" s="99" t="inlineStr">
        <is>
          <t>20260429</t>
        </is>
      </c>
      <c r="M660" s="96" t="inlineStr">
        <is>
          <t>제외</t>
        </is>
      </c>
      <c r="N660" s="96" t="inlineStr">
        <is>
          <t>변동성 72.0%(123거래일 기준, 기준 35% 초과), 상장 7개월(기준 12개월 미만), 연 분배율 산출 불가(상장 1년 미만 — 12개월 창이 안 채워짐)</t>
        </is>
      </c>
      <c r="O660" s="96" t="inlineStr">
        <is>
          <t>Akros K제조업 50 지수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판정 불가</t>
        </is>
      </c>
      <c r="S660" s="97" t="n">
        <v>1</v>
      </c>
      <c r="T660" s="98" t="n"/>
    </row>
    <row r="661">
      <c r="A661" s="96" t="inlineStr">
        <is>
          <t>ACE 미국AI테크핵심산업액티브</t>
        </is>
      </c>
      <c r="B661" s="96" t="inlineStr">
        <is>
          <t>0118Z0</t>
        </is>
      </c>
      <c r="C661" s="96" t="inlineStr">
        <is>
          <t>한국투신운용(ETF)</t>
        </is>
      </c>
      <c r="D661" s="97" t="n">
        <v>8700</v>
      </c>
      <c r="E661" s="97" t="n">
        <v>51765000000</v>
      </c>
      <c r="F661" s="97" t="n">
        <v>285405078</v>
      </c>
      <c r="G661" s="98" t="n">
        <v>0.004500000000000001</v>
      </c>
      <c r="H661" s="98" t="n">
        <v>0.4483</v>
      </c>
      <c r="I661" s="98" t="n">
        <v>0.0003</v>
      </c>
      <c r="J661" s="98" t="n"/>
      <c r="K661" s="97" t="n">
        <v>1</v>
      </c>
      <c r="L661" s="99" t="inlineStr">
        <is>
          <t>20251229</t>
        </is>
      </c>
      <c r="M661" s="96" t="inlineStr">
        <is>
          <t>제외</t>
        </is>
      </c>
      <c r="N661" s="96" t="inlineStr">
        <is>
          <t>60일 거래대금 2.9억(기준 5억 미만), 변동성 44.8%(1년 기준, 기준 35% 초과), 연 분배율 산출 불가(상장 1년 미만 — 12개월 창이 안 채워짐)</t>
        </is>
      </c>
      <c r="O661" s="96" t="inlineStr">
        <is>
          <t>Akros U.S. AI Innovator Index</t>
        </is>
      </c>
      <c r="P661" s="96" t="inlineStr">
        <is>
          <t>일반</t>
        </is>
      </c>
      <c r="Q661" s="96" t="inlineStr">
        <is>
          <t>주식</t>
        </is>
      </c>
      <c r="R661" s="96" t="inlineStr">
        <is>
          <t>연배당</t>
        </is>
      </c>
      <c r="S661" s="97" t="n">
        <v>1</v>
      </c>
      <c r="T661" s="98" t="n"/>
    </row>
    <row r="662">
      <c r="A662" s="96" t="inlineStr">
        <is>
          <t>SOL 미국넥스트테크TOP10액티브</t>
        </is>
      </c>
      <c r="B662" s="96" t="inlineStr">
        <is>
          <t>0118S0</t>
        </is>
      </c>
      <c r="C662" s="96" t="inlineStr">
        <is>
          <t>신한자산운용</t>
        </is>
      </c>
      <c r="D662" s="97" t="n">
        <v>10980</v>
      </c>
      <c r="E662" s="97" t="n">
        <v>50508000000</v>
      </c>
      <c r="F662" s="97" t="n">
        <v>528447600</v>
      </c>
      <c r="G662" s="98" t="n">
        <v>0.005500000000000001</v>
      </c>
      <c r="H662" s="98" t="n">
        <v>0.6095</v>
      </c>
      <c r="I662" s="98" t="n">
        <v>0.0004</v>
      </c>
      <c r="J662" s="98" t="n"/>
      <c r="K662" s="97" t="n">
        <v>2</v>
      </c>
      <c r="L662" s="99" t="inlineStr">
        <is>
          <t>20260429</t>
        </is>
      </c>
      <c r="M662" s="96" t="inlineStr">
        <is>
          <t>제외</t>
        </is>
      </c>
      <c r="N662" s="96" t="inlineStr">
        <is>
          <t>변동성 61.0%(1년 기준, 기준 35% 초과), 연 분배율 산출 불가(상장 1년 미만 — 12개월 창이 안 채워짐)</t>
        </is>
      </c>
      <c r="O662" s="96" t="inlineStr">
        <is>
          <t>KEDI U.S. Next Tech Top10 Index</t>
        </is>
      </c>
      <c r="P662" s="96" t="inlineStr">
        <is>
          <t>일반</t>
        </is>
      </c>
      <c r="Q662" s="96" t="inlineStr">
        <is>
          <t>주식</t>
        </is>
      </c>
      <c r="R662" s="96" t="inlineStr">
        <is>
          <t>연배당</t>
        </is>
      </c>
      <c r="S662" s="97" t="n">
        <v>2</v>
      </c>
      <c r="T662" s="98" t="n"/>
    </row>
    <row r="663">
      <c r="A663" s="96" t="inlineStr">
        <is>
          <t>IBK 미국AI TOP10국채혼합50</t>
        </is>
      </c>
      <c r="B663" s="96" t="inlineStr">
        <is>
          <t>0178H0</t>
        </is>
      </c>
      <c r="C663" s="96" t="inlineStr">
        <is>
          <t>IBK자산운용</t>
        </is>
      </c>
      <c r="D663" s="97" t="n">
        <v>10210</v>
      </c>
      <c r="E663" s="97" t="n">
        <v>47987000000</v>
      </c>
      <c r="F663" s="97" t="n">
        <v>97485040</v>
      </c>
      <c r="G663" s="98" t="n">
        <v>0.0025</v>
      </c>
      <c r="H663" s="98" t="n">
        <v>0.1382</v>
      </c>
      <c r="I663" s="98" t="n">
        <v>0.0015</v>
      </c>
      <c r="J663" s="98" t="n"/>
      <c r="K663" s="97" t="n">
        <v>1</v>
      </c>
      <c r="L663" s="99" t="inlineStr">
        <is>
          <t>20260730</t>
        </is>
      </c>
      <c r="M663" s="96" t="inlineStr">
        <is>
          <t>제외</t>
        </is>
      </c>
      <c r="N663" s="96" t="inlineStr">
        <is>
          <t>60일 거래대금 1.0억(기준 5억 미만), 상장 6개월(기준 12개월 미만), 연 분배율 산출 불가(상장 1년 미만 — 12개월 창이 안 채워짐)</t>
        </is>
      </c>
      <c r="O663" s="96" t="inlineStr">
        <is>
          <t>FnGuide 미국AI TOP10국채혼합 지수</t>
        </is>
      </c>
      <c r="P663" s="96" t="inlineStr">
        <is>
          <t>일반</t>
        </is>
      </c>
      <c r="Q663" s="96" t="inlineStr">
        <is>
          <t>멀티에셋</t>
        </is>
      </c>
      <c r="R663" s="96" t="inlineStr">
        <is>
          <t>판정 불가</t>
        </is>
      </c>
      <c r="S663" s="97" t="n">
        <v>1</v>
      </c>
      <c r="T663" s="98" t="n"/>
    </row>
    <row r="664">
      <c r="A664" s="96" t="inlineStr">
        <is>
          <t>1Q 코스닥150채권혼합50액티브</t>
        </is>
      </c>
      <c r="B664" s="96" t="inlineStr">
        <is>
          <t>0186S0</t>
        </is>
      </c>
      <c r="C664" s="96" t="inlineStr">
        <is>
          <t>하나자산운용</t>
        </is>
      </c>
      <c r="D664" s="97" t="n">
        <v>8780</v>
      </c>
      <c r="E664" s="97" t="n">
        <v>44778000000</v>
      </c>
      <c r="F664" s="97" t="n">
        <v>2872473458</v>
      </c>
      <c r="G664" s="98" t="n">
        <v>0.0063</v>
      </c>
      <c r="H664" s="98" t="n">
        <v>0.3235</v>
      </c>
      <c r="I664" s="98" t="n">
        <v>0.0027</v>
      </c>
      <c r="J664" s="98" t="n"/>
      <c r="K664" s="97" t="n">
        <v>1</v>
      </c>
      <c r="L664" s="99" t="inlineStr">
        <is>
          <t>20260730</t>
        </is>
      </c>
      <c r="M664" s="96" t="inlineStr">
        <is>
          <t>제외</t>
        </is>
      </c>
      <c r="N664" s="96" t="inlineStr">
        <is>
          <t>상장 6개월(기준 12개월 미만), 연 분배율 산출 불가(상장 1년 미만 — 12개월 창이 안 채워짐)</t>
        </is>
      </c>
      <c r="O664" s="96" t="inlineStr">
        <is>
          <t>코스닥 150 단기국공채 혼합지수</t>
        </is>
      </c>
      <c r="P664" s="96" t="inlineStr">
        <is>
          <t>일반</t>
        </is>
      </c>
      <c r="Q664" s="96" t="inlineStr">
        <is>
          <t>멀티에셋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SOL 중기종합채권(AA-이상)액티브</t>
        </is>
      </c>
      <c r="B665" s="96" t="inlineStr">
        <is>
          <t>0141T0</t>
        </is>
      </c>
      <c r="C665" s="96" t="inlineStr">
        <is>
          <t>신한자산운용</t>
        </is>
      </c>
      <c r="D665" s="97" t="n">
        <v>50290</v>
      </c>
      <c r="E665" s="97" t="n">
        <v>43852880000</v>
      </c>
      <c r="F665" s="97" t="n">
        <v>21939030</v>
      </c>
      <c r="G665" s="98" t="n">
        <v>0.0005</v>
      </c>
      <c r="H665" s="98" t="n">
        <v>0.0184</v>
      </c>
      <c r="I665" s="98" t="n">
        <v>0.0004</v>
      </c>
      <c r="J665" s="98" t="n"/>
      <c r="K665" s="97" t="n">
        <v>1</v>
      </c>
      <c r="L665" s="99" t="inlineStr">
        <is>
          <t>20251229</t>
        </is>
      </c>
      <c r="M665" s="96" t="inlineStr">
        <is>
          <t>제외</t>
        </is>
      </c>
      <c r="N665" s="96" t="inlineStr">
        <is>
          <t>60일 거래대금 0.2억(기준 5억 미만), 상장 10개월(기준 12개월 미만), 연 분배율 산출 불가(상장 1년 미만 — 12개월 창이 안 채워짐)</t>
        </is>
      </c>
      <c r="O665" s="96" t="inlineStr">
        <is>
          <t>KAP K-중기종합채권지수(AA-이상, 총수익)</t>
        </is>
      </c>
      <c r="P665" s="96" t="inlineStr">
        <is>
          <t>일반</t>
        </is>
      </c>
      <c r="Q665" s="96" t="inlineStr">
        <is>
          <t>채권</t>
        </is>
      </c>
      <c r="R665" s="96" t="inlineStr">
        <is>
          <t>판정 불가</t>
        </is>
      </c>
      <c r="S665" s="97" t="n">
        <v>1</v>
      </c>
      <c r="T665" s="98" t="n"/>
    </row>
    <row r="666">
      <c r="A666" s="96" t="inlineStr">
        <is>
          <t>KODEX 미국원자력SMR</t>
        </is>
      </c>
      <c r="B666" s="96" t="inlineStr">
        <is>
          <t>0132H0</t>
        </is>
      </c>
      <c r="C666" s="96" t="inlineStr">
        <is>
          <t>삼성자산운용(ETF)</t>
        </is>
      </c>
      <c r="D666" s="97" t="n">
        <v>7050</v>
      </c>
      <c r="E666" s="97" t="n">
        <v>41947500000</v>
      </c>
      <c r="F666" s="97" t="n">
        <v>421648481</v>
      </c>
      <c r="G666" s="98" t="n">
        <v>0.004500000000000001</v>
      </c>
      <c r="H666" s="98" t="n">
        <v>0.5214</v>
      </c>
      <c r="I666" s="98" t="n">
        <v>0.0005</v>
      </c>
      <c r="J666" s="98" t="n"/>
      <c r="K666" s="97" t="n">
        <v>3</v>
      </c>
      <c r="L666" s="99" t="inlineStr">
        <is>
          <t>20260730</t>
        </is>
      </c>
      <c r="M666" s="96" t="inlineStr">
        <is>
          <t>제외</t>
        </is>
      </c>
      <c r="N666" s="96" t="inlineStr">
        <is>
          <t>60일 거래대금 4.2억(기준 5억 미만), 변동성 52.1%(1년 기준, 기준 35% 초과), 상장 11개월(기준 12개월 미만), 연 분배율 산출 불가(상장 1년 미만 — 12개월 창이 안 채워짐)</t>
        </is>
      </c>
      <c r="O666" s="96" t="inlineStr">
        <is>
          <t>iSelect U.S. Nuclear Power SMR Index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판정 불가</t>
        </is>
      </c>
      <c r="S666" s="97" t="n">
        <v>3</v>
      </c>
      <c r="T666" s="98" t="n"/>
    </row>
    <row r="667">
      <c r="A667" s="96" t="inlineStr">
        <is>
          <t>1Q 200채권혼합50액티브</t>
        </is>
      </c>
      <c r="B667" s="96" t="inlineStr">
        <is>
          <t>0184E0</t>
        </is>
      </c>
      <c r="C667" s="96" t="inlineStr">
        <is>
          <t>하나자산운용</t>
        </is>
      </c>
      <c r="D667" s="97" t="n">
        <v>11195</v>
      </c>
      <c r="E667" s="97" t="n">
        <v>34704500000</v>
      </c>
      <c r="F667" s="97" t="n">
        <v>1158858591</v>
      </c>
      <c r="G667" s="98" t="n">
        <v>0.004</v>
      </c>
      <c r="H667" s="98" t="n">
        <v>0.3712</v>
      </c>
      <c r="I667" s="98" t="n">
        <v>0.003</v>
      </c>
      <c r="J667" s="98" t="n"/>
      <c r="K667" s="97" t="n">
        <v>1</v>
      </c>
      <c r="L667" s="99" t="inlineStr">
        <is>
          <t>20260730</t>
        </is>
      </c>
      <c r="M667" s="96" t="inlineStr">
        <is>
          <t>제외</t>
        </is>
      </c>
      <c r="N667" s="96" t="inlineStr">
        <is>
          <t>변동성 37.1%(103거래일 기준, 기준 35% 초과), 상장 6개월(기준 12개월 미만), 연 분배율 산출 불가(상장 1년 미만 — 12개월 창이 안 채워짐)</t>
        </is>
      </c>
      <c r="O667" s="96" t="inlineStr">
        <is>
          <t>코스피 200 단기국공채 혼합지수</t>
        </is>
      </c>
      <c r="P667" s="96" t="inlineStr">
        <is>
          <t>일반</t>
        </is>
      </c>
      <c r="Q667" s="96" t="inlineStr">
        <is>
          <t>멀티에셋</t>
        </is>
      </c>
      <c r="R667" s="96" t="inlineStr">
        <is>
          <t>판정 불가</t>
        </is>
      </c>
      <c r="S667" s="97" t="n">
        <v>1</v>
      </c>
      <c r="T667" s="98" t="n"/>
    </row>
    <row r="668">
      <c r="A668" s="96" t="inlineStr">
        <is>
          <t>KoAct 글로벌친환경전력인프라액티브</t>
        </is>
      </c>
      <c r="B668" s="96" t="inlineStr">
        <is>
          <t>475070</t>
        </is>
      </c>
      <c r="C668" s="96" t="inlineStr">
        <is>
          <t>삼성액티브자산(ETF)</t>
        </is>
      </c>
      <c r="D668" s="97" t="n">
        <v>30015</v>
      </c>
      <c r="E668" s="97" t="n">
        <v>33016500000</v>
      </c>
      <c r="F668" s="97" t="n">
        <v>334078923</v>
      </c>
      <c r="G668" s="98" t="n">
        <v>0.005</v>
      </c>
      <c r="H668" s="98" t="n">
        <v>0.4371</v>
      </c>
      <c r="I668" s="98" t="n">
        <v>0.0022</v>
      </c>
      <c r="J668" s="98" t="n"/>
      <c r="K668" s="97" t="n">
        <v>1</v>
      </c>
      <c r="L668" s="99" t="inlineStr">
        <is>
          <t>20241030</t>
        </is>
      </c>
      <c r="M668" s="96" t="inlineStr">
        <is>
          <t>제외</t>
        </is>
      </c>
      <c r="N668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8" s="96" t="inlineStr">
        <is>
          <t>Solactive Global Climate Technology Infrastructure Index PR</t>
        </is>
      </c>
      <c r="P668" s="96" t="inlineStr">
        <is>
          <t>일반</t>
        </is>
      </c>
      <c r="Q668" s="96" t="inlineStr">
        <is>
          <t>주식</t>
        </is>
      </c>
      <c r="R668" s="96" t="inlineStr">
        <is>
          <t>무분배</t>
        </is>
      </c>
      <c r="S668" s="97" t="n">
        <v>0</v>
      </c>
      <c r="T668" s="98" t="n"/>
    </row>
    <row r="669">
      <c r="A669" s="96" t="inlineStr">
        <is>
          <t>WON 초대형IB&amp;금융지주</t>
        </is>
      </c>
      <c r="B669" s="96" t="inlineStr">
        <is>
          <t>0154F0</t>
        </is>
      </c>
      <c r="C669" s="96" t="inlineStr">
        <is>
          <t>우리자산운용</t>
        </is>
      </c>
      <c r="D669" s="97" t="n">
        <v>11900</v>
      </c>
      <c r="E669" s="97" t="n">
        <v>32725000000</v>
      </c>
      <c r="F669" s="97" t="n">
        <v>379467788</v>
      </c>
      <c r="G669" s="98" t="n">
        <v>0.0029</v>
      </c>
      <c r="H669" s="98" t="n">
        <v>0.4926</v>
      </c>
      <c r="I669" s="98" t="n">
        <v>0.0177</v>
      </c>
      <c r="J669" s="98" t="n"/>
      <c r="K669" s="97" t="n">
        <v>1</v>
      </c>
      <c r="L669" s="99" t="inlineStr">
        <is>
          <t>20260429</t>
        </is>
      </c>
      <c r="M669" s="96" t="inlineStr">
        <is>
          <t>제외</t>
        </is>
      </c>
      <c r="N669" s="96" t="inlineStr">
        <is>
          <t>60일 거래대금 3.8억(기준 5억 미만), 변동성 49.3%(164거래일 기준, 기준 35% 초과), 상장 9개월(기준 12개월 미만), 연 분배율 산출 불가(상장 1년 미만 — 12개월 창이 안 채워짐)</t>
        </is>
      </c>
      <c r="O669" s="96" t="inlineStr">
        <is>
          <t>iSelect 초대형IB&amp;금융지주 지수</t>
        </is>
      </c>
      <c r="P669" s="96" t="inlineStr">
        <is>
          <t>일반</t>
        </is>
      </c>
      <c r="Q669" s="96" t="inlineStr">
        <is>
          <t>주식</t>
        </is>
      </c>
      <c r="R669" s="96" t="inlineStr">
        <is>
          <t>판정 불가</t>
        </is>
      </c>
      <c r="S669" s="97" t="n">
        <v>1</v>
      </c>
      <c r="T669" s="98" t="n"/>
    </row>
    <row r="670">
      <c r="A670" s="96" t="inlineStr">
        <is>
          <t>PLUS 코스닥150액티브</t>
        </is>
      </c>
      <c r="B670" s="96" t="inlineStr">
        <is>
          <t>0166N0</t>
        </is>
      </c>
      <c r="C670" s="96" t="inlineStr">
        <is>
          <t>한화자산운용</t>
        </is>
      </c>
      <c r="D670" s="97" t="n">
        <v>9230</v>
      </c>
      <c r="E670" s="97" t="n">
        <v>32305000000</v>
      </c>
      <c r="F670" s="97" t="n">
        <v>596794782</v>
      </c>
      <c r="G670" s="98" t="n">
        <v>0.0063</v>
      </c>
      <c r="H670" s="98" t="n">
        <v>0.6509999999999999</v>
      </c>
      <c r="I670" s="98" t="n">
        <v>0.0004</v>
      </c>
      <c r="J670" s="98" t="n"/>
      <c r="K670" s="97" t="n">
        <v>1</v>
      </c>
      <c r="L670" s="99" t="inlineStr">
        <is>
          <t>20260429</t>
        </is>
      </c>
      <c r="M670" s="96" t="inlineStr">
        <is>
          <t>제외</t>
        </is>
      </c>
      <c r="N670" s="96" t="inlineStr">
        <is>
          <t>변동성 65.1%(135거래일 기준, 기준 35% 초과), 상장 7개월(기준 12개월 미만), 연 분배율 산출 불가(상장 1년 미만 — 12개월 창이 안 채워짐)</t>
        </is>
      </c>
      <c r="O670" s="96" t="inlineStr">
        <is>
          <t>KOSDAQ 150</t>
        </is>
      </c>
      <c r="P670" s="96" t="inlineStr">
        <is>
          <t>일반</t>
        </is>
      </c>
      <c r="Q670" s="96" t="inlineStr">
        <is>
          <t>주식</t>
        </is>
      </c>
      <c r="R670" s="96" t="inlineStr">
        <is>
          <t>판정 불가</t>
        </is>
      </c>
      <c r="S670" s="97" t="n">
        <v>1</v>
      </c>
      <c r="T670" s="98" t="n"/>
    </row>
    <row r="671">
      <c r="A671" s="96" t="inlineStr">
        <is>
          <t>HANARO Fn K-POP&amp;미디어</t>
        </is>
      </c>
      <c r="B671" s="96" t="inlineStr">
        <is>
          <t>395290</t>
        </is>
      </c>
      <c r="C671" s="96" t="inlineStr">
        <is>
          <t>NH-Amundi자산운용</t>
        </is>
      </c>
      <c r="D671" s="97" t="n">
        <v>4750</v>
      </c>
      <c r="E671" s="97" t="n">
        <v>30162500000</v>
      </c>
      <c r="F671" s="97" t="n">
        <v>392668975</v>
      </c>
      <c r="G671" s="98" t="n">
        <v>0.004500000000000001</v>
      </c>
      <c r="H671" s="98" t="n">
        <v>0.4264</v>
      </c>
      <c r="I671" s="98" t="n">
        <v>0.004099999999999999</v>
      </c>
      <c r="J671" s="98" t="n"/>
      <c r="K671" s="97" t="n">
        <v>3</v>
      </c>
      <c r="L671" s="99" t="inlineStr">
        <is>
          <t>20240429</t>
        </is>
      </c>
      <c r="M671" s="96" t="inlineStr">
        <is>
          <t>제외</t>
        </is>
      </c>
      <c r="N671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71" s="96" t="inlineStr">
        <is>
          <t>FnGuide K-POP &amp; 미디어 지수</t>
        </is>
      </c>
      <c r="P671" s="96" t="inlineStr">
        <is>
          <t>일반</t>
        </is>
      </c>
      <c r="Q671" s="96" t="inlineStr">
        <is>
          <t>주식</t>
        </is>
      </c>
      <c r="R671" s="96" t="inlineStr">
        <is>
          <t>무분배</t>
        </is>
      </c>
      <c r="S671" s="97" t="n">
        <v>0</v>
      </c>
      <c r="T671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191종목 — 유동성·변동성·분배이력 기준을 통과한 종목</t>
        </is>
      </c>
    </row>
    <row r="26" ht="18" customHeight="1">
      <c r="B26" s="70" t="inlineStr">
        <is>
          <t xml:space="preserve">     · 기준 미달 399종목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78종목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2026-10-01T07:13:33Z</dcterms:created>
  <dcterms:modified xsi:type="dcterms:W3CDTF">2026-10-01T07:13:33Z</dcterms:modified>
</cp:coreProperties>
</file>