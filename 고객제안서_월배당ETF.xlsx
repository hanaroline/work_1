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제안서" sheetId="1" state="visible" r:id="rId1"/>
    <sheet name="ETF데이터" sheetId="2" state="visible" r:id="rId2"/>
    <sheet name="사용법" sheetId="3" state="visible" r:id="rId3"/>
  </sheets>
  <definedNames>
    <definedName name="채택종목">'ETF데이터'!$A$4:$A$14</definedName>
    <definedName name="_xlnm.Print_Titles" localSheetId="0">'제안서'!$1:$3</definedName>
    <definedName name="_xlnm.Print_Area" localSheetId="0">'제안서'!$A$1:$H$72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&quot;원&quot;"/>
    <numFmt numFmtId="165" formatCode="#,##0&quot;억원&quot;"/>
    <numFmt numFmtId="166" formatCode="#,##0&quot;주&quot;"/>
    <numFmt numFmtId="167" formatCode="0.000%"/>
  </numFmts>
  <fonts count="14">
    <font>
      <name val="Calibri"/>
      <family val="2"/>
      <color theme="1"/>
      <sz val="11"/>
      <scheme val="minor"/>
    </font>
    <font>
      <name val="Spoqa Han Sans Neo"/>
      <b val="1"/>
      <color rgb="00F58220"/>
      <sz val="10"/>
    </font>
    <font>
      <name val="Spoqa Han Sans Neo"/>
      <b val="1"/>
      <color rgb="001A1A1A"/>
      <sz val="10"/>
    </font>
    <font>
      <name val="Spoqa Han Sans Neo"/>
      <color rgb="001A1A1A"/>
      <sz val="10"/>
    </font>
    <font>
      <name val="Spoqa Han Sans Neo"/>
      <color rgb="006C6C6C"/>
      <sz val="10"/>
    </font>
    <font>
      <name val="Spoqa Han Sans Neo"/>
      <b val="1"/>
      <color rgb="00FFFFFF"/>
      <sz val="20"/>
    </font>
    <font>
      <name val="Spoqa Han Sans Neo"/>
      <color rgb="00FFFFFF"/>
      <sz val="10"/>
    </font>
    <font>
      <name val="Spoqa Han Sans Neo"/>
      <color rgb="006C6C6C"/>
      <sz val="9"/>
    </font>
    <font>
      <name val="Spoqa Han Sans Neo"/>
      <b val="1"/>
      <color rgb="001A1A1A"/>
      <sz val="13"/>
    </font>
    <font>
      <name val="Spoqa Han Sans Neo"/>
      <b val="1"/>
      <color rgb="000000FF"/>
      <sz val="10"/>
    </font>
    <font>
      <name val="Spoqa Han Sans Neo"/>
      <b val="1"/>
      <color rgb="001A1A1A"/>
      <sz val="11"/>
    </font>
    <font>
      <name val="Spoqa Han Sans Neo"/>
      <color rgb="001A1A1A"/>
      <sz val="9"/>
    </font>
    <font>
      <name val="Spoqa Han Sans Neo"/>
      <b val="1"/>
      <color rgb="00F58220"/>
      <sz val="16"/>
    </font>
    <font>
      <name val="Spoqa Han Sans Neo"/>
      <color rgb="001A1A1A"/>
      <sz val="11"/>
    </font>
  </fonts>
  <fills count="7">
    <fill>
      <patternFill/>
    </fill>
    <fill>
      <patternFill patternType="gray125"/>
    </fill>
    <fill>
      <patternFill patternType="solid">
        <fgColor rgb="00FAB072"/>
      </patternFill>
    </fill>
    <fill>
      <patternFill patternType="solid">
        <fgColor rgb="00F7F8FA"/>
      </patternFill>
    </fill>
    <fill>
      <patternFill patternType="solid">
        <fgColor rgb="00F58220"/>
      </patternFill>
    </fill>
    <fill>
      <patternFill patternType="solid">
        <fgColor rgb="00FFF7E6"/>
      </patternFill>
    </fill>
    <fill>
      <patternFill patternType="solid">
        <fgColor rgb="00D7D7D7"/>
      </patternFill>
    </fill>
  </fills>
  <borders count="3">
    <border>
      <left/>
      <right/>
      <top/>
      <bottom/>
      <diagonal/>
    </border>
    <border>
      <left style="thin">
        <color rgb="00CDCECB"/>
      </left>
      <right style="thin">
        <color rgb="00CDCECB"/>
      </right>
      <top style="thin">
        <color rgb="00CDCECB"/>
      </top>
      <bottom style="thin">
        <color rgb="00CDCECB"/>
      </bottom>
    </border>
    <border>
      <bottom style="thin">
        <color rgb="00F58220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5" fillId="4" borderId="0" applyAlignment="1" pivotButton="0" quotePrefix="0" xfId="0">
      <alignment vertical="center"/>
    </xf>
    <xf numFmtId="0" fontId="0" fillId="4" borderId="0" pivotButton="0" quotePrefix="0" xfId="0"/>
    <xf numFmtId="0" fontId="7" fillId="0" borderId="0" pivotButton="0" quotePrefix="0" xfId="0"/>
    <xf numFmtId="0" fontId="6" fillId="4" borderId="0" applyAlignment="1" pivotButton="0" quotePrefix="0" xfId="0">
      <alignment vertical="center"/>
    </xf>
    <xf numFmtId="0" fontId="0" fillId="0" borderId="2" pivotButton="0" quotePrefix="0" xfId="0"/>
    <xf numFmtId="0" fontId="8" fillId="0" borderId="0" pivotButton="0" quotePrefix="0" xfId="0"/>
    <xf numFmtId="0" fontId="2" fillId="0" borderId="0" applyAlignment="1" pivotButton="0" quotePrefix="0" xfId="0">
      <alignment vertical="center"/>
    </xf>
    <xf numFmtId="0" fontId="9" fillId="5" borderId="1" applyAlignment="1" pivotButton="0" quotePrefix="0" xfId="0">
      <alignment horizontal="left" vertical="center"/>
    </xf>
    <xf numFmtId="164" fontId="9" fillId="5" borderId="1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/>
    </xf>
    <xf numFmtId="10" fontId="9" fillId="5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right" vertical="center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64" fontId="10" fillId="6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167" fontId="3" fillId="0" borderId="1" applyAlignment="1" pivotButton="0" quotePrefix="0" xfId="0">
      <alignment horizontal="right" vertical="center"/>
    </xf>
    <xf numFmtId="0" fontId="2" fillId="2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right" vertical="center"/>
    </xf>
    <xf numFmtId="164" fontId="2" fillId="3" borderId="1" applyAlignment="1" pivotButton="0" quotePrefix="0" xfId="0">
      <alignment horizontal="right" vertical="center"/>
    </xf>
    <xf numFmtId="166" fontId="3" fillId="3" borderId="1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164" fontId="2" fillId="6" borderId="1" applyAlignment="1" pivotButton="0" quotePrefix="0" xfId="0">
      <alignment horizontal="right" vertical="center"/>
    </xf>
    <xf numFmtId="166" fontId="3" fillId="6" borderId="1" applyAlignment="1" pivotButton="0" quotePrefix="0" xfId="0">
      <alignment horizontal="right" vertical="center"/>
    </xf>
    <xf numFmtId="164" fontId="3" fillId="6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left" vertical="center"/>
    </xf>
    <xf numFmtId="10" fontId="3" fillId="3" borderId="1" applyAlignment="1" pivotButton="0" quotePrefix="0" xfId="0">
      <alignment horizontal="right" vertical="center"/>
    </xf>
    <xf numFmtId="167" fontId="3" fillId="3" borderId="1" applyAlignment="1" pivotButton="0" quotePrefix="0" xfId="0">
      <alignment horizontal="right" vertical="center"/>
    </xf>
    <xf numFmtId="0" fontId="11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1" fillId="0" borderId="0" pivotButton="0" quotePrefix="0" xfId="0"/>
    <xf numFmtId="0" fontId="3" fillId="0" borderId="1" pivotButton="0" quotePrefix="0" xfId="0"/>
    <xf numFmtId="3" fontId="3" fillId="0" borderId="1" applyAlignment="1" pivotButton="0" quotePrefix="0" xfId="0">
      <alignment horizontal="right"/>
    </xf>
    <xf numFmtId="10" fontId="3" fillId="0" borderId="1" applyAlignment="1" pivotButton="0" quotePrefix="0" xfId="0">
      <alignment horizontal="right"/>
    </xf>
    <xf numFmtId="0" fontId="4" fillId="3" borderId="1" pivotButton="0" quotePrefix="0" xfId="0"/>
    <xf numFmtId="3" fontId="4" fillId="3" borderId="1" applyAlignment="1" pivotButton="0" quotePrefix="0" xfId="0">
      <alignment horizontal="right"/>
    </xf>
    <xf numFmtId="10" fontId="4" fillId="3" borderId="1" applyAlignment="1" pivotButton="0" quotePrefix="0" xfId="0">
      <alignment horizontal="right"/>
    </xf>
    <xf numFmtId="0" fontId="12" fillId="0" borderId="0" pivotButton="0" quotePrefix="0" xfId="0"/>
    <xf numFmtId="0" fontId="13" fillId="0" borderId="0" pivotButton="0" quotePrefix="0" xfId="0"/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7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22" customWidth="1" min="3" max="3"/>
    <col width="17" customWidth="1" min="4" max="4"/>
    <col width="20" customWidth="1" min="5" max="5"/>
    <col width="18" customWidth="1" min="6" max="6"/>
    <col width="17" customWidth="1" min="7" max="7"/>
    <col width="15" customWidth="1" min="8" max="8"/>
    <col hidden="1" width="13" customWidth="1" min="10" max="10"/>
    <col hidden="1" width="13" customWidth="1" min="11" max="11"/>
  </cols>
  <sheetData>
    <row r="1" ht="44" customHeight="1">
      <c r="A1" s="1" t="inlineStr">
        <is>
          <t xml:space="preserve">   월배당 ETF 투자 제안서</t>
        </is>
      </c>
      <c r="B1" s="2" t="n"/>
      <c r="C1" s="2" t="n"/>
      <c r="D1" s="2" t="n"/>
      <c r="E1" s="2" t="n"/>
      <c r="F1" s="2" t="n"/>
      <c r="G1" s="2" t="n"/>
      <c r="H1" s="2" t="n"/>
      <c r="J1" s="3" t="inlineStr">
        <is>
          <t>계산 보조 (수정하지 마십시오)</t>
        </is>
      </c>
    </row>
    <row r="2" ht="20" customHeight="1">
      <c r="A2" s="4" t="inlineStr">
        <is>
          <t xml:space="preserve">   Covered Call Monthly Distribution ETF — 미래에셋증권</t>
        </is>
      </c>
      <c r="B2" s="2" t="n"/>
      <c r="C2" s="2" t="n"/>
      <c r="D2" s="2" t="n"/>
      <c r="E2" s="2" t="n"/>
      <c r="F2" s="2" t="n"/>
      <c r="G2" s="2" t="n"/>
      <c r="H2" s="2" t="n"/>
      <c r="J2" s="3" t="inlineStr">
        <is>
          <t>선택 종목 행</t>
        </is>
      </c>
      <c r="K2" s="3">
        <f>IFERROR(MATCH($C$9,'ETF데이터'!$A$4:$A$14,0),0)</f>
        <v/>
      </c>
    </row>
    <row r="3" ht="18" customHeight="1">
      <c r="A3" s="3" t="inlineStr">
        <is>
          <t xml:space="preserve">   자료: ETFCHECK · 기준일 2026-09-16 · 매월 1일 갱신</t>
        </is>
      </c>
    </row>
    <row r="5" ht="4" customHeight="1">
      <c r="A5" s="5" t="n"/>
      <c r="B5" s="5" t="n"/>
      <c r="C5" s="5" t="n"/>
      <c r="D5" s="5" t="n"/>
      <c r="E5" s="5" t="n"/>
      <c r="F5" s="5" t="n"/>
      <c r="G5" s="5" t="n"/>
      <c r="H5" s="5" t="n"/>
    </row>
    <row r="6" ht="24" customHeight="1">
      <c r="A6" s="6" t="inlineStr">
        <is>
          <t>1. 고객 정보 및 투자 조건</t>
        </is>
      </c>
    </row>
    <row r="7" ht="22" customHeight="1">
      <c r="B7" s="7" t="inlineStr">
        <is>
          <t>고객명</t>
        </is>
      </c>
      <c r="C7" s="8" t="inlineStr">
        <is>
          <t>홍길동</t>
        </is>
      </c>
    </row>
    <row r="8" ht="22" customHeight="1">
      <c r="B8" s="7" t="inlineStr">
        <is>
          <t>투자금액 (원)</t>
        </is>
      </c>
      <c r="C8" s="9" t="n">
        <v>100000000</v>
      </c>
    </row>
    <row r="9" ht="22" customHeight="1">
      <c r="B9" s="7" t="inlineStr">
        <is>
          <t>투자 ETF (선택)</t>
        </is>
      </c>
      <c r="C9" s="8" t="inlineStr">
        <is>
          <t>KODEX 미국배당커버드콜액티브</t>
        </is>
      </c>
      <c r="E9" s="10" t="inlineStr">
        <is>
          <t>◀ 목록에서 ETF 를 고르십시오</t>
        </is>
      </c>
    </row>
    <row r="10" ht="22" customHeight="1">
      <c r="B10" s="7" t="inlineStr">
        <is>
          <t>배당소득세율</t>
        </is>
      </c>
      <c r="C10" s="11" t="n">
        <v>0.154</v>
      </c>
      <c r="E10" s="10" t="inlineStr">
        <is>
          <t>국내 상장 ETF 분배금 기준 15.4% (지방소득세 포함)</t>
        </is>
      </c>
    </row>
    <row r="11" ht="22" customHeight="1">
      <c r="B11" s="7" t="inlineStr">
        <is>
          <t>제안일</t>
        </is>
      </c>
      <c r="C11" s="8" t="inlineStr">
        <is>
          <t>2026-09-16</t>
        </is>
      </c>
    </row>
    <row r="12" ht="4" customHeight="1">
      <c r="A12" s="5" t="n"/>
      <c r="B12" s="5" t="n"/>
      <c r="C12" s="5" t="n"/>
      <c r="D12" s="5" t="n"/>
      <c r="E12" s="5" t="n"/>
      <c r="F12" s="5" t="n"/>
      <c r="G12" s="5" t="n"/>
      <c r="H12" s="5" t="n"/>
    </row>
    <row r="13" ht="24" customHeight="1">
      <c r="A13" s="6" t="inlineStr">
        <is>
          <t>2. 선택 ETF 개요</t>
        </is>
      </c>
    </row>
    <row r="14" ht="20" customHeight="1">
      <c r="B14" s="7" t="inlineStr">
        <is>
          <t>종목코드</t>
        </is>
      </c>
      <c r="C14" s="12">
        <f>IF($K$2=0,"",INDEX('ETF데이터'!$B$4:$B$14,$K$2))</f>
        <v/>
      </c>
      <c r="E14" s="7" t="inlineStr">
        <is>
          <t>총보수 (연)</t>
        </is>
      </c>
      <c r="F14" s="13">
        <f>IF($K$2=0,0,INDEX('ETF데이터'!$G$4:$G$14,$K$2))</f>
        <v/>
      </c>
    </row>
    <row r="15" ht="20" customHeight="1">
      <c r="B15" s="7" t="inlineStr">
        <is>
          <t>운용사</t>
        </is>
      </c>
      <c r="C15" s="12">
        <f>IF($K$2=0,"",INDEX('ETF데이터'!$C$4:$C$14,$K$2))</f>
        <v/>
      </c>
      <c r="E15" s="7" t="inlineStr">
        <is>
          <t>변동성 (1년, 연환산)</t>
        </is>
      </c>
      <c r="F15" s="13">
        <f>IF($K$2=0,0,INDEX('ETF데이터'!$H$4:$H$14,$K$2))</f>
        <v/>
      </c>
    </row>
    <row r="16" ht="20" customHeight="1">
      <c r="B16" s="7" t="inlineStr">
        <is>
          <t>현재가</t>
        </is>
      </c>
      <c r="C16" s="14">
        <f>IF($K$2=0,0,INDEX('ETF데이터'!$D$4:$D$14,$K$2))</f>
        <v/>
      </c>
      <c r="E16" s="7" t="inlineStr">
        <is>
          <t>최근 월분배율</t>
        </is>
      </c>
      <c r="F16" s="13">
        <f>IF($K$2=0,0,INDEX('ETF데이터'!$I$4:$I$14,$K$2))</f>
        <v/>
      </c>
    </row>
    <row r="17" ht="20" customHeight="1">
      <c r="B17" s="7" t="inlineStr">
        <is>
          <t>순자산총액</t>
        </is>
      </c>
      <c r="C17" s="15">
        <f>IF($K$2=0,0,INDEX('ETF데이터'!$E$4:$E$14,$K$2)/100000000)</f>
        <v/>
      </c>
      <c r="E17" s="7" t="inlineStr">
        <is>
          <t>연환산 분배율 (최근 12개월)</t>
        </is>
      </c>
      <c r="F17" s="13">
        <f>IF($K$2=0,0,INDEX('ETF데이터'!$J$4:$J$14,$K$2))</f>
        <v/>
      </c>
    </row>
    <row r="18" ht="20" customHeight="1">
      <c r="B18" s="7" t="inlineStr">
        <is>
          <t>60일 평균거래대금</t>
        </is>
      </c>
      <c r="C18" s="15">
        <f>IF($K$2=0,0,INDEX('ETF데이터'!$F$4:$F$14,$K$2)/100000000)</f>
        <v/>
      </c>
      <c r="E18" s="7" t="inlineStr">
        <is>
          <t>기초지수</t>
        </is>
      </c>
      <c r="F18" s="12">
        <f>IF($K$2=0,"",INDEX('ETF데이터'!$O$4:$O$14,$K$2))</f>
        <v/>
      </c>
    </row>
    <row r="20" ht="4" customHeight="1">
      <c r="A20" s="5" t="n"/>
      <c r="B20" s="5" t="n"/>
      <c r="C20" s="5" t="n"/>
      <c r="D20" s="5" t="n"/>
      <c r="E20" s="5" t="n"/>
      <c r="F20" s="5" t="n"/>
      <c r="G20" s="5" t="n"/>
      <c r="H20" s="5" t="n"/>
    </row>
    <row r="21" ht="24" customHeight="1">
      <c r="A21" s="6" t="inlineStr">
        <is>
          <t>3. 예상 분배금 (투자금액 기준)</t>
        </is>
      </c>
    </row>
    <row r="22" ht="20" customHeight="1">
      <c r="B22" s="7" t="inlineStr">
        <is>
          <t>매수 가능 수량</t>
        </is>
      </c>
      <c r="C22" s="16">
        <f>IF($C$16=0,0,ROUNDDOWN($C$8/$C$16,0))</f>
        <v/>
      </c>
      <c r="E22" s="7" t="inlineStr">
        <is>
          <t>월 예상 분배금 (세전)</t>
        </is>
      </c>
      <c r="F22" s="17">
        <f>$C$23*$F$17/12</f>
        <v/>
      </c>
    </row>
    <row r="23" ht="20" customHeight="1">
      <c r="B23" s="7" t="inlineStr">
        <is>
          <t>실제 투자금액</t>
        </is>
      </c>
      <c r="C23" s="14">
        <f>$C$22*$C$16</f>
        <v/>
      </c>
      <c r="E23" s="7" t="inlineStr">
        <is>
          <t>월 예상 분배금 (세후)</t>
        </is>
      </c>
      <c r="F23" s="14">
        <f>$F$22*(1-$C$10)</f>
        <v/>
      </c>
    </row>
    <row r="24" ht="20" customHeight="1">
      <c r="B24" s="7" t="inlineStr">
        <is>
          <t>미투자 잔액</t>
        </is>
      </c>
      <c r="C24" s="14">
        <f>$C$8-$C$23</f>
        <v/>
      </c>
      <c r="E24" s="7" t="inlineStr">
        <is>
          <t>연 예상 분배금 (세전)</t>
        </is>
      </c>
      <c r="F24" s="14">
        <f>$C$23*$F$17</f>
        <v/>
      </c>
    </row>
    <row r="25">
      <c r="E25" s="7" t="inlineStr">
        <is>
          <t>연 예상 분배금 (세후)</t>
        </is>
      </c>
      <c r="F25" s="14">
        <f>$F$24*(1-$C$10)</f>
        <v/>
      </c>
    </row>
    <row r="26">
      <c r="E26" s="7" t="inlineStr">
        <is>
          <t>직전 월 실적 기준 (세전)</t>
        </is>
      </c>
      <c r="F26" s="18">
        <f>$C$23*$F$16</f>
        <v/>
      </c>
    </row>
    <row r="27" ht="20" customHeight="1">
      <c r="B27" s="7" t="inlineStr">
        <is>
          <t>월 수익률 (세전)</t>
        </is>
      </c>
      <c r="C27" s="19">
        <f>$F$17/12</f>
        <v/>
      </c>
      <c r="E27" s="7" t="inlineStr">
        <is>
          <t>연 수익률 (세전)</t>
        </is>
      </c>
      <c r="F27" s="13">
        <f>$F$17</f>
        <v/>
      </c>
    </row>
    <row r="28" ht="20" customHeight="1">
      <c r="B28" s="7" t="inlineStr">
        <is>
          <t>월 수익률 (세후)</t>
        </is>
      </c>
      <c r="C28" s="19">
        <f>$F$17/12*(1-$C$10)</f>
        <v/>
      </c>
      <c r="E28" s="7" t="inlineStr">
        <is>
          <t>연 수익률 (세후)</t>
        </is>
      </c>
      <c r="F28" s="13">
        <f>$F$17*(1-$C$10)</f>
        <v/>
      </c>
    </row>
    <row r="29">
      <c r="B29" s="10" t="inlineStr">
        <is>
          <t>연 수익률은 최근 12개월 실제 분배금 합계 ÷ 현재가입니다. 확정 수익률이 아니며 매월 달라집니다.</t>
        </is>
      </c>
    </row>
    <row r="31" ht="4" customHeight="1">
      <c r="A31" s="5" t="n"/>
      <c r="B31" s="5" t="n"/>
      <c r="C31" s="5" t="n"/>
      <c r="D31" s="5" t="n"/>
      <c r="E31" s="5" t="n"/>
      <c r="F31" s="5" t="n"/>
      <c r="G31" s="5" t="n"/>
      <c r="H31" s="5" t="n"/>
    </row>
    <row r="32" ht="24" customHeight="1">
      <c r="A32" s="6" t="inlineStr">
        <is>
          <t>4. 투자금액별 예상 분배금</t>
        </is>
      </c>
    </row>
    <row r="33" ht="30" customHeight="1">
      <c r="B33" s="20" t="inlineStr">
        <is>
          <t>투자금액</t>
        </is>
      </c>
      <c r="C33" s="20" t="inlineStr">
        <is>
          <t>매수 수량</t>
        </is>
      </c>
      <c r="D33" s="20" t="inlineStr">
        <is>
          <t>실투자금액</t>
        </is>
      </c>
      <c r="E33" s="20" t="inlineStr">
        <is>
          <t>월 분배금(세전)</t>
        </is>
      </c>
      <c r="F33" s="20" t="inlineStr">
        <is>
          <t>월 분배금(세후)</t>
        </is>
      </c>
      <c r="G33" s="20" t="inlineStr">
        <is>
          <t>연 분배금(세전)</t>
        </is>
      </c>
      <c r="H33" s="20" t="inlineStr">
        <is>
          <t>연 분배금(세후)</t>
        </is>
      </c>
    </row>
    <row r="34">
      <c r="B34" s="21" t="n">
        <v>10000000</v>
      </c>
      <c r="C34" s="16">
        <f>IF($C$16=0,0,ROUNDDOWN($B34/$C$16,0))</f>
        <v/>
      </c>
      <c r="D34" s="14">
        <f>$C34*$C$16</f>
        <v/>
      </c>
      <c r="E34" s="14">
        <f>$D34*$F$17/12</f>
        <v/>
      </c>
      <c r="F34" s="14">
        <f>$E34*(1-$C$10)</f>
        <v/>
      </c>
      <c r="G34" s="14">
        <f>$D34*$F$17</f>
        <v/>
      </c>
      <c r="H34" s="14">
        <f>$G34*(1-$C$10)</f>
        <v/>
      </c>
    </row>
    <row r="35">
      <c r="B35" s="22" t="n">
        <v>30000000</v>
      </c>
      <c r="C35" s="23">
        <f>IF($C$16=0,0,ROUNDDOWN($B35/$C$16,0))</f>
        <v/>
      </c>
      <c r="D35" s="24">
        <f>$C35*$C$16</f>
        <v/>
      </c>
      <c r="E35" s="24">
        <f>$D35*$F$17/12</f>
        <v/>
      </c>
      <c r="F35" s="24">
        <f>$E35*(1-$C$10)</f>
        <v/>
      </c>
      <c r="G35" s="24">
        <f>$D35*$F$17</f>
        <v/>
      </c>
      <c r="H35" s="24">
        <f>$G35*(1-$C$10)</f>
        <v/>
      </c>
    </row>
    <row r="36">
      <c r="B36" s="21" t="n">
        <v>50000000</v>
      </c>
      <c r="C36" s="16">
        <f>IF($C$16=0,0,ROUNDDOWN($B36/$C$16,0))</f>
        <v/>
      </c>
      <c r="D36" s="14">
        <f>$C36*$C$16</f>
        <v/>
      </c>
      <c r="E36" s="14">
        <f>$D36*$F$17/12</f>
        <v/>
      </c>
      <c r="F36" s="14">
        <f>$E36*(1-$C$10)</f>
        <v/>
      </c>
      <c r="G36" s="14">
        <f>$D36*$F$17</f>
        <v/>
      </c>
      <c r="H36" s="14">
        <f>$G36*(1-$C$10)</f>
        <v/>
      </c>
    </row>
    <row r="37">
      <c r="B37" s="25" t="n">
        <v>100000000</v>
      </c>
      <c r="C37" s="26">
        <f>IF($C$16=0,0,ROUNDDOWN($B37/$C$16,0))</f>
        <v/>
      </c>
      <c r="D37" s="27">
        <f>$C37*$C$16</f>
        <v/>
      </c>
      <c r="E37" s="27">
        <f>$D37*$F$17/12</f>
        <v/>
      </c>
      <c r="F37" s="27">
        <f>$E37*(1-$C$10)</f>
        <v/>
      </c>
      <c r="G37" s="27">
        <f>$D37*$F$17</f>
        <v/>
      </c>
      <c r="H37" s="27">
        <f>$G37*(1-$C$10)</f>
        <v/>
      </c>
    </row>
    <row r="38">
      <c r="B38" s="21" t="n">
        <v>200000000</v>
      </c>
      <c r="C38" s="16">
        <f>IF($C$16=0,0,ROUNDDOWN($B38/$C$16,0))</f>
        <v/>
      </c>
      <c r="D38" s="14">
        <f>$C38*$C$16</f>
        <v/>
      </c>
      <c r="E38" s="14">
        <f>$D38*$F$17/12</f>
        <v/>
      </c>
      <c r="F38" s="14">
        <f>$E38*(1-$C$10)</f>
        <v/>
      </c>
      <c r="G38" s="14">
        <f>$D38*$F$17</f>
        <v/>
      </c>
      <c r="H38" s="14">
        <f>$G38*(1-$C$10)</f>
        <v/>
      </c>
    </row>
    <row r="39">
      <c r="B39" s="22" t="n">
        <v>300000000</v>
      </c>
      <c r="C39" s="23">
        <f>IF($C$16=0,0,ROUNDDOWN($B39/$C$16,0))</f>
        <v/>
      </c>
      <c r="D39" s="24">
        <f>$C39*$C$16</f>
        <v/>
      </c>
      <c r="E39" s="24">
        <f>$D39*$F$17/12</f>
        <v/>
      </c>
      <c r="F39" s="24">
        <f>$E39*(1-$C$10)</f>
        <v/>
      </c>
      <c r="G39" s="24">
        <f>$D39*$F$17</f>
        <v/>
      </c>
      <c r="H39" s="24">
        <f>$G39*(1-$C$10)</f>
        <v/>
      </c>
    </row>
    <row r="40">
      <c r="B40" s="21" t="n">
        <v>500000000</v>
      </c>
      <c r="C40" s="16">
        <f>IF($C$16=0,0,ROUNDDOWN($B40/$C$16,0))</f>
        <v/>
      </c>
      <c r="D40" s="14">
        <f>$C40*$C$16</f>
        <v/>
      </c>
      <c r="E40" s="14">
        <f>$D40*$F$17/12</f>
        <v/>
      </c>
      <c r="F40" s="14">
        <f>$E40*(1-$C$10)</f>
        <v/>
      </c>
      <c r="G40" s="14">
        <f>$D40*$F$17</f>
        <v/>
      </c>
      <c r="H40" s="14">
        <f>$G40*(1-$C$10)</f>
        <v/>
      </c>
    </row>
    <row r="41">
      <c r="B41" s="22" t="n">
        <v>1000000000</v>
      </c>
      <c r="C41" s="23">
        <f>IF($C$16=0,0,ROUNDDOWN($B41/$C$16,0))</f>
        <v/>
      </c>
      <c r="D41" s="24">
        <f>$C41*$C$16</f>
        <v/>
      </c>
      <c r="E41" s="24">
        <f>$D41*$F$17/12</f>
        <v/>
      </c>
      <c r="F41" s="24">
        <f>$E41*(1-$C$10)</f>
        <v/>
      </c>
      <c r="G41" s="24">
        <f>$D41*$F$17</f>
        <v/>
      </c>
      <c r="H41" s="24">
        <f>$G41*(1-$C$10)</f>
        <v/>
      </c>
    </row>
    <row r="42">
      <c r="B42" s="10" t="inlineStr">
        <is>
          <t>※ 위 표는 2. 에서 고른 ETF 하나를 기준으로 합니다. ETF 를 바꾸면 표 전체가 함께 바뀝니다.</t>
        </is>
      </c>
    </row>
    <row r="44" ht="4" customHeight="1">
      <c r="A44" s="5" t="n"/>
      <c r="B44" s="5" t="n"/>
      <c r="C44" s="5" t="n"/>
      <c r="D44" s="5" t="n"/>
      <c r="E44" s="5" t="n"/>
      <c r="F44" s="5" t="n"/>
      <c r="G44" s="5" t="n"/>
      <c r="H44" s="5" t="n"/>
    </row>
    <row r="45" ht="24" customHeight="1">
      <c r="A45" s="6" t="inlineStr">
        <is>
          <t>5. 채택 ETF 비교 (1억원 투자 기준)</t>
        </is>
      </c>
    </row>
    <row r="46" ht="30" customHeight="1">
      <c r="B46" s="20" t="inlineStr">
        <is>
          <t>종목명</t>
        </is>
      </c>
      <c r="C46" s="20" t="inlineStr">
        <is>
          <t>현재가</t>
        </is>
      </c>
      <c r="D46" s="20" t="inlineStr">
        <is>
          <t>연 분배율</t>
        </is>
      </c>
      <c r="E46" s="20" t="inlineStr">
        <is>
          <t>월 분배율</t>
        </is>
      </c>
      <c r="F46" s="20" t="inlineStr">
        <is>
          <t>월 분배금(세전)</t>
        </is>
      </c>
      <c r="G46" s="20" t="inlineStr">
        <is>
          <t>월 분배금(세후)</t>
        </is>
      </c>
      <c r="H46" s="20" t="inlineStr">
        <is>
          <t>변동성(1년)</t>
        </is>
      </c>
    </row>
    <row r="47">
      <c r="B47" s="28">
        <f>'ETF데이터'!$A$4</f>
        <v/>
      </c>
      <c r="C47" s="14">
        <f>'ETF데이터'!$D$4</f>
        <v/>
      </c>
      <c r="D47" s="13">
        <f>'ETF데이터'!$J$4</f>
        <v/>
      </c>
      <c r="E47" s="19">
        <f>'ETF데이터'!$J$4/12</f>
        <v/>
      </c>
      <c r="F47" s="14">
        <f>IF($C47=0,0,ROUNDDOWN(100000000/$C47,0)*$C47*$D47/12)</f>
        <v/>
      </c>
      <c r="G47" s="14">
        <f>$F47*(1-$C$10)</f>
        <v/>
      </c>
      <c r="H47" s="13">
        <f>'ETF데이터'!$H$4</f>
        <v/>
      </c>
    </row>
    <row r="48">
      <c r="B48" s="29">
        <f>'ETF데이터'!$A$5</f>
        <v/>
      </c>
      <c r="C48" s="24">
        <f>'ETF데이터'!$D$5</f>
        <v/>
      </c>
      <c r="D48" s="30">
        <f>'ETF데이터'!$J$5</f>
        <v/>
      </c>
      <c r="E48" s="31">
        <f>'ETF데이터'!$J$5/12</f>
        <v/>
      </c>
      <c r="F48" s="24">
        <f>IF($C48=0,0,ROUNDDOWN(100000000/$C48,0)*$C48*$D48/12)</f>
        <v/>
      </c>
      <c r="G48" s="24">
        <f>$F48*(1-$C$10)</f>
        <v/>
      </c>
      <c r="H48" s="30">
        <f>'ETF데이터'!$H$5</f>
        <v/>
      </c>
    </row>
    <row r="49">
      <c r="B49" s="28">
        <f>'ETF데이터'!$A$6</f>
        <v/>
      </c>
      <c r="C49" s="14">
        <f>'ETF데이터'!$D$6</f>
        <v/>
      </c>
      <c r="D49" s="13">
        <f>'ETF데이터'!$J$6</f>
        <v/>
      </c>
      <c r="E49" s="19">
        <f>'ETF데이터'!$J$6/12</f>
        <v/>
      </c>
      <c r="F49" s="14">
        <f>IF($C49=0,0,ROUNDDOWN(100000000/$C49,0)*$C49*$D49/12)</f>
        <v/>
      </c>
      <c r="G49" s="14">
        <f>$F49*(1-$C$10)</f>
        <v/>
      </c>
      <c r="H49" s="13">
        <f>'ETF데이터'!$H$6</f>
        <v/>
      </c>
    </row>
    <row r="50">
      <c r="B50" s="29">
        <f>'ETF데이터'!$A$7</f>
        <v/>
      </c>
      <c r="C50" s="24">
        <f>'ETF데이터'!$D$7</f>
        <v/>
      </c>
      <c r="D50" s="30">
        <f>'ETF데이터'!$J$7</f>
        <v/>
      </c>
      <c r="E50" s="31">
        <f>'ETF데이터'!$J$7/12</f>
        <v/>
      </c>
      <c r="F50" s="24">
        <f>IF($C50=0,0,ROUNDDOWN(100000000/$C50,0)*$C50*$D50/12)</f>
        <v/>
      </c>
      <c r="G50" s="24">
        <f>$F50*(1-$C$10)</f>
        <v/>
      </c>
      <c r="H50" s="30">
        <f>'ETF데이터'!$H$7</f>
        <v/>
      </c>
    </row>
    <row r="51">
      <c r="B51" s="28">
        <f>'ETF데이터'!$A$8</f>
        <v/>
      </c>
      <c r="C51" s="14">
        <f>'ETF데이터'!$D$8</f>
        <v/>
      </c>
      <c r="D51" s="13">
        <f>'ETF데이터'!$J$8</f>
        <v/>
      </c>
      <c r="E51" s="19">
        <f>'ETF데이터'!$J$8/12</f>
        <v/>
      </c>
      <c r="F51" s="14">
        <f>IF($C51=0,0,ROUNDDOWN(100000000/$C51,0)*$C51*$D51/12)</f>
        <v/>
      </c>
      <c r="G51" s="14">
        <f>$F51*(1-$C$10)</f>
        <v/>
      </c>
      <c r="H51" s="13">
        <f>'ETF데이터'!$H$8</f>
        <v/>
      </c>
    </row>
    <row r="52">
      <c r="B52" s="29">
        <f>'ETF데이터'!$A$9</f>
        <v/>
      </c>
      <c r="C52" s="24">
        <f>'ETF데이터'!$D$9</f>
        <v/>
      </c>
      <c r="D52" s="30">
        <f>'ETF데이터'!$J$9</f>
        <v/>
      </c>
      <c r="E52" s="31">
        <f>'ETF데이터'!$J$9/12</f>
        <v/>
      </c>
      <c r="F52" s="24">
        <f>IF($C52=0,0,ROUNDDOWN(100000000/$C52,0)*$C52*$D52/12)</f>
        <v/>
      </c>
      <c r="G52" s="24">
        <f>$F52*(1-$C$10)</f>
        <v/>
      </c>
      <c r="H52" s="30">
        <f>'ETF데이터'!$H$9</f>
        <v/>
      </c>
    </row>
    <row r="53">
      <c r="B53" s="28">
        <f>'ETF데이터'!$A$10</f>
        <v/>
      </c>
      <c r="C53" s="14">
        <f>'ETF데이터'!$D$10</f>
        <v/>
      </c>
      <c r="D53" s="13">
        <f>'ETF데이터'!$J$10</f>
        <v/>
      </c>
      <c r="E53" s="19">
        <f>'ETF데이터'!$J$10/12</f>
        <v/>
      </c>
      <c r="F53" s="14">
        <f>IF($C53=0,0,ROUNDDOWN(100000000/$C53,0)*$C53*$D53/12)</f>
        <v/>
      </c>
      <c r="G53" s="14">
        <f>$F53*(1-$C$10)</f>
        <v/>
      </c>
      <c r="H53" s="13">
        <f>'ETF데이터'!$H$10</f>
        <v/>
      </c>
    </row>
    <row r="54">
      <c r="B54" s="29">
        <f>'ETF데이터'!$A$11</f>
        <v/>
      </c>
      <c r="C54" s="24">
        <f>'ETF데이터'!$D$11</f>
        <v/>
      </c>
      <c r="D54" s="30">
        <f>'ETF데이터'!$J$11</f>
        <v/>
      </c>
      <c r="E54" s="31">
        <f>'ETF데이터'!$J$11/12</f>
        <v/>
      </c>
      <c r="F54" s="24">
        <f>IF($C54=0,0,ROUNDDOWN(100000000/$C54,0)*$C54*$D54/12)</f>
        <v/>
      </c>
      <c r="G54" s="24">
        <f>$F54*(1-$C$10)</f>
        <v/>
      </c>
      <c r="H54" s="30">
        <f>'ETF데이터'!$H$11</f>
        <v/>
      </c>
    </row>
    <row r="55">
      <c r="B55" s="28">
        <f>'ETF데이터'!$A$12</f>
        <v/>
      </c>
      <c r="C55" s="14">
        <f>'ETF데이터'!$D$12</f>
        <v/>
      </c>
      <c r="D55" s="13">
        <f>'ETF데이터'!$J$12</f>
        <v/>
      </c>
      <c r="E55" s="19">
        <f>'ETF데이터'!$J$12/12</f>
        <v/>
      </c>
      <c r="F55" s="14">
        <f>IF($C55=0,0,ROUNDDOWN(100000000/$C55,0)*$C55*$D55/12)</f>
        <v/>
      </c>
      <c r="G55" s="14">
        <f>$F55*(1-$C$10)</f>
        <v/>
      </c>
      <c r="H55" s="13">
        <f>'ETF데이터'!$H$12</f>
        <v/>
      </c>
    </row>
    <row r="56">
      <c r="B56" s="29">
        <f>'ETF데이터'!$A$13</f>
        <v/>
      </c>
      <c r="C56" s="24">
        <f>'ETF데이터'!$D$13</f>
        <v/>
      </c>
      <c r="D56" s="30">
        <f>'ETF데이터'!$J$13</f>
        <v/>
      </c>
      <c r="E56" s="31">
        <f>'ETF데이터'!$J$13/12</f>
        <v/>
      </c>
      <c r="F56" s="24">
        <f>IF($C56=0,0,ROUNDDOWN(100000000/$C56,0)*$C56*$D56/12)</f>
        <v/>
      </c>
      <c r="G56" s="24">
        <f>$F56*(1-$C$10)</f>
        <v/>
      </c>
      <c r="H56" s="30">
        <f>'ETF데이터'!$H$13</f>
        <v/>
      </c>
    </row>
    <row r="57">
      <c r="B57" s="28">
        <f>'ETF데이터'!$A$14</f>
        <v/>
      </c>
      <c r="C57" s="14">
        <f>'ETF데이터'!$D$14</f>
        <v/>
      </c>
      <c r="D57" s="13">
        <f>'ETF데이터'!$J$14</f>
        <v/>
      </c>
      <c r="E57" s="19">
        <f>'ETF데이터'!$J$14/12</f>
        <v/>
      </c>
      <c r="F57" s="14">
        <f>IF($C57=0,0,ROUNDDOWN(100000000/$C57,0)*$C57*$D57/12)</f>
        <v/>
      </c>
      <c r="G57" s="14">
        <f>$F57*(1-$C$10)</f>
        <v/>
      </c>
      <c r="H57" s="13">
        <f>'ETF데이터'!$H$14</f>
        <v/>
      </c>
    </row>
    <row r="59">
      <c r="A59" s="10" t="inlineStr">
        <is>
          <t>※ 유동성·변동성 기준을 통과한 종목만 실었습니다. 제외 종목과 사유는 [ETF데이터] 장에 있습니다.</t>
        </is>
      </c>
    </row>
    <row r="61" ht="4" customHeight="1">
      <c r="A61" s="5" t="n"/>
      <c r="B61" s="5" t="n"/>
      <c r="C61" s="5" t="n"/>
      <c r="D61" s="5" t="n"/>
      <c r="E61" s="5" t="n"/>
      <c r="F61" s="5" t="n"/>
      <c r="G61" s="5" t="n"/>
      <c r="H61" s="5" t="n"/>
    </row>
    <row r="62" ht="24" customHeight="1">
      <c r="A62" s="6" t="inlineStr">
        <is>
          <t>6. 유의사항</t>
        </is>
      </c>
    </row>
    <row r="63" ht="17" customHeight="1">
      <c r="A63" s="32" t="inlineStr">
        <is>
          <t xml:space="preserve">  · 이 자료는 투자 권유가 아니라 참고 자료입니다. 최종 투자 판단과 그 결과는 투자자 본인에게 귀속됩니다.</t>
        </is>
      </c>
    </row>
    <row r="64" ht="17" customHeight="1">
      <c r="A64" s="32" t="inlineStr">
        <is>
          <t xml:space="preserve">  · ETF 는 예금자보호법의 보호를 받지 않으며, 원금 손실이 발생할 수 있습니다.</t>
        </is>
      </c>
    </row>
    <row r="65" ht="17" customHeight="1">
      <c r="A65" s="33" t="inlineStr">
        <is>
          <t xml:space="preserve">  · 분배금은 확정되지 않습니다. 커버드콜 ETF 의 분배 재원은 옵션 프리미엄이므로, 시장 변동성이 낮아지면 분배금도 함께 줄어듭니다.</t>
        </is>
      </c>
    </row>
    <row r="66" ht="17" customHeight="1">
      <c r="A66" s="33" t="inlineStr">
        <is>
          <t xml:space="preserve">  · 분배금의 일부가 원금에서 지급될 수 있습니다(자본 환급). 이 경우 기준가가 그만큼 낮아집니다.</t>
        </is>
      </c>
    </row>
    <row r="67" ht="17" customHeight="1">
      <c r="A67" s="33" t="inlineStr">
        <is>
          <t xml:space="preserve">  · 표시된 연 분배율은 최근 12개월 실제 분배금 합계를 현재가로 나눈 값(사후 수치)이며, 앞으로의 수익률을 보장하지 않습니다.</t>
        </is>
      </c>
    </row>
    <row r="68" ht="17" customHeight="1">
      <c r="A68" s="33" t="inlineStr">
        <is>
          <t xml:space="preserve">  · 세율은 국내 상장 ETF 분배금 기준 15.4%(배당소득세 14% + 지방소득세 1.4%)를 적용했습니다. 금융소득종합과세 대상자는 실효세율이 달라집니다.</t>
        </is>
      </c>
    </row>
    <row r="69" ht="17" customHeight="1">
      <c r="A69" s="33" t="inlineStr">
        <is>
          <t xml:space="preserve">  · 매매수수료·거래세·환율 변동은 반영하지 않았습니다. 총보수는 분배율에 이미 반영되어 있습니다(기준가 차감).</t>
        </is>
      </c>
    </row>
    <row r="70" ht="17" customHeight="1">
      <c r="A70" s="33" t="inlineStr">
        <is>
          <t xml:space="preserve">  · 수량은 정수 매수를 가정해 내림 처리했습니다. 남는 금액은 '미투자 잔액'에 표시됩니다.</t>
        </is>
      </c>
    </row>
    <row r="72">
      <c r="A72" s="3" t="inlineStr">
        <is>
          <t xml:space="preserve">  자료 출처: ETFCHECK (www.etfcheck.co.kr) · 수집 시각 2026-09-16T07:02:43.909Z · 채택 기준: 순자산 300억원 이상, 60일 평균거래대금 5억원 이상, 연환산 변동성 35% 이하, 분배 이력 12개월 이상</t>
        </is>
      </c>
    </row>
  </sheetData>
  <mergeCells count="12">
    <mergeCell ref="A70:H70"/>
    <mergeCell ref="A67:H67"/>
    <mergeCell ref="A3:H3"/>
    <mergeCell ref="A69:H69"/>
    <mergeCell ref="A65:H65"/>
    <mergeCell ref="A2:H2"/>
    <mergeCell ref="A63:H63"/>
    <mergeCell ref="A64:H64"/>
    <mergeCell ref="A72:H72"/>
    <mergeCell ref="A68:H68"/>
    <mergeCell ref="A66:H66"/>
    <mergeCell ref="A1:H1"/>
  </mergeCells>
  <dataValidations count="1">
    <dataValidation sqref="C9" showDropDown="0" showInputMessage="0" showErrorMessage="0" allowBlank="0" errorTitle="선택할 수 없는 종목" error="목록에 있는 ETF 중에서 고르십시오. 유동성·변동성 기준을 통과한 종목만 담겨 있습니다." promptTitle="ETF 선택" prompt="▼ 를 눌러 ETF 를 고르십시오." type="list">
      <formula1>=채택종목</formula1>
    </dataValidation>
  </dataValidations>
  <printOptions horizontalCentered="1"/>
  <pageMargins left="0.4" right="0.4" top="0.5" bottom="0.5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1" customWidth="1" min="2" max="2"/>
    <col width="18" customWidth="1" min="3" max="3"/>
    <col width="12" customWidth="1" min="4" max="4"/>
    <col width="17" customWidth="1" min="5" max="5"/>
    <col width="19" customWidth="1" min="6" max="6"/>
    <col width="11" customWidth="1" min="7" max="7"/>
    <col width="13" customWidth="1" min="8" max="8"/>
    <col width="13" customWidth="1" min="9" max="9"/>
    <col width="13" customWidth="1" min="10" max="10"/>
    <col width="13" customWidth="1" min="11" max="11"/>
    <col width="15" customWidth="1" min="12" max="12"/>
    <col width="8" customWidth="1" min="13" max="13"/>
    <col width="30" customWidth="1" min="14" max="14"/>
    <col width="34" customWidth="1" min="15" max="15"/>
  </cols>
  <sheetData>
    <row r="1">
      <c r="A1" s="34" t="inlineStr">
        <is>
          <t>ETFCHECK 수집 원본 — 이 장의 값은 손으로 고치지 마십시오. 매월 1일 수집기가 덮어씁니다.</t>
        </is>
      </c>
    </row>
    <row r="3" ht="30" customHeight="1">
      <c r="A3" s="20" t="inlineStr">
        <is>
          <t>종목명</t>
        </is>
      </c>
      <c r="B3" s="20" t="inlineStr">
        <is>
          <t>종목코드</t>
        </is>
      </c>
      <c r="C3" s="20" t="inlineStr">
        <is>
          <t>운용사</t>
        </is>
      </c>
      <c r="D3" s="20" t="inlineStr">
        <is>
          <t>현재가</t>
        </is>
      </c>
      <c r="E3" s="20" t="inlineStr">
        <is>
          <t>순자산총액</t>
        </is>
      </c>
      <c r="F3" s="20" t="inlineStr">
        <is>
          <t>60일 평균거래대금</t>
        </is>
      </c>
      <c r="G3" s="20" t="inlineStr">
        <is>
          <t>총보수(연)</t>
        </is>
      </c>
      <c r="H3" s="20" t="inlineStr">
        <is>
          <t>변동성(1년)</t>
        </is>
      </c>
      <c r="I3" s="20" t="inlineStr">
        <is>
          <t>최근 월분배율</t>
        </is>
      </c>
      <c r="J3" s="20" t="inlineStr">
        <is>
          <t>연환산 분배율</t>
        </is>
      </c>
      <c r="K3" s="20" t="inlineStr">
        <is>
          <t>분배이력(개월)</t>
        </is>
      </c>
      <c r="L3" s="20" t="inlineStr">
        <is>
          <t>최근 분배기준일</t>
        </is>
      </c>
      <c r="M3" s="20" t="inlineStr">
        <is>
          <t>채택</t>
        </is>
      </c>
      <c r="N3" s="20" t="inlineStr">
        <is>
          <t>제외 사유</t>
        </is>
      </c>
      <c r="O3" s="20" t="inlineStr">
        <is>
          <t>기초지수</t>
        </is>
      </c>
    </row>
    <row r="4">
      <c r="A4" s="35" t="inlineStr">
        <is>
          <t>ACE 미국빅테크7+데일리타겟커버드콜(합성)</t>
        </is>
      </c>
      <c r="B4" s="35" t="inlineStr">
        <is>
          <t>480020</t>
        </is>
      </c>
      <c r="C4" s="35" t="inlineStr">
        <is>
          <t>한국투신운용(ETF)</t>
        </is>
      </c>
      <c r="D4" s="36" t="n">
        <v>9955</v>
      </c>
      <c r="E4" s="36" t="n">
        <v>177926000000</v>
      </c>
      <c r="F4" s="36" t="n">
        <v>2887978198</v>
      </c>
      <c r="G4" s="37" t="n">
        <v>0.005384</v>
      </c>
      <c r="H4" s="37" t="n">
        <v>0.2139</v>
      </c>
      <c r="I4" s="37" t="n">
        <v>0.0297</v>
      </c>
      <c r="J4" s="37" t="n">
        <v>0.266198</v>
      </c>
      <c r="K4" s="36" t="n">
        <v>29</v>
      </c>
      <c r="L4" s="35" t="inlineStr">
        <is>
          <t>20260914</t>
        </is>
      </c>
      <c r="M4" s="35" t="inlineStr">
        <is>
          <t>채택</t>
        </is>
      </c>
      <c r="N4" s="35" t="inlineStr"/>
      <c r="O4" s="35" t="inlineStr">
        <is>
          <t>Bloomberg US Big Tech Top 7 Plus Premium(QQQ) Decrement 15%</t>
        </is>
      </c>
    </row>
    <row r="5">
      <c r="A5" s="35" t="inlineStr">
        <is>
          <t>PLUS 고배당주위클리커버드콜</t>
        </is>
      </c>
      <c r="B5" s="35" t="inlineStr">
        <is>
          <t>489030</t>
        </is>
      </c>
      <c r="C5" s="35" t="inlineStr">
        <is>
          <t>한화자산운용</t>
        </is>
      </c>
      <c r="D5" s="36" t="n">
        <v>6455</v>
      </c>
      <c r="E5" s="36" t="n">
        <v>302036000000</v>
      </c>
      <c r="F5" s="36" t="n">
        <v>4313861174</v>
      </c>
      <c r="G5" s="37" t="n">
        <v>0.008243</v>
      </c>
      <c r="H5" s="37" t="n">
        <v>0.307</v>
      </c>
      <c r="I5" s="37" t="n">
        <v>0.0148</v>
      </c>
      <c r="J5" s="37" t="n">
        <v>0.235167</v>
      </c>
      <c r="K5" s="36" t="n">
        <v>25</v>
      </c>
      <c r="L5" s="35" t="inlineStr">
        <is>
          <t>20260828</t>
        </is>
      </c>
      <c r="M5" s="35" t="inlineStr">
        <is>
          <t>채택</t>
        </is>
      </c>
      <c r="N5" s="35" t="inlineStr"/>
      <c r="O5" s="35" t="inlineStr">
        <is>
          <t>코스피 고배당 위클리 콜매도 ATM 지수</t>
        </is>
      </c>
    </row>
    <row r="6">
      <c r="A6" s="35" t="inlineStr">
        <is>
          <t>ACE 미국500데일리타겟커버드콜(합성)</t>
        </is>
      </c>
      <c r="B6" s="35" t="inlineStr">
        <is>
          <t>480030</t>
        </is>
      </c>
      <c r="C6" s="35" t="inlineStr">
        <is>
          <t>한국투신운용(ETF)</t>
        </is>
      </c>
      <c r="D6" s="36" t="n">
        <v>9540</v>
      </c>
      <c r="E6" s="36" t="n">
        <v>160188000000</v>
      </c>
      <c r="F6" s="36" t="n">
        <v>1356019751</v>
      </c>
      <c r="G6" s="37" t="n">
        <v>0.005391</v>
      </c>
      <c r="H6" s="37" t="n">
        <v>0.1503</v>
      </c>
      <c r="I6" s="37" t="n">
        <v>0.0199</v>
      </c>
      <c r="J6" s="37" t="n">
        <v>0.203669</v>
      </c>
      <c r="K6" s="36" t="n">
        <v>29</v>
      </c>
      <c r="L6" s="35" t="inlineStr">
        <is>
          <t>20260914</t>
        </is>
      </c>
      <c r="M6" s="35" t="inlineStr">
        <is>
          <t>채택</t>
        </is>
      </c>
      <c r="N6" s="35" t="inlineStr"/>
      <c r="O6" s="35" t="inlineStr">
        <is>
          <t>Bloomberg US 500 Large Cap Premium(SPY) Decrement 15% Distri</t>
        </is>
      </c>
    </row>
    <row r="7">
      <c r="A7" s="35" t="inlineStr">
        <is>
          <t>PLUS 고배당주위클리고정커버드콜</t>
        </is>
      </c>
      <c r="B7" s="35" t="inlineStr">
        <is>
          <t>0018C0</t>
        </is>
      </c>
      <c r="C7" s="35" t="inlineStr">
        <is>
          <t>한화자산운용</t>
        </is>
      </c>
      <c r="D7" s="36" t="n">
        <v>10565</v>
      </c>
      <c r="E7" s="36" t="n">
        <v>80294000000</v>
      </c>
      <c r="F7" s="36" t="n">
        <v>1038488732</v>
      </c>
      <c r="G7" s="37" t="n">
        <v>0.005958</v>
      </c>
      <c r="H7" s="37" t="n">
        <v>0.2668</v>
      </c>
      <c r="I7" s="37" t="n">
        <v>0.0124</v>
      </c>
      <c r="J7" s="37" t="n">
        <v>0.169143</v>
      </c>
      <c r="K7" s="36" t="n">
        <v>19</v>
      </c>
      <c r="L7" s="35" t="inlineStr">
        <is>
          <t>20260914</t>
        </is>
      </c>
      <c r="M7" s="35" t="inlineStr">
        <is>
          <t>채택</t>
        </is>
      </c>
      <c r="N7" s="35" t="inlineStr"/>
      <c r="O7" s="35" t="inlineStr">
        <is>
          <t>코스피 고배당 위클리 고정 커버드콜 지수</t>
        </is>
      </c>
    </row>
    <row r="8">
      <c r="A8" s="35" t="inlineStr">
        <is>
          <t>KODEX 테슬라커버드콜채권혼합액티브</t>
        </is>
      </c>
      <c r="B8" s="35" t="inlineStr">
        <is>
          <t>475080</t>
        </is>
      </c>
      <c r="C8" s="35" t="inlineStr">
        <is>
          <t>삼성자산운용(ETF)</t>
        </is>
      </c>
      <c r="D8" s="36" t="n">
        <v>7835</v>
      </c>
      <c r="E8" s="36" t="n">
        <v>285585750000</v>
      </c>
      <c r="F8" s="36" t="n">
        <v>1460412580</v>
      </c>
      <c r="G8" s="37" t="n">
        <v>0.005215</v>
      </c>
      <c r="H8" s="37" t="n">
        <v>0.1243</v>
      </c>
      <c r="I8" s="37" t="n">
        <v>0.0125</v>
      </c>
      <c r="J8" s="37" t="n">
        <v>0.164135</v>
      </c>
      <c r="K8" s="36" t="n">
        <v>31</v>
      </c>
      <c r="L8" s="35" t="inlineStr">
        <is>
          <t>20260828</t>
        </is>
      </c>
      <c r="M8" s="35" t="inlineStr">
        <is>
          <t>채택</t>
        </is>
      </c>
      <c r="N8" s="35" t="inlineStr"/>
      <c r="O8" s="35" t="inlineStr">
        <is>
          <t>KEDI Tesla Income Premium Balanced Index</t>
        </is>
      </c>
    </row>
    <row r="9">
      <c r="A9" s="35" t="inlineStr">
        <is>
          <t>KODEX 미국S&amp;P500데일리커버드콜OTM</t>
        </is>
      </c>
      <c r="B9" s="35" t="inlineStr">
        <is>
          <t>0005A0</t>
        </is>
      </c>
      <c r="C9" s="35" t="inlineStr">
        <is>
          <t>삼성자산운용(ETF)</t>
        </is>
      </c>
      <c r="D9" s="36" t="n">
        <v>9220</v>
      </c>
      <c r="E9" s="36" t="n">
        <v>198445000000</v>
      </c>
      <c r="F9" s="36" t="n">
        <v>1984616936</v>
      </c>
      <c r="G9" s="37" t="n">
        <v>0.005639999999999999</v>
      </c>
      <c r="H9" s="37" t="n">
        <v>0.1474</v>
      </c>
      <c r="I9" s="37" t="n">
        <v>0.0124</v>
      </c>
      <c r="J9" s="37" t="n">
        <v>0.160629</v>
      </c>
      <c r="K9" s="36" t="n">
        <v>20</v>
      </c>
      <c r="L9" s="35" t="inlineStr">
        <is>
          <t>20260828</t>
        </is>
      </c>
      <c r="M9" s="35" t="inlineStr">
        <is>
          <t>채택</t>
        </is>
      </c>
      <c r="N9" s="35" t="inlineStr"/>
      <c r="O9" s="35" t="inlineStr">
        <is>
          <t>S&amp;P500 Covered Call 1% OTM Daily Index(TR)</t>
        </is>
      </c>
    </row>
    <row r="10">
      <c r="A10" s="35" t="inlineStr">
        <is>
          <t>KODEX 미국AI테크TOP10타겟커버드콜</t>
        </is>
      </c>
      <c r="B10" s="35" t="inlineStr">
        <is>
          <t>483280</t>
        </is>
      </c>
      <c r="C10" s="35" t="inlineStr">
        <is>
          <t>삼성자산운용(ETF)</t>
        </is>
      </c>
      <c r="D10" s="36" t="n">
        <v>11535</v>
      </c>
      <c r="E10" s="36" t="n">
        <v>452736000000</v>
      </c>
      <c r="F10" s="36" t="n">
        <v>2935918498</v>
      </c>
      <c r="G10" s="37" t="n">
        <v>0.005830999999999999</v>
      </c>
      <c r="H10" s="37" t="n">
        <v>0.2452</v>
      </c>
      <c r="I10" s="37" t="n">
        <v>0.0123</v>
      </c>
      <c r="J10" s="37" t="n">
        <v>0.159515</v>
      </c>
      <c r="K10" s="36" t="n">
        <v>27</v>
      </c>
      <c r="L10" s="35" t="inlineStr">
        <is>
          <t>20260828</t>
        </is>
      </c>
      <c r="M10" s="35" t="inlineStr">
        <is>
          <t>채택</t>
        </is>
      </c>
      <c r="N10" s="35" t="inlineStr"/>
      <c r="O10" s="35" t="inlineStr">
        <is>
          <t>KEDI US AI Tech Top 10+15% Premium Index</t>
        </is>
      </c>
    </row>
    <row r="11">
      <c r="A11" s="35" t="inlineStr">
        <is>
          <t>KODEX 금융고배당TOP10타겟위클리커버드콜</t>
        </is>
      </c>
      <c r="B11" s="35" t="inlineStr">
        <is>
          <t>498410</t>
        </is>
      </c>
      <c r="C11" s="35" t="inlineStr">
        <is>
          <t>삼성자산운용(ETF)</t>
        </is>
      </c>
      <c r="D11" s="36" t="n">
        <v>11935</v>
      </c>
      <c r="E11" s="36" t="n">
        <v>837760000000</v>
      </c>
      <c r="F11" s="36" t="n">
        <v>23026137251</v>
      </c>
      <c r="G11" s="37" t="n">
        <v>0.006697</v>
      </c>
      <c r="H11" s="37" t="n">
        <v>0.3275</v>
      </c>
      <c r="I11" s="37" t="n">
        <v>0.0121</v>
      </c>
      <c r="J11" s="37" t="n">
        <v>0.157687</v>
      </c>
      <c r="K11" s="36" t="n">
        <v>20</v>
      </c>
      <c r="L11" s="35" t="inlineStr">
        <is>
          <t>20260828</t>
        </is>
      </c>
      <c r="M11" s="35" t="inlineStr">
        <is>
          <t>채택</t>
        </is>
      </c>
      <c r="N11" s="35" t="inlineStr"/>
      <c r="O11" s="35" t="inlineStr">
        <is>
          <t>코스피 200 금융 고배당 TOP 10 타겟 15% 분배 위클리 커버드콜</t>
        </is>
      </c>
    </row>
    <row r="12">
      <c r="A12" s="35" t="inlineStr">
        <is>
          <t>KODEX 미국30년국채타겟커버드콜(합성 H)</t>
        </is>
      </c>
      <c r="B12" s="35" t="inlineStr">
        <is>
          <t>481060</t>
        </is>
      </c>
      <c r="C12" s="35" t="inlineStr">
        <is>
          <t>삼성자산운용(ETF)</t>
        </is>
      </c>
      <c r="D12" s="36" t="n">
        <v>7250</v>
      </c>
      <c r="E12" s="36" t="n">
        <v>740576850000</v>
      </c>
      <c r="F12" s="36" t="n">
        <v>4099200456</v>
      </c>
      <c r="G12" s="37" t="n">
        <v>0.003244</v>
      </c>
      <c r="H12" s="37" t="n">
        <v>0.0842</v>
      </c>
      <c r="I12" s="37" t="n">
        <v>0.0101</v>
      </c>
      <c r="J12" s="37" t="n">
        <v>0.132966</v>
      </c>
      <c r="K12" s="36" t="n">
        <v>29</v>
      </c>
      <c r="L12" s="35" t="inlineStr">
        <is>
          <t>20260914</t>
        </is>
      </c>
      <c r="M12" s="35" t="inlineStr">
        <is>
          <t>채택</t>
        </is>
      </c>
      <c r="N12" s="35" t="inlineStr"/>
      <c r="O12" s="35" t="inlineStr">
        <is>
          <t>Bloomberg U.S. Treasury 20+ Year + 12% Premium (TLT) Covered</t>
        </is>
      </c>
    </row>
    <row r="13">
      <c r="A13" s="35" t="inlineStr">
        <is>
          <t>KODEX 미국배당다우존스타겟커버드콜</t>
        </is>
      </c>
      <c r="B13" s="35" t="inlineStr">
        <is>
          <t>483290</t>
        </is>
      </c>
      <c r="C13" s="35" t="inlineStr">
        <is>
          <t>삼성자산운용(ETF)</t>
        </is>
      </c>
      <c r="D13" s="36" t="n">
        <v>10220</v>
      </c>
      <c r="E13" s="36" t="n">
        <v>177828000000</v>
      </c>
      <c r="F13" s="36" t="n">
        <v>2279533322</v>
      </c>
      <c r="G13" s="37" t="n">
        <v>0.005798</v>
      </c>
      <c r="H13" s="37" t="n">
        <v>0.1572</v>
      </c>
      <c r="I13" s="37" t="n">
        <v>0.0098</v>
      </c>
      <c r="J13" s="37" t="n">
        <v>0.121918</v>
      </c>
      <c r="K13" s="36" t="n">
        <v>27</v>
      </c>
      <c r="L13" s="35" t="inlineStr">
        <is>
          <t>20260828</t>
        </is>
      </c>
      <c r="M13" s="35" t="inlineStr">
        <is>
          <t>채택</t>
        </is>
      </c>
      <c r="N13" s="35" t="inlineStr"/>
      <c r="O13" s="35" t="inlineStr">
        <is>
          <t>Dow Jones US Dividend 100 10% Premium Covered Call Index(PR)</t>
        </is>
      </c>
    </row>
    <row r="14">
      <c r="A14" s="35" t="inlineStr">
        <is>
          <t>KODEX 미국배당커버드콜액티브</t>
        </is>
      </c>
      <c r="B14" s="35" t="inlineStr">
        <is>
          <t>441640</t>
        </is>
      </c>
      <c r="C14" s="35" t="inlineStr">
        <is>
          <t>삼성자산운용(ETF)</t>
        </is>
      </c>
      <c r="D14" s="36" t="n">
        <v>12340</v>
      </c>
      <c r="E14" s="36" t="n">
        <v>1703610000000</v>
      </c>
      <c r="F14" s="36" t="n">
        <v>12419181539</v>
      </c>
      <c r="G14" s="37" t="n">
        <v>0.003631</v>
      </c>
      <c r="H14" s="37" t="n">
        <v>0.1234</v>
      </c>
      <c r="I14" s="37" t="n">
        <v>0.007800000000000001</v>
      </c>
      <c r="J14" s="37" t="n">
        <v>0.09594799999999999</v>
      </c>
      <c r="K14" s="36" t="n">
        <v>48</v>
      </c>
      <c r="L14" s="35" t="inlineStr">
        <is>
          <t>20260914</t>
        </is>
      </c>
      <c r="M14" s="35" t="inlineStr">
        <is>
          <t>채택</t>
        </is>
      </c>
      <c r="N14" s="35" t="inlineStr"/>
      <c r="O14" s="35" t="inlineStr">
        <is>
          <t>S&amp;P 500</t>
        </is>
      </c>
    </row>
    <row r="15">
      <c r="A15" s="38" t="inlineStr">
        <is>
          <t>ACE 고배당주Plus커버드콜액티브</t>
        </is>
      </c>
      <c r="B15" s="38" t="inlineStr">
        <is>
          <t>0199C0</t>
        </is>
      </c>
      <c r="C15" s="38" t="inlineStr">
        <is>
          <t>한국투신운용(ETF)</t>
        </is>
      </c>
      <c r="D15" s="39" t="n">
        <v>9245</v>
      </c>
      <c r="E15" s="39" t="n">
        <v>138075000000</v>
      </c>
      <c r="F15" s="39" t="n">
        <v>6530265279</v>
      </c>
      <c r="G15" s="40" t="n">
        <v>0.004522</v>
      </c>
      <c r="H15" s="40" t="n">
        <v>0.3598</v>
      </c>
      <c r="I15" s="40" t="n">
        <v>0.0179</v>
      </c>
      <c r="J15" s="40" t="n"/>
      <c r="K15" s="39" t="n">
        <v>3</v>
      </c>
      <c r="L15" s="38" t="inlineStr">
        <is>
          <t>20260828</t>
        </is>
      </c>
      <c r="M15" s="38" t="inlineStr">
        <is>
          <t>제외</t>
        </is>
      </c>
      <c r="N15" s="38" t="inlineStr">
        <is>
          <t>변동성 36.0%(74거래일 기준, 기준 35% 초과), 분배 이력 3개월(기준 12개월 미만), 연 분배율 산출 불가(12회 분배 이력 없음)</t>
        </is>
      </c>
      <c r="O15" s="38" t="inlineStr">
        <is>
          <t>KRX-Akros 고배당주 20 위클리 고정 30% 커버드콜 지수</t>
        </is>
      </c>
    </row>
    <row r="16">
      <c r="A16" s="38" t="inlineStr">
        <is>
          <t>ACE 미국반도체데일리타겟커버드콜(합성)</t>
        </is>
      </c>
      <c r="B16" s="38" t="inlineStr">
        <is>
          <t>480040</t>
        </is>
      </c>
      <c r="C16" s="38" t="inlineStr">
        <is>
          <t>한국투신운용(ETF)</t>
        </is>
      </c>
      <c r="D16" s="39" t="n">
        <v>13340</v>
      </c>
      <c r="E16" s="39" t="n">
        <v>181220000000</v>
      </c>
      <c r="F16" s="39" t="n">
        <v>3495970337</v>
      </c>
      <c r="G16" s="40" t="n">
        <v>0.005406999999999999</v>
      </c>
      <c r="H16" s="40" t="n">
        <v>0.4411</v>
      </c>
      <c r="I16" s="40" t="n">
        <v>0.0303</v>
      </c>
      <c r="J16" s="40" t="n">
        <v>0.261019</v>
      </c>
      <c r="K16" s="39" t="n">
        <v>29</v>
      </c>
      <c r="L16" s="38" t="inlineStr">
        <is>
          <t>20260914</t>
        </is>
      </c>
      <c r="M16" s="38" t="inlineStr">
        <is>
          <t>제외</t>
        </is>
      </c>
      <c r="N16" s="38" t="inlineStr">
        <is>
          <t>변동성 44.1%(1년 기준, 기준 35% 초과)</t>
        </is>
      </c>
      <c r="O16" s="38" t="inlineStr">
        <is>
          <t>Bloomberg US Listed Semiconductor Premium(QQQ) Decrement 15%</t>
        </is>
      </c>
    </row>
    <row r="17">
      <c r="A17" s="38" t="inlineStr">
        <is>
          <t>ACE 미국배당퀄리티+커버드콜액티브</t>
        </is>
      </c>
      <c r="B17" s="38" t="inlineStr">
        <is>
          <t>0049M0</t>
        </is>
      </c>
      <c r="C17" s="38" t="inlineStr">
        <is>
          <t>한국투신운용(ETF)</t>
        </is>
      </c>
      <c r="D17" s="39" t="n">
        <v>11000</v>
      </c>
      <c r="E17" s="39" t="n">
        <v>78029000000</v>
      </c>
      <c r="F17" s="39" t="n">
        <v>380480872</v>
      </c>
      <c r="G17" s="40" t="n">
        <v>0.005323</v>
      </c>
      <c r="H17" s="40" t="n">
        <v>0.1288</v>
      </c>
      <c r="I17" s="40" t="n">
        <v>0.006</v>
      </c>
      <c r="J17" s="40" t="n">
        <v>0.075727</v>
      </c>
      <c r="K17" s="39" t="n">
        <v>15</v>
      </c>
      <c r="L17" s="38" t="inlineStr">
        <is>
          <t>20260828</t>
        </is>
      </c>
      <c r="M17" s="38" t="inlineStr">
        <is>
          <t>제외</t>
        </is>
      </c>
      <c r="N17" s="38" t="inlineStr">
        <is>
          <t>60일 거래대금 3.8억(기준 5억 미만)</t>
        </is>
      </c>
      <c r="O17" s="38" t="inlineStr">
        <is>
          <t>Bloomberg WisdomTree U.S. Quality Dividend &amp; B500 Premium De</t>
        </is>
      </c>
    </row>
    <row r="18">
      <c r="A18" s="38" t="inlineStr">
        <is>
          <t>FOCUS AI반도체위클리고정커버드콜</t>
        </is>
      </c>
      <c r="B18" s="38" t="inlineStr">
        <is>
          <t>0176P0</t>
        </is>
      </c>
      <c r="C18" s="38" t="inlineStr">
        <is>
          <t>브이아이자산운용</t>
        </is>
      </c>
      <c r="D18" s="39" t="n">
        <v>12930</v>
      </c>
      <c r="E18" s="39" t="n">
        <v>7020750000</v>
      </c>
      <c r="F18" s="39" t="n">
        <v>169157715</v>
      </c>
      <c r="G18" s="40" t="n">
        <v>0.003711</v>
      </c>
      <c r="H18" s="40" t="n">
        <v>0.8009000000000001</v>
      </c>
      <c r="I18" s="40" t="n">
        <v>0.0143</v>
      </c>
      <c r="J18" s="40" t="n"/>
      <c r="K18" s="39" t="n">
        <v>5</v>
      </c>
      <c r="L18" s="38" t="inlineStr">
        <is>
          <t>20260828</t>
        </is>
      </c>
      <c r="M18" s="38" t="inlineStr">
        <is>
          <t>제외</t>
        </is>
      </c>
      <c r="N18" s="38" t="inlineStr">
        <is>
          <t>순자산 70억(기준 300억 미만), 60일 거래대금 1.7억(기준 5억 미만), 변동성 80.1%(111거래일 기준, 기준 35% 초과), 분배 이력 5개월(기준 12개월 미만), 연 분배율 산출 불가(12회 분배 이력 없음)</t>
        </is>
      </c>
      <c r="O18" s="38" t="inlineStr">
        <is>
          <t>AI 반도체 위클리 고정 30% 커버드콜 지수</t>
        </is>
      </c>
    </row>
    <row r="19">
      <c r="A19" s="38" t="inlineStr">
        <is>
          <t>FOCUS 알리바바미국채커버드콜혼합</t>
        </is>
      </c>
      <c r="B19" s="38" t="inlineStr">
        <is>
          <t>0073X0</t>
        </is>
      </c>
      <c r="C19" s="38" t="inlineStr">
        <is>
          <t>브이아이자산운용</t>
        </is>
      </c>
      <c r="D19" s="39" t="n">
        <v>8725</v>
      </c>
      <c r="E19" s="39" t="n">
        <v>4793250000</v>
      </c>
      <c r="F19" s="39" t="n">
        <v>30857524</v>
      </c>
      <c r="G19" s="40" t="n">
        <v>0.01601</v>
      </c>
      <c r="H19" s="40" t="n">
        <v>0.165</v>
      </c>
      <c r="I19" s="40" t="n">
        <v>0.0091</v>
      </c>
      <c r="J19" s="40" t="n">
        <v>0.147278</v>
      </c>
      <c r="K19" s="39" t="n">
        <v>14</v>
      </c>
      <c r="L19" s="38" t="inlineStr">
        <is>
          <t>20260828</t>
        </is>
      </c>
      <c r="M19" s="38" t="inlineStr">
        <is>
          <t>제외</t>
        </is>
      </c>
      <c r="N19" s="38" t="inlineStr">
        <is>
          <t>순자산 48억(기준 300억 미만), 60일 거래대금 0.3억(기준 5억 미만)</t>
        </is>
      </c>
      <c r="O19" s="38" t="inlineStr">
        <is>
          <t>KEDI 알리바바 미국채커버드콜혼합지수(TR)</t>
        </is>
      </c>
    </row>
    <row r="20">
      <c r="A20" s="38" t="inlineStr">
        <is>
          <t>KIWOOM 코스닥150커버드콜액티브</t>
        </is>
      </c>
      <c r="B20" s="38" t="inlineStr">
        <is>
          <t>0198A0</t>
        </is>
      </c>
      <c r="C20" s="38" t="inlineStr">
        <is>
          <t>키움투자자산운용</t>
        </is>
      </c>
      <c r="D20" s="39" t="n">
        <v>8485</v>
      </c>
      <c r="E20" s="39" t="n">
        <v>73645500000</v>
      </c>
      <c r="F20" s="39" t="n">
        <v>4958084161</v>
      </c>
      <c r="G20" s="40" t="n">
        <v>0.006657</v>
      </c>
      <c r="H20" s="40" t="n"/>
      <c r="I20" s="40" t="n">
        <v>0.0243</v>
      </c>
      <c r="J20" s="40" t="n"/>
      <c r="K20" s="39" t="n">
        <v>2</v>
      </c>
      <c r="L20" s="38" t="inlineStr">
        <is>
          <t>20260828</t>
        </is>
      </c>
      <c r="M20" s="38" t="inlineStr">
        <is>
          <t>제외</t>
        </is>
      </c>
      <c r="N20" s="38" t="inlineStr">
        <is>
          <t>변동성 산출 불가(시세 55일치뿐), 분배 이력 2개월(기준 12개월 미만), 연 분배율 산출 불가(12회 분배 이력 없음)</t>
        </is>
      </c>
      <c r="O20" s="38" t="inlineStr">
        <is>
          <t>코스닥 150 위클리 고정 30% 커버드콜 지수</t>
        </is>
      </c>
    </row>
    <row r="21">
      <c r="A21" s="38" t="inlineStr">
        <is>
          <t>KODEX 200커버드콜액티브</t>
        </is>
      </c>
      <c r="B21" s="38" t="inlineStr">
        <is>
          <t>0219E0</t>
        </is>
      </c>
      <c r="C21" s="38" t="inlineStr">
        <is>
          <t>삼성자산운용(ETF)</t>
        </is>
      </c>
      <c r="D21" s="39" t="n">
        <v>8225</v>
      </c>
      <c r="E21" s="39" t="n">
        <v>730027500000</v>
      </c>
      <c r="F21" s="39" t="n">
        <v>46573768045</v>
      </c>
      <c r="G21" s="40" t="n">
        <v>0.005278000000000001</v>
      </c>
      <c r="H21" s="40" t="n"/>
      <c r="I21" s="40" t="n">
        <v>0.0193</v>
      </c>
      <c r="J21" s="40" t="n"/>
      <c r="K21" s="39" t="n">
        <v>2</v>
      </c>
      <c r="L21" s="38" t="inlineStr">
        <is>
          <t>20260828</t>
        </is>
      </c>
      <c r="M21" s="38" t="inlineStr">
        <is>
          <t>제외</t>
        </is>
      </c>
      <c r="N21" s="38" t="inlineStr">
        <is>
          <t>변동성 산출 불가(시세 45일치뿐), 분배 이력 2개월(기준 12개월 미만), 연 분배율 산출 불가(12회 분배 이력 없음)</t>
        </is>
      </c>
      <c r="O21" s="38" t="inlineStr">
        <is>
          <t>코스피 200 커버드콜 5% OTM</t>
        </is>
      </c>
    </row>
    <row r="22">
      <c r="A22" s="38" t="inlineStr">
        <is>
          <t>KODEX 200타겟위클리커버드콜</t>
        </is>
      </c>
      <c r="B22" s="38" t="inlineStr">
        <is>
          <t>498400</t>
        </is>
      </c>
      <c r="C22" s="38" t="inlineStr">
        <is>
          <t>삼성자산운용(ETF)</t>
        </is>
      </c>
      <c r="D22" s="39" t="n">
        <v>19820</v>
      </c>
      <c r="E22" s="39" t="n">
        <v>5772998000000</v>
      </c>
      <c r="F22" s="39" t="n">
        <v>176948781501</v>
      </c>
      <c r="G22" s="40" t="n">
        <v>0.005095</v>
      </c>
      <c r="H22" s="40" t="n">
        <v>0.5656</v>
      </c>
      <c r="I22" s="40" t="n">
        <v>0.0145</v>
      </c>
      <c r="J22" s="40" t="n">
        <v>0.157719</v>
      </c>
      <c r="K22" s="39" t="n">
        <v>21</v>
      </c>
      <c r="L22" s="38" t="inlineStr">
        <is>
          <t>20260914</t>
        </is>
      </c>
      <c r="M22" s="38" t="inlineStr">
        <is>
          <t>제외</t>
        </is>
      </c>
      <c r="N22" s="38" t="inlineStr">
        <is>
          <t>변동성 56.6%(1년 기준, 기준 35% 초과)</t>
        </is>
      </c>
      <c r="O22" s="38" t="inlineStr">
        <is>
          <t>코스피 200 타겟 15% 위클리 커버드콜 지수</t>
        </is>
      </c>
    </row>
    <row r="23">
      <c r="A23" s="38" t="inlineStr">
        <is>
          <t>KODEX 미국S&amp;P500변동성확대시커버드콜</t>
        </is>
      </c>
      <c r="B23" s="38" t="inlineStr">
        <is>
          <t>0089C0</t>
        </is>
      </c>
      <c r="C23" s="38" t="inlineStr">
        <is>
          <t>삼성자산운용(ETF)</t>
        </is>
      </c>
      <c r="D23" s="39" t="n">
        <v>11170</v>
      </c>
      <c r="E23" s="39" t="n">
        <v>42446000000</v>
      </c>
      <c r="F23" s="39" t="n">
        <v>369289199</v>
      </c>
      <c r="G23" s="40" t="n">
        <v>0.006338</v>
      </c>
      <c r="H23" s="40" t="n">
        <v>0.1398</v>
      </c>
      <c r="I23" s="40" t="n">
        <v>0.0009</v>
      </c>
      <c r="J23" s="40" t="n">
        <v>0.022292</v>
      </c>
      <c r="K23" s="39" t="n">
        <v>12</v>
      </c>
      <c r="L23" s="38" t="inlineStr">
        <is>
          <t>20260828</t>
        </is>
      </c>
      <c r="M23" s="38" t="inlineStr">
        <is>
          <t>제외</t>
        </is>
      </c>
      <c r="N23" s="38" t="inlineStr">
        <is>
          <t>60일 거래대금 3.7억(기준 5억 미만)</t>
        </is>
      </c>
      <c r="O23" s="38" t="inlineStr">
        <is>
          <t>Cboe S&amp;P 500 Volatility Contingent Daily Covered Call Index</t>
        </is>
      </c>
    </row>
    <row r="24">
      <c r="A24" s="38" t="inlineStr">
        <is>
          <t>KODEX 미국나스닥100데일리커버드콜OTM</t>
        </is>
      </c>
      <c r="B24" s="38" t="inlineStr">
        <is>
          <t>494300</t>
        </is>
      </c>
      <c r="C24" s="38" t="inlineStr">
        <is>
          <t>삼성자산운용(ETF)</t>
        </is>
      </c>
      <c r="D24" s="39" t="n"/>
      <c r="E24" s="39" t="n"/>
      <c r="F24" s="39" t="n"/>
      <c r="G24" s="40" t="n"/>
      <c r="H24" s="40" t="n"/>
      <c r="I24" s="40" t="n"/>
      <c r="J24" s="40" t="n"/>
      <c r="K24" s="39" t="n"/>
      <c r="L24" s="38" t="n"/>
      <c r="M24" s="38" t="inlineStr">
        <is>
          <t>제외</t>
        </is>
      </c>
      <c r="N24" s="38" t="inlineStr">
        <is>
          <t>수집 실패(세 번 다시 물었으나 답이 오지 않음: HTTP 0)</t>
        </is>
      </c>
      <c r="O24" s="38" t="inlineStr"/>
    </row>
    <row r="25">
      <c r="A25" s="38" t="inlineStr">
        <is>
          <t>KODEX 미국성장커버드콜액티브</t>
        </is>
      </c>
      <c r="B25" s="38" t="inlineStr">
        <is>
          <t>0144L0</t>
        </is>
      </c>
      <c r="C25" s="38" t="inlineStr">
        <is>
          <t>삼성자산운용(ETF)</t>
        </is>
      </c>
      <c r="D25" s="39" t="n">
        <v>9305</v>
      </c>
      <c r="E25" s="39" t="n">
        <v>339632500000</v>
      </c>
      <c r="F25" s="39" t="n">
        <v>2522959781</v>
      </c>
      <c r="G25" s="40" t="n">
        <v>0.006395</v>
      </c>
      <c r="H25" s="40" t="n">
        <v>0.1816</v>
      </c>
      <c r="I25" s="40" t="n">
        <v>0.009899999999999999</v>
      </c>
      <c r="J25" s="40" t="n"/>
      <c r="K25" s="39" t="n">
        <v>8</v>
      </c>
      <c r="L25" s="38" t="inlineStr">
        <is>
          <t>20260828</t>
        </is>
      </c>
      <c r="M25" s="38" t="inlineStr">
        <is>
          <t>제외</t>
        </is>
      </c>
      <c r="N25" s="38" t="inlineStr">
        <is>
          <t>분배 이력 8개월(기준 12개월 미만), 연 분배율 산출 불가(12회 분배 이력 없음)</t>
        </is>
      </c>
      <c r="O25" s="38" t="inlineStr">
        <is>
          <t>나스닥 100</t>
        </is>
      </c>
    </row>
    <row r="26">
      <c r="A26" s="38" t="inlineStr">
        <is>
          <t>KODEX 반도체타겟위클리커버드콜</t>
        </is>
      </c>
      <c r="B26" s="38" t="inlineStr">
        <is>
          <t>0190G0</t>
        </is>
      </c>
      <c r="C26" s="38" t="inlineStr">
        <is>
          <t>삼성자산운용(ETF)</t>
        </is>
      </c>
      <c r="D26" s="39" t="n">
        <v>8895</v>
      </c>
      <c r="E26" s="39" t="n">
        <v>170033000000</v>
      </c>
      <c r="F26" s="39" t="n">
        <v>8928852417</v>
      </c>
      <c r="G26" s="40" t="n">
        <v>0.006131</v>
      </c>
      <c r="H26" s="40" t="n">
        <v>0.8591</v>
      </c>
      <c r="I26" s="40" t="n">
        <v>0.0074</v>
      </c>
      <c r="J26" s="40" t="n"/>
      <c r="K26" s="39" t="n">
        <v>4</v>
      </c>
      <c r="L26" s="38" t="inlineStr">
        <is>
          <t>20260828</t>
        </is>
      </c>
      <c r="M26" s="38" t="inlineStr">
        <is>
          <t>제외</t>
        </is>
      </c>
      <c r="N26" s="38" t="inlineStr">
        <is>
          <t>변동성 85.9%(88거래일 기준, 기준 35% 초과), 분배 이력 4개월(기준 12개월 미만), 연 분배율 산출 불가(12회 분배 이력 없음)</t>
        </is>
      </c>
      <c r="O26" s="38" t="inlineStr">
        <is>
          <t>KRX 반도체 타겟 9% 분배 위클리 커버드콜 지수</t>
        </is>
      </c>
    </row>
    <row r="27">
      <c r="A27" s="38" t="inlineStr">
        <is>
          <t>PLUS 200위클리커버드콜채권혼합</t>
        </is>
      </c>
      <c r="B27" s="38" t="inlineStr">
        <is>
          <t>0203D0</t>
        </is>
      </c>
      <c r="C27" s="38" t="inlineStr">
        <is>
          <t>한화자산운용</t>
        </is>
      </c>
      <c r="D27" s="39" t="n">
        <v>8840</v>
      </c>
      <c r="E27" s="39" t="n">
        <v>10578000000</v>
      </c>
      <c r="F27" s="39" t="n">
        <v>274234137</v>
      </c>
      <c r="G27" s="40" t="n">
        <v>0.004914</v>
      </c>
      <c r="H27" s="40" t="n">
        <v>0.381</v>
      </c>
      <c r="I27" s="40" t="n">
        <v>0.006999999999999999</v>
      </c>
      <c r="J27" s="40" t="n"/>
      <c r="K27" s="39" t="n">
        <v>3</v>
      </c>
      <c r="L27" s="38" t="inlineStr">
        <is>
          <t>20260828</t>
        </is>
      </c>
      <c r="M27" s="38" t="inlineStr">
        <is>
          <t>제외</t>
        </is>
      </c>
      <c r="N27" s="38" t="inlineStr">
        <is>
          <t>순자산 106억(기준 300억 미만), 60일 거래대금 2.7억(기준 5억 미만), 변동성 38.1%(74거래일 기준, 기준 35% 초과), 분배 이력 3개월(기준 12개월 미만), 연 분배율 산출 불가(12회 분배 이력 없음)</t>
        </is>
      </c>
      <c r="O27" s="38" t="inlineStr">
        <is>
          <t>코스피 200 KTB 혼합 위클리 고정 10% 커버드콜 지수</t>
        </is>
      </c>
    </row>
    <row r="28">
      <c r="A28" s="38" t="inlineStr">
        <is>
          <t>PLUS 200커버드콜액티브</t>
        </is>
      </c>
      <c r="B28" s="38" t="inlineStr">
        <is>
          <t>0210E0</t>
        </is>
      </c>
      <c r="C28" s="38" t="inlineStr">
        <is>
          <t>한화자산운용</t>
        </is>
      </c>
      <c r="D28" s="39" t="n">
        <v>7180</v>
      </c>
      <c r="E28" s="39" t="n">
        <v>67210000000</v>
      </c>
      <c r="F28" s="39" t="n">
        <v>3122456313</v>
      </c>
      <c r="G28" s="40" t="n">
        <v>0.006020999999999999</v>
      </c>
      <c r="H28" s="40" t="n"/>
      <c r="I28" s="40" t="n">
        <v>0.0194</v>
      </c>
      <c r="J28" s="40" t="n"/>
      <c r="K28" s="39" t="n">
        <v>2</v>
      </c>
      <c r="L28" s="38" t="inlineStr">
        <is>
          <t>20260828</t>
        </is>
      </c>
      <c r="M28" s="38" t="inlineStr">
        <is>
          <t>제외</t>
        </is>
      </c>
      <c r="N28" s="38" t="inlineStr">
        <is>
          <t>변동성 산출 불가(시세 60일치뿐), 분배 이력 2개월(기준 12개월 미만), 연 분배율 산출 불가(12회 분배 이력 없음)</t>
        </is>
      </c>
      <c r="O28" s="38" t="inlineStr">
        <is>
          <t>코스피 200 위클리 고정 30% 커버드콜 지수</t>
        </is>
      </c>
    </row>
    <row r="29">
      <c r="A29" s="38" t="inlineStr">
        <is>
          <t>PLUS 미국배당증가성장주데일리커버드콜</t>
        </is>
      </c>
      <c r="B29" s="38" t="inlineStr">
        <is>
          <t>494420</t>
        </is>
      </c>
      <c r="C29" s="38" t="inlineStr">
        <is>
          <t>한화자산운용</t>
        </is>
      </c>
      <c r="D29" s="39" t="n">
        <v>8655</v>
      </c>
      <c r="E29" s="39" t="n">
        <v>15534000000</v>
      </c>
      <c r="F29" s="39" t="n">
        <v>115395757</v>
      </c>
      <c r="G29" s="40" t="n">
        <v>0.007707</v>
      </c>
      <c r="H29" s="40" t="n">
        <v>0.1439</v>
      </c>
      <c r="I29" s="40" t="n">
        <v>0.0119</v>
      </c>
      <c r="J29" s="40" t="n">
        <v>0.149509</v>
      </c>
      <c r="K29" s="39" t="n">
        <v>23</v>
      </c>
      <c r="L29" s="38" t="inlineStr">
        <is>
          <t>20260914</t>
        </is>
      </c>
      <c r="M29" s="38" t="inlineStr">
        <is>
          <t>제외</t>
        </is>
      </c>
      <c r="N29" s="38" t="inlineStr">
        <is>
          <t>순자산 155억(기준 300억 미만), 60일 거래대금 1.2억(기준 5억 미만)</t>
        </is>
      </c>
      <c r="O29" s="38" t="inlineStr">
        <is>
          <t>Bloomberg U.S. Dividend Growth Partial Covered Call Index</t>
        </is>
      </c>
    </row>
    <row r="30">
      <c r="A30" s="38" t="inlineStr">
        <is>
          <t>PLUS 차이나항셍테크위클리타겟커버드콜</t>
        </is>
      </c>
      <c r="B30" s="38" t="inlineStr">
        <is>
          <t>0128D0</t>
        </is>
      </c>
      <c r="C30" s="38" t="inlineStr">
        <is>
          <t>한화자산운용</t>
        </is>
      </c>
      <c r="D30" s="39" t="n">
        <v>6465</v>
      </c>
      <c r="E30" s="39" t="n">
        <v>4525500000</v>
      </c>
      <c r="F30" s="39" t="n">
        <v>30068517</v>
      </c>
      <c r="G30" s="40" t="n">
        <v>0.01153</v>
      </c>
      <c r="H30" s="40" t="n">
        <v>0.2723</v>
      </c>
      <c r="I30" s="40" t="n">
        <v>0.0125</v>
      </c>
      <c r="J30" s="40" t="n"/>
      <c r="K30" s="39" t="n">
        <v>9</v>
      </c>
      <c r="L30" s="38" t="inlineStr">
        <is>
          <t>20260828</t>
        </is>
      </c>
      <c r="M30" s="38" t="inlineStr">
        <is>
          <t>제외</t>
        </is>
      </c>
      <c r="N30" s="38" t="inlineStr">
        <is>
          <t>순자산 45억(기준 300억 미만), 60일 거래대금 0.3억(기준 5억 미만), 분배 이력 9개월(기준 12개월 미만), 연 분배율 산출 불가(12회 분배 이력 없음)</t>
        </is>
      </c>
      <c r="O30" s="38" t="inlineStr">
        <is>
          <t>HSTECH 15% Target Premium Weekly Covered Call Index</t>
        </is>
      </c>
    </row>
    <row r="31">
      <c r="A31" s="38" t="inlineStr">
        <is>
          <t>PLUS 테슬라위클리커버드콜채권혼합</t>
        </is>
      </c>
      <c r="B31" s="38" t="inlineStr">
        <is>
          <t>0132K0</t>
        </is>
      </c>
      <c r="C31" s="38" t="inlineStr">
        <is>
          <t>한화자산운용</t>
        </is>
      </c>
      <c r="D31" s="39" t="n">
        <v>7840</v>
      </c>
      <c r="E31" s="39" t="n">
        <v>108584000000</v>
      </c>
      <c r="F31" s="39" t="n">
        <v>1319803252</v>
      </c>
      <c r="G31" s="40" t="n">
        <v>0.006500000000000001</v>
      </c>
      <c r="H31" s="40" t="n">
        <v>0.1302</v>
      </c>
      <c r="I31" s="40" t="n">
        <v>0.02</v>
      </c>
      <c r="J31" s="40" t="n"/>
      <c r="K31" s="39" t="n">
        <v>10</v>
      </c>
      <c r="L31" s="38" t="inlineStr">
        <is>
          <t>20260914</t>
        </is>
      </c>
      <c r="M31" s="38" t="inlineStr">
        <is>
          <t>제외</t>
        </is>
      </c>
      <c r="N31" s="38" t="inlineStr">
        <is>
          <t>분배 이력 10개월(기준 12개월 미만), 연 분배율 산출 불가(12회 분배 이력 없음)</t>
        </is>
      </c>
      <c r="O31" s="38" t="inlineStr">
        <is>
          <t>Akros Tesla Weekly Covered Call Treasury Balanced Index</t>
        </is>
      </c>
    </row>
    <row r="32">
      <c r="A32" s="38" t="inlineStr">
        <is>
          <t>RISE 200고배당커버드콜ATM</t>
        </is>
      </c>
      <c r="B32" s="38" t="inlineStr">
        <is>
          <t>290080</t>
        </is>
      </c>
      <c r="C32" s="38" t="inlineStr">
        <is>
          <t>KB자산운용</t>
        </is>
      </c>
      <c r="D32" s="39" t="n">
        <v>7420</v>
      </c>
      <c r="E32" s="39" t="n">
        <v>12614000000</v>
      </c>
      <c r="F32" s="39" t="n">
        <v>169365638</v>
      </c>
      <c r="G32" s="40" t="n">
        <v>0.00636</v>
      </c>
      <c r="H32" s="40" t="n">
        <v>0.3097</v>
      </c>
      <c r="I32" s="40" t="n">
        <v>0.008100000000000001</v>
      </c>
      <c r="J32" s="40" t="n">
        <v>0.106739</v>
      </c>
      <c r="K32" s="39" t="n">
        <v>49</v>
      </c>
      <c r="L32" s="38" t="inlineStr">
        <is>
          <t>20260828</t>
        </is>
      </c>
      <c r="M32" s="38" t="inlineStr">
        <is>
          <t>제외</t>
        </is>
      </c>
      <c r="N32" s="38" t="inlineStr">
        <is>
          <t>순자산 126억(기준 300억 미만), 60일 거래대금 1.7억(기준 5억 미만)</t>
        </is>
      </c>
      <c r="O32" s="38" t="inlineStr">
        <is>
          <t>코스피 200 고배당 커버드콜 ATM</t>
        </is>
      </c>
    </row>
    <row r="33">
      <c r="A33" s="38" t="inlineStr">
        <is>
          <t>RISE 200위클리커버드콜</t>
        </is>
      </c>
      <c r="B33" s="38" t="inlineStr">
        <is>
          <t>475720</t>
        </is>
      </c>
      <c r="C33" s="38" t="inlineStr">
        <is>
          <t>KB자산운용</t>
        </is>
      </c>
      <c r="D33" s="39" t="n"/>
      <c r="E33" s="39" t="n">
        <v>825597500000</v>
      </c>
      <c r="F33" s="39" t="n">
        <v>12948681823</v>
      </c>
      <c r="G33" s="40" t="n">
        <v>0.006305</v>
      </c>
      <c r="H33" s="40" t="n">
        <v>0.4328</v>
      </c>
      <c r="I33" s="40" t="n">
        <v>0.0185</v>
      </c>
      <c r="J33" s="40" t="n"/>
      <c r="K33" s="39" t="n">
        <v>30</v>
      </c>
      <c r="L33" s="38" t="inlineStr">
        <is>
          <t>20260828</t>
        </is>
      </c>
      <c r="M33" s="38" t="inlineStr">
        <is>
          <t>제외</t>
        </is>
      </c>
      <c r="N33" s="38" t="inlineStr">
        <is>
          <t>현재가 없음, 변동성 43.3%(1년 기준, 기준 35% 초과), 연 분배율 산출 불가(12회 분배 이력 없음)</t>
        </is>
      </c>
      <c r="O33" s="38" t="inlineStr">
        <is>
          <t>코스피 200 위클리 커버드콜 ATM 지수</t>
        </is>
      </c>
    </row>
    <row r="34">
      <c r="A34" s="38" t="inlineStr">
        <is>
          <t>RISE 미국30년국채커버드콜(합성)</t>
        </is>
      </c>
      <c r="B34" s="38" t="inlineStr">
        <is>
          <t>472830</t>
        </is>
      </c>
      <c r="C34" s="38" t="inlineStr">
        <is>
          <t>KB자산운용</t>
        </is>
      </c>
      <c r="D34" s="39" t="n"/>
      <c r="E34" s="39" t="n">
        <v>42735000000</v>
      </c>
      <c r="F34" s="39" t="n">
        <v>286796708</v>
      </c>
      <c r="G34" s="40" t="n">
        <v>0.003419</v>
      </c>
      <c r="H34" s="40" t="n">
        <v>0.1409</v>
      </c>
      <c r="I34" s="40" t="n">
        <v>0.0067</v>
      </c>
      <c r="J34" s="40" t="n"/>
      <c r="K34" s="39" t="n">
        <v>32</v>
      </c>
      <c r="L34" s="38" t="inlineStr">
        <is>
          <t>20260828</t>
        </is>
      </c>
      <c r="M34" s="38" t="inlineStr">
        <is>
          <t>제외</t>
        </is>
      </c>
      <c r="N34" s="38" t="inlineStr">
        <is>
          <t>현재가 없음, 60일 거래대금 2.9억(기준 5억 미만), 연 분배율 산출 불가(12회 분배 이력 없음)</t>
        </is>
      </c>
      <c r="O34" s="38" t="inlineStr">
        <is>
          <t>Bloomberg U.S. Treasury 20+ Year(TLT) 2% OTM Covered Call In</t>
        </is>
      </c>
    </row>
    <row r="35">
      <c r="A35" s="38" t="inlineStr">
        <is>
          <t>RISE 미국AI밸류체인데일리고정커버드콜</t>
        </is>
      </c>
      <c r="B35" s="38" t="inlineStr">
        <is>
          <t>490590</t>
        </is>
      </c>
      <c r="C35" s="38" t="inlineStr">
        <is>
          <t>KB자산운용</t>
        </is>
      </c>
      <c r="D35" s="39" t="n"/>
      <c r="E35" s="39" t="n">
        <v>765240000000</v>
      </c>
      <c r="F35" s="39" t="n">
        <v>10137842758</v>
      </c>
      <c r="G35" s="40" t="n">
        <v>0.00578</v>
      </c>
      <c r="H35" s="40" t="n">
        <v>0.3307</v>
      </c>
      <c r="I35" s="40" t="n">
        <v>0.0163</v>
      </c>
      <c r="J35" s="40" t="n"/>
      <c r="K35" s="39" t="n">
        <v>23</v>
      </c>
      <c r="L35" s="38" t="inlineStr">
        <is>
          <t>20260828</t>
        </is>
      </c>
      <c r="M35" s="38" t="inlineStr">
        <is>
          <t>제외</t>
        </is>
      </c>
      <c r="N35" s="38" t="inlineStr">
        <is>
          <t>현재가 없음, 연 분배율 산출 불가(12회 분배 이력 없음)</t>
        </is>
      </c>
      <c r="O35" s="38" t="inlineStr">
        <is>
          <t>KEDI U.S. AI Value Chain 90% Participation + Daily Options P</t>
        </is>
      </c>
    </row>
    <row r="36">
      <c r="A36" s="38" t="inlineStr">
        <is>
          <t>RISE 미국S&amp;P500데일리고정커버드콜</t>
        </is>
      </c>
      <c r="B36" s="38" t="inlineStr">
        <is>
          <t>0138T0</t>
        </is>
      </c>
      <c r="C36" s="38" t="inlineStr">
        <is>
          <t>KB자산운용</t>
        </is>
      </c>
      <c r="D36" s="39" t="n"/>
      <c r="E36" s="39" t="n">
        <v>32357500000</v>
      </c>
      <c r="F36" s="39" t="n">
        <v>320763852</v>
      </c>
      <c r="G36" s="40" t="n">
        <v>0.006153</v>
      </c>
      <c r="H36" s="40" t="n">
        <v>0.1559</v>
      </c>
      <c r="I36" s="40" t="n">
        <v>0.008</v>
      </c>
      <c r="J36" s="40" t="n"/>
      <c r="K36" s="39" t="n">
        <v>10</v>
      </c>
      <c r="L36" s="38" t="inlineStr">
        <is>
          <t>20260914</t>
        </is>
      </c>
      <c r="M36" s="38" t="inlineStr">
        <is>
          <t>제외</t>
        </is>
      </c>
      <c r="N36" s="38" t="inlineStr">
        <is>
          <t>현재가 없음, 60일 거래대금 3.2억(기준 5억 미만), 분배 이력 10개월(기준 12개월 미만), 연 분배율 산출 불가(12회 분배 이력 없음)</t>
        </is>
      </c>
      <c r="O36" s="38" t="inlineStr">
        <is>
          <t>S&amp;P 500 10% Daily Fixed Covered Call Index (USD) TR</t>
        </is>
      </c>
    </row>
    <row r="37">
      <c r="A37" s="38" t="inlineStr">
        <is>
          <t>RISE 미국배당100데일리고정커버드콜</t>
        </is>
      </c>
      <c r="B37" s="38" t="inlineStr">
        <is>
          <t>490600</t>
        </is>
      </c>
      <c r="C37" s="38" t="inlineStr">
        <is>
          <t>KB자산운용</t>
        </is>
      </c>
      <c r="D37" s="39" t="n"/>
      <c r="E37" s="39" t="n">
        <v>168783000000</v>
      </c>
      <c r="F37" s="39" t="n">
        <v>2341343904</v>
      </c>
      <c r="G37" s="40" t="n">
        <v>0.005953000000000001</v>
      </c>
      <c r="H37" s="40" t="n">
        <v>0.1459</v>
      </c>
      <c r="I37" s="40" t="n">
        <v>0.01</v>
      </c>
      <c r="J37" s="40" t="n"/>
      <c r="K37" s="39" t="n">
        <v>24</v>
      </c>
      <c r="L37" s="38" t="inlineStr">
        <is>
          <t>20260914</t>
        </is>
      </c>
      <c r="M37" s="38" t="inlineStr">
        <is>
          <t>제외</t>
        </is>
      </c>
      <c r="N37" s="38" t="inlineStr">
        <is>
          <t>현재가 없음, 연 분배율 산출 불가(12회 분배 이력 없음)</t>
        </is>
      </c>
      <c r="O37" s="38" t="inlineStr">
        <is>
          <t>KEDI U.S. Dividend100 90% Participation + Daily Options Prem</t>
        </is>
      </c>
    </row>
    <row r="38">
      <c r="A38" s="38" t="inlineStr">
        <is>
          <t>RISE 미국테크100데일리고정커버드콜</t>
        </is>
      </c>
      <c r="B38" s="38" t="inlineStr">
        <is>
          <t>491620</t>
        </is>
      </c>
      <c r="C38" s="38" t="inlineStr">
        <is>
          <t>KB자산운용</t>
        </is>
      </c>
      <c r="D38" s="39" t="n"/>
      <c r="E38" s="39" t="n">
        <v>562486750000</v>
      </c>
      <c r="F38" s="39" t="n">
        <v>7587406824</v>
      </c>
      <c r="G38" s="40" t="n">
        <v>0.005748</v>
      </c>
      <c r="H38" s="40" t="n">
        <v>0.2021</v>
      </c>
      <c r="I38" s="40" t="n">
        <v>0.0166</v>
      </c>
      <c r="J38" s="40" t="n"/>
      <c r="K38" s="39" t="n">
        <v>23</v>
      </c>
      <c r="L38" s="38" t="inlineStr">
        <is>
          <t>20260828</t>
        </is>
      </c>
      <c r="M38" s="38" t="inlineStr">
        <is>
          <t>제외</t>
        </is>
      </c>
      <c r="N38" s="38" t="inlineStr">
        <is>
          <t>현재가 없음, 연 분배율 산출 불가(12회 분배 이력 없음)</t>
        </is>
      </c>
      <c r="O38" s="38" t="inlineStr">
        <is>
          <t>KEDI U.S. Tech100 90% Participation + Daily Options Premium</t>
        </is>
      </c>
    </row>
    <row r="39">
      <c r="A39" s="38" t="inlineStr">
        <is>
          <t>RISE 차이나테크TOP10위클리타겟커버드콜</t>
        </is>
      </c>
      <c r="B39" s="38" t="inlineStr">
        <is>
          <t>0094L0</t>
        </is>
      </c>
      <c r="C39" s="38" t="inlineStr">
        <is>
          <t>KB자산운용</t>
        </is>
      </c>
      <c r="D39" s="39" t="n"/>
      <c r="E39" s="39" t="n">
        <v>9940000000</v>
      </c>
      <c r="F39" s="39" t="n">
        <v>60764279</v>
      </c>
      <c r="G39" s="40" t="n">
        <v>0.011533</v>
      </c>
      <c r="H39" s="40" t="n">
        <v>0.2793</v>
      </c>
      <c r="I39" s="40" t="n">
        <v>0.0097</v>
      </c>
      <c r="J39" s="40" t="n"/>
      <c r="K39" s="39" t="n">
        <v>12</v>
      </c>
      <c r="L39" s="38" t="inlineStr">
        <is>
          <t>20260828</t>
        </is>
      </c>
      <c r="M39" s="38" t="inlineStr">
        <is>
          <t>제외</t>
        </is>
      </c>
      <c r="N39" s="38" t="inlineStr">
        <is>
          <t>현재가 없음, 순자산 99억(기준 300억 미만), 60일 거래대금 0.6억(기준 5억 미만), 연 분배율 산출 불가(12회 분배 이력 없음)</t>
        </is>
      </c>
      <c r="O39" s="38" t="inlineStr">
        <is>
          <t>Bloomberg China Tech Select Top 10 + 12% Target Premium Week</t>
        </is>
      </c>
    </row>
    <row r="40">
      <c r="A40" s="38" t="inlineStr">
        <is>
          <t>RISE 코리아밸류업위클리고정커버드콜</t>
        </is>
      </c>
      <c r="B40" s="38" t="inlineStr">
        <is>
          <t>0094M0</t>
        </is>
      </c>
      <c r="C40" s="38" t="inlineStr">
        <is>
          <t>KB자산운용</t>
        </is>
      </c>
      <c r="D40" s="39" t="n"/>
      <c r="E40" s="39" t="n">
        <v>344352000000</v>
      </c>
      <c r="F40" s="39" t="n">
        <v>9648314170</v>
      </c>
      <c r="G40" s="40" t="n">
        <v>0.005637</v>
      </c>
      <c r="H40" s="40" t="n">
        <v>0.4584</v>
      </c>
      <c r="I40" s="40" t="n">
        <v>0.0299</v>
      </c>
      <c r="J40" s="40" t="n"/>
      <c r="K40" s="39" t="n">
        <v>12</v>
      </c>
      <c r="L40" s="38" t="inlineStr">
        <is>
          <t>20260914</t>
        </is>
      </c>
      <c r="M40" s="38" t="inlineStr">
        <is>
          <t>제외</t>
        </is>
      </c>
      <c r="N40" s="38" t="inlineStr">
        <is>
          <t>현재가 없음, 변동성 45.8%(1년 기준, 기준 35% 초과), 연 분배율 산출 불가(12회 분배 이력 없음)</t>
        </is>
      </c>
      <c r="O40" s="38" t="inlineStr">
        <is>
          <t>코리아 밸류업 위클리 커버드콜 30% 지수</t>
        </is>
      </c>
    </row>
    <row r="41">
      <c r="A41" s="38" t="inlineStr">
        <is>
          <t>RISE 코스닥커버드콜액티브</t>
        </is>
      </c>
      <c r="B41" s="38" t="inlineStr">
        <is>
          <t>0223A0</t>
        </is>
      </c>
      <c r="C41" s="38" t="inlineStr">
        <is>
          <t>KB자산운용</t>
        </is>
      </c>
      <c r="D41" s="39" t="n"/>
      <c r="E41" s="39" t="n">
        <v>16984000000</v>
      </c>
      <c r="F41" s="39" t="n"/>
      <c r="G41" s="40" t="n">
        <v>0.003264</v>
      </c>
      <c r="H41" s="40" t="n"/>
      <c r="I41" s="40" t="n">
        <v>0.02</v>
      </c>
      <c r="J41" s="40" t="n"/>
      <c r="K41" s="39" t="n">
        <v>1</v>
      </c>
      <c r="L41" s="38" t="inlineStr">
        <is>
          <t>20260828</t>
        </is>
      </c>
      <c r="M41" s="38" t="inlineStr">
        <is>
          <t>제외</t>
        </is>
      </c>
      <c r="N41" s="38" t="inlineStr">
        <is>
          <t>현재가 없음, 순자산 170억(기준 300억 미만), 거래대금 미확인, 변동성 산출 불가(시세 36일치뿐), 분배 이력 1개월(기준 12개월 미만), 연 분배율 산출 불가(12회 분배 이력 없음)</t>
        </is>
      </c>
      <c r="O41" s="38" t="inlineStr">
        <is>
          <t>코스닥 150 타겟 15% 위클리 커버드콜 지수</t>
        </is>
      </c>
    </row>
    <row r="42">
      <c r="A42" s="38" t="inlineStr">
        <is>
          <t>RISE 테슬라미국채타겟커버드콜혼합(합성)</t>
        </is>
      </c>
      <c r="B42" s="38" t="inlineStr">
        <is>
          <t>0013R0</t>
        </is>
      </c>
      <c r="C42" s="38" t="inlineStr">
        <is>
          <t>KB자산운용</t>
        </is>
      </c>
      <c r="D42" s="39" t="n"/>
      <c r="E42" s="39" t="n">
        <v>27558000000</v>
      </c>
      <c r="F42" s="39" t="n">
        <v>162171621</v>
      </c>
      <c r="G42" s="40" t="n">
        <v>0.003495</v>
      </c>
      <c r="H42" s="40" t="n">
        <v>0.1854</v>
      </c>
      <c r="I42" s="40" t="n">
        <v>0.0129</v>
      </c>
      <c r="J42" s="40" t="n"/>
      <c r="K42" s="39" t="n">
        <v>18</v>
      </c>
      <c r="L42" s="38" t="inlineStr">
        <is>
          <t>20260828</t>
        </is>
      </c>
      <c r="M42" s="38" t="inlineStr">
        <is>
          <t>제외</t>
        </is>
      </c>
      <c r="N42" s="38" t="inlineStr">
        <is>
          <t>현재가 없음, 순자산 276억(기준 300억 미만), 60일 거래대금 1.6억(기준 5억 미만), 연 분배율 산출 불가(12회 분배 이력 없음)</t>
        </is>
      </c>
      <c r="O42" s="38" t="inlineStr">
        <is>
          <t>KEDI Tesla U.S. 30Y Treasury 15% Target Premium Balanced Ind</t>
        </is>
      </c>
    </row>
    <row r="43">
      <c r="A43" s="38" t="inlineStr">
        <is>
          <t>SOL 200타겟위클리커버드콜</t>
        </is>
      </c>
      <c r="B43" s="38" t="inlineStr">
        <is>
          <t>0167B0</t>
        </is>
      </c>
      <c r="C43" s="38" t="inlineStr">
        <is>
          <t>신한자산운용</t>
        </is>
      </c>
      <c r="D43" s="39" t="n"/>
      <c r="E43" s="39" t="n">
        <v>631624500000</v>
      </c>
      <c r="F43" s="39" t="n">
        <v>21344709787</v>
      </c>
      <c r="G43" s="40" t="n">
        <v>0.00345</v>
      </c>
      <c r="H43" s="40" t="n">
        <v>0.6945999999999999</v>
      </c>
      <c r="I43" s="40" t="n">
        <v>0.0139</v>
      </c>
      <c r="J43" s="40" t="n"/>
      <c r="K43" s="39" t="n">
        <v>5</v>
      </c>
      <c r="L43" s="38" t="inlineStr">
        <is>
          <t>20260828</t>
        </is>
      </c>
      <c r="M43" s="38" t="inlineStr">
        <is>
          <t>제외</t>
        </is>
      </c>
      <c r="N43" s="38" t="inlineStr">
        <is>
          <t>현재가 없음, 변동성 69.5%(126거래일 기준, 기준 35% 초과), 분배 이력 5개월(기준 12개월 미만), 연 분배율 산출 불가(12회 분배 이력 없음)</t>
        </is>
      </c>
      <c r="O43" s="38" t="inlineStr">
        <is>
          <t>코스피 200 타겟 15% 위클리 커버드콜 지수</t>
        </is>
      </c>
    </row>
    <row r="44">
      <c r="A44" s="38" t="inlineStr">
        <is>
          <t>SOL 국제금커버드콜액티브</t>
        </is>
      </c>
      <c r="B44" s="38" t="inlineStr">
        <is>
          <t>0022T0</t>
        </is>
      </c>
      <c r="C44" s="38" t="inlineStr">
        <is>
          <t>신한자산운용</t>
        </is>
      </c>
      <c r="D44" s="39" t="n"/>
      <c r="E44" s="39" t="n">
        <v>73302000000</v>
      </c>
      <c r="F44" s="39" t="n">
        <v>1009694074</v>
      </c>
      <c r="G44" s="40" t="n">
        <v>0.006737999999999999</v>
      </c>
      <c r="H44" s="40" t="n">
        <v>0.2874</v>
      </c>
      <c r="I44" s="40" t="n">
        <v>0.0033</v>
      </c>
      <c r="J44" s="40" t="n"/>
      <c r="K44" s="39" t="n">
        <v>17</v>
      </c>
      <c r="L44" s="38" t="inlineStr">
        <is>
          <t>20260828</t>
        </is>
      </c>
      <c r="M44" s="38" t="inlineStr">
        <is>
          <t>제외</t>
        </is>
      </c>
      <c r="N44" s="38" t="inlineStr">
        <is>
          <t>현재가 없음, 연 분배율 산출 불가(12회 분배 이력 없음)</t>
        </is>
      </c>
      <c r="O44" s="38" t="inlineStr">
        <is>
          <t>KEDI Gold Income Premium Index (Net Total Return)</t>
        </is>
      </c>
    </row>
    <row r="45">
      <c r="A45" s="38" t="inlineStr">
        <is>
          <t>SOL 미국30년국채커버드콜(합성)</t>
        </is>
      </c>
      <c r="B45" s="38" t="inlineStr">
        <is>
          <t>473330</t>
        </is>
      </c>
      <c r="C45" s="38" t="inlineStr">
        <is>
          <t>신한자산운용</t>
        </is>
      </c>
      <c r="D45" s="39" t="n"/>
      <c r="E45" s="39" t="n">
        <v>272689000000</v>
      </c>
      <c r="F45" s="39" t="n">
        <v>2177943115</v>
      </c>
      <c r="G45" s="40" t="n">
        <v>0.0035</v>
      </c>
      <c r="H45" s="40" t="n">
        <v>0.1351</v>
      </c>
      <c r="I45" s="40" t="n">
        <v>0.0074</v>
      </c>
      <c r="J45" s="40" t="n"/>
      <c r="K45" s="39" t="n">
        <v>32</v>
      </c>
      <c r="L45" s="38" t="inlineStr">
        <is>
          <t>20260828</t>
        </is>
      </c>
      <c r="M45" s="38" t="inlineStr">
        <is>
          <t>제외</t>
        </is>
      </c>
      <c r="N45" s="38" t="inlineStr">
        <is>
          <t>현재가 없음, 연 분배율 산출 불가(12회 분배 이력 없음)</t>
        </is>
      </c>
      <c r="O45" s="38" t="inlineStr">
        <is>
          <t>KEDI US Treasury 20Y+ 2% OTM BuyWrite Index</t>
        </is>
      </c>
    </row>
    <row r="46">
      <c r="A46" s="38" t="inlineStr">
        <is>
          <t>SOL 미국500타겟데일리커버드콜액티브</t>
        </is>
      </c>
      <c r="B46" s="38" t="inlineStr">
        <is>
          <t>494210</t>
        </is>
      </c>
      <c r="C46" s="38" t="inlineStr">
        <is>
          <t>신한자산운용</t>
        </is>
      </c>
      <c r="D46" s="39" t="n"/>
      <c r="E46" s="39" t="n">
        <v>7420000000</v>
      </c>
      <c r="F46" s="39" t="n">
        <v>65338513</v>
      </c>
      <c r="G46" s="40" t="n">
        <v>0.00621</v>
      </c>
      <c r="H46" s="40" t="n">
        <v>0.1571</v>
      </c>
      <c r="I46" s="40" t="n">
        <v>0.01</v>
      </c>
      <c r="J46" s="40" t="n"/>
      <c r="K46" s="39" t="n">
        <v>22</v>
      </c>
      <c r="L46" s="38" t="inlineStr">
        <is>
          <t>20260828</t>
        </is>
      </c>
      <c r="M46" s="38" t="inlineStr">
        <is>
          <t>제외</t>
        </is>
      </c>
      <c r="N46" s="38" t="inlineStr">
        <is>
          <t>현재가 없음, 순자산 74억(기준 300억 미만), 60일 거래대금 0.7억(기준 5억 미만), 연 분배율 산출 불가(12회 분배 이력 없음)</t>
        </is>
      </c>
      <c r="O46" s="38" t="inlineStr">
        <is>
          <t>KEDI U.S. Quality500 + Monthly 1% Premium Index NTR</t>
        </is>
      </c>
    </row>
    <row r="47">
      <c r="A47" s="38" t="inlineStr">
        <is>
          <t>SOL 팔란티어미국채커버드콜혼합</t>
        </is>
      </c>
      <c r="B47" s="38" t="inlineStr">
        <is>
          <t>0040X0</t>
        </is>
      </c>
      <c r="C47" s="38" t="inlineStr">
        <is>
          <t>신한자산운용</t>
        </is>
      </c>
      <c r="D47" s="39" t="n"/>
      <c r="E47" s="39" t="n">
        <v>169555500000</v>
      </c>
      <c r="F47" s="39" t="n">
        <v>1695910034</v>
      </c>
      <c r="G47" s="40" t="n">
        <v>0.007991</v>
      </c>
      <c r="H47" s="40" t="n">
        <v>0.2285</v>
      </c>
      <c r="I47" s="40" t="n">
        <v>0.0148</v>
      </c>
      <c r="J47" s="40" t="n"/>
      <c r="K47" s="39" t="n">
        <v>16</v>
      </c>
      <c r="L47" s="38" t="inlineStr">
        <is>
          <t>20260828</t>
        </is>
      </c>
      <c r="M47" s="38" t="inlineStr">
        <is>
          <t>제외</t>
        </is>
      </c>
      <c r="N47" s="38" t="inlineStr">
        <is>
          <t>현재가 없음, 연 분배율 산출 불가(12회 분배 이력 없음)</t>
        </is>
      </c>
      <c r="O47" s="38" t="inlineStr">
        <is>
          <t>KEDI Palantir U.S. Treasury Covered Call Balanced Index NTR</t>
        </is>
      </c>
    </row>
    <row r="48">
      <c r="A48" s="38" t="inlineStr">
        <is>
          <t>SOL 팔란티어커버드콜OTM채권혼합</t>
        </is>
      </c>
      <c r="B48" s="38" t="inlineStr">
        <is>
          <t>0040Y0</t>
        </is>
      </c>
      <c r="C48" s="38" t="inlineStr">
        <is>
          <t>신한자산운용</t>
        </is>
      </c>
      <c r="D48" s="39" t="n"/>
      <c r="E48" s="39" t="n">
        <v>357021250000</v>
      </c>
      <c r="F48" s="39" t="n">
        <v>3002215180</v>
      </c>
      <c r="G48" s="40" t="n">
        <v>0.007532</v>
      </c>
      <c r="H48" s="40" t="n">
        <v>0.1637</v>
      </c>
      <c r="I48" s="40" t="n">
        <v>0.0194</v>
      </c>
      <c r="J48" s="40" t="n"/>
      <c r="K48" s="39" t="n">
        <v>16</v>
      </c>
      <c r="L48" s="38" t="inlineStr">
        <is>
          <t>20260828</t>
        </is>
      </c>
      <c r="M48" s="38" t="inlineStr">
        <is>
          <t>제외</t>
        </is>
      </c>
      <c r="N48" s="38" t="inlineStr">
        <is>
          <t>현재가 없음, 연 분배율 산출 불가(12회 분배 이력 없음)</t>
        </is>
      </c>
      <c r="O48" s="38" t="inlineStr">
        <is>
          <t>KEDI Palantir Covered Call OTM Treasury Balanced Index NTR</t>
        </is>
      </c>
    </row>
    <row r="49">
      <c r="A49" s="38" t="inlineStr">
        <is>
          <t>TIGER 200커버드콜</t>
        </is>
      </c>
      <c r="B49" s="38" t="inlineStr">
        <is>
          <t>289480</t>
        </is>
      </c>
      <c r="C49" s="38" t="inlineStr">
        <is>
          <t>미래에셋자산운용</t>
        </is>
      </c>
      <c r="D49" s="39" t="n"/>
      <c r="E49" s="39" t="n">
        <v>26649000000</v>
      </c>
      <c r="F49" s="39" t="n">
        <v>429876707</v>
      </c>
      <c r="G49" s="40" t="n">
        <v>0.007145</v>
      </c>
      <c r="H49" s="40" t="n">
        <v>0.3833</v>
      </c>
      <c r="I49" s="40" t="n">
        <v>0.0069</v>
      </c>
      <c r="J49" s="40" t="n"/>
      <c r="K49" s="39" t="n">
        <v>51</v>
      </c>
      <c r="L49" s="38" t="inlineStr">
        <is>
          <t>20260828</t>
        </is>
      </c>
      <c r="M49" s="38" t="inlineStr">
        <is>
          <t>제외</t>
        </is>
      </c>
      <c r="N49" s="38" t="inlineStr">
        <is>
          <t>현재가 없음, 순자산 266억(기준 300억 미만), 60일 거래대금 4.3억(기준 5억 미만), 변동성 38.3%(1년 기준, 기준 35% 초과), 연 분배율 산출 불가(12회 분배 이력 없음)</t>
        </is>
      </c>
      <c r="O49" s="38" t="inlineStr">
        <is>
          <t>코스피 200 커버드콜 ATM</t>
        </is>
      </c>
    </row>
    <row r="50">
      <c r="A50" s="38" t="inlineStr">
        <is>
          <t>TIGER 200커버드콜OTM</t>
        </is>
      </c>
      <c r="B50" s="38" t="inlineStr">
        <is>
          <t>166400</t>
        </is>
      </c>
      <c r="C50" s="38" t="inlineStr">
        <is>
          <t>미래에셋자산운용</t>
        </is>
      </c>
      <c r="D50" s="39" t="n"/>
      <c r="E50" s="39" t="n">
        <v>12000000000</v>
      </c>
      <c r="F50" s="39" t="n">
        <v>48259687</v>
      </c>
      <c r="G50" s="40" t="n">
        <v>0.006403</v>
      </c>
      <c r="H50" s="40" t="n">
        <v>0.4265</v>
      </c>
      <c r="I50" s="40" t="n">
        <v>0.0039</v>
      </c>
      <c r="J50" s="40" t="n"/>
      <c r="K50" s="39" t="n">
        <v>51</v>
      </c>
      <c r="L50" s="38" t="inlineStr">
        <is>
          <t>20260828</t>
        </is>
      </c>
      <c r="M50" s="38" t="inlineStr">
        <is>
          <t>제외</t>
        </is>
      </c>
      <c r="N50" s="38" t="inlineStr">
        <is>
          <t>현재가 없음, 순자산 120억(기준 300억 미만), 60일 거래대금 0.5억(기준 5억 미만), 변동성 42.6%(1년 기준, 기준 35% 초과), 연 분배율 산출 불가(12회 분배 이력 없음)</t>
        </is>
      </c>
      <c r="O50" s="38" t="inlineStr">
        <is>
          <t>코스피 200 커버드콜 5% OTM</t>
        </is>
      </c>
    </row>
    <row r="51">
      <c r="A51" s="38" t="inlineStr">
        <is>
          <t>TIGER 200타겟위클리커버드콜</t>
        </is>
      </c>
      <c r="B51" s="38" t="inlineStr">
        <is>
          <t>0104N0</t>
        </is>
      </c>
      <c r="C51" s="38" t="inlineStr">
        <is>
          <t>미래에셋자산운용</t>
        </is>
      </c>
      <c r="D51" s="39" t="n"/>
      <c r="E51" s="39" t="n">
        <v>209965500000</v>
      </c>
      <c r="F51" s="39" t="n">
        <v>3414033386</v>
      </c>
      <c r="G51" s="40" t="n">
        <v>0.003325</v>
      </c>
      <c r="H51" s="40" t="n">
        <v>0.5914</v>
      </c>
      <c r="I51" s="40" t="n">
        <v>0.0059</v>
      </c>
      <c r="J51" s="40" t="n"/>
      <c r="K51" s="39" t="n">
        <v>12</v>
      </c>
      <c r="L51" s="38" t="inlineStr">
        <is>
          <t>20260914</t>
        </is>
      </c>
      <c r="M51" s="38" t="inlineStr">
        <is>
          <t>제외</t>
        </is>
      </c>
      <c r="N51" s="38" t="inlineStr">
        <is>
          <t>현재가 없음, 변동성 59.1%(1년 기준, 기준 35% 초과), 연 분배율 산출 불가(12회 분배 이력 없음)</t>
        </is>
      </c>
      <c r="O51" s="38" t="inlineStr">
        <is>
          <t>코스피 200 타겟 7% 위클리 커버드콜 지수</t>
        </is>
      </c>
    </row>
    <row r="52">
      <c r="A52" s="38" t="inlineStr">
        <is>
          <t>TIGER 미국30년국채커버드콜액티브(H)</t>
        </is>
      </c>
      <c r="B52" s="38" t="inlineStr">
        <is>
          <t>476550</t>
        </is>
      </c>
      <c r="C52" s="38" t="inlineStr">
        <is>
          <t>미래에셋자산운용</t>
        </is>
      </c>
      <c r="D52" s="39" t="n"/>
      <c r="E52" s="39" t="n">
        <v>755842000000</v>
      </c>
      <c r="F52" s="39" t="n">
        <v>7975050426</v>
      </c>
      <c r="G52" s="40" t="n">
        <v>0.007784</v>
      </c>
      <c r="H52" s="40" t="n">
        <v>0.08939999999999999</v>
      </c>
      <c r="I52" s="40" t="n">
        <v>0.01</v>
      </c>
      <c r="J52" s="40" t="n"/>
      <c r="K52" s="39" t="n">
        <v>30</v>
      </c>
      <c r="L52" s="38" t="inlineStr">
        <is>
          <t>20260828</t>
        </is>
      </c>
      <c r="M52" s="38" t="inlineStr">
        <is>
          <t>제외</t>
        </is>
      </c>
      <c r="N52" s="38" t="inlineStr">
        <is>
          <t>현재가 없음, 연 분배율 산출 불가(12회 분배 이력 없음)</t>
        </is>
      </c>
      <c r="O52" s="38" t="inlineStr">
        <is>
          <t>KEDI US Treasury 30Y Weekly Covered Call 30 Index</t>
        </is>
      </c>
    </row>
    <row r="53">
      <c r="A53" s="38" t="inlineStr">
        <is>
          <t>TIGER 미국AI빅테크10타겟데일리커버드콜</t>
        </is>
      </c>
      <c r="B53" s="38" t="inlineStr">
        <is>
          <t>493810</t>
        </is>
      </c>
      <c r="C53" s="38" t="inlineStr">
        <is>
          <t>미래에셋자산운용</t>
        </is>
      </c>
      <c r="D53" s="39" t="n"/>
      <c r="E53" s="39" t="n">
        <v>241304000000</v>
      </c>
      <c r="F53" s="39" t="n">
        <v>1839382960</v>
      </c>
      <c r="G53" s="40" t="n">
        <v>0.004813</v>
      </c>
      <c r="H53" s="40" t="n">
        <v>0.2183</v>
      </c>
      <c r="I53" s="40" t="n">
        <v>0.0124</v>
      </c>
      <c r="J53" s="40" t="n"/>
      <c r="K53" s="39" t="n">
        <v>23</v>
      </c>
      <c r="L53" s="38" t="inlineStr">
        <is>
          <t>20260914</t>
        </is>
      </c>
      <c r="M53" s="38" t="inlineStr">
        <is>
          <t>제외</t>
        </is>
      </c>
      <c r="N53" s="38" t="inlineStr">
        <is>
          <t>현재가 없음, 연 분배율 산출 불가(12회 분배 이력 없음)</t>
        </is>
      </c>
      <c r="O53" s="38" t="inlineStr">
        <is>
          <t>KEDI US AI Big Tech 10+15% Daily Premium Index TR</t>
        </is>
      </c>
    </row>
    <row r="54">
      <c r="A54" s="38" t="inlineStr">
        <is>
          <t>TIGER 미국S&amp;P500타겟데일리커버드콜</t>
        </is>
      </c>
      <c r="B54" s="38" t="inlineStr">
        <is>
          <t>482730</t>
        </is>
      </c>
      <c r="C54" s="38" t="inlineStr">
        <is>
          <t>미래에셋자산운용</t>
        </is>
      </c>
      <c r="D54" s="39" t="n"/>
      <c r="E54" s="39" t="n">
        <v>658087500000</v>
      </c>
      <c r="F54" s="39" t="n">
        <v>4950416545</v>
      </c>
      <c r="G54" s="40" t="n">
        <v>0.004313</v>
      </c>
      <c r="H54" s="40" t="n">
        <v>0.148</v>
      </c>
      <c r="I54" s="40" t="n">
        <v>0.01</v>
      </c>
      <c r="J54" s="40" t="n"/>
      <c r="K54" s="39" t="n">
        <v>28</v>
      </c>
      <c r="L54" s="38" t="inlineStr">
        <is>
          <t>20260914</t>
        </is>
      </c>
      <c r="M54" s="38" t="inlineStr">
        <is>
          <t>제외</t>
        </is>
      </c>
      <c r="N54" s="38" t="inlineStr">
        <is>
          <t>현재가 없음, 연 분배율 산출 불가(12회 분배 이력 없음)</t>
        </is>
      </c>
      <c r="O54" s="38" t="inlineStr">
        <is>
          <t>S&amp;P 500 10% Daily Premium Covered Call Index (USD) PR</t>
        </is>
      </c>
    </row>
    <row r="55">
      <c r="A55" s="38" t="inlineStr">
        <is>
          <t>TIGER 미국나스닥100커버드콜(합성)</t>
        </is>
      </c>
      <c r="B55" s="38" t="inlineStr">
        <is>
          <t>441680</t>
        </is>
      </c>
      <c r="C55" s="38" t="inlineStr">
        <is>
          <t>미래에셋자산운용</t>
        </is>
      </c>
      <c r="D55" s="39" t="n"/>
      <c r="E55" s="39" t="n">
        <v>279437500000</v>
      </c>
      <c r="F55" s="39" t="n">
        <v>960728975</v>
      </c>
      <c r="G55" s="40" t="n">
        <v>0.004923</v>
      </c>
      <c r="H55" s="40" t="n">
        <v>0.146</v>
      </c>
      <c r="I55" s="40" t="n">
        <v>0.01</v>
      </c>
      <c r="J55" s="40" t="n"/>
      <c r="K55" s="39" t="n">
        <v>47</v>
      </c>
      <c r="L55" s="38" t="inlineStr">
        <is>
          <t>20260828</t>
        </is>
      </c>
      <c r="M55" s="38" t="inlineStr">
        <is>
          <t>제외</t>
        </is>
      </c>
      <c r="N55" s="38" t="inlineStr">
        <is>
          <t>현재가 없음, 연 분배율 산출 불가(12회 분배 이력 없음)</t>
        </is>
      </c>
      <c r="O55" s="38" t="inlineStr">
        <is>
          <t>Cboe NASDAQ-100 BuyWrite V2 Index</t>
        </is>
      </c>
    </row>
    <row r="56">
      <c r="A56" s="38" t="inlineStr">
        <is>
          <t>TIGER 미국나스닥100타겟데일리커버드콜</t>
        </is>
      </c>
      <c r="B56" s="38" t="inlineStr">
        <is>
          <t>486290</t>
        </is>
      </c>
      <c r="C56" s="38" t="inlineStr">
        <is>
          <t>미래에셋자산운용</t>
        </is>
      </c>
      <c r="D56" s="39" t="n"/>
      <c r="E56" s="39" t="n">
        <v>2439000500000</v>
      </c>
      <c r="F56" s="39" t="n">
        <v>29892919911</v>
      </c>
      <c r="G56" s="40" t="n">
        <v>0.004563</v>
      </c>
      <c r="H56" s="40" t="n">
        <v>0.2068</v>
      </c>
      <c r="I56" s="40" t="n">
        <v>0.0124</v>
      </c>
      <c r="J56" s="40" t="n"/>
      <c r="K56" s="39" t="n">
        <v>26</v>
      </c>
      <c r="L56" s="38" t="inlineStr">
        <is>
          <t>20260828</t>
        </is>
      </c>
      <c r="M56" s="38" t="inlineStr">
        <is>
          <t>제외</t>
        </is>
      </c>
      <c r="N56" s="38" t="inlineStr">
        <is>
          <t>현재가 없음, 연 분배율 산출 불가(12회 분배 이력 없음)</t>
        </is>
      </c>
      <c r="O56" s="38" t="inlineStr">
        <is>
          <t>NASDAQ 100 Daily Covered Call Target Premium 15% Index</t>
        </is>
      </c>
    </row>
    <row r="57">
      <c r="A57" s="38" t="inlineStr">
        <is>
          <t>TIGER 미국배당다우존스타겟데일리커버드콜</t>
        </is>
      </c>
      <c r="B57" s="38" t="inlineStr">
        <is>
          <t>0008S0</t>
        </is>
      </c>
      <c r="C57" s="38" t="inlineStr">
        <is>
          <t>미래에셋자산운용</t>
        </is>
      </c>
      <c r="D57" s="39" t="n"/>
      <c r="E57" s="39" t="n">
        <v>314594000000</v>
      </c>
      <c r="F57" s="39" t="n">
        <v>3361797749</v>
      </c>
      <c r="G57" s="40" t="n">
        <v>0.004797</v>
      </c>
      <c r="H57" s="40" t="n">
        <v>0.1437</v>
      </c>
      <c r="I57" s="40" t="n">
        <v>0.01</v>
      </c>
      <c r="J57" s="40" t="n"/>
      <c r="K57" s="39" t="n">
        <v>20</v>
      </c>
      <c r="L57" s="38" t="inlineStr">
        <is>
          <t>20260914</t>
        </is>
      </c>
      <c r="M57" s="38" t="inlineStr">
        <is>
          <t>제외</t>
        </is>
      </c>
      <c r="N57" s="38" t="inlineStr">
        <is>
          <t>현재가 없음, 연 분배율 산출 불가(12회 분배 이력 없음)</t>
        </is>
      </c>
      <c r="O57" s="38" t="inlineStr">
        <is>
          <t>Dow Jones U.S. Dividend 100 10% Daily Premium Covered Call I</t>
        </is>
      </c>
    </row>
    <row r="58">
      <c r="A58" s="38" t="inlineStr">
        <is>
          <t>TIGER 미국배당다우존스타겟커버드콜1호</t>
        </is>
      </c>
      <c r="B58" s="38" t="inlineStr">
        <is>
          <t>458750</t>
        </is>
      </c>
      <c r="C58" s="38" t="inlineStr">
        <is>
          <t>미래에셋자산운용</t>
        </is>
      </c>
      <c r="D58" s="39" t="n"/>
      <c r="E58" s="39" t="n">
        <v>66690000000</v>
      </c>
      <c r="F58" s="39" t="n">
        <v>411787738</v>
      </c>
      <c r="G58" s="40" t="n">
        <v>0.005842000000000001</v>
      </c>
      <c r="H58" s="40" t="n">
        <v>0.1448</v>
      </c>
      <c r="I58" s="40" t="n">
        <v>0.0052</v>
      </c>
      <c r="J58" s="40" t="n"/>
      <c r="K58" s="39" t="n">
        <v>39</v>
      </c>
      <c r="L58" s="38" t="inlineStr">
        <is>
          <t>20260914</t>
        </is>
      </c>
      <c r="M58" s="38" t="inlineStr">
        <is>
          <t>제외</t>
        </is>
      </c>
      <c r="N58" s="38" t="inlineStr">
        <is>
          <t>현재가 없음, 60일 거래대금 4.1억(기준 5억 미만), 연 분배율 산출 불가(12회 분배 이력 없음)</t>
        </is>
      </c>
      <c r="O58" s="38" t="inlineStr">
        <is>
          <t>Dow Jones U.S. Dividend 100 3% Premium Covered Call Index</t>
        </is>
      </c>
    </row>
    <row r="59">
      <c r="A59" s="38" t="inlineStr">
        <is>
          <t>TIGER 미국배당다우존스타겟커버드콜2호</t>
        </is>
      </c>
      <c r="B59" s="38" t="inlineStr">
        <is>
          <t>458760</t>
        </is>
      </c>
      <c r="C59" s="38" t="inlineStr">
        <is>
          <t>미래에셋자산운용</t>
        </is>
      </c>
      <c r="D59" s="39" t="n"/>
      <c r="E59" s="39" t="n">
        <v>699262500000</v>
      </c>
      <c r="F59" s="39" t="n">
        <v>3411008086</v>
      </c>
      <c r="G59" s="40" t="n">
        <v>0.005643</v>
      </c>
      <c r="H59" s="40" t="n">
        <v>0.1504</v>
      </c>
      <c r="I59" s="40" t="n">
        <v>0.008</v>
      </c>
      <c r="J59" s="40" t="n"/>
      <c r="K59" s="39" t="n">
        <v>38</v>
      </c>
      <c r="L59" s="38" t="inlineStr">
        <is>
          <t>20260828</t>
        </is>
      </c>
      <c r="M59" s="38" t="inlineStr">
        <is>
          <t>제외</t>
        </is>
      </c>
      <c r="N59" s="38" t="inlineStr">
        <is>
          <t>현재가 없음, 연 분배율 산출 불가(12회 분배 이력 없음)</t>
        </is>
      </c>
      <c r="O59" s="38" t="inlineStr">
        <is>
          <t>Dow Jones U.S. Dividend 100 7% Premium Covered Call Index</t>
        </is>
      </c>
    </row>
    <row r="60">
      <c r="A60" s="38" t="inlineStr">
        <is>
          <t>TIGER 미국테크TOP10타겟커버드콜</t>
        </is>
      </c>
      <c r="B60" s="38" t="inlineStr">
        <is>
          <t>474220</t>
        </is>
      </c>
      <c r="C60" s="38" t="inlineStr">
        <is>
          <t>미래에셋자산운용</t>
        </is>
      </c>
      <c r="D60" s="39" t="n"/>
      <c r="E60" s="39" t="n">
        <v>414681000000</v>
      </c>
      <c r="F60" s="39" t="n">
        <v>1737321680</v>
      </c>
      <c r="G60" s="40" t="n">
        <v>0.006686</v>
      </c>
      <c r="H60" s="40" t="n">
        <v>0.1938</v>
      </c>
      <c r="I60" s="40" t="n">
        <v>0.0083</v>
      </c>
      <c r="J60" s="40" t="n"/>
      <c r="K60" s="39" t="n">
        <v>32</v>
      </c>
      <c r="L60" s="38" t="inlineStr">
        <is>
          <t>20260914</t>
        </is>
      </c>
      <c r="M60" s="38" t="inlineStr">
        <is>
          <t>제외</t>
        </is>
      </c>
      <c r="N60" s="38" t="inlineStr">
        <is>
          <t>현재가 없음, 연 분배율 산출 불가(12회 분배 이력 없음)</t>
        </is>
      </c>
      <c r="O60" s="38" t="inlineStr">
        <is>
          <t>Bloomberg U.S. Tech Top10 + 10% Premium Covered Call Index</t>
        </is>
      </c>
    </row>
    <row r="61">
      <c r="A61" s="38" t="inlineStr">
        <is>
          <t>TIGER 반도체TOP10커버드콜액티브</t>
        </is>
      </c>
      <c r="B61" s="38" t="inlineStr">
        <is>
          <t>0177R0</t>
        </is>
      </c>
      <c r="C61" s="38" t="inlineStr">
        <is>
          <t>미래에셋자산운용</t>
        </is>
      </c>
      <c r="D61" s="39" t="n"/>
      <c r="E61" s="39" t="n">
        <v>836000000000</v>
      </c>
      <c r="F61" s="39" t="n">
        <v>33112219077</v>
      </c>
      <c r="G61" s="40" t="n">
        <v>0.005719999999999999</v>
      </c>
      <c r="H61" s="40" t="n">
        <v>0.9140999999999999</v>
      </c>
      <c r="I61" s="40" t="n">
        <v>0.0155</v>
      </c>
      <c r="J61" s="40" t="n"/>
      <c r="K61" s="39" t="n">
        <v>5</v>
      </c>
      <c r="L61" s="38" t="inlineStr">
        <is>
          <t>20260914</t>
        </is>
      </c>
      <c r="M61" s="38" t="inlineStr">
        <is>
          <t>제외</t>
        </is>
      </c>
      <c r="N61" s="38" t="inlineStr">
        <is>
          <t>현재가 없음, 변동성 91.4%(101거래일 기준, 기준 35% 초과), 분배 이력 5개월(기준 12개월 미만), 연 분배율 산출 불가(12회 분배 이력 없음)</t>
        </is>
      </c>
      <c r="O61" s="38" t="inlineStr">
        <is>
          <t>FnGuide 반도체 TOP10 Capped 지수</t>
        </is>
      </c>
    </row>
    <row r="62">
      <c r="A62" s="38" t="inlineStr">
        <is>
          <t>TIGER 배당커버드콜액티브</t>
        </is>
      </c>
      <c r="B62" s="38" t="inlineStr">
        <is>
          <t>472150</t>
        </is>
      </c>
      <c r="C62" s="38" t="inlineStr">
        <is>
          <t>미래에셋자산운용</t>
        </is>
      </c>
      <c r="D62" s="39" t="n"/>
      <c r="E62" s="39" t="n">
        <v>2419789500000</v>
      </c>
      <c r="F62" s="39" t="n">
        <v>103652019312</v>
      </c>
      <c r="G62" s="40" t="n">
        <v>0.006008</v>
      </c>
      <c r="H62" s="40" t="n">
        <v>0.5733</v>
      </c>
      <c r="I62" s="40" t="n">
        <v>0.0197</v>
      </c>
      <c r="J62" s="40" t="n"/>
      <c r="K62" s="39" t="n">
        <v>33</v>
      </c>
      <c r="L62" s="38" t="inlineStr">
        <is>
          <t>20260828</t>
        </is>
      </c>
      <c r="M62" s="38" t="inlineStr">
        <is>
          <t>제외</t>
        </is>
      </c>
      <c r="N62" s="38" t="inlineStr">
        <is>
          <t>현재가 없음, 변동성 57.3%(1년 기준, 기준 35% 초과), 연 분배율 산출 불가(12회 분배 이력 없음)</t>
        </is>
      </c>
      <c r="O62" s="38" t="inlineStr">
        <is>
          <t>코스피 200 커버드콜 5% OTM</t>
        </is>
      </c>
    </row>
    <row r="63">
      <c r="A63" s="38" t="inlineStr">
        <is>
          <t>TIGER 엔비디아미국채커버드콜밸런스(합성)</t>
        </is>
      </c>
      <c r="B63" s="38" t="inlineStr">
        <is>
          <t>0000D0</t>
        </is>
      </c>
      <c r="C63" s="38" t="inlineStr">
        <is>
          <t>미래에셋자산운용</t>
        </is>
      </c>
      <c r="D63" s="39" t="n"/>
      <c r="E63" s="39" t="n">
        <v>60375000000</v>
      </c>
      <c r="F63" s="39" t="n">
        <v>357703464</v>
      </c>
      <c r="G63" s="40" t="n">
        <v>0.004741</v>
      </c>
      <c r="H63" s="40" t="n">
        <v>0.1679</v>
      </c>
      <c r="I63" s="40" t="n">
        <v>0.009899999999999999</v>
      </c>
      <c r="J63" s="40" t="n"/>
      <c r="K63" s="39" t="n">
        <v>21</v>
      </c>
      <c r="L63" s="38" t="inlineStr">
        <is>
          <t>20260828</t>
        </is>
      </c>
      <c r="M63" s="38" t="inlineStr">
        <is>
          <t>제외</t>
        </is>
      </c>
      <c r="N63" s="38" t="inlineStr">
        <is>
          <t>현재가 없음, 60일 거래대금 3.6억(기준 5억 미만), 연 분배율 산출 불가(12회 분배 이력 없음)</t>
        </is>
      </c>
      <c r="O63" s="38" t="inlineStr">
        <is>
          <t>KEDI Nvidia U.S. 30Y Treasury Target Covered Call Balanced I</t>
        </is>
      </c>
    </row>
    <row r="64">
      <c r="A64" s="38" t="inlineStr">
        <is>
          <t>TIGER 코리아배당다우존스위클리커버드콜</t>
        </is>
      </c>
      <c r="B64" s="38" t="inlineStr">
        <is>
          <t>0104P0</t>
        </is>
      </c>
      <c r="C64" s="38" t="inlineStr">
        <is>
          <t>미래에셋자산운용</t>
        </is>
      </c>
      <c r="D64" s="39" t="n"/>
      <c r="E64" s="39" t="n">
        <v>18623500000</v>
      </c>
      <c r="F64" s="39" t="n">
        <v>269902541</v>
      </c>
      <c r="G64" s="40" t="n">
        <v>0.004345</v>
      </c>
      <c r="H64" s="40" t="n">
        <v>0.311</v>
      </c>
      <c r="I64" s="40" t="n">
        <v>0.0098</v>
      </c>
      <c r="J64" s="40" t="n"/>
      <c r="K64" s="39" t="n">
        <v>11</v>
      </c>
      <c r="L64" s="38" t="inlineStr">
        <is>
          <t>20260828</t>
        </is>
      </c>
      <c r="M64" s="38" t="inlineStr">
        <is>
          <t>제외</t>
        </is>
      </c>
      <c r="N64" s="38" t="inlineStr">
        <is>
          <t>현재가 없음, 순자산 186억(기준 300억 미만), 60일 거래대금 2.7억(기준 5억 미만), 분배 이력 11개월(기준 12개월 미만), 연 분배율 산출 불가(12회 분배 이력 없음)</t>
        </is>
      </c>
      <c r="O64" s="38" t="inlineStr">
        <is>
          <t>KRX 다우존스 코리아 배당 30 타겟 7% 위클리 커버드콜 지수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B2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>
      <c r="B1" s="41" t="inlineStr">
        <is>
          <t>이 파일을 쓰는 법</t>
        </is>
      </c>
    </row>
    <row r="2" ht="19" customHeight="1">
      <c r="B2" s="42" t="inlineStr"/>
    </row>
    <row r="3" ht="19" customHeight="1">
      <c r="B3" s="43" t="inlineStr">
        <is>
          <t>1. [제안서] 장에서 노란 칸 네 개만 고치면 됩니다.</t>
        </is>
      </c>
    </row>
    <row r="4" ht="19" customHeight="1">
      <c r="B4" s="42" t="inlineStr">
        <is>
          <t xml:space="preserve">     · 고객명 — 그대로 인쇄됩니다.</t>
        </is>
      </c>
    </row>
    <row r="5" ht="19" customHeight="1">
      <c r="B5" s="42" t="inlineStr">
        <is>
          <t xml:space="preserve">     · 투자금액 — 원 단위로 넣으십시오. 예: 100000000</t>
        </is>
      </c>
    </row>
    <row r="6" ht="19" customHeight="1">
      <c r="B6" s="42" t="inlineStr">
        <is>
          <t xml:space="preserve">     · 투자 ETF — 칸을 누르면 ▼ 가 나옵니다. 목록에서 고르십시오.</t>
        </is>
      </c>
    </row>
    <row r="7" ht="19" customHeight="1">
      <c r="B7" s="42" t="inlineStr">
        <is>
          <t xml:space="preserve">     · 배당소득세율 — 기본 15.4%. 금융소득종합과세 대상자면 여기만 바꾸십시오.</t>
        </is>
      </c>
    </row>
    <row r="8" ht="19" customHeight="1">
      <c r="B8" s="42" t="inlineStr"/>
    </row>
    <row r="9" ht="19" customHeight="1">
      <c r="B9" s="43" t="inlineStr">
        <is>
          <t>2. 나머지 칸은 전부 수식입니다. 손으로 고치면 다음 갱신 때 되돌아갑니다.</t>
        </is>
      </c>
    </row>
    <row r="10" ht="19" customHeight="1">
      <c r="B10" s="42" t="inlineStr"/>
    </row>
    <row r="11" ht="19" customHeight="1">
      <c r="B11" s="43" t="inlineStr">
        <is>
          <t>3. 목록에 담긴 ETF</t>
        </is>
      </c>
    </row>
    <row r="12" ht="19" customHeight="1">
      <c r="B12" s="42" t="inlineStr">
        <is>
          <t xml:space="preserve">     · 채택 11종목 — 유동성·변동성 기준을 통과한 월배당 커버드콜 ETF</t>
        </is>
      </c>
    </row>
    <row r="13" ht="19" customHeight="1">
      <c r="B13" s="42" t="inlineStr">
        <is>
          <t xml:space="preserve">     · 제외 50종목 — 사유는 [ETF데이터] 장 맨 오른쪽 칸에 적혀 있습니다.</t>
        </is>
      </c>
    </row>
    <row r="14" ht="19" customHeight="1">
      <c r="B14" s="42" t="inlineStr"/>
    </row>
    <row r="15" ht="19" customHeight="1">
      <c r="B15" s="43" t="inlineStr">
        <is>
          <t>4. 갱신</t>
        </is>
      </c>
    </row>
    <row r="16" ht="19" customHeight="1">
      <c r="B16" s="42" t="inlineStr">
        <is>
          <t xml:space="preserve">     매월 1일 오전(KST)에 ETFCHECK 에서 월분배율을 다시 받아 이 파일을 새로 만듭니다.</t>
        </is>
      </c>
    </row>
    <row r="17" ht="19" customHeight="1">
      <c r="B17" s="42" t="inlineStr">
        <is>
          <t xml:space="preserve">     고객명·투자금액은 갱신 때 초기값으로 돌아가므로, 고객별 사본은 따로 저장해 두십시오.</t>
        </is>
      </c>
    </row>
    <row r="18" ht="19" customHeight="1">
      <c r="B18" s="42" t="inlineStr"/>
    </row>
    <row r="19" ht="19" customHeight="1">
      <c r="B19" s="43" t="inlineStr">
        <is>
          <t>5. 값이 이상해 보이면</t>
        </is>
      </c>
    </row>
    <row r="20" ht="19" customHeight="1">
      <c r="B20" s="42" t="inlineStr">
        <is>
          <t xml:space="preserve">     [ETF데이터] 장을 먼저 보십시오. 그 장이 원천이고, [제안서] 장은 그 장을 가리킬 뿐입니다.</t>
        </is>
      </c>
    </row>
    <row r="21" ht="19" customHeight="1">
      <c r="B21" s="42" t="inlineStr">
        <is>
          <t xml:space="preserve">     그 장의 값이 ETFCHECK 화면과 다르면 수집이 어긋난 것이니 알려 주십시오.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2026-09-16T07:02:44Z</dcterms:created>
  <dcterms:modified xsi:type="dcterms:W3CDTF">2026-09-16T07:02:44Z</dcterms:modified>
</cp:coreProperties>
</file>