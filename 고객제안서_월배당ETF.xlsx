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제안서" sheetId="1" state="visible" r:id="rId1"/>
    <sheet name="종목조회" sheetId="2" state="visible" r:id="rId2"/>
    <sheet name="ETF데이터" sheetId="3" state="visible" r:id="rId3"/>
    <sheet name="사용법" sheetId="4" state="visible" r:id="rId4"/>
  </sheets>
  <definedNames>
    <definedName name="선택가능종목">'ETF데이터'!$A$4:$A$148</definedName>
    <definedName name="조회_주기">'종목조회'!$C$10</definedName>
    <definedName name="조회_최소">'종목조회'!$C$11</definedName>
    <definedName name="조회_최대">'종목조회'!$C$12</definedName>
    <definedName name="_xlnm.Print_Titles" localSheetId="0">'제안서'!$1:$5</definedName>
    <definedName name="_xlnm.Print_Area" localSheetId="0">'제안서'!$A$1:$H$95</definedName>
    <definedName name="_xlnm._FilterDatabase" localSheetId="2" hidden="1">'ETF데이터'!$A$3:$S$195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#,##0&quot;원&quot;"/>
    <numFmt numFmtId="165" formatCode="#,##0.##"/>
    <numFmt numFmtId="166" formatCode="#,##0&quot;원&quot;;-#,##0&quot;원&quot;;&quot;&quot;"/>
    <numFmt numFmtId="167" formatCode="#,##0&quot;주&quot;;-#,##0&quot;주&quot;;&quot;&quot;"/>
    <numFmt numFmtId="168" formatCode="#,##0&quot;종목&quot;"/>
    <numFmt numFmtId="169" formatCode="0.000%"/>
    <numFmt numFmtId="170" formatCode="#,##0&quot;억원&quot;"/>
  </numFmts>
  <fonts count="21">
    <font>
      <name val="Calibri"/>
      <family val="2"/>
      <color theme="1"/>
      <sz val="11"/>
      <scheme val="minor"/>
    </font>
    <font>
      <name val="Spoqa Han Sans Neo"/>
      <b val="1"/>
      <color rgb="00F58220"/>
      <sz val="10"/>
    </font>
    <font>
      <name val="Spoqa Han Sans Neo"/>
      <b val="1"/>
      <color rgb="001A1A1A"/>
      <sz val="10"/>
    </font>
    <font>
      <name val="Spoqa Han Sans Neo"/>
      <color rgb="001A1A1A"/>
      <sz val="10"/>
    </font>
    <font>
      <name val="Spoqa Han Sans Neo"/>
      <color rgb="006C6C6C"/>
      <sz val="10"/>
    </font>
    <font>
      <name val="Spoqa Han Sans Neo"/>
      <color rgb="00FFFFFF"/>
      <sz val="9"/>
    </font>
    <font>
      <name val="Spoqa Han Sans Neo"/>
      <b val="1"/>
      <color rgb="00FFFFFF"/>
      <sz val="22"/>
    </font>
    <font>
      <name val="Spoqa Han Sans Neo"/>
      <color rgb="00FFFFFF"/>
      <sz val="10"/>
    </font>
    <font>
      <name val="Spoqa Han Sans Neo"/>
      <color rgb="006C6C6C"/>
      <sz val="9"/>
    </font>
    <font>
      <name val="Spoqa Han Sans Neo"/>
      <b val="1"/>
      <color rgb="00F58220"/>
      <sz val="13"/>
    </font>
    <font>
      <name val="Spoqa Han Sans Neo"/>
      <b val="1"/>
      <color rgb="001A1A1A"/>
      <sz val="13"/>
    </font>
    <font>
      <name val="Spoqa Han Sans Neo"/>
      <b val="1"/>
      <color rgb="000000FF"/>
      <sz val="10"/>
    </font>
    <font>
      <name val="Spoqa Han Sans Neo"/>
      <b val="1"/>
      <color rgb="00C62828"/>
      <sz val="10"/>
    </font>
    <font>
      <name val="Spoqa Han Sans Neo"/>
      <b val="1"/>
      <color rgb="00D4A017"/>
      <sz val="10"/>
    </font>
    <font>
      <name val="Spoqa Han Sans Neo"/>
      <b val="1"/>
      <color rgb="001A1A1A"/>
      <sz val="18"/>
    </font>
    <font>
      <name val="Spoqa Han Sans Neo"/>
      <b val="1"/>
      <color rgb="00F58220"/>
      <sz val="18"/>
    </font>
    <font>
      <name val="Spoqa Han Sans Neo"/>
      <b val="1"/>
      <color rgb="00043B72"/>
      <sz val="11"/>
    </font>
    <font>
      <name val="Spoqa Han Sans Neo"/>
      <color rgb="001A1A1A"/>
      <sz val="9"/>
    </font>
    <font>
      <name val="Spoqa Han Sans Neo"/>
      <color rgb="006C6C6C"/>
      <sz val="8.5"/>
    </font>
    <font>
      <name val="Spoqa Han Sans Neo"/>
      <b val="1"/>
      <color rgb="00F58220"/>
      <sz val="14"/>
    </font>
    <font>
      <name val="Spoqa Han Sans Neo"/>
      <b val="1"/>
      <color rgb="00FFFFFF"/>
      <sz val="16"/>
    </font>
  </fonts>
  <fills count="9">
    <fill>
      <patternFill/>
    </fill>
    <fill>
      <patternFill patternType="gray125"/>
    </fill>
    <fill>
      <patternFill patternType="solid">
        <fgColor rgb="00FAB072"/>
      </patternFill>
    </fill>
    <fill>
      <patternFill patternType="solid">
        <fgColor rgb="00F7F8FA"/>
      </patternFill>
    </fill>
    <fill>
      <patternFill patternType="solid">
        <fgColor rgb="00F58220"/>
      </patternFill>
    </fill>
    <fill>
      <patternFill patternType="solid">
        <fgColor rgb="00043B72"/>
      </patternFill>
    </fill>
    <fill>
      <patternFill patternType="solid">
        <fgColor rgb="00FFF7E6"/>
      </patternFill>
    </fill>
    <fill>
      <patternFill patternType="solid">
        <fgColor rgb="00D7D7D7"/>
      </patternFill>
    </fill>
    <fill>
      <patternFill patternType="solid">
        <fgColor rgb="00ECEFF4"/>
      </patternFill>
    </fill>
  </fills>
  <borders count="30">
    <border>
      <left/>
      <right/>
      <top/>
      <bottom/>
      <diagonal/>
    </border>
    <border>
      <left style="thin">
        <color rgb="00E5E4E1"/>
      </left>
      <right style="thin">
        <color rgb="00E5E4E1"/>
      </right>
      <top style="thin">
        <color rgb="00E5E4E1"/>
      </top>
      <bottom style="thin">
        <color rgb="00E5E4E1"/>
      </bottom>
    </border>
    <border>
      <bottom style="thin">
        <color rgb="00F58220"/>
      </bottom>
    </border>
    <border>
      <left style="thin">
        <color rgb="00E5E4E1"/>
      </left>
      <right style="thin">
        <color rgb="00E5E4E1"/>
      </right>
      <top style="thin">
        <color rgb="00CDCECB"/>
      </top>
      <bottom style="thin">
        <color rgb="00E5E4E1"/>
      </bottom>
    </border>
    <border>
      <left style="thin">
        <color rgb="00E5E4E1"/>
      </left>
      <right style="thin">
        <color rgb="00E5E4E1"/>
      </right>
      <top style="thin">
        <color rgb="00E5E4E1"/>
      </top>
      <bottom style="thin">
        <color rgb="00CDCECB"/>
      </bottom>
    </border>
    <border>
      <left style="thin">
        <color rgb="00CDCECB"/>
      </left>
      <right style="thin">
        <color rgb="00E5E4E1"/>
      </right>
      <top style="thin">
        <color rgb="00CDCECB"/>
      </top>
      <bottom style="thin">
        <color rgb="00E5E4E1"/>
      </bottom>
    </border>
    <border>
      <left style="thin">
        <color rgb="00CDCECB"/>
      </left>
      <right style="thin">
        <color rgb="00CDCECB"/>
      </right>
      <top style="thin">
        <color rgb="00CDCECB"/>
      </top>
      <bottom style="thin">
        <color rgb="00E5E4E1"/>
      </bottom>
    </border>
    <border>
      <left style="thin">
        <color rgb="00CDCECB"/>
      </left>
      <right style="thin">
        <color rgb="00E5E4E1"/>
      </right>
      <top style="thin">
        <color rgb="00E5E4E1"/>
      </top>
      <bottom style="thin">
        <color rgb="00E5E4E1"/>
      </bottom>
    </border>
    <border>
      <left style="thin">
        <color rgb="00CDCECB"/>
      </left>
      <right style="thin">
        <color rgb="00CDCECB"/>
      </right>
      <top style="thin">
        <color rgb="00E5E4E1"/>
      </top>
      <bottom style="thin">
        <color rgb="00E5E4E1"/>
      </bottom>
    </border>
    <border>
      <left style="thin">
        <color rgb="00CDCECB"/>
      </left>
      <right style="thin">
        <color rgb="00E5E4E1"/>
      </right>
      <top style="thin">
        <color rgb="00E5E4E1"/>
      </top>
      <bottom style="thin">
        <color rgb="00CDCECB"/>
      </bottom>
    </border>
    <border>
      <left style="thin">
        <color rgb="00CDCECB"/>
      </left>
      <right style="thin">
        <color rgb="00CDCECB"/>
      </right>
      <top style="thin">
        <color rgb="00E5E4E1"/>
      </top>
      <bottom style="thin">
        <color rgb="00CDCECB"/>
      </bottom>
    </border>
    <border>
      <left/>
      <right/>
      <top style="thin">
        <color rgb="0049535B"/>
      </top>
      <bottom/>
    </border>
    <border>
      <left style="thin">
        <color rgb="00E5E4E1"/>
      </left>
      <right style="thin">
        <color rgb="00E5E4E1"/>
      </right>
      <top style="thin">
        <color rgb="0049535B"/>
      </top>
      <bottom style="thin">
        <color rgb="00E5E4E1"/>
      </bottom>
    </border>
    <border>
      <left/>
      <right/>
      <top style="thin">
        <color rgb="0049535B"/>
      </top>
      <bottom style="thin">
        <color rgb="00CDCECB"/>
      </bottom>
    </border>
    <border>
      <left style="thin">
        <color rgb="00E5E4E1"/>
      </left>
      <right style="thin">
        <color rgb="00E5E4E1"/>
      </right>
      <top style="thin">
        <color rgb="0049535B"/>
      </top>
      <bottom style="thin">
        <color rgb="00CDCECB"/>
      </bottom>
    </border>
    <border>
      <left style="thin">
        <color rgb="00E5E4E1"/>
      </left>
      <right style="thin">
        <color rgb="00CDCECB"/>
      </right>
      <top style="thin">
        <color rgb="00CDCECB"/>
      </top>
      <bottom style="thin">
        <color rgb="00E5E4E1"/>
      </bottom>
    </border>
    <border>
      <left style="thin">
        <color rgb="00E5E4E1"/>
      </left>
      <right style="thin">
        <color rgb="00CDCECB"/>
      </right>
      <top style="thin">
        <color rgb="00E5E4E1"/>
      </top>
      <bottom style="thin">
        <color rgb="00E5E4E1"/>
      </bottom>
    </border>
    <border>
      <left style="thin">
        <color rgb="00CDCECB"/>
      </left>
      <right/>
      <top style="thin">
        <color rgb="0049535B"/>
      </top>
      <bottom style="thin">
        <color rgb="00CDCECB"/>
      </bottom>
    </border>
    <border>
      <left style="thin">
        <color rgb="00E5E4E1"/>
      </left>
      <right style="thin">
        <color rgb="00CDCECB"/>
      </right>
      <top style="thin">
        <color rgb="0049535B"/>
      </top>
      <bottom style="thin">
        <color rgb="00CDCECB"/>
      </bottom>
    </border>
    <border>
      <left/>
      <right/>
      <top style="thin">
        <color rgb="00E5E4E1"/>
      </top>
      <bottom/>
      <diagonal/>
    </border>
    <border>
      <left/>
      <right style="thin">
        <color rgb="00E5E4E1"/>
      </right>
      <top style="thin">
        <color rgb="00E5E4E1"/>
      </top>
      <bottom/>
      <diagonal/>
    </border>
    <border>
      <left/>
      <right style="thin">
        <color rgb="00E5E4E1"/>
      </right>
      <top style="thin">
        <color rgb="00E5E4E1"/>
      </top>
      <bottom style="thin">
        <color rgb="00E5E4E1"/>
      </bottom>
      <diagonal/>
    </border>
    <border>
      <left/>
      <right/>
      <top style="thin">
        <color rgb="00CDCECB"/>
      </top>
      <bottom/>
    </border>
    <border>
      <left/>
      <right/>
      <top style="thin">
        <color rgb="00CDCECB"/>
      </top>
      <bottom style="thin">
        <color rgb="00CDCECB"/>
      </bottom>
    </border>
    <border>
      <left style="thin">
        <color rgb="00E5E4E1"/>
      </left>
      <right style="thin">
        <color rgb="00E5E4E1"/>
      </right>
      <top style="thin">
        <color rgb="00CDCECB"/>
      </top>
      <bottom style="thin">
        <color rgb="00CDCECB"/>
      </bottom>
    </border>
    <border>
      <left/>
      <right style="thin">
        <color rgb="00E5E4E1"/>
      </right>
      <top style="thin">
        <color rgb="00CDCECB"/>
      </top>
      <bottom style="thin">
        <color rgb="00E5E4E1"/>
      </bottom>
    </border>
    <border>
      <left/>
      <right style="thin">
        <color rgb="00E5E4E1"/>
      </right>
      <top style="thin">
        <color rgb="00CDCECB"/>
      </top>
      <bottom style="thin">
        <color rgb="00CDCECB"/>
      </bottom>
    </border>
    <border>
      <left style="thin">
        <color rgb="00CDCECB"/>
      </left>
      <right/>
      <top style="thin">
        <color rgb="00CDCECB"/>
      </top>
      <bottom style="thin">
        <color rgb="00CDCECB"/>
      </bottom>
    </border>
    <border>
      <left/>
      <right style="thin">
        <color rgb="00CDCECB"/>
      </right>
      <top style="thin">
        <color rgb="00CDCECB"/>
      </top>
      <bottom style="thin">
        <color rgb="00CDCECB"/>
      </bottom>
    </border>
    <border>
      <left style="thin">
        <color rgb="00E5E4E1"/>
      </left>
      <right style="thin">
        <color rgb="00CDCECB"/>
      </right>
      <top style="thin">
        <color rgb="00E5E4E1"/>
      </top>
      <bottom style="thin">
        <color rgb="00CDCECB"/>
      </bottom>
    </border>
  </borders>
  <cellStyleXfs count="1">
    <xf numFmtId="0" fontId="0" fillId="0" borderId="0"/>
  </cellStyleXfs>
  <cellXfs count="101">
    <xf numFmtId="0" fontId="0" fillId="0" borderId="0" pivotButton="0" quotePrefix="0" xfId="0"/>
    <xf numFmtId="0" fontId="5" fillId="4" borderId="0" applyAlignment="1" pivotButton="0" quotePrefix="0" xfId="0">
      <alignment vertical="center"/>
    </xf>
    <xf numFmtId="0" fontId="0" fillId="4" borderId="0" pivotButton="0" quotePrefix="0" xfId="0"/>
    <xf numFmtId="0" fontId="8" fillId="0" borderId="0" pivotButton="0" quotePrefix="0" xfId="0"/>
    <xf numFmtId="0" fontId="6" fillId="4" borderId="0" applyAlignment="1" pivotButton="0" quotePrefix="0" xfId="0">
      <alignment vertical="center"/>
    </xf>
    <xf numFmtId="0" fontId="7" fillId="4" borderId="0" applyAlignment="1" pivotButton="0" quotePrefix="0" xfId="0">
      <alignment vertical="center"/>
    </xf>
    <xf numFmtId="0" fontId="0" fillId="5" borderId="0" pivotButton="0" quotePrefix="0" xfId="0"/>
    <xf numFmtId="0" fontId="8" fillId="0" borderId="0" applyAlignment="1" pivotButton="0" quotePrefix="0" xfId="0">
      <alignment vertical="center"/>
    </xf>
    <xf numFmtId="0" fontId="0" fillId="0" borderId="2" pivotButton="0" quotePrefix="0" xfId="0"/>
    <xf numFmtId="0" fontId="9" fillId="0" borderId="0" applyAlignment="1" pivotButton="0" quotePrefix="0" xfId="0">
      <alignment horizontal="right" vertical="center"/>
    </xf>
    <xf numFmtId="0" fontId="1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11" fillId="6" borderId="6" applyAlignment="1" pivotButton="0" quotePrefix="0" xfId="0">
      <alignment horizontal="left" vertical="center"/>
    </xf>
    <xf numFmtId="164" fontId="11" fillId="6" borderId="8" applyAlignment="1" pivotButton="0" quotePrefix="0" xfId="0">
      <alignment horizontal="right" vertical="center"/>
    </xf>
    <xf numFmtId="0" fontId="11" fillId="6" borderId="8" applyAlignment="1" pivotButton="0" quotePrefix="0" xfId="0">
      <alignment horizontal="left" vertical="center"/>
    </xf>
    <xf numFmtId="10" fontId="11" fillId="6" borderId="8" applyAlignment="1" pivotButton="0" quotePrefix="0" xfId="0">
      <alignment horizontal="right" vertical="center"/>
    </xf>
    <xf numFmtId="0" fontId="11" fillId="6" borderId="10" applyAlignment="1" pivotButton="0" quotePrefix="0" xfId="0">
      <alignment horizontal="left" vertical="center"/>
    </xf>
    <xf numFmtId="0" fontId="2" fillId="2" borderId="5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2" fillId="2" borderId="15" applyAlignment="1" pivotButton="0" quotePrefix="0" xfId="0">
      <alignment horizontal="center" vertical="center" wrapText="1"/>
    </xf>
    <xf numFmtId="0" fontId="11" fillId="6" borderId="7" applyAlignment="1" pivotButton="0" quotePrefix="0" xfId="0">
      <alignment horizontal="left" vertical="center"/>
    </xf>
    <xf numFmtId="165" fontId="11" fillId="6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67" fontId="3" fillId="0" borderId="1" applyAlignment="1" pivotButton="0" quotePrefix="0" xfId="0">
      <alignment horizontal="right" vertical="center"/>
    </xf>
    <xf numFmtId="166" fontId="3" fillId="0" borderId="16" applyAlignment="1" pivotButton="0" quotePrefix="0" xfId="0">
      <alignment horizontal="right" vertical="center"/>
    </xf>
    <xf numFmtId="166" fontId="3" fillId="3" borderId="1" applyAlignment="1" pivotButton="0" quotePrefix="0" xfId="0">
      <alignment horizontal="right" vertical="center"/>
    </xf>
    <xf numFmtId="167" fontId="3" fillId="3" borderId="1" applyAlignment="1" pivotButton="0" quotePrefix="0" xfId="0">
      <alignment horizontal="right" vertical="center"/>
    </xf>
    <xf numFmtId="166" fontId="3" fillId="3" borderId="16" applyAlignment="1" pivotButton="0" quotePrefix="0" xfId="0">
      <alignment horizontal="right" vertical="center"/>
    </xf>
    <xf numFmtId="0" fontId="2" fillId="7" borderId="17" applyAlignment="1" pivotButton="0" quotePrefix="0" xfId="0">
      <alignment vertical="center"/>
    </xf>
    <xf numFmtId="165" fontId="2" fillId="7" borderId="14" applyAlignment="1" pivotButton="0" quotePrefix="0" xfId="0">
      <alignment horizontal="right" vertical="center"/>
    </xf>
    <xf numFmtId="164" fontId="2" fillId="7" borderId="14" applyAlignment="1" pivotButton="0" quotePrefix="0" xfId="0">
      <alignment horizontal="right" vertical="center"/>
    </xf>
    <xf numFmtId="0" fontId="0" fillId="7" borderId="13" pivotButton="0" quotePrefix="0" xfId="0"/>
    <xf numFmtId="164" fontId="2" fillId="7" borderId="18" applyAlignment="1" pivotButton="0" quotePrefix="0" xfId="0">
      <alignment horizontal="right" vertical="center"/>
    </xf>
    <xf numFmtId="0" fontId="12" fillId="0" borderId="0" pivotButton="0" quotePrefix="0" xfId="0"/>
    <xf numFmtId="0" fontId="13" fillId="0" borderId="0" pivotButton="0" quotePrefix="0" xfId="0"/>
    <xf numFmtId="164" fontId="3" fillId="0" borderId="6" applyAlignment="1" pivotButton="0" quotePrefix="0" xfId="0">
      <alignment horizontal="right" vertical="center"/>
    </xf>
    <xf numFmtId="0" fontId="2" fillId="8" borderId="27" applyAlignment="1" pivotButton="0" quotePrefix="0" xfId="0">
      <alignment vertical="center"/>
    </xf>
    <xf numFmtId="164" fontId="15" fillId="8" borderId="24" applyAlignment="1" pivotButton="0" quotePrefix="0" xfId="0">
      <alignment horizontal="right" vertical="center"/>
    </xf>
    <xf numFmtId="0" fontId="0" fillId="0" borderId="28" pivotButton="0" quotePrefix="0" xfId="0"/>
    <xf numFmtId="164" fontId="3" fillId="0" borderId="8" applyAlignment="1" pivotButton="0" quotePrefix="0" xfId="0">
      <alignment horizontal="right" vertical="center"/>
    </xf>
    <xf numFmtId="168" fontId="3" fillId="0" borderId="10" applyAlignment="1" pivotButton="0" quotePrefix="0" xfId="0">
      <alignment horizontal="right" vertical="center"/>
    </xf>
    <xf numFmtId="164" fontId="3" fillId="0" borderId="10" applyAlignment="1" pivotButton="0" quotePrefix="0" xfId="0">
      <alignment horizontal="right" vertical="center"/>
    </xf>
    <xf numFmtId="10" fontId="16" fillId="0" borderId="6" applyAlignment="1" pivotButton="0" quotePrefix="0" xfId="0">
      <alignment horizontal="right" vertical="center"/>
    </xf>
    <xf numFmtId="169" fontId="3" fillId="0" borderId="6" applyAlignment="1" pivotButton="0" quotePrefix="0" xfId="0">
      <alignment horizontal="right" vertical="center"/>
    </xf>
    <xf numFmtId="10" fontId="3" fillId="0" borderId="10" applyAlignment="1" pivotButton="0" quotePrefix="0" xfId="0">
      <alignment horizontal="right" vertical="center"/>
    </xf>
    <xf numFmtId="169" fontId="3" fillId="0" borderId="10" applyAlignment="1" pivotButton="0" quotePrefix="0" xfId="0">
      <alignment horizontal="right" vertical="center"/>
    </xf>
    <xf numFmtId="164" fontId="2" fillId="0" borderId="7" applyAlignment="1" pivotButton="0" quotePrefix="0" xfId="0">
      <alignment horizontal="right" vertical="center"/>
    </xf>
    <xf numFmtId="164" fontId="3" fillId="0" borderId="1" applyAlignment="1" pivotButton="0" quotePrefix="0" xfId="0">
      <alignment horizontal="right" vertical="center"/>
    </xf>
    <xf numFmtId="164" fontId="3" fillId="0" borderId="16" applyAlignment="1" pivotButton="0" quotePrefix="0" xfId="0">
      <alignment horizontal="right" vertical="center"/>
    </xf>
    <xf numFmtId="164" fontId="2" fillId="3" borderId="7" applyAlignment="1" pivotButton="0" quotePrefix="0" xfId="0">
      <alignment horizontal="right" vertical="center"/>
    </xf>
    <xf numFmtId="164" fontId="3" fillId="3" borderId="1" applyAlignment="1" pivotButton="0" quotePrefix="0" xfId="0">
      <alignment horizontal="right" vertical="center"/>
    </xf>
    <xf numFmtId="164" fontId="3" fillId="3" borderId="16" applyAlignment="1" pivotButton="0" quotePrefix="0" xfId="0">
      <alignment horizontal="right" vertical="center"/>
    </xf>
    <xf numFmtId="164" fontId="2" fillId="3" borderId="9" applyAlignment="1" pivotButton="0" quotePrefix="0" xfId="0">
      <alignment horizontal="right" vertical="center"/>
    </xf>
    <xf numFmtId="164" fontId="3" fillId="3" borderId="4" applyAlignment="1" pivotButton="0" quotePrefix="0" xfId="0">
      <alignment horizontal="right" vertical="center"/>
    </xf>
    <xf numFmtId="164" fontId="3" fillId="3" borderId="29" applyAlignment="1" pivotButton="0" quotePrefix="0" xfId="0">
      <alignment horizontal="right" vertical="center"/>
    </xf>
    <xf numFmtId="0" fontId="3" fillId="0" borderId="7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10" fontId="3" fillId="0" borderId="1" applyAlignment="1" pivotButton="0" quotePrefix="0" xfId="0">
      <alignment horizontal="right" vertical="center"/>
    </xf>
    <xf numFmtId="10" fontId="3" fillId="0" borderId="16" applyAlignment="1" pivotButton="0" quotePrefix="0" xfId="0">
      <alignment horizontal="right" vertical="center"/>
    </xf>
    <xf numFmtId="0" fontId="3" fillId="3" borderId="7" applyAlignment="1" pivotButton="0" quotePrefix="0" xfId="0">
      <alignment horizontal="left" vertical="center"/>
    </xf>
    <xf numFmtId="0" fontId="4" fillId="3" borderId="1" applyAlignment="1" pivotButton="0" quotePrefix="0" xfId="0">
      <alignment horizontal="center" vertical="center"/>
    </xf>
    <xf numFmtId="10" fontId="3" fillId="3" borderId="1" applyAlignment="1" pivotButton="0" quotePrefix="0" xfId="0">
      <alignment horizontal="right" vertical="center"/>
    </xf>
    <xf numFmtId="10" fontId="3" fillId="3" borderId="16" applyAlignment="1" pivotButton="0" quotePrefix="0" xfId="0">
      <alignment horizontal="right" vertical="center"/>
    </xf>
    <xf numFmtId="0" fontId="3" fillId="3" borderId="9" applyAlignment="1" pivotButton="0" quotePrefix="0" xfId="0">
      <alignment horizontal="left" vertical="center"/>
    </xf>
    <xf numFmtId="0" fontId="4" fillId="3" borderId="4" applyAlignment="1" pivotButton="0" quotePrefix="0" xfId="0">
      <alignment horizontal="center" vertical="center"/>
    </xf>
    <xf numFmtId="10" fontId="3" fillId="3" borderId="4" applyAlignment="1" pivotButton="0" quotePrefix="0" xfId="0">
      <alignment horizontal="right" vertical="center"/>
    </xf>
    <xf numFmtId="10" fontId="3" fillId="3" borderId="29" applyAlignment="1" pivotButton="0" quotePrefix="0" xfId="0">
      <alignment horizontal="right" vertical="center"/>
    </xf>
    <xf numFmtId="0" fontId="17" fillId="0" borderId="0" applyAlignment="1" pivotButton="0" quotePrefix="0" xfId="0">
      <alignment vertical="center"/>
    </xf>
    <xf numFmtId="0" fontId="18" fillId="0" borderId="0" pivotButton="0" quotePrefix="0" xfId="0"/>
    <xf numFmtId="0" fontId="3" fillId="0" borderId="0" applyAlignment="1" pivotButton="0" quotePrefix="0" xfId="0">
      <alignment vertical="center"/>
    </xf>
    <xf numFmtId="0" fontId="11" fillId="6" borderId="1" applyAlignment="1" pivotButton="0" quotePrefix="0" xfId="0">
      <alignment horizontal="left" vertical="center"/>
    </xf>
    <xf numFmtId="10" fontId="11" fillId="6" borderId="1" applyAlignment="1" pivotButton="0" quotePrefix="0" xfId="0">
      <alignment horizontal="right" vertical="center"/>
    </xf>
    <xf numFmtId="168" fontId="19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0" fontId="3" fillId="0" borderId="1" applyAlignment="1" pivotButton="0" quotePrefix="0" xfId="0">
      <alignment horizontal="right"/>
    </xf>
    <xf numFmtId="169" fontId="3" fillId="0" borderId="1" applyAlignment="1" pivotButton="0" quotePrefix="0" xfId="0">
      <alignment horizontal="right"/>
    </xf>
    <xf numFmtId="164" fontId="3" fillId="0" borderId="1" applyAlignment="1" pivotButton="0" quotePrefix="0" xfId="0">
      <alignment horizontal="right"/>
    </xf>
    <xf numFmtId="170" fontId="3" fillId="0" borderId="1" applyAlignment="1" pivotButton="0" quotePrefix="0" xfId="0">
      <alignment horizontal="right"/>
    </xf>
    <xf numFmtId="0" fontId="3" fillId="0" borderId="16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0" fontId="3" fillId="3" borderId="1" applyAlignment="1" pivotButton="0" quotePrefix="0" xfId="0">
      <alignment horizontal="right"/>
    </xf>
    <xf numFmtId="169" fontId="3" fillId="3" borderId="1" applyAlignment="1" pivotButton="0" quotePrefix="0" xfId="0">
      <alignment horizontal="right"/>
    </xf>
    <xf numFmtId="164" fontId="3" fillId="3" borderId="1" applyAlignment="1" pivotButton="0" quotePrefix="0" xfId="0">
      <alignment horizontal="right"/>
    </xf>
    <xf numFmtId="170" fontId="3" fillId="3" borderId="1" applyAlignment="1" pivotButton="0" quotePrefix="0" xfId="0">
      <alignment horizontal="right"/>
    </xf>
    <xf numFmtId="0" fontId="3" fillId="3" borderId="16" applyAlignment="1" pivotButton="0" quotePrefix="0" xfId="0">
      <alignment horizontal="center" vertical="center"/>
    </xf>
    <xf numFmtId="0" fontId="3" fillId="3" borderId="4" applyAlignment="1" pivotButton="0" quotePrefix="0" xfId="0">
      <alignment horizontal="center" vertical="center"/>
    </xf>
    <xf numFmtId="10" fontId="3" fillId="3" borderId="4" applyAlignment="1" pivotButton="0" quotePrefix="0" xfId="0">
      <alignment horizontal="right"/>
    </xf>
    <xf numFmtId="169" fontId="3" fillId="3" borderId="4" applyAlignment="1" pivotButton="0" quotePrefix="0" xfId="0">
      <alignment horizontal="right"/>
    </xf>
    <xf numFmtId="164" fontId="3" fillId="3" borderId="4" applyAlignment="1" pivotButton="0" quotePrefix="0" xfId="0">
      <alignment horizontal="right"/>
    </xf>
    <xf numFmtId="170" fontId="3" fillId="3" borderId="4" applyAlignment="1" pivotButton="0" quotePrefix="0" xfId="0">
      <alignment horizontal="right"/>
    </xf>
    <xf numFmtId="0" fontId="3" fillId="3" borderId="29" applyAlignment="1" pivotButton="0" quotePrefix="0" xfId="0">
      <alignment horizontal="center" vertical="center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3" fontId="3" fillId="0" borderId="1" applyAlignment="1" pivotButton="0" quotePrefix="0" xfId="0">
      <alignment horizontal="right"/>
    </xf>
    <xf numFmtId="0" fontId="4" fillId="3" borderId="1" pivotButton="0" quotePrefix="0" xfId="0"/>
    <xf numFmtId="3" fontId="4" fillId="3" borderId="1" applyAlignment="1" pivotButton="0" quotePrefix="0" xfId="0">
      <alignment horizontal="right"/>
    </xf>
    <xf numFmtId="10" fontId="4" fillId="3" borderId="1" applyAlignment="1" pivotButton="0" quotePrefix="0" xfId="0">
      <alignment horizontal="right"/>
    </xf>
    <xf numFmtId="0" fontId="20" fillId="4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9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.5" customWidth="1" min="1" max="1"/>
    <col width="32" customWidth="1" min="2" max="2"/>
    <col width="16" customWidth="1" min="3" max="3"/>
    <col width="15" customWidth="1" min="4" max="4"/>
    <col width="13" customWidth="1" min="5" max="5"/>
    <col width="16" customWidth="1" min="6" max="6"/>
    <col width="17" customWidth="1" min="7" max="7"/>
    <col width="17" customWidth="1" min="8" max="8"/>
    <col hidden="1" width="13" customWidth="1" min="10" max="10"/>
    <col hidden="1" width="13" customWidth="1" min="11" max="11"/>
    <col hidden="1" width="13" customWidth="1" min="12" max="12"/>
  </cols>
  <sheetData>
    <row r="1" ht="16" customHeight="1">
      <c r="A1" s="1" t="inlineStr">
        <is>
          <t xml:space="preserve">   사내한 · Confidential</t>
        </is>
      </c>
      <c r="B1" s="2" t="n"/>
      <c r="C1" s="2" t="n"/>
      <c r="D1" s="2" t="n"/>
      <c r="E1" s="2" t="n"/>
      <c r="F1" s="2" t="n"/>
      <c r="G1" s="2" t="n"/>
      <c r="H1" s="2" t="n"/>
      <c r="J1" s="3" t="inlineStr">
        <is>
          <t>계산 보조 (수정하지 마십시오)</t>
        </is>
      </c>
    </row>
    <row r="2" ht="40" customHeight="1">
      <c r="A2" s="4" t="inlineStr">
        <is>
          <t xml:space="preserve">   월배당 ETF 투자 제안서</t>
        </is>
      </c>
      <c r="B2" s="2" t="n"/>
      <c r="C2" s="2" t="n"/>
      <c r="D2" s="2" t="n"/>
      <c r="E2" s="2" t="n"/>
      <c r="F2" s="2" t="n"/>
      <c r="G2" s="2" t="n"/>
      <c r="H2" s="2" t="n"/>
    </row>
    <row r="3" ht="22" customHeight="1">
      <c r="A3" s="5" t="inlineStr">
        <is>
          <t xml:space="preserve">   Monthly Distribution ETF Portfolio</t>
        </is>
      </c>
      <c r="B3" s="2" t="n"/>
      <c r="C3" s="2" t="n"/>
      <c r="D3" s="2" t="n"/>
      <c r="E3" s="2" t="n"/>
      <c r="F3" s="2" t="n"/>
      <c r="G3" s="2" t="n"/>
      <c r="H3" s="2" t="n"/>
    </row>
    <row r="4" ht="3" customHeight="1">
      <c r="A4" s="6" t="n"/>
      <c r="B4" s="6" t="n"/>
      <c r="C4" s="6" t="n"/>
      <c r="D4" s="6" t="n"/>
      <c r="E4" s="6" t="n"/>
      <c r="F4" s="6" t="n"/>
      <c r="G4" s="6" t="n"/>
      <c r="H4" s="6" t="n"/>
    </row>
    <row r="5" ht="20" customHeight="1">
      <c r="A5" s="7" t="inlineStr">
        <is>
          <t xml:space="preserve">   자료 ETFCHECK · 기준일 2026-09-17 · 매월 1일 자동 갱신</t>
        </is>
      </c>
    </row>
    <row r="7" ht="4" customHeight="1">
      <c r="A7" s="8" t="n"/>
      <c r="B7" s="8" t="n"/>
      <c r="C7" s="8" t="n"/>
      <c r="D7" s="8" t="n"/>
      <c r="E7" s="8" t="n"/>
      <c r="F7" s="8" t="n"/>
      <c r="G7" s="8" t="n"/>
      <c r="H7" s="8" t="n"/>
    </row>
    <row r="8" ht="26" customHeight="1">
      <c r="A8" s="9" t="inlineStr">
        <is>
          <t>1</t>
        </is>
      </c>
      <c r="B8" s="10" t="inlineStr">
        <is>
          <t>고객 정보 및 투자 조건</t>
        </is>
      </c>
    </row>
    <row r="9" ht="6" customHeight="1"/>
    <row r="10" ht="21" customHeight="1">
      <c r="B10" s="11" t="inlineStr">
        <is>
          <t>고객명</t>
        </is>
      </c>
      <c r="C10" s="12" t="inlineStr">
        <is>
          <t>홍길동</t>
        </is>
      </c>
    </row>
    <row r="11" ht="21" customHeight="1">
      <c r="B11" s="11" t="inlineStr">
        <is>
          <t>총 투자금액 (원)</t>
        </is>
      </c>
      <c r="C11" s="13" t="n">
        <v>100000000</v>
      </c>
    </row>
    <row r="12" ht="21" customHeight="1">
      <c r="B12" s="11" t="inlineStr">
        <is>
          <t>배분 방식</t>
        </is>
      </c>
      <c r="C12" s="14" t="inlineStr">
        <is>
          <t>비율</t>
        </is>
      </c>
      <c r="E12" s="7" t="inlineStr">
        <is>
          <t>비율 = 총액을 %로 나눔 · 금액 = 종목별 금액 직접 입력</t>
        </is>
      </c>
    </row>
    <row r="13" ht="21" customHeight="1">
      <c r="B13" s="11" t="inlineStr">
        <is>
          <t>배당소득세율</t>
        </is>
      </c>
      <c r="C13" s="15" t="n">
        <v>0.154</v>
      </c>
      <c r="E13" s="7" t="inlineStr">
        <is>
          <t>국내 상장 ETF 분배금 기준 15.4% (지방소득세 포함)</t>
        </is>
      </c>
    </row>
    <row r="14" ht="21" customHeight="1">
      <c r="B14" s="11" t="inlineStr">
        <is>
          <t>제안일</t>
        </is>
      </c>
      <c r="C14" s="16" t="inlineStr">
        <is>
          <t>2026-09-17</t>
        </is>
      </c>
    </row>
    <row r="16" ht="4" customHeight="1">
      <c r="A16" s="8" t="n"/>
      <c r="B16" s="8" t="n"/>
      <c r="C16" s="8" t="n"/>
      <c r="D16" s="8" t="n"/>
      <c r="E16" s="8" t="n"/>
      <c r="F16" s="8" t="n"/>
      <c r="G16" s="8" t="n"/>
      <c r="H16" s="8" t="n"/>
    </row>
    <row r="17" ht="26" customHeight="1">
      <c r="A17" s="9" t="inlineStr">
        <is>
          <t>2</t>
        </is>
      </c>
      <c r="B17" s="10" t="inlineStr">
        <is>
          <t>투자 포트폴리오  (최대 10종목)</t>
        </is>
      </c>
    </row>
    <row r="18" ht="6" customHeight="1"/>
    <row r="19" ht="30" customHeight="1">
      <c r="B19" s="17" t="inlineStr">
        <is>
          <t>투자 ETF</t>
        </is>
      </c>
      <c r="C19" s="18">
        <f>IF($C$12="비율","배분 비율 (%)","배분 금액 (원)")</f>
        <v/>
      </c>
      <c r="D19" s="18" t="inlineStr">
        <is>
          <t>배정 금액</t>
        </is>
      </c>
      <c r="E19" s="18" t="inlineStr">
        <is>
          <t>매수 수량</t>
        </is>
      </c>
      <c r="F19" s="18" t="inlineStr">
        <is>
          <t>실투자금액</t>
        </is>
      </c>
      <c r="G19" s="18" t="inlineStr">
        <is>
          <t>월 분배금(세전)</t>
        </is>
      </c>
      <c r="H19" s="19" t="inlineStr">
        <is>
          <t>월 분배금(세후)</t>
        </is>
      </c>
    </row>
    <row r="20" ht="19" customHeight="1">
      <c r="B20" s="20" t="inlineStr">
        <is>
          <t>TIGER 미국배당다우존스</t>
        </is>
      </c>
      <c r="C20" s="21" t="n">
        <v>100</v>
      </c>
      <c r="D20" s="22">
        <f>IF($K20=0,0,IF($C$12="비율",ROUND($C$11*$C20/100,0),$C20))</f>
        <v/>
      </c>
      <c r="E20" s="23">
        <f>IF($K20=0,0,ROUNDDOWN($D20/INDEX('ETF데이터'!$D$4:$D$148,$K20),0))</f>
        <v/>
      </c>
      <c r="F20" s="22">
        <f>IF($K20=0,0,$E20*INDEX('ETF데이터'!$D$4:$D$148,$K20))</f>
        <v/>
      </c>
      <c r="G20" s="22">
        <f>IF($K20=0,0,$F20*INDEX('ETF데이터'!$J$4:$J$148,$K20)/12)</f>
        <v/>
      </c>
      <c r="H20" s="24">
        <f>$G20*(1-$C$13)</f>
        <v/>
      </c>
      <c r="K20" s="3">
        <f>IF($B20="",0,IFERROR(MATCH($B20,선택가능종목,0),0))</f>
        <v/>
      </c>
      <c r="L20" s="3">
        <f>IF($K20=0,"",INDEX('ETF데이터'!$M$4:$M$148,$K20))</f>
        <v/>
      </c>
    </row>
    <row r="21" ht="19" customHeight="1">
      <c r="B21" s="20" t="n"/>
      <c r="C21" s="21" t="n"/>
      <c r="D21" s="25">
        <f>IF($K21=0,0,IF($C$12="비율",ROUND($C$11*$C21/100,0),$C21))</f>
        <v/>
      </c>
      <c r="E21" s="26">
        <f>IF($K21=0,0,ROUNDDOWN($D21/INDEX('ETF데이터'!$D$4:$D$148,$K21),0))</f>
        <v/>
      </c>
      <c r="F21" s="25">
        <f>IF($K21=0,0,$E21*INDEX('ETF데이터'!$D$4:$D$148,$K21))</f>
        <v/>
      </c>
      <c r="G21" s="25">
        <f>IF($K21=0,0,$F21*INDEX('ETF데이터'!$J$4:$J$148,$K21)/12)</f>
        <v/>
      </c>
      <c r="H21" s="27">
        <f>$G21*(1-$C$13)</f>
        <v/>
      </c>
      <c r="K21" s="3">
        <f>IF($B21="",0,IFERROR(MATCH($B21,선택가능종목,0),0))</f>
        <v/>
      </c>
      <c r="L21" s="3">
        <f>IF($K21=0,"",INDEX('ETF데이터'!$M$4:$M$148,$K21))</f>
        <v/>
      </c>
    </row>
    <row r="22" ht="19" customHeight="1">
      <c r="B22" s="20" t="n"/>
      <c r="C22" s="21" t="n"/>
      <c r="D22" s="22">
        <f>IF($K22=0,0,IF($C$12="비율",ROUND($C$11*$C22/100,0),$C22))</f>
        <v/>
      </c>
      <c r="E22" s="23">
        <f>IF($K22=0,0,ROUNDDOWN($D22/INDEX('ETF데이터'!$D$4:$D$148,$K22),0))</f>
        <v/>
      </c>
      <c r="F22" s="22">
        <f>IF($K22=0,0,$E22*INDEX('ETF데이터'!$D$4:$D$148,$K22))</f>
        <v/>
      </c>
      <c r="G22" s="22">
        <f>IF($K22=0,0,$F22*INDEX('ETF데이터'!$J$4:$J$148,$K22)/12)</f>
        <v/>
      </c>
      <c r="H22" s="24">
        <f>$G22*(1-$C$13)</f>
        <v/>
      </c>
      <c r="K22" s="3">
        <f>IF($B22="",0,IFERROR(MATCH($B22,선택가능종목,0),0))</f>
        <v/>
      </c>
      <c r="L22" s="3">
        <f>IF($K22=0,"",INDEX('ETF데이터'!$M$4:$M$148,$K22))</f>
        <v/>
      </c>
    </row>
    <row r="23" ht="19" customHeight="1">
      <c r="B23" s="20" t="n"/>
      <c r="C23" s="21" t="n"/>
      <c r="D23" s="25">
        <f>IF($K23=0,0,IF($C$12="비율",ROUND($C$11*$C23/100,0),$C23))</f>
        <v/>
      </c>
      <c r="E23" s="26">
        <f>IF($K23=0,0,ROUNDDOWN($D23/INDEX('ETF데이터'!$D$4:$D$148,$K23),0))</f>
        <v/>
      </c>
      <c r="F23" s="25">
        <f>IF($K23=0,0,$E23*INDEX('ETF데이터'!$D$4:$D$148,$K23))</f>
        <v/>
      </c>
      <c r="G23" s="25">
        <f>IF($K23=0,0,$F23*INDEX('ETF데이터'!$J$4:$J$148,$K23)/12)</f>
        <v/>
      </c>
      <c r="H23" s="27">
        <f>$G23*(1-$C$13)</f>
        <v/>
      </c>
      <c r="K23" s="3">
        <f>IF($B23="",0,IFERROR(MATCH($B23,선택가능종목,0),0))</f>
        <v/>
      </c>
      <c r="L23" s="3">
        <f>IF($K23=0,"",INDEX('ETF데이터'!$M$4:$M$148,$K23))</f>
        <v/>
      </c>
    </row>
    <row r="24" ht="19" customHeight="1">
      <c r="B24" s="20" t="n"/>
      <c r="C24" s="21" t="n"/>
      <c r="D24" s="22">
        <f>IF($K24=0,0,IF($C$12="비율",ROUND($C$11*$C24/100,0),$C24))</f>
        <v/>
      </c>
      <c r="E24" s="23">
        <f>IF($K24=0,0,ROUNDDOWN($D24/INDEX('ETF데이터'!$D$4:$D$148,$K24),0))</f>
        <v/>
      </c>
      <c r="F24" s="22">
        <f>IF($K24=0,0,$E24*INDEX('ETF데이터'!$D$4:$D$148,$K24))</f>
        <v/>
      </c>
      <c r="G24" s="22">
        <f>IF($K24=0,0,$F24*INDEX('ETF데이터'!$J$4:$J$148,$K24)/12)</f>
        <v/>
      </c>
      <c r="H24" s="24">
        <f>$G24*(1-$C$13)</f>
        <v/>
      </c>
      <c r="K24" s="3">
        <f>IF($B24="",0,IFERROR(MATCH($B24,선택가능종목,0),0))</f>
        <v/>
      </c>
      <c r="L24" s="3">
        <f>IF($K24=0,"",INDEX('ETF데이터'!$M$4:$M$148,$K24))</f>
        <v/>
      </c>
    </row>
    <row r="25" ht="19" customHeight="1">
      <c r="B25" s="20" t="n"/>
      <c r="C25" s="21" t="n"/>
      <c r="D25" s="25">
        <f>IF($K25=0,0,IF($C$12="비율",ROUND($C$11*$C25/100,0),$C25))</f>
        <v/>
      </c>
      <c r="E25" s="26">
        <f>IF($K25=0,0,ROUNDDOWN($D25/INDEX('ETF데이터'!$D$4:$D$148,$K25),0))</f>
        <v/>
      </c>
      <c r="F25" s="25">
        <f>IF($K25=0,0,$E25*INDEX('ETF데이터'!$D$4:$D$148,$K25))</f>
        <v/>
      </c>
      <c r="G25" s="25">
        <f>IF($K25=0,0,$F25*INDEX('ETF데이터'!$J$4:$J$148,$K25)/12)</f>
        <v/>
      </c>
      <c r="H25" s="27">
        <f>$G25*(1-$C$13)</f>
        <v/>
      </c>
      <c r="K25" s="3">
        <f>IF($B25="",0,IFERROR(MATCH($B25,선택가능종목,0),0))</f>
        <v/>
      </c>
      <c r="L25" s="3">
        <f>IF($K25=0,"",INDEX('ETF데이터'!$M$4:$M$148,$K25))</f>
        <v/>
      </c>
    </row>
    <row r="26" ht="19" customHeight="1">
      <c r="B26" s="20" t="n"/>
      <c r="C26" s="21" t="n"/>
      <c r="D26" s="22">
        <f>IF($K26=0,0,IF($C$12="비율",ROUND($C$11*$C26/100,0),$C26))</f>
        <v/>
      </c>
      <c r="E26" s="23">
        <f>IF($K26=0,0,ROUNDDOWN($D26/INDEX('ETF데이터'!$D$4:$D$148,$K26),0))</f>
        <v/>
      </c>
      <c r="F26" s="22">
        <f>IF($K26=0,0,$E26*INDEX('ETF데이터'!$D$4:$D$148,$K26))</f>
        <v/>
      </c>
      <c r="G26" s="22">
        <f>IF($K26=0,0,$F26*INDEX('ETF데이터'!$J$4:$J$148,$K26)/12)</f>
        <v/>
      </c>
      <c r="H26" s="24">
        <f>$G26*(1-$C$13)</f>
        <v/>
      </c>
      <c r="K26" s="3">
        <f>IF($B26="",0,IFERROR(MATCH($B26,선택가능종목,0),0))</f>
        <v/>
      </c>
      <c r="L26" s="3">
        <f>IF($K26=0,"",INDEX('ETF데이터'!$M$4:$M$148,$K26))</f>
        <v/>
      </c>
    </row>
    <row r="27" ht="19" customHeight="1">
      <c r="B27" s="20" t="n"/>
      <c r="C27" s="21" t="n"/>
      <c r="D27" s="25">
        <f>IF($K27=0,0,IF($C$12="비율",ROUND($C$11*$C27/100,0),$C27))</f>
        <v/>
      </c>
      <c r="E27" s="26">
        <f>IF($K27=0,0,ROUNDDOWN($D27/INDEX('ETF데이터'!$D$4:$D$148,$K27),0))</f>
        <v/>
      </c>
      <c r="F27" s="25">
        <f>IF($K27=0,0,$E27*INDEX('ETF데이터'!$D$4:$D$148,$K27))</f>
        <v/>
      </c>
      <c r="G27" s="25">
        <f>IF($K27=0,0,$F27*INDEX('ETF데이터'!$J$4:$J$148,$K27)/12)</f>
        <v/>
      </c>
      <c r="H27" s="27">
        <f>$G27*(1-$C$13)</f>
        <v/>
      </c>
      <c r="K27" s="3">
        <f>IF($B27="",0,IFERROR(MATCH($B27,선택가능종목,0),0))</f>
        <v/>
      </c>
      <c r="L27" s="3">
        <f>IF($K27=0,"",INDEX('ETF데이터'!$M$4:$M$148,$K27))</f>
        <v/>
      </c>
    </row>
    <row r="28" ht="19" customHeight="1">
      <c r="B28" s="20" t="n"/>
      <c r="C28" s="21" t="n"/>
      <c r="D28" s="22">
        <f>IF($K28=0,0,IF($C$12="비율",ROUND($C$11*$C28/100,0),$C28))</f>
        <v/>
      </c>
      <c r="E28" s="23">
        <f>IF($K28=0,0,ROUNDDOWN($D28/INDEX('ETF데이터'!$D$4:$D$148,$K28),0))</f>
        <v/>
      </c>
      <c r="F28" s="22">
        <f>IF($K28=0,0,$E28*INDEX('ETF데이터'!$D$4:$D$148,$K28))</f>
        <v/>
      </c>
      <c r="G28" s="22">
        <f>IF($K28=0,0,$F28*INDEX('ETF데이터'!$J$4:$J$148,$K28)/12)</f>
        <v/>
      </c>
      <c r="H28" s="24">
        <f>$G28*(1-$C$13)</f>
        <v/>
      </c>
      <c r="K28" s="3">
        <f>IF($B28="",0,IFERROR(MATCH($B28,선택가능종목,0),0))</f>
        <v/>
      </c>
      <c r="L28" s="3">
        <f>IF($K28=0,"",INDEX('ETF데이터'!$M$4:$M$148,$K28))</f>
        <v/>
      </c>
    </row>
    <row r="29" ht="19" customHeight="1">
      <c r="B29" s="20" t="n"/>
      <c r="C29" s="21" t="n"/>
      <c r="D29" s="25">
        <f>IF($K29=0,0,IF($C$12="비율",ROUND($C$11*$C29/100,0),$C29))</f>
        <v/>
      </c>
      <c r="E29" s="26">
        <f>IF($K29=0,0,ROUNDDOWN($D29/INDEX('ETF데이터'!$D$4:$D$148,$K29),0))</f>
        <v/>
      </c>
      <c r="F29" s="25">
        <f>IF($K29=0,0,$E29*INDEX('ETF데이터'!$D$4:$D$148,$K29))</f>
        <v/>
      </c>
      <c r="G29" s="25">
        <f>IF($K29=0,0,$F29*INDEX('ETF데이터'!$J$4:$J$148,$K29)/12)</f>
        <v/>
      </c>
      <c r="H29" s="27">
        <f>$G29*(1-$C$13)</f>
        <v/>
      </c>
      <c r="K29" s="3">
        <f>IF($B29="",0,IFERROR(MATCH($B29,선택가능종목,0),0))</f>
        <v/>
      </c>
      <c r="L29" s="3">
        <f>IF($K29=0,"",INDEX('ETF데이터'!$M$4:$M$148,$K29))</f>
        <v/>
      </c>
    </row>
    <row r="30" ht="21" customHeight="1">
      <c r="B30" s="28" t="inlineStr">
        <is>
          <t>합계</t>
        </is>
      </c>
      <c r="C30" s="29">
        <f>SUM(C20:C29)</f>
        <v/>
      </c>
      <c r="D30" s="30">
        <f>SUM(D20:D29)</f>
        <v/>
      </c>
      <c r="E30" s="31" t="n"/>
      <c r="F30" s="30">
        <f>SUM(F20:F29)</f>
        <v/>
      </c>
      <c r="G30" s="30">
        <f>SUM(G20:G29)</f>
        <v/>
      </c>
      <c r="H30" s="32">
        <f>SUM(H20:H29)</f>
        <v/>
      </c>
    </row>
    <row r="31" ht="17" customHeight="1">
      <c r="B31" s="33">
        <f>IF($C$12="비율",IF(ABS($C30-100)&gt;0.01,"※ 배분 비율 합계가 100%가 아닙니다. 배분 칸을 확인하십시오.",""),IF($D30&gt;$C$11,"※ 배분 금액 합계가 총 투자금액을 넘습니다.",""))</f>
        <v/>
      </c>
    </row>
    <row r="32" ht="17" customHeight="1">
      <c r="B32" s="34">
        <f>IF(COUNTIF($L$20:$L$29,"제외")&gt;0,"※ 유동성·변동성 기준에 미달한 종목이 담겨 있습니다. [ETF데이터] 장의 제외 사유를 확인하십시오.","")</f>
        <v/>
      </c>
    </row>
    <row r="33">
      <c r="B33" s="3" t="inlineStr">
        <is>
          <t>빈 줄은 계산에서 빠집니다. 한 종목만 담으려면 첫 줄에만 넣고 배분을 100 으로 두십시오.</t>
        </is>
      </c>
    </row>
    <row r="35" ht="4" customHeight="1">
      <c r="A35" s="8" t="n"/>
      <c r="B35" s="8" t="n"/>
      <c r="C35" s="8" t="n"/>
      <c r="D35" s="8" t="n"/>
      <c r="E35" s="8" t="n"/>
      <c r="F35" s="8" t="n"/>
      <c r="G35" s="8" t="n"/>
      <c r="H35" s="8" t="n"/>
    </row>
    <row r="36" ht="26" customHeight="1">
      <c r="A36" s="9" t="inlineStr">
        <is>
          <t>3</t>
        </is>
      </c>
      <c r="B36" s="10" t="inlineStr">
        <is>
          <t>예상 분배금 요약</t>
        </is>
      </c>
    </row>
    <row r="37" ht="6" customHeight="1"/>
    <row r="38" ht="34" customHeight="1">
      <c r="B38" s="11" t="inlineStr">
        <is>
          <t>총 투자금액</t>
        </is>
      </c>
      <c r="C38" s="35">
        <f>$C$11</f>
        <v/>
      </c>
      <c r="F38" s="36" t="inlineStr">
        <is>
          <t>월 예상 분배금 (세전)</t>
        </is>
      </c>
      <c r="G38" s="37">
        <f>$G$30</f>
        <v/>
      </c>
      <c r="H38" s="38" t="n"/>
    </row>
    <row r="39" ht="20" customHeight="1">
      <c r="B39" s="11" t="inlineStr">
        <is>
          <t>실제 투자금액</t>
        </is>
      </c>
      <c r="C39" s="39">
        <f>$F$30</f>
        <v/>
      </c>
      <c r="F39" s="11" t="inlineStr">
        <is>
          <t>월 예상 분배금 (세후)</t>
        </is>
      </c>
      <c r="G39" s="35">
        <f>$H$30</f>
        <v/>
      </c>
    </row>
    <row r="40" ht="20" customHeight="1">
      <c r="B40" s="11" t="inlineStr">
        <is>
          <t>미투자 잔액</t>
        </is>
      </c>
      <c r="C40" s="39">
        <f>$C$11-$F$30</f>
        <v/>
      </c>
      <c r="F40" s="11" t="inlineStr">
        <is>
          <t>연 예상 분배금 (세전)</t>
        </is>
      </c>
      <c r="G40" s="39">
        <f>$G$30*12</f>
        <v/>
      </c>
    </row>
    <row r="41" ht="20" customHeight="1">
      <c r="B41" s="11" t="inlineStr">
        <is>
          <t>담은 종목 수</t>
        </is>
      </c>
      <c r="C41" s="40">
        <f>COUNTIF($K$20:$K$29,"&gt;0")</f>
        <v/>
      </c>
      <c r="F41" s="11" t="inlineStr">
        <is>
          <t>연 예상 분배금 (세후)</t>
        </is>
      </c>
      <c r="G41" s="41">
        <f>$H$30*12</f>
        <v/>
      </c>
    </row>
    <row r="42" ht="20" customHeight="1">
      <c r="B42" s="11" t="inlineStr">
        <is>
          <t>연 수익률 (세전, 가중평균)</t>
        </is>
      </c>
      <c r="C42" s="42">
        <f>IF($F$30=0,0,$G$30*12/$F$30)</f>
        <v/>
      </c>
      <c r="F42" s="11" t="inlineStr">
        <is>
          <t>월 수익률 (세전)</t>
        </is>
      </c>
      <c r="G42" s="43">
        <f>IF($F$30=0,0,$G$30/$F$30)</f>
        <v/>
      </c>
    </row>
    <row r="43" ht="20" customHeight="1">
      <c r="B43" s="11" t="inlineStr">
        <is>
          <t>연 수익률 (세후, 가중평균)</t>
        </is>
      </c>
      <c r="C43" s="44">
        <f>IF($F$30=0,0,$H$30*12/$F$30)</f>
        <v/>
      </c>
      <c r="F43" s="11" t="inlineStr">
        <is>
          <t>월 수익률 (세후)</t>
        </is>
      </c>
      <c r="G43" s="45">
        <f>IF($F$30=0,0,$H$30/$F$30)</f>
        <v/>
      </c>
    </row>
    <row r="44">
      <c r="B44" s="7" t="inlineStr">
        <is>
          <t>연 수익률은 담은 종목들의 최근 12개월 실제 분배금을 투자 비중으로 가중한 값입니다. 확정 수익률이 아니며 매월 달라집니다.</t>
        </is>
      </c>
    </row>
    <row r="46" ht="4" customHeight="1">
      <c r="A46" s="8" t="n"/>
      <c r="B46" s="8" t="n"/>
      <c r="C46" s="8" t="n"/>
      <c r="D46" s="8" t="n"/>
      <c r="E46" s="8" t="n"/>
      <c r="F46" s="8" t="n"/>
      <c r="G46" s="8" t="n"/>
      <c r="H46" s="8" t="n"/>
    </row>
    <row r="47" ht="26" customHeight="1">
      <c r="A47" s="9" t="inlineStr">
        <is>
          <t>4</t>
        </is>
      </c>
      <c r="B47" s="10" t="inlineStr">
        <is>
          <t>총 투자금액별 예상 분배금  (위 구성을 그대로 두고 금액만 바꿨을 때)</t>
        </is>
      </c>
    </row>
    <row r="48" ht="6" customHeight="1"/>
    <row r="49" ht="28" customHeight="1">
      <c r="B49" s="17" t="inlineStr">
        <is>
          <t>투자금액 구간</t>
        </is>
      </c>
      <c r="C49" s="18" t="inlineStr">
        <is>
          <t>월 분배금(세전)</t>
        </is>
      </c>
      <c r="D49" s="18" t="inlineStr">
        <is>
          <t>월 분배금(세후)</t>
        </is>
      </c>
      <c r="E49" s="18" t="inlineStr">
        <is>
          <t>연 분배금(세전)</t>
        </is>
      </c>
      <c r="F49" s="19" t="inlineStr">
        <is>
          <t>연 분배금(세후)</t>
        </is>
      </c>
    </row>
    <row r="50" ht="19" customHeight="1">
      <c r="B50" s="46" t="n">
        <v>10000000</v>
      </c>
      <c r="C50" s="47">
        <f>$B50*$C$42/12</f>
        <v/>
      </c>
      <c r="D50" s="47">
        <f>$C50*(1-$C$13)</f>
        <v/>
      </c>
      <c r="E50" s="47">
        <f>$B50*$C$42</f>
        <v/>
      </c>
      <c r="F50" s="48">
        <f>$E50*(1-$C$13)</f>
        <v/>
      </c>
    </row>
    <row r="51" ht="19" customHeight="1">
      <c r="B51" s="49" t="n">
        <v>30000000</v>
      </c>
      <c r="C51" s="50">
        <f>$B51*$C$42/12</f>
        <v/>
      </c>
      <c r="D51" s="50">
        <f>$C51*(1-$C$13)</f>
        <v/>
      </c>
      <c r="E51" s="50">
        <f>$B51*$C$42</f>
        <v/>
      </c>
      <c r="F51" s="51">
        <f>$E51*(1-$C$13)</f>
        <v/>
      </c>
    </row>
    <row r="52" ht="19" customHeight="1">
      <c r="B52" s="46" t="n">
        <v>50000000</v>
      </c>
      <c r="C52" s="47">
        <f>$B52*$C$42/12</f>
        <v/>
      </c>
      <c r="D52" s="47">
        <f>$C52*(1-$C$13)</f>
        <v/>
      </c>
      <c r="E52" s="47">
        <f>$B52*$C$42</f>
        <v/>
      </c>
      <c r="F52" s="48">
        <f>$E52*(1-$C$13)</f>
        <v/>
      </c>
    </row>
    <row r="53" ht="19" customHeight="1">
      <c r="B53" s="49" t="n">
        <v>100000000</v>
      </c>
      <c r="C53" s="50">
        <f>$B53*$C$42/12</f>
        <v/>
      </c>
      <c r="D53" s="50">
        <f>$C53*(1-$C$13)</f>
        <v/>
      </c>
      <c r="E53" s="50">
        <f>$B53*$C$42</f>
        <v/>
      </c>
      <c r="F53" s="51">
        <f>$E53*(1-$C$13)</f>
        <v/>
      </c>
    </row>
    <row r="54" ht="19" customHeight="1">
      <c r="B54" s="46" t="n">
        <v>200000000</v>
      </c>
      <c r="C54" s="47">
        <f>$B54*$C$42/12</f>
        <v/>
      </c>
      <c r="D54" s="47">
        <f>$C54*(1-$C$13)</f>
        <v/>
      </c>
      <c r="E54" s="47">
        <f>$B54*$C$42</f>
        <v/>
      </c>
      <c r="F54" s="48">
        <f>$E54*(1-$C$13)</f>
        <v/>
      </c>
    </row>
    <row r="55" ht="19" customHeight="1">
      <c r="B55" s="49" t="n">
        <v>300000000</v>
      </c>
      <c r="C55" s="50">
        <f>$B55*$C$42/12</f>
        <v/>
      </c>
      <c r="D55" s="50">
        <f>$C55*(1-$C$13)</f>
        <v/>
      </c>
      <c r="E55" s="50">
        <f>$B55*$C$42</f>
        <v/>
      </c>
      <c r="F55" s="51">
        <f>$E55*(1-$C$13)</f>
        <v/>
      </c>
    </row>
    <row r="56" ht="19" customHeight="1">
      <c r="B56" s="46" t="n">
        <v>500000000</v>
      </c>
      <c r="C56" s="47">
        <f>$B56*$C$42/12</f>
        <v/>
      </c>
      <c r="D56" s="47">
        <f>$C56*(1-$C$13)</f>
        <v/>
      </c>
      <c r="E56" s="47">
        <f>$B56*$C$42</f>
        <v/>
      </c>
      <c r="F56" s="48">
        <f>$E56*(1-$C$13)</f>
        <v/>
      </c>
    </row>
    <row r="57" ht="19" customHeight="1">
      <c r="B57" s="52" t="n">
        <v>1000000000</v>
      </c>
      <c r="C57" s="53">
        <f>$B57*$C$42/12</f>
        <v/>
      </c>
      <c r="D57" s="53">
        <f>$C57*(1-$C$13)</f>
        <v/>
      </c>
      <c r="E57" s="53">
        <f>$B57*$C$42</f>
        <v/>
      </c>
      <c r="F57" s="54">
        <f>$E57*(1-$C$13)</f>
        <v/>
      </c>
    </row>
    <row r="58">
      <c r="B58" s="7" t="inlineStr">
        <is>
          <t>※ 단주 절사를 반영하지 않은 근사치라 2·3. 의 값과 몇 천 원 차이가 날 수 있습니다.</t>
        </is>
      </c>
    </row>
    <row r="60" ht="4" customHeight="1">
      <c r="A60" s="8" t="n"/>
      <c r="B60" s="8" t="n"/>
      <c r="C60" s="8" t="n"/>
      <c r="D60" s="8" t="n"/>
      <c r="E60" s="8" t="n"/>
      <c r="F60" s="8" t="n"/>
      <c r="G60" s="8" t="n"/>
      <c r="H60" s="8" t="n"/>
    </row>
    <row r="61" ht="26" customHeight="1">
      <c r="A61" s="9" t="inlineStr">
        <is>
          <t>5</t>
        </is>
      </c>
      <c r="B61" s="10" t="inlineStr">
        <is>
          <t>채택 ETF 비교  (1억원 단독 투자 기준 · 연 분배율 상위 8 + 순자산 상위 6, 파킹형 제외 · 채택 71종목 중)</t>
        </is>
      </c>
    </row>
    <row r="62" ht="6" customHeight="1"/>
    <row r="63" ht="30" customHeight="1">
      <c r="B63" s="17" t="inlineStr">
        <is>
          <t>종목명</t>
        </is>
      </c>
      <c r="C63" s="18" t="inlineStr">
        <is>
          <t>유형</t>
        </is>
      </c>
      <c r="D63" s="18" t="inlineStr">
        <is>
          <t>현재가</t>
        </is>
      </c>
      <c r="E63" s="18" t="inlineStr">
        <is>
          <t>연 분배율</t>
        </is>
      </c>
      <c r="F63" s="18" t="inlineStr">
        <is>
          <t>월 분배금(세전)</t>
        </is>
      </c>
      <c r="G63" s="18" t="inlineStr">
        <is>
          <t>월 분배금(세후)</t>
        </is>
      </c>
      <c r="H63" s="19" t="inlineStr">
        <is>
          <t>변동성(1년)</t>
        </is>
      </c>
    </row>
    <row r="64" ht="19" customHeight="1">
      <c r="B64" s="55">
        <f>'ETF데이터'!$A$4</f>
        <v/>
      </c>
      <c r="C64" s="56">
        <f>'ETF데이터'!$P$4</f>
        <v/>
      </c>
      <c r="D64" s="47">
        <f>'ETF데이터'!$D$4</f>
        <v/>
      </c>
      <c r="E64" s="57">
        <f>'ETF데이터'!$J$4</f>
        <v/>
      </c>
      <c r="F64" s="47">
        <f>IF($D64=0,0,ROUNDDOWN(100000000/$D64,0)*$D64*$E64/12)</f>
        <v/>
      </c>
      <c r="G64" s="47">
        <f>$F64*(1-$C$13)</f>
        <v/>
      </c>
      <c r="H64" s="58">
        <f>'ETF데이터'!$H$4</f>
        <v/>
      </c>
    </row>
    <row r="65" ht="19" customHeight="1">
      <c r="B65" s="59">
        <f>'ETF데이터'!$A$5</f>
        <v/>
      </c>
      <c r="C65" s="60">
        <f>'ETF데이터'!$P$5</f>
        <v/>
      </c>
      <c r="D65" s="50">
        <f>'ETF데이터'!$D$5</f>
        <v/>
      </c>
      <c r="E65" s="61">
        <f>'ETF데이터'!$J$5</f>
        <v/>
      </c>
      <c r="F65" s="50">
        <f>IF($D65=0,0,ROUNDDOWN(100000000/$D65,0)*$D65*$E65/12)</f>
        <v/>
      </c>
      <c r="G65" s="50">
        <f>$F65*(1-$C$13)</f>
        <v/>
      </c>
      <c r="H65" s="62">
        <f>'ETF데이터'!$H$5</f>
        <v/>
      </c>
    </row>
    <row r="66" ht="19" customHeight="1">
      <c r="B66" s="55">
        <f>'ETF데이터'!$A$6</f>
        <v/>
      </c>
      <c r="C66" s="56">
        <f>'ETF데이터'!$P$6</f>
        <v/>
      </c>
      <c r="D66" s="47">
        <f>'ETF데이터'!$D$6</f>
        <v/>
      </c>
      <c r="E66" s="57">
        <f>'ETF데이터'!$J$6</f>
        <v/>
      </c>
      <c r="F66" s="47">
        <f>IF($D66=0,0,ROUNDDOWN(100000000/$D66,0)*$D66*$E66/12)</f>
        <v/>
      </c>
      <c r="G66" s="47">
        <f>$F66*(1-$C$13)</f>
        <v/>
      </c>
      <c r="H66" s="58">
        <f>'ETF데이터'!$H$6</f>
        <v/>
      </c>
    </row>
    <row r="67" ht="19" customHeight="1">
      <c r="B67" s="59">
        <f>'ETF데이터'!$A$7</f>
        <v/>
      </c>
      <c r="C67" s="60">
        <f>'ETF데이터'!$P$7</f>
        <v/>
      </c>
      <c r="D67" s="50">
        <f>'ETF데이터'!$D$7</f>
        <v/>
      </c>
      <c r="E67" s="61">
        <f>'ETF데이터'!$J$7</f>
        <v/>
      </c>
      <c r="F67" s="50">
        <f>IF($D67=0,0,ROUNDDOWN(100000000/$D67,0)*$D67*$E67/12)</f>
        <v/>
      </c>
      <c r="G67" s="50">
        <f>$F67*(1-$C$13)</f>
        <v/>
      </c>
      <c r="H67" s="62">
        <f>'ETF데이터'!$H$7</f>
        <v/>
      </c>
    </row>
    <row r="68" ht="19" customHeight="1">
      <c r="B68" s="55">
        <f>'ETF데이터'!$A$8</f>
        <v/>
      </c>
      <c r="C68" s="56">
        <f>'ETF데이터'!$P$8</f>
        <v/>
      </c>
      <c r="D68" s="47">
        <f>'ETF데이터'!$D$8</f>
        <v/>
      </c>
      <c r="E68" s="57">
        <f>'ETF데이터'!$J$8</f>
        <v/>
      </c>
      <c r="F68" s="47">
        <f>IF($D68=0,0,ROUNDDOWN(100000000/$D68,0)*$D68*$E68/12)</f>
        <v/>
      </c>
      <c r="G68" s="47">
        <f>$F68*(1-$C$13)</f>
        <v/>
      </c>
      <c r="H68" s="58">
        <f>'ETF데이터'!$H$8</f>
        <v/>
      </c>
    </row>
    <row r="69" ht="19" customHeight="1">
      <c r="B69" s="59">
        <f>'ETF데이터'!$A$9</f>
        <v/>
      </c>
      <c r="C69" s="60">
        <f>'ETF데이터'!$P$9</f>
        <v/>
      </c>
      <c r="D69" s="50">
        <f>'ETF데이터'!$D$9</f>
        <v/>
      </c>
      <c r="E69" s="61">
        <f>'ETF데이터'!$J$9</f>
        <v/>
      </c>
      <c r="F69" s="50">
        <f>IF($D69=0,0,ROUNDDOWN(100000000/$D69,0)*$D69*$E69/12)</f>
        <v/>
      </c>
      <c r="G69" s="50">
        <f>$F69*(1-$C$13)</f>
        <v/>
      </c>
      <c r="H69" s="62">
        <f>'ETF데이터'!$H$9</f>
        <v/>
      </c>
    </row>
    <row r="70" ht="19" customHeight="1">
      <c r="B70" s="55">
        <f>'ETF데이터'!$A$10</f>
        <v/>
      </c>
      <c r="C70" s="56">
        <f>'ETF데이터'!$P$10</f>
        <v/>
      </c>
      <c r="D70" s="47">
        <f>'ETF데이터'!$D$10</f>
        <v/>
      </c>
      <c r="E70" s="57">
        <f>'ETF데이터'!$J$10</f>
        <v/>
      </c>
      <c r="F70" s="47">
        <f>IF($D70=0,0,ROUNDDOWN(100000000/$D70,0)*$D70*$E70/12)</f>
        <v/>
      </c>
      <c r="G70" s="47">
        <f>$F70*(1-$C$13)</f>
        <v/>
      </c>
      <c r="H70" s="58">
        <f>'ETF데이터'!$H$10</f>
        <v/>
      </c>
    </row>
    <row r="71" ht="19" customHeight="1">
      <c r="B71" s="59">
        <f>'ETF데이터'!$A$11</f>
        <v/>
      </c>
      <c r="C71" s="60">
        <f>'ETF데이터'!$P$11</f>
        <v/>
      </c>
      <c r="D71" s="50">
        <f>'ETF데이터'!$D$11</f>
        <v/>
      </c>
      <c r="E71" s="61">
        <f>'ETF데이터'!$J$11</f>
        <v/>
      </c>
      <c r="F71" s="50">
        <f>IF($D71=0,0,ROUNDDOWN(100000000/$D71,0)*$D71*$E71/12)</f>
        <v/>
      </c>
      <c r="G71" s="50">
        <f>$F71*(1-$C$13)</f>
        <v/>
      </c>
      <c r="H71" s="62">
        <f>'ETF데이터'!$H$11</f>
        <v/>
      </c>
    </row>
    <row r="72" ht="19" customHeight="1">
      <c r="B72" s="55">
        <f>'ETF데이터'!$A$16</f>
        <v/>
      </c>
      <c r="C72" s="56">
        <f>'ETF데이터'!$P$16</f>
        <v/>
      </c>
      <c r="D72" s="47">
        <f>'ETF데이터'!$D$16</f>
        <v/>
      </c>
      <c r="E72" s="57">
        <f>'ETF데이터'!$J$16</f>
        <v/>
      </c>
      <c r="F72" s="47">
        <f>IF($D72=0,0,ROUNDDOWN(100000000/$D72,0)*$D72*$E72/12)</f>
        <v/>
      </c>
      <c r="G72" s="47">
        <f>$F72*(1-$C$13)</f>
        <v/>
      </c>
      <c r="H72" s="58">
        <f>'ETF데이터'!$H$16</f>
        <v/>
      </c>
    </row>
    <row r="73" ht="19" customHeight="1">
      <c r="B73" s="59">
        <f>'ETF데이터'!$A$27</f>
        <v/>
      </c>
      <c r="C73" s="60">
        <f>'ETF데이터'!$P$27</f>
        <v/>
      </c>
      <c r="D73" s="50">
        <f>'ETF데이터'!$D$27</f>
        <v/>
      </c>
      <c r="E73" s="61">
        <f>'ETF데이터'!$J$27</f>
        <v/>
      </c>
      <c r="F73" s="50">
        <f>IF($D73=0,0,ROUNDDOWN(100000000/$D73,0)*$D73*$E73/12)</f>
        <v/>
      </c>
      <c r="G73" s="50">
        <f>$F73*(1-$C$13)</f>
        <v/>
      </c>
      <c r="H73" s="62">
        <f>'ETF데이터'!$H$27</f>
        <v/>
      </c>
    </row>
    <row r="74" ht="19" customHeight="1">
      <c r="B74" s="55">
        <f>'ETF데이터'!$A$42</f>
        <v/>
      </c>
      <c r="C74" s="56">
        <f>'ETF데이터'!$P$42</f>
        <v/>
      </c>
      <c r="D74" s="47">
        <f>'ETF데이터'!$D$42</f>
        <v/>
      </c>
      <c r="E74" s="57">
        <f>'ETF데이터'!$J$42</f>
        <v/>
      </c>
      <c r="F74" s="47">
        <f>IF($D74=0,0,ROUNDDOWN(100000000/$D74,0)*$D74*$E74/12)</f>
        <v/>
      </c>
      <c r="G74" s="47">
        <f>$F74*(1-$C$13)</f>
        <v/>
      </c>
      <c r="H74" s="58">
        <f>'ETF데이터'!$H$42</f>
        <v/>
      </c>
    </row>
    <row r="75" ht="19" customHeight="1">
      <c r="B75" s="59">
        <f>'ETF데이터'!$A$56</f>
        <v/>
      </c>
      <c r="C75" s="60">
        <f>'ETF데이터'!$P$56</f>
        <v/>
      </c>
      <c r="D75" s="50">
        <f>'ETF데이터'!$D$56</f>
        <v/>
      </c>
      <c r="E75" s="61">
        <f>'ETF데이터'!$J$56</f>
        <v/>
      </c>
      <c r="F75" s="50">
        <f>IF($D75=0,0,ROUNDDOWN(100000000/$D75,0)*$D75*$E75/12)</f>
        <v/>
      </c>
      <c r="G75" s="50">
        <f>$F75*(1-$C$13)</f>
        <v/>
      </c>
      <c r="H75" s="62">
        <f>'ETF데이터'!$H$56</f>
        <v/>
      </c>
    </row>
    <row r="76" ht="19" customHeight="1">
      <c r="B76" s="55">
        <f>'ETF데이터'!$A$63</f>
        <v/>
      </c>
      <c r="C76" s="56">
        <f>'ETF데이터'!$P$63</f>
        <v/>
      </c>
      <c r="D76" s="47">
        <f>'ETF데이터'!$D$63</f>
        <v/>
      </c>
      <c r="E76" s="57">
        <f>'ETF데이터'!$J$63</f>
        <v/>
      </c>
      <c r="F76" s="47">
        <f>IF($D76=0,0,ROUNDDOWN(100000000/$D76,0)*$D76*$E76/12)</f>
        <v/>
      </c>
      <c r="G76" s="47">
        <f>$F76*(1-$C$13)</f>
        <v/>
      </c>
      <c r="H76" s="58">
        <f>'ETF데이터'!$H$63</f>
        <v/>
      </c>
    </row>
    <row r="77" ht="19" customHeight="1">
      <c r="B77" s="63">
        <f>'ETF데이터'!$A$71</f>
        <v/>
      </c>
      <c r="C77" s="64">
        <f>'ETF데이터'!$P$71</f>
        <v/>
      </c>
      <c r="D77" s="53">
        <f>'ETF데이터'!$D$71</f>
        <v/>
      </c>
      <c r="E77" s="65">
        <f>'ETF데이터'!$J$71</f>
        <v/>
      </c>
      <c r="F77" s="53">
        <f>IF($D77=0,0,ROUNDDOWN(100000000/$D77,0)*$D77*$E77/12)</f>
        <v/>
      </c>
      <c r="G77" s="53">
        <f>$F77*(1-$C$13)</f>
        <v/>
      </c>
      <c r="H77" s="66">
        <f>'ETF데이터'!$H$71</f>
        <v/>
      </c>
    </row>
    <row r="78">
      <c r="B78" s="7" t="inlineStr">
        <is>
          <t>※ 드롭다운에는 기준 미달 종목까지 전부 담겨 있습니다. 위 표에는 기준을 통과한 종목만 실었습니다.</t>
        </is>
      </c>
    </row>
    <row r="80" ht="4" customHeight="1">
      <c r="A80" s="8" t="n"/>
      <c r="B80" s="8" t="n"/>
      <c r="C80" s="8" t="n"/>
      <c r="D80" s="8" t="n"/>
      <c r="E80" s="8" t="n"/>
      <c r="F80" s="8" t="n"/>
      <c r="G80" s="8" t="n"/>
      <c r="H80" s="8" t="n"/>
    </row>
    <row r="81" ht="26" customHeight="1">
      <c r="A81" s="9" t="inlineStr">
        <is>
          <t>6</t>
        </is>
      </c>
      <c r="B81" s="10" t="inlineStr">
        <is>
          <t>유의사항</t>
        </is>
      </c>
    </row>
    <row r="82" ht="6" customHeight="1"/>
    <row r="83" ht="16" customHeight="1">
      <c r="B83" s="67" t="inlineStr">
        <is>
          <t>· 이 자료는 투자 권유가 아니라 참고 자료입니다. 최종 투자 판단과 그 결과는 투자자 본인에게 귀속됩니다.</t>
        </is>
      </c>
    </row>
    <row r="84" ht="16" customHeight="1">
      <c r="B84" s="67" t="inlineStr">
        <is>
          <t>· ETF 는 예금자보호법의 보호를 받지 않으며, 원금 손실이 발생할 수 있습니다.</t>
        </is>
      </c>
    </row>
    <row r="85" ht="16" customHeight="1">
      <c r="B85" s="7" t="inlineStr">
        <is>
          <t>· 분배금은 확정되지 않습니다. 커버드콜 ETF 의 분배 재원은 옵션 프리미엄이므로, 시장 변동성이 낮아지면 분배금도 함께 줄어듭니다.</t>
        </is>
      </c>
    </row>
    <row r="86" ht="16" customHeight="1">
      <c r="B86" s="7" t="inlineStr">
        <is>
          <t>· 분배금의 일부가 원금에서 지급될 수 있습니다(자본 환급). 이 경우 기준가가 그만큼 낮아집니다.</t>
        </is>
      </c>
    </row>
    <row r="87" ht="16" customHeight="1">
      <c r="B87" s="7" t="inlineStr">
        <is>
          <t>· 표시된 연 분배율은 최근 12개월 실제 분배금 합계를 현재가로 나눈 값(사후 수치)이며, 앞으로의 수익률을 보장하지 않습니다.</t>
        </is>
      </c>
    </row>
    <row r="88" ht="16" customHeight="1">
      <c r="B88" s="7" t="inlineStr">
        <is>
          <t>· 세율은 국내 상장 ETF 분배금 기준 15.4%(배당소득세 14% + 지방소득세 1.4%)를 적용했습니다. 금융소득종합과세 대상자는 실효세율이 달라집니다.</t>
        </is>
      </c>
    </row>
    <row r="89" ht="16" customHeight="1">
      <c r="B89" s="7" t="inlineStr">
        <is>
          <t>· 매매수수료·거래세·환율 변동은 반영하지 않았습니다. 총보수는 분배율에 이미 반영되어 있습니다(기준가 차감).</t>
        </is>
      </c>
    </row>
    <row r="90" ht="16" customHeight="1">
      <c r="B90" s="7" t="inlineStr">
        <is>
          <t>· 수량은 정수 매수를 가정해 내림 처리했습니다. 남는 금액은 '미투자 잔액'에 표시됩니다.</t>
        </is>
      </c>
    </row>
    <row r="91" ht="16" customHeight="1">
      <c r="B91" s="7" t="inlineStr">
        <is>
          <t>· 여러 종목에 나눠 담아도 분배 시기는 종목마다 다릅니다. 매월 같은 날 한꺼번에 들어오지 않습니다.</t>
        </is>
      </c>
    </row>
    <row r="92" ht="16" customHeight="1">
      <c r="B92" s="7" t="inlineStr">
        <is>
          <t>· 목록에는 커버드콜뿐 아니라 리츠·채권형·배당주·파킹형 월배당 ETF 가 함께 있습니다. 분배 재원과 위험이 서로 다르므로 [ETF데이터] 장의 '유형'·'자산군' 칸을 확인하십시오.</t>
        </is>
      </c>
    </row>
    <row r="93" ht="16" customHeight="1">
      <c r="B93" s="7" t="inlineStr">
        <is>
          <t>· 드롭다운에는 유동성·변동성 기준에 미달한 종목도 담겨 있습니다. 담으면 2. 아래에 안내가 뜹니다.</t>
        </is>
      </c>
    </row>
    <row r="95" ht="15" customHeight="1">
      <c r="B95" s="68" t="inlineStr">
        <is>
          <t>자료 출처 ETFCHECK (www.etfcheck.co.kr) · 수집 2026-09-17T00:57:14.837Z · 대상 국내 상장 월배당 ETF · 채택 기준 순자산 300억원 이상, 60일 평균거래대금 5억원 이상, 연환산 변동성 35% 이하, 분배 이력 12개월 이상</t>
        </is>
      </c>
    </row>
  </sheetData>
  <mergeCells count="20">
    <mergeCell ref="B84:H84"/>
    <mergeCell ref="B83:H83"/>
    <mergeCell ref="B92:H92"/>
    <mergeCell ref="B95:H95"/>
    <mergeCell ref="B33:H33"/>
    <mergeCell ref="A1:H1"/>
    <mergeCell ref="B89:H89"/>
    <mergeCell ref="B85:H85"/>
    <mergeCell ref="B32:H32"/>
    <mergeCell ref="G38:H38"/>
    <mergeCell ref="B91:H91"/>
    <mergeCell ref="B90:H90"/>
    <mergeCell ref="B31:H31"/>
    <mergeCell ref="A3:H3"/>
    <mergeCell ref="B93:H93"/>
    <mergeCell ref="A2:H2"/>
    <mergeCell ref="B86:H86"/>
    <mergeCell ref="A5:H5"/>
    <mergeCell ref="B88:H88"/>
    <mergeCell ref="B87:H87"/>
  </mergeCells>
  <dataValidations count="2">
    <dataValidation sqref="C12" showDropDown="0" showInputMessage="0" showErrorMessage="0" allowBlank="0" errorTitle="배분 방식" error="비율 또는 금액 중에서 고르십시오." promptTitle="배분 방식" prompt="비율(%) 로 나눌지, 금액(원) 으로 나눌지 고르십시오." type="list">
      <formula1>"비율,금액"</formula1>
    </dataValidation>
    <dataValidation sqref="B20:B29" showDropDown="0" showInputMessage="0" showErrorMessage="0" allowBlank="1" errorTitle="선택할 수 없는 종목" error="목록에 있는 ETF 중에서 고르십시오." promptTitle="ETF 선택" prompt="▼ 를 눌러 고르십시오. 비워 두면 그 줄은 계산에서 빠집니다." type="list">
      <formula1>=선택가능종목</formula1>
    </dataValidation>
  </dataValidations>
  <printOptions horizontalCentered="1"/>
  <pageMargins left="0.35" right="0.35" top="0.45" bottom="0.45" header="0.5" footer="0.5"/>
  <pageSetup orientation="portrait" paperSize="9" fitToHeight="0" fitToWidth="1"/>
  <headerFooter>
    <oddHeader/>
    <oddFooter>&amp;R&amp;8 &amp;K6C6C6C&amp;P /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2"/>
  <sheetViews>
    <sheetView showGridLines="0"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2.5" customWidth="1" min="1" max="1"/>
    <col width="34" customWidth="1" min="2" max="2"/>
    <col width="13" customWidth="1" min="3" max="3"/>
    <col width="14" customWidth="1" min="4" max="4"/>
    <col width="14" customWidth="1" min="5" max="5"/>
    <col width="13" customWidth="1" min="6" max="6"/>
    <col width="15" customWidth="1" min="7" max="7"/>
    <col width="13" customWidth="1" min="8" max="8"/>
    <col hidden="1" width="13" customWidth="1" min="10" max="10"/>
  </cols>
  <sheetData>
    <row r="1" ht="16" customHeight="1">
      <c r="A1" s="1" t="inlineStr">
        <is>
          <t xml:space="preserve">   사내한 · Confidential</t>
        </is>
      </c>
      <c r="B1" s="2" t="n"/>
      <c r="C1" s="2" t="n"/>
      <c r="D1" s="2" t="n"/>
      <c r="E1" s="2" t="n"/>
      <c r="F1" s="2" t="n"/>
      <c r="G1" s="2" t="n"/>
      <c r="H1" s="2" t="n"/>
    </row>
    <row r="2" ht="40" customHeight="1">
      <c r="A2" s="4" t="inlineStr">
        <is>
          <t xml:space="preserve">   ETF 종목 조회</t>
        </is>
      </c>
      <c r="B2" s="2" t="n"/>
      <c r="C2" s="2" t="n"/>
      <c r="D2" s="2" t="n"/>
      <c r="E2" s="2" t="n"/>
      <c r="F2" s="2" t="n"/>
      <c r="G2" s="2" t="n"/>
      <c r="H2" s="2" t="n"/>
    </row>
    <row r="3" ht="22" customHeight="1">
      <c r="A3" s="5" t="inlineStr">
        <is>
          <t xml:space="preserve">   ETF Screener</t>
        </is>
      </c>
      <c r="B3" s="2" t="n"/>
      <c r="C3" s="2" t="n"/>
      <c r="D3" s="2" t="n"/>
      <c r="E3" s="2" t="n"/>
      <c r="F3" s="2" t="n"/>
      <c r="G3" s="2" t="n"/>
      <c r="H3" s="2" t="n"/>
    </row>
    <row r="4" ht="3" customHeight="1">
      <c r="A4" s="6" t="n"/>
      <c r="B4" s="6" t="n"/>
      <c r="C4" s="6" t="n"/>
      <c r="D4" s="6" t="n"/>
      <c r="E4" s="6" t="n"/>
      <c r="F4" s="6" t="n"/>
      <c r="G4" s="6" t="n"/>
      <c r="H4" s="6" t="n"/>
    </row>
    <row r="5" ht="20" customHeight="1">
      <c r="A5" s="7" t="inlineStr">
        <is>
          <t xml:space="preserve">   자료 ETFCHECK · 기준일 2026-09-17 · 지급주기와 연 분배율로 고릅니다</t>
        </is>
      </c>
    </row>
    <row r="7" ht="4" customHeight="1">
      <c r="A7" s="8" t="n"/>
      <c r="B7" s="8" t="n"/>
      <c r="C7" s="8" t="n"/>
      <c r="D7" s="8" t="n"/>
      <c r="E7" s="8" t="n"/>
      <c r="F7" s="8" t="n"/>
      <c r="G7" s="8" t="n"/>
      <c r="H7" s="8" t="n"/>
    </row>
    <row r="8" ht="26" customHeight="1">
      <c r="A8" s="9" t="inlineStr">
        <is>
          <t>1</t>
        </is>
      </c>
      <c r="B8" s="10" t="inlineStr">
        <is>
          <t>조회 조건</t>
        </is>
      </c>
    </row>
    <row r="9" ht="6" customHeight="1"/>
    <row r="10">
      <c r="B10" s="69" t="inlineStr">
        <is>
          <t>지급주기</t>
        </is>
      </c>
      <c r="C10" s="70" t="inlineStr">
        <is>
          <t>전체</t>
        </is>
      </c>
      <c r="E10" s="7" t="inlineStr">
        <is>
          <t>분배율은 백분율로 넣으십시오 (예: 5%). 최소·최대 사이에 드는 종목만 나옵니다.</t>
        </is>
      </c>
    </row>
    <row r="11">
      <c r="B11" s="69" t="inlineStr">
        <is>
          <t>연 분배율 최소</t>
        </is>
      </c>
      <c r="C11" s="71" t="n">
        <v>0</v>
      </c>
      <c r="E11" s="7" t="inlineStr">
        <is>
          <t>'판정 불가' 는 상장 1년이 안 돼 주기를 말할 수 없는 종목입니다. 빼지 않고 그대로 담았습니다.</t>
        </is>
      </c>
    </row>
    <row r="12">
      <c r="B12" s="69" t="inlineStr">
        <is>
          <t>연 분배율 최대</t>
        </is>
      </c>
      <c r="C12" s="71" t="n">
        <v>1</v>
      </c>
      <c r="E12" s="7" t="inlineStr">
        <is>
          <t>결과는 기준을 통과한 종목이 먼저, 그 안에서 연 분배율 높은 순입니다.</t>
        </is>
      </c>
    </row>
    <row r="14" ht="22" customHeight="1">
      <c r="B14" s="11" t="inlineStr">
        <is>
          <t>조건에 맞는 종목</t>
        </is>
      </c>
      <c r="C14" s="72">
        <f>COUNTIF('ETF데이터'!$T$4:$T$148,1)</f>
        <v/>
      </c>
      <c r="D14" s="3" t="inlineStr">
        <is>
          <t>전체 145종목 중</t>
        </is>
      </c>
    </row>
    <row r="16" ht="4" customHeight="1">
      <c r="A16" s="8" t="n"/>
      <c r="B16" s="8" t="n"/>
      <c r="C16" s="8" t="n"/>
      <c r="D16" s="8" t="n"/>
      <c r="E16" s="8" t="n"/>
      <c r="F16" s="8" t="n"/>
      <c r="G16" s="8" t="n"/>
      <c r="H16" s="8" t="n"/>
    </row>
    <row r="17" ht="26" customHeight="1">
      <c r="A17" s="9" t="inlineStr">
        <is>
          <t>2</t>
        </is>
      </c>
      <c r="B17" s="10" t="inlineStr">
        <is>
          <t>조회 결과 (최대 60종목)</t>
        </is>
      </c>
    </row>
    <row r="18" ht="6" customHeight="1"/>
    <row r="19" ht="30" customHeight="1">
      <c r="B19" s="17" t="inlineStr">
        <is>
          <t>종목명</t>
        </is>
      </c>
      <c r="C19" s="18" t="inlineStr">
        <is>
          <t>지급주기</t>
        </is>
      </c>
      <c r="D19" s="18" t="inlineStr">
        <is>
          <t>연 분배율</t>
        </is>
      </c>
      <c r="E19" s="18" t="inlineStr">
        <is>
          <t>월 환산</t>
        </is>
      </c>
      <c r="F19" s="18" t="inlineStr">
        <is>
          <t>현재가</t>
        </is>
      </c>
      <c r="G19" s="18" t="inlineStr">
        <is>
          <t>변동성</t>
        </is>
      </c>
      <c r="H19" s="18" t="inlineStr">
        <is>
          <t>순자산</t>
        </is>
      </c>
      <c r="I19" s="19" t="inlineStr">
        <is>
          <t>채택</t>
        </is>
      </c>
    </row>
    <row r="20">
      <c r="B20" s="55">
        <f>IF($J20=0,"",INDEX('ETF데이터'!$A$4:$A$148,$J20))</f>
        <v/>
      </c>
      <c r="C20" s="73">
        <f>IF($J20=0,"",INDEX('ETF데이터'!$R$4:$R$148,$J20))</f>
        <v/>
      </c>
      <c r="D20" s="74">
        <f>IF($J20=0,"",INDEX('ETF데이터'!$J$4:$J$148,$J20))</f>
        <v/>
      </c>
      <c r="E20" s="75">
        <f>IF($J20=0,"",$D20/12)</f>
        <v/>
      </c>
      <c r="F20" s="76">
        <f>IF($J20=0,"",INDEX('ETF데이터'!$D$4:$D$148,$J20))</f>
        <v/>
      </c>
      <c r="G20" s="74">
        <f>IF($J20=0,"",INDEX('ETF데이터'!$H$4:$H$148,$J20))</f>
        <v/>
      </c>
      <c r="H20" s="77">
        <f>IF($J20=0,"",INDEX('ETF데이터'!$E$4:$E$148,$J20))</f>
        <v/>
      </c>
      <c r="I20" s="78">
        <f>IF($J20=0,"",INDEX('ETF데이터'!$M$4:$M$148,$J20))</f>
        <v/>
      </c>
      <c r="J20">
        <f>IFERROR(MATCH(1,'ETF데이터'!$U$4:$U$148,0),0)</f>
        <v/>
      </c>
    </row>
    <row r="21">
      <c r="B21" s="59">
        <f>IF($J21=0,"",INDEX('ETF데이터'!$A$4:$A$148,$J21))</f>
        <v/>
      </c>
      <c r="C21" s="79">
        <f>IF($J21=0,"",INDEX('ETF데이터'!$R$4:$R$148,$J21))</f>
        <v/>
      </c>
      <c r="D21" s="80">
        <f>IF($J21=0,"",INDEX('ETF데이터'!$J$4:$J$148,$J21))</f>
        <v/>
      </c>
      <c r="E21" s="81">
        <f>IF($J21=0,"",$D21/12)</f>
        <v/>
      </c>
      <c r="F21" s="82">
        <f>IF($J21=0,"",INDEX('ETF데이터'!$D$4:$D$148,$J21))</f>
        <v/>
      </c>
      <c r="G21" s="80">
        <f>IF($J21=0,"",INDEX('ETF데이터'!$H$4:$H$148,$J21))</f>
        <v/>
      </c>
      <c r="H21" s="83">
        <f>IF($J21=0,"",INDEX('ETF데이터'!$E$4:$E$148,$J21))</f>
        <v/>
      </c>
      <c r="I21" s="84">
        <f>IF($J21=0,"",INDEX('ETF데이터'!$M$4:$M$148,$J21))</f>
        <v/>
      </c>
      <c r="J21">
        <f>IFERROR(MATCH(2,'ETF데이터'!$U$4:$U$148,0),0)</f>
        <v/>
      </c>
    </row>
    <row r="22">
      <c r="B22" s="55">
        <f>IF($J22=0,"",INDEX('ETF데이터'!$A$4:$A$148,$J22))</f>
        <v/>
      </c>
      <c r="C22" s="73">
        <f>IF($J22=0,"",INDEX('ETF데이터'!$R$4:$R$148,$J22))</f>
        <v/>
      </c>
      <c r="D22" s="74">
        <f>IF($J22=0,"",INDEX('ETF데이터'!$J$4:$J$148,$J22))</f>
        <v/>
      </c>
      <c r="E22" s="75">
        <f>IF($J22=0,"",$D22/12)</f>
        <v/>
      </c>
      <c r="F22" s="76">
        <f>IF($J22=0,"",INDEX('ETF데이터'!$D$4:$D$148,$J22))</f>
        <v/>
      </c>
      <c r="G22" s="74">
        <f>IF($J22=0,"",INDEX('ETF데이터'!$H$4:$H$148,$J22))</f>
        <v/>
      </c>
      <c r="H22" s="77">
        <f>IF($J22=0,"",INDEX('ETF데이터'!$E$4:$E$148,$J22))</f>
        <v/>
      </c>
      <c r="I22" s="78">
        <f>IF($J22=0,"",INDEX('ETF데이터'!$M$4:$M$148,$J22))</f>
        <v/>
      </c>
      <c r="J22">
        <f>IFERROR(MATCH(3,'ETF데이터'!$U$4:$U$148,0),0)</f>
        <v/>
      </c>
    </row>
    <row r="23">
      <c r="B23" s="59">
        <f>IF($J23=0,"",INDEX('ETF데이터'!$A$4:$A$148,$J23))</f>
        <v/>
      </c>
      <c r="C23" s="79">
        <f>IF($J23=0,"",INDEX('ETF데이터'!$R$4:$R$148,$J23))</f>
        <v/>
      </c>
      <c r="D23" s="80">
        <f>IF($J23=0,"",INDEX('ETF데이터'!$J$4:$J$148,$J23))</f>
        <v/>
      </c>
      <c r="E23" s="81">
        <f>IF($J23=0,"",$D23/12)</f>
        <v/>
      </c>
      <c r="F23" s="82">
        <f>IF($J23=0,"",INDEX('ETF데이터'!$D$4:$D$148,$J23))</f>
        <v/>
      </c>
      <c r="G23" s="80">
        <f>IF($J23=0,"",INDEX('ETF데이터'!$H$4:$H$148,$J23))</f>
        <v/>
      </c>
      <c r="H23" s="83">
        <f>IF($J23=0,"",INDEX('ETF데이터'!$E$4:$E$148,$J23))</f>
        <v/>
      </c>
      <c r="I23" s="84">
        <f>IF($J23=0,"",INDEX('ETF데이터'!$M$4:$M$148,$J23))</f>
        <v/>
      </c>
      <c r="J23">
        <f>IFERROR(MATCH(4,'ETF데이터'!$U$4:$U$148,0),0)</f>
        <v/>
      </c>
    </row>
    <row r="24">
      <c r="B24" s="55">
        <f>IF($J24=0,"",INDEX('ETF데이터'!$A$4:$A$148,$J24))</f>
        <v/>
      </c>
      <c r="C24" s="73">
        <f>IF($J24=0,"",INDEX('ETF데이터'!$R$4:$R$148,$J24))</f>
        <v/>
      </c>
      <c r="D24" s="74">
        <f>IF($J24=0,"",INDEX('ETF데이터'!$J$4:$J$148,$J24))</f>
        <v/>
      </c>
      <c r="E24" s="75">
        <f>IF($J24=0,"",$D24/12)</f>
        <v/>
      </c>
      <c r="F24" s="76">
        <f>IF($J24=0,"",INDEX('ETF데이터'!$D$4:$D$148,$J24))</f>
        <v/>
      </c>
      <c r="G24" s="74">
        <f>IF($J24=0,"",INDEX('ETF데이터'!$H$4:$H$148,$J24))</f>
        <v/>
      </c>
      <c r="H24" s="77">
        <f>IF($J24=0,"",INDEX('ETF데이터'!$E$4:$E$148,$J24))</f>
        <v/>
      </c>
      <c r="I24" s="78">
        <f>IF($J24=0,"",INDEX('ETF데이터'!$M$4:$M$148,$J24))</f>
        <v/>
      </c>
      <c r="J24">
        <f>IFERROR(MATCH(5,'ETF데이터'!$U$4:$U$148,0),0)</f>
        <v/>
      </c>
    </row>
    <row r="25">
      <c r="B25" s="59">
        <f>IF($J25=0,"",INDEX('ETF데이터'!$A$4:$A$148,$J25))</f>
        <v/>
      </c>
      <c r="C25" s="79">
        <f>IF($J25=0,"",INDEX('ETF데이터'!$R$4:$R$148,$J25))</f>
        <v/>
      </c>
      <c r="D25" s="80">
        <f>IF($J25=0,"",INDEX('ETF데이터'!$J$4:$J$148,$J25))</f>
        <v/>
      </c>
      <c r="E25" s="81">
        <f>IF($J25=0,"",$D25/12)</f>
        <v/>
      </c>
      <c r="F25" s="82">
        <f>IF($J25=0,"",INDEX('ETF데이터'!$D$4:$D$148,$J25))</f>
        <v/>
      </c>
      <c r="G25" s="80">
        <f>IF($J25=0,"",INDEX('ETF데이터'!$H$4:$H$148,$J25))</f>
        <v/>
      </c>
      <c r="H25" s="83">
        <f>IF($J25=0,"",INDEX('ETF데이터'!$E$4:$E$148,$J25))</f>
        <v/>
      </c>
      <c r="I25" s="84">
        <f>IF($J25=0,"",INDEX('ETF데이터'!$M$4:$M$148,$J25))</f>
        <v/>
      </c>
      <c r="J25">
        <f>IFERROR(MATCH(6,'ETF데이터'!$U$4:$U$148,0),0)</f>
        <v/>
      </c>
    </row>
    <row r="26">
      <c r="B26" s="55">
        <f>IF($J26=0,"",INDEX('ETF데이터'!$A$4:$A$148,$J26))</f>
        <v/>
      </c>
      <c r="C26" s="73">
        <f>IF($J26=0,"",INDEX('ETF데이터'!$R$4:$R$148,$J26))</f>
        <v/>
      </c>
      <c r="D26" s="74">
        <f>IF($J26=0,"",INDEX('ETF데이터'!$J$4:$J$148,$J26))</f>
        <v/>
      </c>
      <c r="E26" s="75">
        <f>IF($J26=0,"",$D26/12)</f>
        <v/>
      </c>
      <c r="F26" s="76">
        <f>IF($J26=0,"",INDEX('ETF데이터'!$D$4:$D$148,$J26))</f>
        <v/>
      </c>
      <c r="G26" s="74">
        <f>IF($J26=0,"",INDEX('ETF데이터'!$H$4:$H$148,$J26))</f>
        <v/>
      </c>
      <c r="H26" s="77">
        <f>IF($J26=0,"",INDEX('ETF데이터'!$E$4:$E$148,$J26))</f>
        <v/>
      </c>
      <c r="I26" s="78">
        <f>IF($J26=0,"",INDEX('ETF데이터'!$M$4:$M$148,$J26))</f>
        <v/>
      </c>
      <c r="J26">
        <f>IFERROR(MATCH(7,'ETF데이터'!$U$4:$U$148,0),0)</f>
        <v/>
      </c>
    </row>
    <row r="27">
      <c r="B27" s="59">
        <f>IF($J27=0,"",INDEX('ETF데이터'!$A$4:$A$148,$J27))</f>
        <v/>
      </c>
      <c r="C27" s="79">
        <f>IF($J27=0,"",INDEX('ETF데이터'!$R$4:$R$148,$J27))</f>
        <v/>
      </c>
      <c r="D27" s="80">
        <f>IF($J27=0,"",INDEX('ETF데이터'!$J$4:$J$148,$J27))</f>
        <v/>
      </c>
      <c r="E27" s="81">
        <f>IF($J27=0,"",$D27/12)</f>
        <v/>
      </c>
      <c r="F27" s="82">
        <f>IF($J27=0,"",INDEX('ETF데이터'!$D$4:$D$148,$J27))</f>
        <v/>
      </c>
      <c r="G27" s="80">
        <f>IF($J27=0,"",INDEX('ETF데이터'!$H$4:$H$148,$J27))</f>
        <v/>
      </c>
      <c r="H27" s="83">
        <f>IF($J27=0,"",INDEX('ETF데이터'!$E$4:$E$148,$J27))</f>
        <v/>
      </c>
      <c r="I27" s="84">
        <f>IF($J27=0,"",INDEX('ETF데이터'!$M$4:$M$148,$J27))</f>
        <v/>
      </c>
      <c r="J27">
        <f>IFERROR(MATCH(8,'ETF데이터'!$U$4:$U$148,0),0)</f>
        <v/>
      </c>
    </row>
    <row r="28">
      <c r="B28" s="55">
        <f>IF($J28=0,"",INDEX('ETF데이터'!$A$4:$A$148,$J28))</f>
        <v/>
      </c>
      <c r="C28" s="73">
        <f>IF($J28=0,"",INDEX('ETF데이터'!$R$4:$R$148,$J28))</f>
        <v/>
      </c>
      <c r="D28" s="74">
        <f>IF($J28=0,"",INDEX('ETF데이터'!$J$4:$J$148,$J28))</f>
        <v/>
      </c>
      <c r="E28" s="75">
        <f>IF($J28=0,"",$D28/12)</f>
        <v/>
      </c>
      <c r="F28" s="76">
        <f>IF($J28=0,"",INDEX('ETF데이터'!$D$4:$D$148,$J28))</f>
        <v/>
      </c>
      <c r="G28" s="74">
        <f>IF($J28=0,"",INDEX('ETF데이터'!$H$4:$H$148,$J28))</f>
        <v/>
      </c>
      <c r="H28" s="77">
        <f>IF($J28=0,"",INDEX('ETF데이터'!$E$4:$E$148,$J28))</f>
        <v/>
      </c>
      <c r="I28" s="78">
        <f>IF($J28=0,"",INDEX('ETF데이터'!$M$4:$M$148,$J28))</f>
        <v/>
      </c>
      <c r="J28">
        <f>IFERROR(MATCH(9,'ETF데이터'!$U$4:$U$148,0),0)</f>
        <v/>
      </c>
    </row>
    <row r="29">
      <c r="B29" s="59">
        <f>IF($J29=0,"",INDEX('ETF데이터'!$A$4:$A$148,$J29))</f>
        <v/>
      </c>
      <c r="C29" s="79">
        <f>IF($J29=0,"",INDEX('ETF데이터'!$R$4:$R$148,$J29))</f>
        <v/>
      </c>
      <c r="D29" s="80">
        <f>IF($J29=0,"",INDEX('ETF데이터'!$J$4:$J$148,$J29))</f>
        <v/>
      </c>
      <c r="E29" s="81">
        <f>IF($J29=0,"",$D29/12)</f>
        <v/>
      </c>
      <c r="F29" s="82">
        <f>IF($J29=0,"",INDEX('ETF데이터'!$D$4:$D$148,$J29))</f>
        <v/>
      </c>
      <c r="G29" s="80">
        <f>IF($J29=0,"",INDEX('ETF데이터'!$H$4:$H$148,$J29))</f>
        <v/>
      </c>
      <c r="H29" s="83">
        <f>IF($J29=0,"",INDEX('ETF데이터'!$E$4:$E$148,$J29))</f>
        <v/>
      </c>
      <c r="I29" s="84">
        <f>IF($J29=0,"",INDEX('ETF데이터'!$M$4:$M$148,$J29))</f>
        <v/>
      </c>
      <c r="J29">
        <f>IFERROR(MATCH(10,'ETF데이터'!$U$4:$U$148,0),0)</f>
        <v/>
      </c>
    </row>
    <row r="30">
      <c r="B30" s="55">
        <f>IF($J30=0,"",INDEX('ETF데이터'!$A$4:$A$148,$J30))</f>
        <v/>
      </c>
      <c r="C30" s="73">
        <f>IF($J30=0,"",INDEX('ETF데이터'!$R$4:$R$148,$J30))</f>
        <v/>
      </c>
      <c r="D30" s="74">
        <f>IF($J30=0,"",INDEX('ETF데이터'!$J$4:$J$148,$J30))</f>
        <v/>
      </c>
      <c r="E30" s="75">
        <f>IF($J30=0,"",$D30/12)</f>
        <v/>
      </c>
      <c r="F30" s="76">
        <f>IF($J30=0,"",INDEX('ETF데이터'!$D$4:$D$148,$J30))</f>
        <v/>
      </c>
      <c r="G30" s="74">
        <f>IF($J30=0,"",INDEX('ETF데이터'!$H$4:$H$148,$J30))</f>
        <v/>
      </c>
      <c r="H30" s="77">
        <f>IF($J30=0,"",INDEX('ETF데이터'!$E$4:$E$148,$J30))</f>
        <v/>
      </c>
      <c r="I30" s="78">
        <f>IF($J30=0,"",INDEX('ETF데이터'!$M$4:$M$148,$J30))</f>
        <v/>
      </c>
      <c r="J30">
        <f>IFERROR(MATCH(11,'ETF데이터'!$U$4:$U$148,0),0)</f>
        <v/>
      </c>
    </row>
    <row r="31">
      <c r="B31" s="59">
        <f>IF($J31=0,"",INDEX('ETF데이터'!$A$4:$A$148,$J31))</f>
        <v/>
      </c>
      <c r="C31" s="79">
        <f>IF($J31=0,"",INDEX('ETF데이터'!$R$4:$R$148,$J31))</f>
        <v/>
      </c>
      <c r="D31" s="80">
        <f>IF($J31=0,"",INDEX('ETF데이터'!$J$4:$J$148,$J31))</f>
        <v/>
      </c>
      <c r="E31" s="81">
        <f>IF($J31=0,"",$D31/12)</f>
        <v/>
      </c>
      <c r="F31" s="82">
        <f>IF($J31=0,"",INDEX('ETF데이터'!$D$4:$D$148,$J31))</f>
        <v/>
      </c>
      <c r="G31" s="80">
        <f>IF($J31=0,"",INDEX('ETF데이터'!$H$4:$H$148,$J31))</f>
        <v/>
      </c>
      <c r="H31" s="83">
        <f>IF($J31=0,"",INDEX('ETF데이터'!$E$4:$E$148,$J31))</f>
        <v/>
      </c>
      <c r="I31" s="84">
        <f>IF($J31=0,"",INDEX('ETF데이터'!$M$4:$M$148,$J31))</f>
        <v/>
      </c>
      <c r="J31">
        <f>IFERROR(MATCH(12,'ETF데이터'!$U$4:$U$148,0),0)</f>
        <v/>
      </c>
    </row>
    <row r="32">
      <c r="B32" s="55">
        <f>IF($J32=0,"",INDEX('ETF데이터'!$A$4:$A$148,$J32))</f>
        <v/>
      </c>
      <c r="C32" s="73">
        <f>IF($J32=0,"",INDEX('ETF데이터'!$R$4:$R$148,$J32))</f>
        <v/>
      </c>
      <c r="D32" s="74">
        <f>IF($J32=0,"",INDEX('ETF데이터'!$J$4:$J$148,$J32))</f>
        <v/>
      </c>
      <c r="E32" s="75">
        <f>IF($J32=0,"",$D32/12)</f>
        <v/>
      </c>
      <c r="F32" s="76">
        <f>IF($J32=0,"",INDEX('ETF데이터'!$D$4:$D$148,$J32))</f>
        <v/>
      </c>
      <c r="G32" s="74">
        <f>IF($J32=0,"",INDEX('ETF데이터'!$H$4:$H$148,$J32))</f>
        <v/>
      </c>
      <c r="H32" s="77">
        <f>IF($J32=0,"",INDEX('ETF데이터'!$E$4:$E$148,$J32))</f>
        <v/>
      </c>
      <c r="I32" s="78">
        <f>IF($J32=0,"",INDEX('ETF데이터'!$M$4:$M$148,$J32))</f>
        <v/>
      </c>
      <c r="J32">
        <f>IFERROR(MATCH(13,'ETF데이터'!$U$4:$U$148,0),0)</f>
        <v/>
      </c>
    </row>
    <row r="33">
      <c r="B33" s="59">
        <f>IF($J33=0,"",INDEX('ETF데이터'!$A$4:$A$148,$J33))</f>
        <v/>
      </c>
      <c r="C33" s="79">
        <f>IF($J33=0,"",INDEX('ETF데이터'!$R$4:$R$148,$J33))</f>
        <v/>
      </c>
      <c r="D33" s="80">
        <f>IF($J33=0,"",INDEX('ETF데이터'!$J$4:$J$148,$J33))</f>
        <v/>
      </c>
      <c r="E33" s="81">
        <f>IF($J33=0,"",$D33/12)</f>
        <v/>
      </c>
      <c r="F33" s="82">
        <f>IF($J33=0,"",INDEX('ETF데이터'!$D$4:$D$148,$J33))</f>
        <v/>
      </c>
      <c r="G33" s="80">
        <f>IF($J33=0,"",INDEX('ETF데이터'!$H$4:$H$148,$J33))</f>
        <v/>
      </c>
      <c r="H33" s="83">
        <f>IF($J33=0,"",INDEX('ETF데이터'!$E$4:$E$148,$J33))</f>
        <v/>
      </c>
      <c r="I33" s="84">
        <f>IF($J33=0,"",INDEX('ETF데이터'!$M$4:$M$148,$J33))</f>
        <v/>
      </c>
      <c r="J33">
        <f>IFERROR(MATCH(14,'ETF데이터'!$U$4:$U$148,0),0)</f>
        <v/>
      </c>
    </row>
    <row r="34">
      <c r="B34" s="55">
        <f>IF($J34=0,"",INDEX('ETF데이터'!$A$4:$A$148,$J34))</f>
        <v/>
      </c>
      <c r="C34" s="73">
        <f>IF($J34=0,"",INDEX('ETF데이터'!$R$4:$R$148,$J34))</f>
        <v/>
      </c>
      <c r="D34" s="74">
        <f>IF($J34=0,"",INDEX('ETF데이터'!$J$4:$J$148,$J34))</f>
        <v/>
      </c>
      <c r="E34" s="75">
        <f>IF($J34=0,"",$D34/12)</f>
        <v/>
      </c>
      <c r="F34" s="76">
        <f>IF($J34=0,"",INDEX('ETF데이터'!$D$4:$D$148,$J34))</f>
        <v/>
      </c>
      <c r="G34" s="74">
        <f>IF($J34=0,"",INDEX('ETF데이터'!$H$4:$H$148,$J34))</f>
        <v/>
      </c>
      <c r="H34" s="77">
        <f>IF($J34=0,"",INDEX('ETF데이터'!$E$4:$E$148,$J34))</f>
        <v/>
      </c>
      <c r="I34" s="78">
        <f>IF($J34=0,"",INDEX('ETF데이터'!$M$4:$M$148,$J34))</f>
        <v/>
      </c>
      <c r="J34">
        <f>IFERROR(MATCH(15,'ETF데이터'!$U$4:$U$148,0),0)</f>
        <v/>
      </c>
    </row>
    <row r="35">
      <c r="B35" s="59">
        <f>IF($J35=0,"",INDEX('ETF데이터'!$A$4:$A$148,$J35))</f>
        <v/>
      </c>
      <c r="C35" s="79">
        <f>IF($J35=0,"",INDEX('ETF데이터'!$R$4:$R$148,$J35))</f>
        <v/>
      </c>
      <c r="D35" s="80">
        <f>IF($J35=0,"",INDEX('ETF데이터'!$J$4:$J$148,$J35))</f>
        <v/>
      </c>
      <c r="E35" s="81">
        <f>IF($J35=0,"",$D35/12)</f>
        <v/>
      </c>
      <c r="F35" s="82">
        <f>IF($J35=0,"",INDEX('ETF데이터'!$D$4:$D$148,$J35))</f>
        <v/>
      </c>
      <c r="G35" s="80">
        <f>IF($J35=0,"",INDEX('ETF데이터'!$H$4:$H$148,$J35))</f>
        <v/>
      </c>
      <c r="H35" s="83">
        <f>IF($J35=0,"",INDEX('ETF데이터'!$E$4:$E$148,$J35))</f>
        <v/>
      </c>
      <c r="I35" s="84">
        <f>IF($J35=0,"",INDEX('ETF데이터'!$M$4:$M$148,$J35))</f>
        <v/>
      </c>
      <c r="J35">
        <f>IFERROR(MATCH(16,'ETF데이터'!$U$4:$U$148,0),0)</f>
        <v/>
      </c>
    </row>
    <row r="36">
      <c r="B36" s="55">
        <f>IF($J36=0,"",INDEX('ETF데이터'!$A$4:$A$148,$J36))</f>
        <v/>
      </c>
      <c r="C36" s="73">
        <f>IF($J36=0,"",INDEX('ETF데이터'!$R$4:$R$148,$J36))</f>
        <v/>
      </c>
      <c r="D36" s="74">
        <f>IF($J36=0,"",INDEX('ETF데이터'!$J$4:$J$148,$J36))</f>
        <v/>
      </c>
      <c r="E36" s="75">
        <f>IF($J36=0,"",$D36/12)</f>
        <v/>
      </c>
      <c r="F36" s="76">
        <f>IF($J36=0,"",INDEX('ETF데이터'!$D$4:$D$148,$J36))</f>
        <v/>
      </c>
      <c r="G36" s="74">
        <f>IF($J36=0,"",INDEX('ETF데이터'!$H$4:$H$148,$J36))</f>
        <v/>
      </c>
      <c r="H36" s="77">
        <f>IF($J36=0,"",INDEX('ETF데이터'!$E$4:$E$148,$J36))</f>
        <v/>
      </c>
      <c r="I36" s="78">
        <f>IF($J36=0,"",INDEX('ETF데이터'!$M$4:$M$148,$J36))</f>
        <v/>
      </c>
      <c r="J36">
        <f>IFERROR(MATCH(17,'ETF데이터'!$U$4:$U$148,0),0)</f>
        <v/>
      </c>
    </row>
    <row r="37">
      <c r="B37" s="59">
        <f>IF($J37=0,"",INDEX('ETF데이터'!$A$4:$A$148,$J37))</f>
        <v/>
      </c>
      <c r="C37" s="79">
        <f>IF($J37=0,"",INDEX('ETF데이터'!$R$4:$R$148,$J37))</f>
        <v/>
      </c>
      <c r="D37" s="80">
        <f>IF($J37=0,"",INDEX('ETF데이터'!$J$4:$J$148,$J37))</f>
        <v/>
      </c>
      <c r="E37" s="81">
        <f>IF($J37=0,"",$D37/12)</f>
        <v/>
      </c>
      <c r="F37" s="82">
        <f>IF($J37=0,"",INDEX('ETF데이터'!$D$4:$D$148,$J37))</f>
        <v/>
      </c>
      <c r="G37" s="80">
        <f>IF($J37=0,"",INDEX('ETF데이터'!$H$4:$H$148,$J37))</f>
        <v/>
      </c>
      <c r="H37" s="83">
        <f>IF($J37=0,"",INDEX('ETF데이터'!$E$4:$E$148,$J37))</f>
        <v/>
      </c>
      <c r="I37" s="84">
        <f>IF($J37=0,"",INDEX('ETF데이터'!$M$4:$M$148,$J37))</f>
        <v/>
      </c>
      <c r="J37">
        <f>IFERROR(MATCH(18,'ETF데이터'!$U$4:$U$148,0),0)</f>
        <v/>
      </c>
    </row>
    <row r="38">
      <c r="B38" s="55">
        <f>IF($J38=0,"",INDEX('ETF데이터'!$A$4:$A$148,$J38))</f>
        <v/>
      </c>
      <c r="C38" s="73">
        <f>IF($J38=0,"",INDEX('ETF데이터'!$R$4:$R$148,$J38))</f>
        <v/>
      </c>
      <c r="D38" s="74">
        <f>IF($J38=0,"",INDEX('ETF데이터'!$J$4:$J$148,$J38))</f>
        <v/>
      </c>
      <c r="E38" s="75">
        <f>IF($J38=0,"",$D38/12)</f>
        <v/>
      </c>
      <c r="F38" s="76">
        <f>IF($J38=0,"",INDEX('ETF데이터'!$D$4:$D$148,$J38))</f>
        <v/>
      </c>
      <c r="G38" s="74">
        <f>IF($J38=0,"",INDEX('ETF데이터'!$H$4:$H$148,$J38))</f>
        <v/>
      </c>
      <c r="H38" s="77">
        <f>IF($J38=0,"",INDEX('ETF데이터'!$E$4:$E$148,$J38))</f>
        <v/>
      </c>
      <c r="I38" s="78">
        <f>IF($J38=0,"",INDEX('ETF데이터'!$M$4:$M$148,$J38))</f>
        <v/>
      </c>
      <c r="J38">
        <f>IFERROR(MATCH(19,'ETF데이터'!$U$4:$U$148,0),0)</f>
        <v/>
      </c>
    </row>
    <row r="39">
      <c r="B39" s="59">
        <f>IF($J39=0,"",INDEX('ETF데이터'!$A$4:$A$148,$J39))</f>
        <v/>
      </c>
      <c r="C39" s="79">
        <f>IF($J39=0,"",INDEX('ETF데이터'!$R$4:$R$148,$J39))</f>
        <v/>
      </c>
      <c r="D39" s="80">
        <f>IF($J39=0,"",INDEX('ETF데이터'!$J$4:$J$148,$J39))</f>
        <v/>
      </c>
      <c r="E39" s="81">
        <f>IF($J39=0,"",$D39/12)</f>
        <v/>
      </c>
      <c r="F39" s="82">
        <f>IF($J39=0,"",INDEX('ETF데이터'!$D$4:$D$148,$J39))</f>
        <v/>
      </c>
      <c r="G39" s="80">
        <f>IF($J39=0,"",INDEX('ETF데이터'!$H$4:$H$148,$J39))</f>
        <v/>
      </c>
      <c r="H39" s="83">
        <f>IF($J39=0,"",INDEX('ETF데이터'!$E$4:$E$148,$J39))</f>
        <v/>
      </c>
      <c r="I39" s="84">
        <f>IF($J39=0,"",INDEX('ETF데이터'!$M$4:$M$148,$J39))</f>
        <v/>
      </c>
      <c r="J39">
        <f>IFERROR(MATCH(20,'ETF데이터'!$U$4:$U$148,0),0)</f>
        <v/>
      </c>
    </row>
    <row r="40">
      <c r="B40" s="55">
        <f>IF($J40=0,"",INDEX('ETF데이터'!$A$4:$A$148,$J40))</f>
        <v/>
      </c>
      <c r="C40" s="73">
        <f>IF($J40=0,"",INDEX('ETF데이터'!$R$4:$R$148,$J40))</f>
        <v/>
      </c>
      <c r="D40" s="74">
        <f>IF($J40=0,"",INDEX('ETF데이터'!$J$4:$J$148,$J40))</f>
        <v/>
      </c>
      <c r="E40" s="75">
        <f>IF($J40=0,"",$D40/12)</f>
        <v/>
      </c>
      <c r="F40" s="76">
        <f>IF($J40=0,"",INDEX('ETF데이터'!$D$4:$D$148,$J40))</f>
        <v/>
      </c>
      <c r="G40" s="74">
        <f>IF($J40=0,"",INDEX('ETF데이터'!$H$4:$H$148,$J40))</f>
        <v/>
      </c>
      <c r="H40" s="77">
        <f>IF($J40=0,"",INDEX('ETF데이터'!$E$4:$E$148,$J40))</f>
        <v/>
      </c>
      <c r="I40" s="78">
        <f>IF($J40=0,"",INDEX('ETF데이터'!$M$4:$M$148,$J40))</f>
        <v/>
      </c>
      <c r="J40">
        <f>IFERROR(MATCH(21,'ETF데이터'!$U$4:$U$148,0),0)</f>
        <v/>
      </c>
    </row>
    <row r="41">
      <c r="B41" s="59">
        <f>IF($J41=0,"",INDEX('ETF데이터'!$A$4:$A$148,$J41))</f>
        <v/>
      </c>
      <c r="C41" s="79">
        <f>IF($J41=0,"",INDEX('ETF데이터'!$R$4:$R$148,$J41))</f>
        <v/>
      </c>
      <c r="D41" s="80">
        <f>IF($J41=0,"",INDEX('ETF데이터'!$J$4:$J$148,$J41))</f>
        <v/>
      </c>
      <c r="E41" s="81">
        <f>IF($J41=0,"",$D41/12)</f>
        <v/>
      </c>
      <c r="F41" s="82">
        <f>IF($J41=0,"",INDEX('ETF데이터'!$D$4:$D$148,$J41))</f>
        <v/>
      </c>
      <c r="G41" s="80">
        <f>IF($J41=0,"",INDEX('ETF데이터'!$H$4:$H$148,$J41))</f>
        <v/>
      </c>
      <c r="H41" s="83">
        <f>IF($J41=0,"",INDEX('ETF데이터'!$E$4:$E$148,$J41))</f>
        <v/>
      </c>
      <c r="I41" s="84">
        <f>IF($J41=0,"",INDEX('ETF데이터'!$M$4:$M$148,$J41))</f>
        <v/>
      </c>
      <c r="J41">
        <f>IFERROR(MATCH(22,'ETF데이터'!$U$4:$U$148,0),0)</f>
        <v/>
      </c>
    </row>
    <row r="42">
      <c r="B42" s="55">
        <f>IF($J42=0,"",INDEX('ETF데이터'!$A$4:$A$148,$J42))</f>
        <v/>
      </c>
      <c r="C42" s="73">
        <f>IF($J42=0,"",INDEX('ETF데이터'!$R$4:$R$148,$J42))</f>
        <v/>
      </c>
      <c r="D42" s="74">
        <f>IF($J42=0,"",INDEX('ETF데이터'!$J$4:$J$148,$J42))</f>
        <v/>
      </c>
      <c r="E42" s="75">
        <f>IF($J42=0,"",$D42/12)</f>
        <v/>
      </c>
      <c r="F42" s="76">
        <f>IF($J42=0,"",INDEX('ETF데이터'!$D$4:$D$148,$J42))</f>
        <v/>
      </c>
      <c r="G42" s="74">
        <f>IF($J42=0,"",INDEX('ETF데이터'!$H$4:$H$148,$J42))</f>
        <v/>
      </c>
      <c r="H42" s="77">
        <f>IF($J42=0,"",INDEX('ETF데이터'!$E$4:$E$148,$J42))</f>
        <v/>
      </c>
      <c r="I42" s="78">
        <f>IF($J42=0,"",INDEX('ETF데이터'!$M$4:$M$148,$J42))</f>
        <v/>
      </c>
      <c r="J42">
        <f>IFERROR(MATCH(23,'ETF데이터'!$U$4:$U$148,0),0)</f>
        <v/>
      </c>
    </row>
    <row r="43">
      <c r="B43" s="59">
        <f>IF($J43=0,"",INDEX('ETF데이터'!$A$4:$A$148,$J43))</f>
        <v/>
      </c>
      <c r="C43" s="79">
        <f>IF($J43=0,"",INDEX('ETF데이터'!$R$4:$R$148,$J43))</f>
        <v/>
      </c>
      <c r="D43" s="80">
        <f>IF($J43=0,"",INDEX('ETF데이터'!$J$4:$J$148,$J43))</f>
        <v/>
      </c>
      <c r="E43" s="81">
        <f>IF($J43=0,"",$D43/12)</f>
        <v/>
      </c>
      <c r="F43" s="82">
        <f>IF($J43=0,"",INDEX('ETF데이터'!$D$4:$D$148,$J43))</f>
        <v/>
      </c>
      <c r="G43" s="80">
        <f>IF($J43=0,"",INDEX('ETF데이터'!$H$4:$H$148,$J43))</f>
        <v/>
      </c>
      <c r="H43" s="83">
        <f>IF($J43=0,"",INDEX('ETF데이터'!$E$4:$E$148,$J43))</f>
        <v/>
      </c>
      <c r="I43" s="84">
        <f>IF($J43=0,"",INDEX('ETF데이터'!$M$4:$M$148,$J43))</f>
        <v/>
      </c>
      <c r="J43">
        <f>IFERROR(MATCH(24,'ETF데이터'!$U$4:$U$148,0),0)</f>
        <v/>
      </c>
    </row>
    <row r="44">
      <c r="B44" s="55">
        <f>IF($J44=0,"",INDEX('ETF데이터'!$A$4:$A$148,$J44))</f>
        <v/>
      </c>
      <c r="C44" s="73">
        <f>IF($J44=0,"",INDEX('ETF데이터'!$R$4:$R$148,$J44))</f>
        <v/>
      </c>
      <c r="D44" s="74">
        <f>IF($J44=0,"",INDEX('ETF데이터'!$J$4:$J$148,$J44))</f>
        <v/>
      </c>
      <c r="E44" s="75">
        <f>IF($J44=0,"",$D44/12)</f>
        <v/>
      </c>
      <c r="F44" s="76">
        <f>IF($J44=0,"",INDEX('ETF데이터'!$D$4:$D$148,$J44))</f>
        <v/>
      </c>
      <c r="G44" s="74">
        <f>IF($J44=0,"",INDEX('ETF데이터'!$H$4:$H$148,$J44))</f>
        <v/>
      </c>
      <c r="H44" s="77">
        <f>IF($J44=0,"",INDEX('ETF데이터'!$E$4:$E$148,$J44))</f>
        <v/>
      </c>
      <c r="I44" s="78">
        <f>IF($J44=0,"",INDEX('ETF데이터'!$M$4:$M$148,$J44))</f>
        <v/>
      </c>
      <c r="J44">
        <f>IFERROR(MATCH(25,'ETF데이터'!$U$4:$U$148,0),0)</f>
        <v/>
      </c>
    </row>
    <row r="45">
      <c r="B45" s="59">
        <f>IF($J45=0,"",INDEX('ETF데이터'!$A$4:$A$148,$J45))</f>
        <v/>
      </c>
      <c r="C45" s="79">
        <f>IF($J45=0,"",INDEX('ETF데이터'!$R$4:$R$148,$J45))</f>
        <v/>
      </c>
      <c r="D45" s="80">
        <f>IF($J45=0,"",INDEX('ETF데이터'!$J$4:$J$148,$J45))</f>
        <v/>
      </c>
      <c r="E45" s="81">
        <f>IF($J45=0,"",$D45/12)</f>
        <v/>
      </c>
      <c r="F45" s="82">
        <f>IF($J45=0,"",INDEX('ETF데이터'!$D$4:$D$148,$J45))</f>
        <v/>
      </c>
      <c r="G45" s="80">
        <f>IF($J45=0,"",INDEX('ETF데이터'!$H$4:$H$148,$J45))</f>
        <v/>
      </c>
      <c r="H45" s="83">
        <f>IF($J45=0,"",INDEX('ETF데이터'!$E$4:$E$148,$J45))</f>
        <v/>
      </c>
      <c r="I45" s="84">
        <f>IF($J45=0,"",INDEX('ETF데이터'!$M$4:$M$148,$J45))</f>
        <v/>
      </c>
      <c r="J45">
        <f>IFERROR(MATCH(26,'ETF데이터'!$U$4:$U$148,0),0)</f>
        <v/>
      </c>
    </row>
    <row r="46">
      <c r="B46" s="55">
        <f>IF($J46=0,"",INDEX('ETF데이터'!$A$4:$A$148,$J46))</f>
        <v/>
      </c>
      <c r="C46" s="73">
        <f>IF($J46=0,"",INDEX('ETF데이터'!$R$4:$R$148,$J46))</f>
        <v/>
      </c>
      <c r="D46" s="74">
        <f>IF($J46=0,"",INDEX('ETF데이터'!$J$4:$J$148,$J46))</f>
        <v/>
      </c>
      <c r="E46" s="75">
        <f>IF($J46=0,"",$D46/12)</f>
        <v/>
      </c>
      <c r="F46" s="76">
        <f>IF($J46=0,"",INDEX('ETF데이터'!$D$4:$D$148,$J46))</f>
        <v/>
      </c>
      <c r="G46" s="74">
        <f>IF($J46=0,"",INDEX('ETF데이터'!$H$4:$H$148,$J46))</f>
        <v/>
      </c>
      <c r="H46" s="77">
        <f>IF($J46=0,"",INDEX('ETF데이터'!$E$4:$E$148,$J46))</f>
        <v/>
      </c>
      <c r="I46" s="78">
        <f>IF($J46=0,"",INDEX('ETF데이터'!$M$4:$M$148,$J46))</f>
        <v/>
      </c>
      <c r="J46">
        <f>IFERROR(MATCH(27,'ETF데이터'!$U$4:$U$148,0),0)</f>
        <v/>
      </c>
    </row>
    <row r="47">
      <c r="B47" s="59">
        <f>IF($J47=0,"",INDEX('ETF데이터'!$A$4:$A$148,$J47))</f>
        <v/>
      </c>
      <c r="C47" s="79">
        <f>IF($J47=0,"",INDEX('ETF데이터'!$R$4:$R$148,$J47))</f>
        <v/>
      </c>
      <c r="D47" s="80">
        <f>IF($J47=0,"",INDEX('ETF데이터'!$J$4:$J$148,$J47))</f>
        <v/>
      </c>
      <c r="E47" s="81">
        <f>IF($J47=0,"",$D47/12)</f>
        <v/>
      </c>
      <c r="F47" s="82">
        <f>IF($J47=0,"",INDEX('ETF데이터'!$D$4:$D$148,$J47))</f>
        <v/>
      </c>
      <c r="G47" s="80">
        <f>IF($J47=0,"",INDEX('ETF데이터'!$H$4:$H$148,$J47))</f>
        <v/>
      </c>
      <c r="H47" s="83">
        <f>IF($J47=0,"",INDEX('ETF데이터'!$E$4:$E$148,$J47))</f>
        <v/>
      </c>
      <c r="I47" s="84">
        <f>IF($J47=0,"",INDEX('ETF데이터'!$M$4:$M$148,$J47))</f>
        <v/>
      </c>
      <c r="J47">
        <f>IFERROR(MATCH(28,'ETF데이터'!$U$4:$U$148,0),0)</f>
        <v/>
      </c>
    </row>
    <row r="48">
      <c r="B48" s="55">
        <f>IF($J48=0,"",INDEX('ETF데이터'!$A$4:$A$148,$J48))</f>
        <v/>
      </c>
      <c r="C48" s="73">
        <f>IF($J48=0,"",INDEX('ETF데이터'!$R$4:$R$148,$J48))</f>
        <v/>
      </c>
      <c r="D48" s="74">
        <f>IF($J48=0,"",INDEX('ETF데이터'!$J$4:$J$148,$J48))</f>
        <v/>
      </c>
      <c r="E48" s="75">
        <f>IF($J48=0,"",$D48/12)</f>
        <v/>
      </c>
      <c r="F48" s="76">
        <f>IF($J48=0,"",INDEX('ETF데이터'!$D$4:$D$148,$J48))</f>
        <v/>
      </c>
      <c r="G48" s="74">
        <f>IF($J48=0,"",INDEX('ETF데이터'!$H$4:$H$148,$J48))</f>
        <v/>
      </c>
      <c r="H48" s="77">
        <f>IF($J48=0,"",INDEX('ETF데이터'!$E$4:$E$148,$J48))</f>
        <v/>
      </c>
      <c r="I48" s="78">
        <f>IF($J48=0,"",INDEX('ETF데이터'!$M$4:$M$148,$J48))</f>
        <v/>
      </c>
      <c r="J48">
        <f>IFERROR(MATCH(29,'ETF데이터'!$U$4:$U$148,0),0)</f>
        <v/>
      </c>
    </row>
    <row r="49">
      <c r="B49" s="59">
        <f>IF($J49=0,"",INDEX('ETF데이터'!$A$4:$A$148,$J49))</f>
        <v/>
      </c>
      <c r="C49" s="79">
        <f>IF($J49=0,"",INDEX('ETF데이터'!$R$4:$R$148,$J49))</f>
        <v/>
      </c>
      <c r="D49" s="80">
        <f>IF($J49=0,"",INDEX('ETF데이터'!$J$4:$J$148,$J49))</f>
        <v/>
      </c>
      <c r="E49" s="81">
        <f>IF($J49=0,"",$D49/12)</f>
        <v/>
      </c>
      <c r="F49" s="82">
        <f>IF($J49=0,"",INDEX('ETF데이터'!$D$4:$D$148,$J49))</f>
        <v/>
      </c>
      <c r="G49" s="80">
        <f>IF($J49=0,"",INDEX('ETF데이터'!$H$4:$H$148,$J49))</f>
        <v/>
      </c>
      <c r="H49" s="83">
        <f>IF($J49=0,"",INDEX('ETF데이터'!$E$4:$E$148,$J49))</f>
        <v/>
      </c>
      <c r="I49" s="84">
        <f>IF($J49=0,"",INDEX('ETF데이터'!$M$4:$M$148,$J49))</f>
        <v/>
      </c>
      <c r="J49">
        <f>IFERROR(MATCH(30,'ETF데이터'!$U$4:$U$148,0),0)</f>
        <v/>
      </c>
    </row>
    <row r="50">
      <c r="B50" s="55">
        <f>IF($J50=0,"",INDEX('ETF데이터'!$A$4:$A$148,$J50))</f>
        <v/>
      </c>
      <c r="C50" s="73">
        <f>IF($J50=0,"",INDEX('ETF데이터'!$R$4:$R$148,$J50))</f>
        <v/>
      </c>
      <c r="D50" s="74">
        <f>IF($J50=0,"",INDEX('ETF데이터'!$J$4:$J$148,$J50))</f>
        <v/>
      </c>
      <c r="E50" s="75">
        <f>IF($J50=0,"",$D50/12)</f>
        <v/>
      </c>
      <c r="F50" s="76">
        <f>IF($J50=0,"",INDEX('ETF데이터'!$D$4:$D$148,$J50))</f>
        <v/>
      </c>
      <c r="G50" s="74">
        <f>IF($J50=0,"",INDEX('ETF데이터'!$H$4:$H$148,$J50))</f>
        <v/>
      </c>
      <c r="H50" s="77">
        <f>IF($J50=0,"",INDEX('ETF데이터'!$E$4:$E$148,$J50))</f>
        <v/>
      </c>
      <c r="I50" s="78">
        <f>IF($J50=0,"",INDEX('ETF데이터'!$M$4:$M$148,$J50))</f>
        <v/>
      </c>
      <c r="J50">
        <f>IFERROR(MATCH(31,'ETF데이터'!$U$4:$U$148,0),0)</f>
        <v/>
      </c>
    </row>
    <row r="51">
      <c r="B51" s="59">
        <f>IF($J51=0,"",INDEX('ETF데이터'!$A$4:$A$148,$J51))</f>
        <v/>
      </c>
      <c r="C51" s="79">
        <f>IF($J51=0,"",INDEX('ETF데이터'!$R$4:$R$148,$J51))</f>
        <v/>
      </c>
      <c r="D51" s="80">
        <f>IF($J51=0,"",INDEX('ETF데이터'!$J$4:$J$148,$J51))</f>
        <v/>
      </c>
      <c r="E51" s="81">
        <f>IF($J51=0,"",$D51/12)</f>
        <v/>
      </c>
      <c r="F51" s="82">
        <f>IF($J51=0,"",INDEX('ETF데이터'!$D$4:$D$148,$J51))</f>
        <v/>
      </c>
      <c r="G51" s="80">
        <f>IF($J51=0,"",INDEX('ETF데이터'!$H$4:$H$148,$J51))</f>
        <v/>
      </c>
      <c r="H51" s="83">
        <f>IF($J51=0,"",INDEX('ETF데이터'!$E$4:$E$148,$J51))</f>
        <v/>
      </c>
      <c r="I51" s="84">
        <f>IF($J51=0,"",INDEX('ETF데이터'!$M$4:$M$148,$J51))</f>
        <v/>
      </c>
      <c r="J51">
        <f>IFERROR(MATCH(32,'ETF데이터'!$U$4:$U$148,0),0)</f>
        <v/>
      </c>
    </row>
    <row r="52">
      <c r="B52" s="55">
        <f>IF($J52=0,"",INDEX('ETF데이터'!$A$4:$A$148,$J52))</f>
        <v/>
      </c>
      <c r="C52" s="73">
        <f>IF($J52=0,"",INDEX('ETF데이터'!$R$4:$R$148,$J52))</f>
        <v/>
      </c>
      <c r="D52" s="74">
        <f>IF($J52=0,"",INDEX('ETF데이터'!$J$4:$J$148,$J52))</f>
        <v/>
      </c>
      <c r="E52" s="75">
        <f>IF($J52=0,"",$D52/12)</f>
        <v/>
      </c>
      <c r="F52" s="76">
        <f>IF($J52=0,"",INDEX('ETF데이터'!$D$4:$D$148,$J52))</f>
        <v/>
      </c>
      <c r="G52" s="74">
        <f>IF($J52=0,"",INDEX('ETF데이터'!$H$4:$H$148,$J52))</f>
        <v/>
      </c>
      <c r="H52" s="77">
        <f>IF($J52=0,"",INDEX('ETF데이터'!$E$4:$E$148,$J52))</f>
        <v/>
      </c>
      <c r="I52" s="78">
        <f>IF($J52=0,"",INDEX('ETF데이터'!$M$4:$M$148,$J52))</f>
        <v/>
      </c>
      <c r="J52">
        <f>IFERROR(MATCH(33,'ETF데이터'!$U$4:$U$148,0),0)</f>
        <v/>
      </c>
    </row>
    <row r="53">
      <c r="B53" s="59">
        <f>IF($J53=0,"",INDEX('ETF데이터'!$A$4:$A$148,$J53))</f>
        <v/>
      </c>
      <c r="C53" s="79">
        <f>IF($J53=0,"",INDEX('ETF데이터'!$R$4:$R$148,$J53))</f>
        <v/>
      </c>
      <c r="D53" s="80">
        <f>IF($J53=0,"",INDEX('ETF데이터'!$J$4:$J$148,$J53))</f>
        <v/>
      </c>
      <c r="E53" s="81">
        <f>IF($J53=0,"",$D53/12)</f>
        <v/>
      </c>
      <c r="F53" s="82">
        <f>IF($J53=0,"",INDEX('ETF데이터'!$D$4:$D$148,$J53))</f>
        <v/>
      </c>
      <c r="G53" s="80">
        <f>IF($J53=0,"",INDEX('ETF데이터'!$H$4:$H$148,$J53))</f>
        <v/>
      </c>
      <c r="H53" s="83">
        <f>IF($J53=0,"",INDEX('ETF데이터'!$E$4:$E$148,$J53))</f>
        <v/>
      </c>
      <c r="I53" s="84">
        <f>IF($J53=0,"",INDEX('ETF데이터'!$M$4:$M$148,$J53))</f>
        <v/>
      </c>
      <c r="J53">
        <f>IFERROR(MATCH(34,'ETF데이터'!$U$4:$U$148,0),0)</f>
        <v/>
      </c>
    </row>
    <row r="54">
      <c r="B54" s="55">
        <f>IF($J54=0,"",INDEX('ETF데이터'!$A$4:$A$148,$J54))</f>
        <v/>
      </c>
      <c r="C54" s="73">
        <f>IF($J54=0,"",INDEX('ETF데이터'!$R$4:$R$148,$J54))</f>
        <v/>
      </c>
      <c r="D54" s="74">
        <f>IF($J54=0,"",INDEX('ETF데이터'!$J$4:$J$148,$J54))</f>
        <v/>
      </c>
      <c r="E54" s="75">
        <f>IF($J54=0,"",$D54/12)</f>
        <v/>
      </c>
      <c r="F54" s="76">
        <f>IF($J54=0,"",INDEX('ETF데이터'!$D$4:$D$148,$J54))</f>
        <v/>
      </c>
      <c r="G54" s="74">
        <f>IF($J54=0,"",INDEX('ETF데이터'!$H$4:$H$148,$J54))</f>
        <v/>
      </c>
      <c r="H54" s="77">
        <f>IF($J54=0,"",INDEX('ETF데이터'!$E$4:$E$148,$J54))</f>
        <v/>
      </c>
      <c r="I54" s="78">
        <f>IF($J54=0,"",INDEX('ETF데이터'!$M$4:$M$148,$J54))</f>
        <v/>
      </c>
      <c r="J54">
        <f>IFERROR(MATCH(35,'ETF데이터'!$U$4:$U$148,0),0)</f>
        <v/>
      </c>
    </row>
    <row r="55">
      <c r="B55" s="59">
        <f>IF($J55=0,"",INDEX('ETF데이터'!$A$4:$A$148,$J55))</f>
        <v/>
      </c>
      <c r="C55" s="79">
        <f>IF($J55=0,"",INDEX('ETF데이터'!$R$4:$R$148,$J55))</f>
        <v/>
      </c>
      <c r="D55" s="80">
        <f>IF($J55=0,"",INDEX('ETF데이터'!$J$4:$J$148,$J55))</f>
        <v/>
      </c>
      <c r="E55" s="81">
        <f>IF($J55=0,"",$D55/12)</f>
        <v/>
      </c>
      <c r="F55" s="82">
        <f>IF($J55=0,"",INDEX('ETF데이터'!$D$4:$D$148,$J55))</f>
        <v/>
      </c>
      <c r="G55" s="80">
        <f>IF($J55=0,"",INDEX('ETF데이터'!$H$4:$H$148,$J55))</f>
        <v/>
      </c>
      <c r="H55" s="83">
        <f>IF($J55=0,"",INDEX('ETF데이터'!$E$4:$E$148,$J55))</f>
        <v/>
      </c>
      <c r="I55" s="84">
        <f>IF($J55=0,"",INDEX('ETF데이터'!$M$4:$M$148,$J55))</f>
        <v/>
      </c>
      <c r="J55">
        <f>IFERROR(MATCH(36,'ETF데이터'!$U$4:$U$148,0),0)</f>
        <v/>
      </c>
    </row>
    <row r="56">
      <c r="B56" s="55">
        <f>IF($J56=0,"",INDEX('ETF데이터'!$A$4:$A$148,$J56))</f>
        <v/>
      </c>
      <c r="C56" s="73">
        <f>IF($J56=0,"",INDEX('ETF데이터'!$R$4:$R$148,$J56))</f>
        <v/>
      </c>
      <c r="D56" s="74">
        <f>IF($J56=0,"",INDEX('ETF데이터'!$J$4:$J$148,$J56))</f>
        <v/>
      </c>
      <c r="E56" s="75">
        <f>IF($J56=0,"",$D56/12)</f>
        <v/>
      </c>
      <c r="F56" s="76">
        <f>IF($J56=0,"",INDEX('ETF데이터'!$D$4:$D$148,$J56))</f>
        <v/>
      </c>
      <c r="G56" s="74">
        <f>IF($J56=0,"",INDEX('ETF데이터'!$H$4:$H$148,$J56))</f>
        <v/>
      </c>
      <c r="H56" s="77">
        <f>IF($J56=0,"",INDEX('ETF데이터'!$E$4:$E$148,$J56))</f>
        <v/>
      </c>
      <c r="I56" s="78">
        <f>IF($J56=0,"",INDEX('ETF데이터'!$M$4:$M$148,$J56))</f>
        <v/>
      </c>
      <c r="J56">
        <f>IFERROR(MATCH(37,'ETF데이터'!$U$4:$U$148,0),0)</f>
        <v/>
      </c>
    </row>
    <row r="57">
      <c r="B57" s="59">
        <f>IF($J57=0,"",INDEX('ETF데이터'!$A$4:$A$148,$J57))</f>
        <v/>
      </c>
      <c r="C57" s="79">
        <f>IF($J57=0,"",INDEX('ETF데이터'!$R$4:$R$148,$J57))</f>
        <v/>
      </c>
      <c r="D57" s="80">
        <f>IF($J57=0,"",INDEX('ETF데이터'!$J$4:$J$148,$J57))</f>
        <v/>
      </c>
      <c r="E57" s="81">
        <f>IF($J57=0,"",$D57/12)</f>
        <v/>
      </c>
      <c r="F57" s="82">
        <f>IF($J57=0,"",INDEX('ETF데이터'!$D$4:$D$148,$J57))</f>
        <v/>
      </c>
      <c r="G57" s="80">
        <f>IF($J57=0,"",INDEX('ETF데이터'!$H$4:$H$148,$J57))</f>
        <v/>
      </c>
      <c r="H57" s="83">
        <f>IF($J57=0,"",INDEX('ETF데이터'!$E$4:$E$148,$J57))</f>
        <v/>
      </c>
      <c r="I57" s="84">
        <f>IF($J57=0,"",INDEX('ETF데이터'!$M$4:$M$148,$J57))</f>
        <v/>
      </c>
      <c r="J57">
        <f>IFERROR(MATCH(38,'ETF데이터'!$U$4:$U$148,0),0)</f>
        <v/>
      </c>
    </row>
    <row r="58">
      <c r="B58" s="55">
        <f>IF($J58=0,"",INDEX('ETF데이터'!$A$4:$A$148,$J58))</f>
        <v/>
      </c>
      <c r="C58" s="73">
        <f>IF($J58=0,"",INDEX('ETF데이터'!$R$4:$R$148,$J58))</f>
        <v/>
      </c>
      <c r="D58" s="74">
        <f>IF($J58=0,"",INDEX('ETF데이터'!$J$4:$J$148,$J58))</f>
        <v/>
      </c>
      <c r="E58" s="75">
        <f>IF($J58=0,"",$D58/12)</f>
        <v/>
      </c>
      <c r="F58" s="76">
        <f>IF($J58=0,"",INDEX('ETF데이터'!$D$4:$D$148,$J58))</f>
        <v/>
      </c>
      <c r="G58" s="74">
        <f>IF($J58=0,"",INDEX('ETF데이터'!$H$4:$H$148,$J58))</f>
        <v/>
      </c>
      <c r="H58" s="77">
        <f>IF($J58=0,"",INDEX('ETF데이터'!$E$4:$E$148,$J58))</f>
        <v/>
      </c>
      <c r="I58" s="78">
        <f>IF($J58=0,"",INDEX('ETF데이터'!$M$4:$M$148,$J58))</f>
        <v/>
      </c>
      <c r="J58">
        <f>IFERROR(MATCH(39,'ETF데이터'!$U$4:$U$148,0),0)</f>
        <v/>
      </c>
    </row>
    <row r="59">
      <c r="B59" s="59">
        <f>IF($J59=0,"",INDEX('ETF데이터'!$A$4:$A$148,$J59))</f>
        <v/>
      </c>
      <c r="C59" s="79">
        <f>IF($J59=0,"",INDEX('ETF데이터'!$R$4:$R$148,$J59))</f>
        <v/>
      </c>
      <c r="D59" s="80">
        <f>IF($J59=0,"",INDEX('ETF데이터'!$J$4:$J$148,$J59))</f>
        <v/>
      </c>
      <c r="E59" s="81">
        <f>IF($J59=0,"",$D59/12)</f>
        <v/>
      </c>
      <c r="F59" s="82">
        <f>IF($J59=0,"",INDEX('ETF데이터'!$D$4:$D$148,$J59))</f>
        <v/>
      </c>
      <c r="G59" s="80">
        <f>IF($J59=0,"",INDEX('ETF데이터'!$H$4:$H$148,$J59))</f>
        <v/>
      </c>
      <c r="H59" s="83">
        <f>IF($J59=0,"",INDEX('ETF데이터'!$E$4:$E$148,$J59))</f>
        <v/>
      </c>
      <c r="I59" s="84">
        <f>IF($J59=0,"",INDEX('ETF데이터'!$M$4:$M$148,$J59))</f>
        <v/>
      </c>
      <c r="J59">
        <f>IFERROR(MATCH(40,'ETF데이터'!$U$4:$U$148,0),0)</f>
        <v/>
      </c>
    </row>
    <row r="60">
      <c r="B60" s="55">
        <f>IF($J60=0,"",INDEX('ETF데이터'!$A$4:$A$148,$J60))</f>
        <v/>
      </c>
      <c r="C60" s="73">
        <f>IF($J60=0,"",INDEX('ETF데이터'!$R$4:$R$148,$J60))</f>
        <v/>
      </c>
      <c r="D60" s="74">
        <f>IF($J60=0,"",INDEX('ETF데이터'!$J$4:$J$148,$J60))</f>
        <v/>
      </c>
      <c r="E60" s="75">
        <f>IF($J60=0,"",$D60/12)</f>
        <v/>
      </c>
      <c r="F60" s="76">
        <f>IF($J60=0,"",INDEX('ETF데이터'!$D$4:$D$148,$J60))</f>
        <v/>
      </c>
      <c r="G60" s="74">
        <f>IF($J60=0,"",INDEX('ETF데이터'!$H$4:$H$148,$J60))</f>
        <v/>
      </c>
      <c r="H60" s="77">
        <f>IF($J60=0,"",INDEX('ETF데이터'!$E$4:$E$148,$J60))</f>
        <v/>
      </c>
      <c r="I60" s="78">
        <f>IF($J60=0,"",INDEX('ETF데이터'!$M$4:$M$148,$J60))</f>
        <v/>
      </c>
      <c r="J60">
        <f>IFERROR(MATCH(41,'ETF데이터'!$U$4:$U$148,0),0)</f>
        <v/>
      </c>
    </row>
    <row r="61">
      <c r="B61" s="59">
        <f>IF($J61=0,"",INDEX('ETF데이터'!$A$4:$A$148,$J61))</f>
        <v/>
      </c>
      <c r="C61" s="79">
        <f>IF($J61=0,"",INDEX('ETF데이터'!$R$4:$R$148,$J61))</f>
        <v/>
      </c>
      <c r="D61" s="80">
        <f>IF($J61=0,"",INDEX('ETF데이터'!$J$4:$J$148,$J61))</f>
        <v/>
      </c>
      <c r="E61" s="81">
        <f>IF($J61=0,"",$D61/12)</f>
        <v/>
      </c>
      <c r="F61" s="82">
        <f>IF($J61=0,"",INDEX('ETF데이터'!$D$4:$D$148,$J61))</f>
        <v/>
      </c>
      <c r="G61" s="80">
        <f>IF($J61=0,"",INDEX('ETF데이터'!$H$4:$H$148,$J61))</f>
        <v/>
      </c>
      <c r="H61" s="83">
        <f>IF($J61=0,"",INDEX('ETF데이터'!$E$4:$E$148,$J61))</f>
        <v/>
      </c>
      <c r="I61" s="84">
        <f>IF($J61=0,"",INDEX('ETF데이터'!$M$4:$M$148,$J61))</f>
        <v/>
      </c>
      <c r="J61">
        <f>IFERROR(MATCH(42,'ETF데이터'!$U$4:$U$148,0),0)</f>
        <v/>
      </c>
    </row>
    <row r="62">
      <c r="B62" s="55">
        <f>IF($J62=0,"",INDEX('ETF데이터'!$A$4:$A$148,$J62))</f>
        <v/>
      </c>
      <c r="C62" s="73">
        <f>IF($J62=0,"",INDEX('ETF데이터'!$R$4:$R$148,$J62))</f>
        <v/>
      </c>
      <c r="D62" s="74">
        <f>IF($J62=0,"",INDEX('ETF데이터'!$J$4:$J$148,$J62))</f>
        <v/>
      </c>
      <c r="E62" s="75">
        <f>IF($J62=0,"",$D62/12)</f>
        <v/>
      </c>
      <c r="F62" s="76">
        <f>IF($J62=0,"",INDEX('ETF데이터'!$D$4:$D$148,$J62))</f>
        <v/>
      </c>
      <c r="G62" s="74">
        <f>IF($J62=0,"",INDEX('ETF데이터'!$H$4:$H$148,$J62))</f>
        <v/>
      </c>
      <c r="H62" s="77">
        <f>IF($J62=0,"",INDEX('ETF데이터'!$E$4:$E$148,$J62))</f>
        <v/>
      </c>
      <c r="I62" s="78">
        <f>IF($J62=0,"",INDEX('ETF데이터'!$M$4:$M$148,$J62))</f>
        <v/>
      </c>
      <c r="J62">
        <f>IFERROR(MATCH(43,'ETF데이터'!$U$4:$U$148,0),0)</f>
        <v/>
      </c>
    </row>
    <row r="63">
      <c r="B63" s="59">
        <f>IF($J63=0,"",INDEX('ETF데이터'!$A$4:$A$148,$J63))</f>
        <v/>
      </c>
      <c r="C63" s="79">
        <f>IF($J63=0,"",INDEX('ETF데이터'!$R$4:$R$148,$J63))</f>
        <v/>
      </c>
      <c r="D63" s="80">
        <f>IF($J63=0,"",INDEX('ETF데이터'!$J$4:$J$148,$J63))</f>
        <v/>
      </c>
      <c r="E63" s="81">
        <f>IF($J63=0,"",$D63/12)</f>
        <v/>
      </c>
      <c r="F63" s="82">
        <f>IF($J63=0,"",INDEX('ETF데이터'!$D$4:$D$148,$J63))</f>
        <v/>
      </c>
      <c r="G63" s="80">
        <f>IF($J63=0,"",INDEX('ETF데이터'!$H$4:$H$148,$J63))</f>
        <v/>
      </c>
      <c r="H63" s="83">
        <f>IF($J63=0,"",INDEX('ETF데이터'!$E$4:$E$148,$J63))</f>
        <v/>
      </c>
      <c r="I63" s="84">
        <f>IF($J63=0,"",INDEX('ETF데이터'!$M$4:$M$148,$J63))</f>
        <v/>
      </c>
      <c r="J63">
        <f>IFERROR(MATCH(44,'ETF데이터'!$U$4:$U$148,0),0)</f>
        <v/>
      </c>
    </row>
    <row r="64">
      <c r="B64" s="55">
        <f>IF($J64=0,"",INDEX('ETF데이터'!$A$4:$A$148,$J64))</f>
        <v/>
      </c>
      <c r="C64" s="73">
        <f>IF($J64=0,"",INDEX('ETF데이터'!$R$4:$R$148,$J64))</f>
        <v/>
      </c>
      <c r="D64" s="74">
        <f>IF($J64=0,"",INDEX('ETF데이터'!$J$4:$J$148,$J64))</f>
        <v/>
      </c>
      <c r="E64" s="75">
        <f>IF($J64=0,"",$D64/12)</f>
        <v/>
      </c>
      <c r="F64" s="76">
        <f>IF($J64=0,"",INDEX('ETF데이터'!$D$4:$D$148,$J64))</f>
        <v/>
      </c>
      <c r="G64" s="74">
        <f>IF($J64=0,"",INDEX('ETF데이터'!$H$4:$H$148,$J64))</f>
        <v/>
      </c>
      <c r="H64" s="77">
        <f>IF($J64=0,"",INDEX('ETF데이터'!$E$4:$E$148,$J64))</f>
        <v/>
      </c>
      <c r="I64" s="78">
        <f>IF($J64=0,"",INDEX('ETF데이터'!$M$4:$M$148,$J64))</f>
        <v/>
      </c>
      <c r="J64">
        <f>IFERROR(MATCH(45,'ETF데이터'!$U$4:$U$148,0),0)</f>
        <v/>
      </c>
    </row>
    <row r="65">
      <c r="B65" s="59">
        <f>IF($J65=0,"",INDEX('ETF데이터'!$A$4:$A$148,$J65))</f>
        <v/>
      </c>
      <c r="C65" s="79">
        <f>IF($J65=0,"",INDEX('ETF데이터'!$R$4:$R$148,$J65))</f>
        <v/>
      </c>
      <c r="D65" s="80">
        <f>IF($J65=0,"",INDEX('ETF데이터'!$J$4:$J$148,$J65))</f>
        <v/>
      </c>
      <c r="E65" s="81">
        <f>IF($J65=0,"",$D65/12)</f>
        <v/>
      </c>
      <c r="F65" s="82">
        <f>IF($J65=0,"",INDEX('ETF데이터'!$D$4:$D$148,$J65))</f>
        <v/>
      </c>
      <c r="G65" s="80">
        <f>IF($J65=0,"",INDEX('ETF데이터'!$H$4:$H$148,$J65))</f>
        <v/>
      </c>
      <c r="H65" s="83">
        <f>IF($J65=0,"",INDEX('ETF데이터'!$E$4:$E$148,$J65))</f>
        <v/>
      </c>
      <c r="I65" s="84">
        <f>IF($J65=0,"",INDEX('ETF데이터'!$M$4:$M$148,$J65))</f>
        <v/>
      </c>
      <c r="J65">
        <f>IFERROR(MATCH(46,'ETF데이터'!$U$4:$U$148,0),0)</f>
        <v/>
      </c>
    </row>
    <row r="66">
      <c r="B66" s="55">
        <f>IF($J66=0,"",INDEX('ETF데이터'!$A$4:$A$148,$J66))</f>
        <v/>
      </c>
      <c r="C66" s="73">
        <f>IF($J66=0,"",INDEX('ETF데이터'!$R$4:$R$148,$J66))</f>
        <v/>
      </c>
      <c r="D66" s="74">
        <f>IF($J66=0,"",INDEX('ETF데이터'!$J$4:$J$148,$J66))</f>
        <v/>
      </c>
      <c r="E66" s="75">
        <f>IF($J66=0,"",$D66/12)</f>
        <v/>
      </c>
      <c r="F66" s="76">
        <f>IF($J66=0,"",INDEX('ETF데이터'!$D$4:$D$148,$J66))</f>
        <v/>
      </c>
      <c r="G66" s="74">
        <f>IF($J66=0,"",INDEX('ETF데이터'!$H$4:$H$148,$J66))</f>
        <v/>
      </c>
      <c r="H66" s="77">
        <f>IF($J66=0,"",INDEX('ETF데이터'!$E$4:$E$148,$J66))</f>
        <v/>
      </c>
      <c r="I66" s="78">
        <f>IF($J66=0,"",INDEX('ETF데이터'!$M$4:$M$148,$J66))</f>
        <v/>
      </c>
      <c r="J66">
        <f>IFERROR(MATCH(47,'ETF데이터'!$U$4:$U$148,0),0)</f>
        <v/>
      </c>
    </row>
    <row r="67">
      <c r="B67" s="59">
        <f>IF($J67=0,"",INDEX('ETF데이터'!$A$4:$A$148,$J67))</f>
        <v/>
      </c>
      <c r="C67" s="79">
        <f>IF($J67=0,"",INDEX('ETF데이터'!$R$4:$R$148,$J67))</f>
        <v/>
      </c>
      <c r="D67" s="80">
        <f>IF($J67=0,"",INDEX('ETF데이터'!$J$4:$J$148,$J67))</f>
        <v/>
      </c>
      <c r="E67" s="81">
        <f>IF($J67=0,"",$D67/12)</f>
        <v/>
      </c>
      <c r="F67" s="82">
        <f>IF($J67=0,"",INDEX('ETF데이터'!$D$4:$D$148,$J67))</f>
        <v/>
      </c>
      <c r="G67" s="80">
        <f>IF($J67=0,"",INDEX('ETF데이터'!$H$4:$H$148,$J67))</f>
        <v/>
      </c>
      <c r="H67" s="83">
        <f>IF($J67=0,"",INDEX('ETF데이터'!$E$4:$E$148,$J67))</f>
        <v/>
      </c>
      <c r="I67" s="84">
        <f>IF($J67=0,"",INDEX('ETF데이터'!$M$4:$M$148,$J67))</f>
        <v/>
      </c>
      <c r="J67">
        <f>IFERROR(MATCH(48,'ETF데이터'!$U$4:$U$148,0),0)</f>
        <v/>
      </c>
    </row>
    <row r="68">
      <c r="B68" s="55">
        <f>IF($J68=0,"",INDEX('ETF데이터'!$A$4:$A$148,$J68))</f>
        <v/>
      </c>
      <c r="C68" s="73">
        <f>IF($J68=0,"",INDEX('ETF데이터'!$R$4:$R$148,$J68))</f>
        <v/>
      </c>
      <c r="D68" s="74">
        <f>IF($J68=0,"",INDEX('ETF데이터'!$J$4:$J$148,$J68))</f>
        <v/>
      </c>
      <c r="E68" s="75">
        <f>IF($J68=0,"",$D68/12)</f>
        <v/>
      </c>
      <c r="F68" s="76">
        <f>IF($J68=0,"",INDEX('ETF데이터'!$D$4:$D$148,$J68))</f>
        <v/>
      </c>
      <c r="G68" s="74">
        <f>IF($J68=0,"",INDEX('ETF데이터'!$H$4:$H$148,$J68))</f>
        <v/>
      </c>
      <c r="H68" s="77">
        <f>IF($J68=0,"",INDEX('ETF데이터'!$E$4:$E$148,$J68))</f>
        <v/>
      </c>
      <c r="I68" s="78">
        <f>IF($J68=0,"",INDEX('ETF데이터'!$M$4:$M$148,$J68))</f>
        <v/>
      </c>
      <c r="J68">
        <f>IFERROR(MATCH(49,'ETF데이터'!$U$4:$U$148,0),0)</f>
        <v/>
      </c>
    </row>
    <row r="69">
      <c r="B69" s="59">
        <f>IF($J69=0,"",INDEX('ETF데이터'!$A$4:$A$148,$J69))</f>
        <v/>
      </c>
      <c r="C69" s="79">
        <f>IF($J69=0,"",INDEX('ETF데이터'!$R$4:$R$148,$J69))</f>
        <v/>
      </c>
      <c r="D69" s="80">
        <f>IF($J69=0,"",INDEX('ETF데이터'!$J$4:$J$148,$J69))</f>
        <v/>
      </c>
      <c r="E69" s="81">
        <f>IF($J69=0,"",$D69/12)</f>
        <v/>
      </c>
      <c r="F69" s="82">
        <f>IF($J69=0,"",INDEX('ETF데이터'!$D$4:$D$148,$J69))</f>
        <v/>
      </c>
      <c r="G69" s="80">
        <f>IF($J69=0,"",INDEX('ETF데이터'!$H$4:$H$148,$J69))</f>
        <v/>
      </c>
      <c r="H69" s="83">
        <f>IF($J69=0,"",INDEX('ETF데이터'!$E$4:$E$148,$J69))</f>
        <v/>
      </c>
      <c r="I69" s="84">
        <f>IF($J69=0,"",INDEX('ETF데이터'!$M$4:$M$148,$J69))</f>
        <v/>
      </c>
      <c r="J69">
        <f>IFERROR(MATCH(50,'ETF데이터'!$U$4:$U$148,0),0)</f>
        <v/>
      </c>
    </row>
    <row r="70">
      <c r="B70" s="55">
        <f>IF($J70=0,"",INDEX('ETF데이터'!$A$4:$A$148,$J70))</f>
        <v/>
      </c>
      <c r="C70" s="73">
        <f>IF($J70=0,"",INDEX('ETF데이터'!$R$4:$R$148,$J70))</f>
        <v/>
      </c>
      <c r="D70" s="74">
        <f>IF($J70=0,"",INDEX('ETF데이터'!$J$4:$J$148,$J70))</f>
        <v/>
      </c>
      <c r="E70" s="75">
        <f>IF($J70=0,"",$D70/12)</f>
        <v/>
      </c>
      <c r="F70" s="76">
        <f>IF($J70=0,"",INDEX('ETF데이터'!$D$4:$D$148,$J70))</f>
        <v/>
      </c>
      <c r="G70" s="74">
        <f>IF($J70=0,"",INDEX('ETF데이터'!$H$4:$H$148,$J70))</f>
        <v/>
      </c>
      <c r="H70" s="77">
        <f>IF($J70=0,"",INDEX('ETF데이터'!$E$4:$E$148,$J70))</f>
        <v/>
      </c>
      <c r="I70" s="78">
        <f>IF($J70=0,"",INDEX('ETF데이터'!$M$4:$M$148,$J70))</f>
        <v/>
      </c>
      <c r="J70">
        <f>IFERROR(MATCH(51,'ETF데이터'!$U$4:$U$148,0),0)</f>
        <v/>
      </c>
    </row>
    <row r="71">
      <c r="B71" s="59">
        <f>IF($J71=0,"",INDEX('ETF데이터'!$A$4:$A$148,$J71))</f>
        <v/>
      </c>
      <c r="C71" s="79">
        <f>IF($J71=0,"",INDEX('ETF데이터'!$R$4:$R$148,$J71))</f>
        <v/>
      </c>
      <c r="D71" s="80">
        <f>IF($J71=0,"",INDEX('ETF데이터'!$J$4:$J$148,$J71))</f>
        <v/>
      </c>
      <c r="E71" s="81">
        <f>IF($J71=0,"",$D71/12)</f>
        <v/>
      </c>
      <c r="F71" s="82">
        <f>IF($J71=0,"",INDEX('ETF데이터'!$D$4:$D$148,$J71))</f>
        <v/>
      </c>
      <c r="G71" s="80">
        <f>IF($J71=0,"",INDEX('ETF데이터'!$H$4:$H$148,$J71))</f>
        <v/>
      </c>
      <c r="H71" s="83">
        <f>IF($J71=0,"",INDEX('ETF데이터'!$E$4:$E$148,$J71))</f>
        <v/>
      </c>
      <c r="I71" s="84">
        <f>IF($J71=0,"",INDEX('ETF데이터'!$M$4:$M$148,$J71))</f>
        <v/>
      </c>
      <c r="J71">
        <f>IFERROR(MATCH(52,'ETF데이터'!$U$4:$U$148,0),0)</f>
        <v/>
      </c>
    </row>
    <row r="72">
      <c r="B72" s="55">
        <f>IF($J72=0,"",INDEX('ETF데이터'!$A$4:$A$148,$J72))</f>
        <v/>
      </c>
      <c r="C72" s="73">
        <f>IF($J72=0,"",INDEX('ETF데이터'!$R$4:$R$148,$J72))</f>
        <v/>
      </c>
      <c r="D72" s="74">
        <f>IF($J72=0,"",INDEX('ETF데이터'!$J$4:$J$148,$J72))</f>
        <v/>
      </c>
      <c r="E72" s="75">
        <f>IF($J72=0,"",$D72/12)</f>
        <v/>
      </c>
      <c r="F72" s="76">
        <f>IF($J72=0,"",INDEX('ETF데이터'!$D$4:$D$148,$J72))</f>
        <v/>
      </c>
      <c r="G72" s="74">
        <f>IF($J72=0,"",INDEX('ETF데이터'!$H$4:$H$148,$J72))</f>
        <v/>
      </c>
      <c r="H72" s="77">
        <f>IF($J72=0,"",INDEX('ETF데이터'!$E$4:$E$148,$J72))</f>
        <v/>
      </c>
      <c r="I72" s="78">
        <f>IF($J72=0,"",INDEX('ETF데이터'!$M$4:$M$148,$J72))</f>
        <v/>
      </c>
      <c r="J72">
        <f>IFERROR(MATCH(53,'ETF데이터'!$U$4:$U$148,0),0)</f>
        <v/>
      </c>
    </row>
    <row r="73">
      <c r="B73" s="59">
        <f>IF($J73=0,"",INDEX('ETF데이터'!$A$4:$A$148,$J73))</f>
        <v/>
      </c>
      <c r="C73" s="79">
        <f>IF($J73=0,"",INDEX('ETF데이터'!$R$4:$R$148,$J73))</f>
        <v/>
      </c>
      <c r="D73" s="80">
        <f>IF($J73=0,"",INDEX('ETF데이터'!$J$4:$J$148,$J73))</f>
        <v/>
      </c>
      <c r="E73" s="81">
        <f>IF($J73=0,"",$D73/12)</f>
        <v/>
      </c>
      <c r="F73" s="82">
        <f>IF($J73=0,"",INDEX('ETF데이터'!$D$4:$D$148,$J73))</f>
        <v/>
      </c>
      <c r="G73" s="80">
        <f>IF($J73=0,"",INDEX('ETF데이터'!$H$4:$H$148,$J73))</f>
        <v/>
      </c>
      <c r="H73" s="83">
        <f>IF($J73=0,"",INDEX('ETF데이터'!$E$4:$E$148,$J73))</f>
        <v/>
      </c>
      <c r="I73" s="84">
        <f>IF($J73=0,"",INDEX('ETF데이터'!$M$4:$M$148,$J73))</f>
        <v/>
      </c>
      <c r="J73">
        <f>IFERROR(MATCH(54,'ETF데이터'!$U$4:$U$148,0),0)</f>
        <v/>
      </c>
    </row>
    <row r="74">
      <c r="B74" s="55">
        <f>IF($J74=0,"",INDEX('ETF데이터'!$A$4:$A$148,$J74))</f>
        <v/>
      </c>
      <c r="C74" s="73">
        <f>IF($J74=0,"",INDEX('ETF데이터'!$R$4:$R$148,$J74))</f>
        <v/>
      </c>
      <c r="D74" s="74">
        <f>IF($J74=0,"",INDEX('ETF데이터'!$J$4:$J$148,$J74))</f>
        <v/>
      </c>
      <c r="E74" s="75">
        <f>IF($J74=0,"",$D74/12)</f>
        <v/>
      </c>
      <c r="F74" s="76">
        <f>IF($J74=0,"",INDEX('ETF데이터'!$D$4:$D$148,$J74))</f>
        <v/>
      </c>
      <c r="G74" s="74">
        <f>IF($J74=0,"",INDEX('ETF데이터'!$H$4:$H$148,$J74))</f>
        <v/>
      </c>
      <c r="H74" s="77">
        <f>IF($J74=0,"",INDEX('ETF데이터'!$E$4:$E$148,$J74))</f>
        <v/>
      </c>
      <c r="I74" s="78">
        <f>IF($J74=0,"",INDEX('ETF데이터'!$M$4:$M$148,$J74))</f>
        <v/>
      </c>
      <c r="J74">
        <f>IFERROR(MATCH(55,'ETF데이터'!$U$4:$U$148,0),0)</f>
        <v/>
      </c>
    </row>
    <row r="75">
      <c r="B75" s="59">
        <f>IF($J75=0,"",INDEX('ETF데이터'!$A$4:$A$148,$J75))</f>
        <v/>
      </c>
      <c r="C75" s="79">
        <f>IF($J75=0,"",INDEX('ETF데이터'!$R$4:$R$148,$J75))</f>
        <v/>
      </c>
      <c r="D75" s="80">
        <f>IF($J75=0,"",INDEX('ETF데이터'!$J$4:$J$148,$J75))</f>
        <v/>
      </c>
      <c r="E75" s="81">
        <f>IF($J75=0,"",$D75/12)</f>
        <v/>
      </c>
      <c r="F75" s="82">
        <f>IF($J75=0,"",INDEX('ETF데이터'!$D$4:$D$148,$J75))</f>
        <v/>
      </c>
      <c r="G75" s="80">
        <f>IF($J75=0,"",INDEX('ETF데이터'!$H$4:$H$148,$J75))</f>
        <v/>
      </c>
      <c r="H75" s="83">
        <f>IF($J75=0,"",INDEX('ETF데이터'!$E$4:$E$148,$J75))</f>
        <v/>
      </c>
      <c r="I75" s="84">
        <f>IF($J75=0,"",INDEX('ETF데이터'!$M$4:$M$148,$J75))</f>
        <v/>
      </c>
      <c r="J75">
        <f>IFERROR(MATCH(56,'ETF데이터'!$U$4:$U$148,0),0)</f>
        <v/>
      </c>
    </row>
    <row r="76">
      <c r="B76" s="55">
        <f>IF($J76=0,"",INDEX('ETF데이터'!$A$4:$A$148,$J76))</f>
        <v/>
      </c>
      <c r="C76" s="73">
        <f>IF($J76=0,"",INDEX('ETF데이터'!$R$4:$R$148,$J76))</f>
        <v/>
      </c>
      <c r="D76" s="74">
        <f>IF($J76=0,"",INDEX('ETF데이터'!$J$4:$J$148,$J76))</f>
        <v/>
      </c>
      <c r="E76" s="75">
        <f>IF($J76=0,"",$D76/12)</f>
        <v/>
      </c>
      <c r="F76" s="76">
        <f>IF($J76=0,"",INDEX('ETF데이터'!$D$4:$D$148,$J76))</f>
        <v/>
      </c>
      <c r="G76" s="74">
        <f>IF($J76=0,"",INDEX('ETF데이터'!$H$4:$H$148,$J76))</f>
        <v/>
      </c>
      <c r="H76" s="77">
        <f>IF($J76=0,"",INDEX('ETF데이터'!$E$4:$E$148,$J76))</f>
        <v/>
      </c>
      <c r="I76" s="78">
        <f>IF($J76=0,"",INDEX('ETF데이터'!$M$4:$M$148,$J76))</f>
        <v/>
      </c>
      <c r="J76">
        <f>IFERROR(MATCH(57,'ETF데이터'!$U$4:$U$148,0),0)</f>
        <v/>
      </c>
    </row>
    <row r="77">
      <c r="B77" s="59">
        <f>IF($J77=0,"",INDEX('ETF데이터'!$A$4:$A$148,$J77))</f>
        <v/>
      </c>
      <c r="C77" s="79">
        <f>IF($J77=0,"",INDEX('ETF데이터'!$R$4:$R$148,$J77))</f>
        <v/>
      </c>
      <c r="D77" s="80">
        <f>IF($J77=0,"",INDEX('ETF데이터'!$J$4:$J$148,$J77))</f>
        <v/>
      </c>
      <c r="E77" s="81">
        <f>IF($J77=0,"",$D77/12)</f>
        <v/>
      </c>
      <c r="F77" s="82">
        <f>IF($J77=0,"",INDEX('ETF데이터'!$D$4:$D$148,$J77))</f>
        <v/>
      </c>
      <c r="G77" s="80">
        <f>IF($J77=0,"",INDEX('ETF데이터'!$H$4:$H$148,$J77))</f>
        <v/>
      </c>
      <c r="H77" s="83">
        <f>IF($J77=0,"",INDEX('ETF데이터'!$E$4:$E$148,$J77))</f>
        <v/>
      </c>
      <c r="I77" s="84">
        <f>IF($J77=0,"",INDEX('ETF데이터'!$M$4:$M$148,$J77))</f>
        <v/>
      </c>
      <c r="J77">
        <f>IFERROR(MATCH(58,'ETF데이터'!$U$4:$U$148,0),0)</f>
        <v/>
      </c>
    </row>
    <row r="78">
      <c r="B78" s="55">
        <f>IF($J78=0,"",INDEX('ETF데이터'!$A$4:$A$148,$J78))</f>
        <v/>
      </c>
      <c r="C78" s="73">
        <f>IF($J78=0,"",INDEX('ETF데이터'!$R$4:$R$148,$J78))</f>
        <v/>
      </c>
      <c r="D78" s="74">
        <f>IF($J78=0,"",INDEX('ETF데이터'!$J$4:$J$148,$J78))</f>
        <v/>
      </c>
      <c r="E78" s="75">
        <f>IF($J78=0,"",$D78/12)</f>
        <v/>
      </c>
      <c r="F78" s="76">
        <f>IF($J78=0,"",INDEX('ETF데이터'!$D$4:$D$148,$J78))</f>
        <v/>
      </c>
      <c r="G78" s="74">
        <f>IF($J78=0,"",INDEX('ETF데이터'!$H$4:$H$148,$J78))</f>
        <v/>
      </c>
      <c r="H78" s="77">
        <f>IF($J78=0,"",INDEX('ETF데이터'!$E$4:$E$148,$J78))</f>
        <v/>
      </c>
      <c r="I78" s="78">
        <f>IF($J78=0,"",INDEX('ETF데이터'!$M$4:$M$148,$J78))</f>
        <v/>
      </c>
      <c r="J78">
        <f>IFERROR(MATCH(59,'ETF데이터'!$U$4:$U$148,0),0)</f>
        <v/>
      </c>
    </row>
    <row r="79">
      <c r="B79" s="63">
        <f>IF($J79=0,"",INDEX('ETF데이터'!$A$4:$A$148,$J79))</f>
        <v/>
      </c>
      <c r="C79" s="85">
        <f>IF($J79=0,"",INDEX('ETF데이터'!$R$4:$R$148,$J79))</f>
        <v/>
      </c>
      <c r="D79" s="86">
        <f>IF($J79=0,"",INDEX('ETF데이터'!$J$4:$J$148,$J79))</f>
        <v/>
      </c>
      <c r="E79" s="87">
        <f>IF($J79=0,"",$D79/12)</f>
        <v/>
      </c>
      <c r="F79" s="88">
        <f>IF($J79=0,"",INDEX('ETF데이터'!$D$4:$D$148,$J79))</f>
        <v/>
      </c>
      <c r="G79" s="86">
        <f>IF($J79=0,"",INDEX('ETF데이터'!$H$4:$H$148,$J79))</f>
        <v/>
      </c>
      <c r="H79" s="89">
        <f>IF($J79=0,"",INDEX('ETF데이터'!$E$4:$E$148,$J79))</f>
        <v/>
      </c>
      <c r="I79" s="90">
        <f>IF($J79=0,"",INDEX('ETF데이터'!$M$4:$M$148,$J79))</f>
        <v/>
      </c>
      <c r="J79">
        <f>IFERROR(MATCH(60,'ETF데이터'!$U$4:$U$148,0),0)</f>
        <v/>
      </c>
    </row>
    <row r="81">
      <c r="B81" s="7" t="inlineStr">
        <is>
          <t>※ 조건에 맞는 종목이 60개를 넘으면 위에서부터 60개만 나옵니다. 조건을 좁혀 보십시오.</t>
        </is>
      </c>
    </row>
    <row r="82">
      <c r="B82" s="7" t="inlineStr">
        <is>
          <t>※ 여기서 고른 종목명을 [제안서] 장의 콤보박스에서 선택하십시오. 제안서 콤보박스는 조건과 상관없이 전체 목록을 그대로 담고 있습니다 — 조건을 바꿨다고 이미 담아 둔 종목이 빠지면 안 되기 때문입니다.</t>
        </is>
      </c>
    </row>
  </sheetData>
  <mergeCells count="4">
    <mergeCell ref="A3:H3"/>
    <mergeCell ref="A2:H2"/>
    <mergeCell ref="A5:H5"/>
    <mergeCell ref="A1:H1"/>
  </mergeCells>
  <dataValidations count="1">
    <dataValidation sqref="C10" showDropDown="0" showInputMessage="0" showErrorMessage="0" allowBlank="0" type="list">
      <formula1>"전체,월배당,분기배당,연배당,주배당,비정기,판정 불가"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9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1" customWidth="1" min="2" max="2"/>
    <col width="18" customWidth="1" min="3" max="3"/>
    <col width="12" customWidth="1" min="4" max="4"/>
    <col width="17" customWidth="1" min="5" max="5"/>
    <col width="19" customWidth="1" min="6" max="6"/>
    <col width="11" customWidth="1" min="7" max="7"/>
    <col width="13" customWidth="1" min="8" max="8"/>
    <col width="13" customWidth="1" min="9" max="9"/>
    <col width="13" customWidth="1" min="10" max="10"/>
    <col width="12" customWidth="1" min="11" max="11"/>
    <col width="15" customWidth="1" min="12" max="12"/>
    <col width="8" customWidth="1" min="13" max="13"/>
    <col width="30" customWidth="1" min="14" max="14"/>
    <col width="34" customWidth="1" min="15" max="15"/>
    <col width="11" customWidth="1" min="16" max="16"/>
    <col width="14" customWidth="1" min="17" max="17"/>
    <col width="12" customWidth="1" min="18" max="18"/>
    <col width="12" customWidth="1" min="19" max="19"/>
    <col hidden="1" width="13" customWidth="1" min="20" max="20"/>
    <col hidden="1" width="13" customWidth="1" min="21" max="21"/>
  </cols>
  <sheetData>
    <row r="1">
      <c r="A1" s="91" t="inlineStr">
        <is>
          <t>ETFCHECK 수집 원본 — 이 장의 값은 손으로 고치지 마십시오. 매월 1일 수집기가 덮어씁니다.</t>
        </is>
      </c>
    </row>
    <row r="3" ht="30" customHeight="1">
      <c r="A3" s="92" t="inlineStr">
        <is>
          <t>종목명</t>
        </is>
      </c>
      <c r="B3" s="92" t="inlineStr">
        <is>
          <t>종목코드</t>
        </is>
      </c>
      <c r="C3" s="92" t="inlineStr">
        <is>
          <t>운용사</t>
        </is>
      </c>
      <c r="D3" s="92" t="inlineStr">
        <is>
          <t>현재가</t>
        </is>
      </c>
      <c r="E3" s="92" t="inlineStr">
        <is>
          <t>순자산총액</t>
        </is>
      </c>
      <c r="F3" s="92" t="inlineStr">
        <is>
          <t>60일 평균거래대금</t>
        </is>
      </c>
      <c r="G3" s="92" t="inlineStr">
        <is>
          <t>총보수(연)</t>
        </is>
      </c>
      <c r="H3" s="92" t="inlineStr">
        <is>
          <t>변동성(1년)</t>
        </is>
      </c>
      <c r="I3" s="92" t="inlineStr">
        <is>
          <t>최근 월분배율</t>
        </is>
      </c>
      <c r="J3" s="92" t="inlineStr">
        <is>
          <t>연환산 분배율</t>
        </is>
      </c>
      <c r="K3" s="92" t="inlineStr">
        <is>
          <t>분배 기록수</t>
        </is>
      </c>
      <c r="L3" s="92" t="inlineStr">
        <is>
          <t>최근 분배기준일</t>
        </is>
      </c>
      <c r="M3" s="92" t="inlineStr">
        <is>
          <t>채택</t>
        </is>
      </c>
      <c r="N3" s="92" t="inlineStr">
        <is>
          <t>제외 사유</t>
        </is>
      </c>
      <c r="O3" s="92" t="inlineStr">
        <is>
          <t>기초지수</t>
        </is>
      </c>
      <c r="P3" s="92" t="inlineStr">
        <is>
          <t>유형</t>
        </is>
      </c>
      <c r="Q3" s="92" t="inlineStr">
        <is>
          <t>자산군</t>
        </is>
      </c>
      <c r="R3" s="92" t="inlineStr">
        <is>
          <t>지급주기</t>
        </is>
      </c>
      <c r="S3" s="92" t="inlineStr">
        <is>
          <t>연 지급횟수</t>
        </is>
      </c>
    </row>
    <row r="4">
      <c r="A4" s="93" t="inlineStr">
        <is>
          <t>SOL 팔란티어커버드콜OTM채권혼합</t>
        </is>
      </c>
      <c r="B4" s="93" t="inlineStr">
        <is>
          <t>0040Y0</t>
        </is>
      </c>
      <c r="C4" s="93" t="inlineStr">
        <is>
          <t>신한자산운용</t>
        </is>
      </c>
      <c r="D4" s="94" t="n">
        <v>7990</v>
      </c>
      <c r="E4" s="94" t="n">
        <v>359499000000</v>
      </c>
      <c r="F4" s="94" t="n">
        <v>2844164576</v>
      </c>
      <c r="G4" s="74" t="n">
        <v>0.007532</v>
      </c>
      <c r="H4" s="74" t="n">
        <v>0.1637</v>
      </c>
      <c r="I4" s="74" t="n">
        <v>0.0194</v>
      </c>
      <c r="J4" s="74" t="n">
        <v>0.279725</v>
      </c>
      <c r="K4" s="94" t="n">
        <v>16</v>
      </c>
      <c r="L4" s="93" t="inlineStr">
        <is>
          <t>20260828</t>
        </is>
      </c>
      <c r="M4" s="93" t="inlineStr">
        <is>
          <t>채택</t>
        </is>
      </c>
      <c r="N4" s="93" t="inlineStr"/>
      <c r="O4" s="93" t="inlineStr">
        <is>
          <t>KEDI Palantir Covered Call OTM Treasury Balanced Index NTR</t>
        </is>
      </c>
      <c r="P4" s="93" t="inlineStr">
        <is>
          <t>커버드콜</t>
        </is>
      </c>
      <c r="Q4" s="93" t="inlineStr">
        <is>
          <t>멀티에셋</t>
        </is>
      </c>
      <c r="R4" s="93" t="inlineStr">
        <is>
          <t>월배당</t>
        </is>
      </c>
      <c r="S4" s="94" t="n">
        <v>11</v>
      </c>
      <c r="T4">
        <f>IF(AND($J4&lt;&gt;"",OR(조회_주기="전체",$R4=조회_주기),$J4&gt;=조회_최소,$J4&lt;=조회_최대),1,0)</f>
        <v/>
      </c>
      <c r="U4">
        <f>IF($T4=1,COUNTIF($T$4:$T4,1),"")</f>
        <v/>
      </c>
    </row>
    <row r="5">
      <c r="A5" s="93" t="inlineStr">
        <is>
          <t>ACE 미국빅테크7+데일리타겟커버드콜(합성)</t>
        </is>
      </c>
      <c r="B5" s="93" t="inlineStr">
        <is>
          <t>480020</t>
        </is>
      </c>
      <c r="C5" s="93" t="inlineStr">
        <is>
          <t>한국투신운용(ETF)</t>
        </is>
      </c>
      <c r="D5" s="94" t="n">
        <v>10045</v>
      </c>
      <c r="E5" s="94" t="n">
        <v>179805500000</v>
      </c>
      <c r="F5" s="94" t="n">
        <v>2861887649</v>
      </c>
      <c r="G5" s="74" t="n">
        <v>0.005384</v>
      </c>
      <c r="H5" s="74" t="n">
        <v>0.2139</v>
      </c>
      <c r="I5" s="74" t="n">
        <v>0.0297</v>
      </c>
      <c r="J5" s="74" t="n">
        <v>0.263813</v>
      </c>
      <c r="K5" s="94" t="n">
        <v>29</v>
      </c>
      <c r="L5" s="93" t="inlineStr">
        <is>
          <t>20260914</t>
        </is>
      </c>
      <c r="M5" s="93" t="inlineStr">
        <is>
          <t>채택</t>
        </is>
      </c>
      <c r="N5" s="93" t="inlineStr"/>
      <c r="O5" s="93" t="inlineStr">
        <is>
          <t>Bloomberg US Big Tech Top 7 Plus Premium(QQQ) Decrement 15%</t>
        </is>
      </c>
      <c r="P5" s="93" t="inlineStr">
        <is>
          <t>커버드콜</t>
        </is>
      </c>
      <c r="Q5" s="93" t="inlineStr">
        <is>
          <t>주식</t>
        </is>
      </c>
      <c r="R5" s="93" t="inlineStr">
        <is>
          <t>월배당</t>
        </is>
      </c>
      <c r="S5" s="94" t="n">
        <v>12</v>
      </c>
      <c r="T5">
        <f>IF(AND($J5&lt;&gt;"",OR(조회_주기="전체",$R5=조회_주기),$J5&gt;=조회_최소,$J5&lt;=조회_최대),1,0)</f>
        <v/>
      </c>
      <c r="U5">
        <f>IF($T5=1,COUNTIF($T$4:$T5,1),"")</f>
        <v/>
      </c>
    </row>
    <row r="6">
      <c r="A6" s="93" t="inlineStr">
        <is>
          <t>SOL 팔란티어미국채커버드콜혼합</t>
        </is>
      </c>
      <c r="B6" s="93" t="inlineStr">
        <is>
          <t>0040X0</t>
        </is>
      </c>
      <c r="C6" s="93" t="inlineStr">
        <is>
          <t>신한자산운용</t>
        </is>
      </c>
      <c r="D6" s="94" t="n">
        <v>9295</v>
      </c>
      <c r="E6" s="94" t="n">
        <v>171400500000</v>
      </c>
      <c r="F6" s="94" t="n">
        <v>1636623539</v>
      </c>
      <c r="G6" s="74" t="n">
        <v>0.007991</v>
      </c>
      <c r="H6" s="74" t="n">
        <v>0.2285</v>
      </c>
      <c r="I6" s="74" t="n">
        <v>0.0148</v>
      </c>
      <c r="J6" s="74" t="n">
        <v>0.247015</v>
      </c>
      <c r="K6" s="94" t="n">
        <v>16</v>
      </c>
      <c r="L6" s="93" t="inlineStr">
        <is>
          <t>20260828</t>
        </is>
      </c>
      <c r="M6" s="93" t="inlineStr">
        <is>
          <t>채택</t>
        </is>
      </c>
      <c r="N6" s="93" t="inlineStr"/>
      <c r="O6" s="93" t="inlineStr">
        <is>
          <t>KEDI Palantir U.S. Treasury Covered Call Balanced Index NTR</t>
        </is>
      </c>
      <c r="P6" s="93" t="inlineStr">
        <is>
          <t>커버드콜</t>
        </is>
      </c>
      <c r="Q6" s="93" t="inlineStr">
        <is>
          <t>멀티에셋</t>
        </is>
      </c>
      <c r="R6" s="93" t="inlineStr">
        <is>
          <t>월배당</t>
        </is>
      </c>
      <c r="S6" s="94" t="n">
        <v>11</v>
      </c>
      <c r="T6">
        <f>IF(AND($J6&lt;&gt;"",OR(조회_주기="전체",$R6=조회_주기),$J6&gt;=조회_최소,$J6&lt;=조회_최대),1,0)</f>
        <v/>
      </c>
      <c r="U6">
        <f>IF($T6=1,COUNTIF($T$4:$T6,1),"")</f>
        <v/>
      </c>
    </row>
    <row r="7">
      <c r="A7" s="93" t="inlineStr">
        <is>
          <t>PLUS 고배당주위클리커버드콜</t>
        </is>
      </c>
      <c r="B7" s="93" t="inlineStr">
        <is>
          <t>489030</t>
        </is>
      </c>
      <c r="C7" s="93" t="inlineStr">
        <is>
          <t>한화자산운용</t>
        </is>
      </c>
      <c r="D7" s="94" t="n">
        <v>6520</v>
      </c>
      <c r="E7" s="94" t="n">
        <v>305930500000</v>
      </c>
      <c r="F7" s="94" t="n">
        <v>4215662838</v>
      </c>
      <c r="G7" s="74" t="n">
        <v>0.008243</v>
      </c>
      <c r="H7" s="74" t="n">
        <v>0.3072</v>
      </c>
      <c r="I7" s="74" t="n">
        <v>0.0148</v>
      </c>
      <c r="J7" s="74" t="n">
        <v>0.232822</v>
      </c>
      <c r="K7" s="94" t="n">
        <v>25</v>
      </c>
      <c r="L7" s="93" t="inlineStr">
        <is>
          <t>20260828</t>
        </is>
      </c>
      <c r="M7" s="93" t="inlineStr">
        <is>
          <t>채택</t>
        </is>
      </c>
      <c r="N7" s="93" t="inlineStr"/>
      <c r="O7" s="93" t="inlineStr">
        <is>
          <t>코스피 고배당 위클리 콜매도 ATM 지수</t>
        </is>
      </c>
      <c r="P7" s="93" t="inlineStr">
        <is>
          <t>커버드콜</t>
        </is>
      </c>
      <c r="Q7" s="93" t="inlineStr">
        <is>
          <t>주식</t>
        </is>
      </c>
      <c r="R7" s="93" t="inlineStr">
        <is>
          <t>월배당</t>
        </is>
      </c>
      <c r="S7" s="94" t="n">
        <v>11</v>
      </c>
      <c r="T7">
        <f>IF(AND($J7&lt;&gt;"",OR(조회_주기="전체",$R7=조회_주기),$J7&gt;=조회_최소,$J7&lt;=조회_최대),1,0)</f>
        <v/>
      </c>
      <c r="U7">
        <f>IF($T7=1,COUNTIF($T$4:$T7,1),"")</f>
        <v/>
      </c>
    </row>
    <row r="8">
      <c r="A8" s="93" t="inlineStr">
        <is>
          <t>KODEX 미국나스닥100데일리커버드콜OTM</t>
        </is>
      </c>
      <c r="B8" s="93" t="inlineStr">
        <is>
          <t>494300</t>
        </is>
      </c>
      <c r="C8" s="93" t="inlineStr">
        <is>
          <t>삼성자산운용(ETF)</t>
        </is>
      </c>
      <c r="D8" s="94" t="n">
        <v>8890</v>
      </c>
      <c r="E8" s="94" t="n">
        <v>1017016000000</v>
      </c>
      <c r="F8" s="94" t="n">
        <v>13338415180</v>
      </c>
      <c r="G8" s="74" t="n">
        <v>0.005108000000000001</v>
      </c>
      <c r="H8" s="74" t="n">
        <v>0.1939</v>
      </c>
      <c r="I8" s="74" t="n">
        <v>0.0166</v>
      </c>
      <c r="J8" s="74" t="n">
        <v>0.227222</v>
      </c>
      <c r="K8" s="94" t="n">
        <v>22</v>
      </c>
      <c r="L8" s="93" t="inlineStr">
        <is>
          <t>20260828</t>
        </is>
      </c>
      <c r="M8" s="93" t="inlineStr">
        <is>
          <t>채택</t>
        </is>
      </c>
      <c r="N8" s="93" t="inlineStr"/>
      <c r="O8" s="93" t="inlineStr">
        <is>
          <t>Nasdaq-100 Daily Covered Call 101 Index TR</t>
        </is>
      </c>
      <c r="P8" s="93" t="inlineStr">
        <is>
          <t>커버드콜</t>
        </is>
      </c>
      <c r="Q8" s="93" t="inlineStr">
        <is>
          <t>주식</t>
        </is>
      </c>
      <c r="R8" s="93" t="inlineStr">
        <is>
          <t>월배당</t>
        </is>
      </c>
      <c r="S8" s="94" t="n">
        <v>11</v>
      </c>
      <c r="T8">
        <f>IF(AND($J8&lt;&gt;"",OR(조회_주기="전체",$R8=조회_주기),$J8&gt;=조회_최소,$J8&lt;=조회_최대),1,0)</f>
        <v/>
      </c>
      <c r="U8">
        <f>IF($T8=1,COUNTIF($T$4:$T8,1),"")</f>
        <v/>
      </c>
    </row>
    <row r="9">
      <c r="A9" s="93" t="inlineStr">
        <is>
          <t>RISE 미국테크100데일리고정커버드콜</t>
        </is>
      </c>
      <c r="B9" s="93" t="inlineStr">
        <is>
          <t>491620</t>
        </is>
      </c>
      <c r="C9" s="93" t="inlineStr">
        <is>
          <t>KB자산운용</t>
        </is>
      </c>
      <c r="D9" s="94" t="n">
        <v>10345</v>
      </c>
      <c r="E9" s="94" t="n">
        <v>567697500000</v>
      </c>
      <c r="F9" s="94" t="n">
        <v>7422134847</v>
      </c>
      <c r="G9" s="74" t="n">
        <v>0.005748</v>
      </c>
      <c r="H9" s="74" t="n">
        <v>0.2022</v>
      </c>
      <c r="I9" s="74" t="n">
        <v>0.0166</v>
      </c>
      <c r="J9" s="74" t="n">
        <v>0.217496</v>
      </c>
      <c r="K9" s="94" t="n">
        <v>23</v>
      </c>
      <c r="L9" s="93" t="inlineStr">
        <is>
          <t>20260828</t>
        </is>
      </c>
      <c r="M9" s="93" t="inlineStr">
        <is>
          <t>채택</t>
        </is>
      </c>
      <c r="N9" s="93" t="inlineStr"/>
      <c r="O9" s="93" t="inlineStr">
        <is>
          <t>KEDI U.S. Tech100 90% Participation + Daily Options Premium</t>
        </is>
      </c>
      <c r="P9" s="93" t="inlineStr">
        <is>
          <t>커버드콜</t>
        </is>
      </c>
      <c r="Q9" s="93" t="inlineStr">
        <is>
          <t>주식</t>
        </is>
      </c>
      <c r="R9" s="93" t="inlineStr">
        <is>
          <t>월배당</t>
        </is>
      </c>
      <c r="S9" s="94" t="n">
        <v>11</v>
      </c>
      <c r="T9">
        <f>IF(AND($J9&lt;&gt;"",OR(조회_주기="전체",$R9=조회_주기),$J9&gt;=조회_최소,$J9&lt;=조회_최대),1,0)</f>
        <v/>
      </c>
      <c r="U9">
        <f>IF($T9=1,COUNTIF($T$4:$T9,1),"")</f>
        <v/>
      </c>
    </row>
    <row r="10">
      <c r="A10" s="93" t="inlineStr">
        <is>
          <t>RISE 미국AI밸류체인데일리고정커버드콜</t>
        </is>
      </c>
      <c r="B10" s="93" t="inlineStr">
        <is>
          <t>490590</t>
        </is>
      </c>
      <c r="C10" s="93" t="inlineStr">
        <is>
          <t>KB자산운용</t>
        </is>
      </c>
      <c r="D10" s="94" t="n">
        <v>13965</v>
      </c>
      <c r="E10" s="94" t="n">
        <v>777572000000</v>
      </c>
      <c r="F10" s="94" t="n">
        <v>9793481578</v>
      </c>
      <c r="G10" s="74" t="n">
        <v>0.00578</v>
      </c>
      <c r="H10" s="74" t="n">
        <v>0.3311</v>
      </c>
      <c r="I10" s="74" t="n">
        <v>0.0163</v>
      </c>
      <c r="J10" s="74" t="n">
        <v>0.207805</v>
      </c>
      <c r="K10" s="94" t="n">
        <v>23</v>
      </c>
      <c r="L10" s="93" t="inlineStr">
        <is>
          <t>20260828</t>
        </is>
      </c>
      <c r="M10" s="93" t="inlineStr">
        <is>
          <t>채택</t>
        </is>
      </c>
      <c r="N10" s="93" t="inlineStr"/>
      <c r="O10" s="93" t="inlineStr">
        <is>
          <t>KEDI U.S. AI Value Chain 90% Participation + Daily Options P</t>
        </is>
      </c>
      <c r="P10" s="93" t="inlineStr">
        <is>
          <t>커버드콜</t>
        </is>
      </c>
      <c r="Q10" s="93" t="inlineStr">
        <is>
          <t>주식</t>
        </is>
      </c>
      <c r="R10" s="93" t="inlineStr">
        <is>
          <t>월배당</t>
        </is>
      </c>
      <c r="S10" s="94" t="n">
        <v>11</v>
      </c>
      <c r="T10">
        <f>IF(AND($J10&lt;&gt;"",OR(조회_주기="전체",$R10=조회_주기),$J10&gt;=조회_최소,$J10&lt;=조회_최대),1,0)</f>
        <v/>
      </c>
      <c r="U10">
        <f>IF($T10=1,COUNTIF($T$4:$T10,1),"")</f>
        <v/>
      </c>
    </row>
    <row r="11">
      <c r="A11" s="93" t="inlineStr">
        <is>
          <t>ACE 미국500데일리타겟커버드콜(합성)</t>
        </is>
      </c>
      <c r="B11" s="93" t="inlineStr">
        <is>
          <t>480030</t>
        </is>
      </c>
      <c r="C11" s="93" t="inlineStr">
        <is>
          <t>한국투신운용(ETF)</t>
        </is>
      </c>
      <c r="D11" s="94" t="n">
        <v>9610</v>
      </c>
      <c r="E11" s="94" t="n">
        <v>161448000000</v>
      </c>
      <c r="F11" s="94" t="n">
        <v>1336755067</v>
      </c>
      <c r="G11" s="74" t="n">
        <v>0.005391</v>
      </c>
      <c r="H11" s="74" t="n">
        <v>0.1503</v>
      </c>
      <c r="I11" s="74" t="n">
        <v>0.0199</v>
      </c>
      <c r="J11" s="74" t="n">
        <v>0.202185</v>
      </c>
      <c r="K11" s="94" t="n">
        <v>29</v>
      </c>
      <c r="L11" s="93" t="inlineStr">
        <is>
          <t>20260914</t>
        </is>
      </c>
      <c r="M11" s="93" t="inlineStr">
        <is>
          <t>채택</t>
        </is>
      </c>
      <c r="N11" s="93" t="inlineStr"/>
      <c r="O11" s="93" t="inlineStr">
        <is>
          <t>Bloomberg US 500 Large Cap Premium(SPY) Decrement 15% Distri</t>
        </is>
      </c>
      <c r="P11" s="93" t="inlineStr">
        <is>
          <t>커버드콜</t>
        </is>
      </c>
      <c r="Q11" s="93" t="inlineStr">
        <is>
          <t>주식</t>
        </is>
      </c>
      <c r="R11" s="93" t="inlineStr">
        <is>
          <t>월배당</t>
        </is>
      </c>
      <c r="S11" s="94" t="n">
        <v>12</v>
      </c>
      <c r="T11">
        <f>IF(AND($J11&lt;&gt;"",OR(조회_주기="전체",$R11=조회_주기),$J11&gt;=조회_최소,$J11&lt;=조회_최대),1,0)</f>
        <v/>
      </c>
      <c r="U11">
        <f>IF($T11=1,COUNTIF($T$4:$T11,1),"")</f>
        <v/>
      </c>
    </row>
    <row r="12">
      <c r="A12" s="93" t="inlineStr">
        <is>
          <t>PLUS 고배당주위클리고정커버드콜</t>
        </is>
      </c>
      <c r="B12" s="93" t="inlineStr">
        <is>
          <t>0018C0</t>
        </is>
      </c>
      <c r="C12" s="93" t="inlineStr">
        <is>
          <t>한화자산운용</t>
        </is>
      </c>
      <c r="D12" s="94" t="n">
        <v>10665</v>
      </c>
      <c r="E12" s="94" t="n">
        <v>81054000000</v>
      </c>
      <c r="F12" s="94" t="n">
        <v>1011248498</v>
      </c>
      <c r="G12" s="74" t="n">
        <v>0.005958</v>
      </c>
      <c r="H12" s="74" t="n">
        <v>0.2668</v>
      </c>
      <c r="I12" s="74" t="n">
        <v>0.0124</v>
      </c>
      <c r="J12" s="74" t="n">
        <v>0.167557</v>
      </c>
      <c r="K12" s="94" t="n">
        <v>19</v>
      </c>
      <c r="L12" s="93" t="inlineStr">
        <is>
          <t>20260914</t>
        </is>
      </c>
      <c r="M12" s="93" t="inlineStr">
        <is>
          <t>채택</t>
        </is>
      </c>
      <c r="N12" s="93" t="inlineStr"/>
      <c r="O12" s="93" t="inlineStr">
        <is>
          <t>코스피 고배당 위클리 고정 커버드콜 지수</t>
        </is>
      </c>
      <c r="P12" s="93" t="inlineStr">
        <is>
          <t>커버드콜</t>
        </is>
      </c>
      <c r="Q12" s="93" t="inlineStr">
        <is>
          <t>주식</t>
        </is>
      </c>
      <c r="R12" s="93" t="inlineStr">
        <is>
          <t>월배당</t>
        </is>
      </c>
      <c r="S12" s="94" t="n">
        <v>12</v>
      </c>
      <c r="T12">
        <f>IF(AND($J12&lt;&gt;"",OR(조회_주기="전체",$R12=조회_주기),$J12&gt;=조회_최소,$J12&lt;=조회_최대),1,0)</f>
        <v/>
      </c>
      <c r="U12">
        <f>IF($T12=1,COUNTIF($T$4:$T12,1),"")</f>
        <v/>
      </c>
    </row>
    <row r="13">
      <c r="A13" s="93" t="inlineStr">
        <is>
          <t>KODEX 테슬라커버드콜채권혼합액티브</t>
        </is>
      </c>
      <c r="B13" s="93" t="inlineStr">
        <is>
          <t>475080</t>
        </is>
      </c>
      <c r="C13" s="93" t="inlineStr">
        <is>
          <t>삼성자산운용(ETF)</t>
        </is>
      </c>
      <c r="D13" s="94" t="n">
        <v>7865</v>
      </c>
      <c r="E13" s="94" t="n">
        <v>286679250000</v>
      </c>
      <c r="F13" s="94" t="n">
        <v>1418666928</v>
      </c>
      <c r="G13" s="74" t="n">
        <v>0.005215</v>
      </c>
      <c r="H13" s="74" t="n">
        <v>0.1243</v>
      </c>
      <c r="I13" s="74" t="n">
        <v>0.0125</v>
      </c>
      <c r="J13" s="74" t="n">
        <v>0.163509</v>
      </c>
      <c r="K13" s="94" t="n">
        <v>31</v>
      </c>
      <c r="L13" s="93" t="inlineStr">
        <is>
          <t>20260828</t>
        </is>
      </c>
      <c r="M13" s="93" t="inlineStr">
        <is>
          <t>채택</t>
        </is>
      </c>
      <c r="N13" s="93" t="inlineStr"/>
      <c r="O13" s="93" t="inlineStr">
        <is>
          <t>KEDI Tesla Income Premium Balanced Index</t>
        </is>
      </c>
      <c r="P13" s="93" t="inlineStr">
        <is>
          <t>커버드콜</t>
        </is>
      </c>
      <c r="Q13" s="93" t="inlineStr">
        <is>
          <t>멀티에셋</t>
        </is>
      </c>
      <c r="R13" s="93" t="inlineStr">
        <is>
          <t>월배당</t>
        </is>
      </c>
      <c r="S13" s="94" t="n">
        <v>11</v>
      </c>
      <c r="T13">
        <f>IF(AND($J13&lt;&gt;"",OR(조회_주기="전체",$R13=조회_주기),$J13&gt;=조회_최소,$J13&lt;=조회_최대),1,0)</f>
        <v/>
      </c>
      <c r="U13">
        <f>IF($T13=1,COUNTIF($T$4:$T13,1),"")</f>
        <v/>
      </c>
    </row>
    <row r="14">
      <c r="A14" s="93" t="inlineStr">
        <is>
          <t>TIGER 미국AI빅테크10타겟데일리커버드콜</t>
        </is>
      </c>
      <c r="B14" s="93" t="inlineStr">
        <is>
          <t>493810</t>
        </is>
      </c>
      <c r="C14" s="93" t="inlineStr">
        <is>
          <t>미래에셋자산운용</t>
        </is>
      </c>
      <c r="D14" s="94" t="n">
        <v>11240</v>
      </c>
      <c r="E14" s="94" t="n">
        <v>245141000000</v>
      </c>
      <c r="F14" s="94" t="n">
        <v>1799050260</v>
      </c>
      <c r="G14" s="74" t="n">
        <v>0.004813</v>
      </c>
      <c r="H14" s="74" t="n">
        <v>0.2184</v>
      </c>
      <c r="I14" s="74" t="n">
        <v>0.0124</v>
      </c>
      <c r="J14" s="74" t="n">
        <v>0.161566</v>
      </c>
      <c r="K14" s="94" t="n">
        <v>23</v>
      </c>
      <c r="L14" s="93" t="inlineStr">
        <is>
          <t>20260914</t>
        </is>
      </c>
      <c r="M14" s="93" t="inlineStr">
        <is>
          <t>채택</t>
        </is>
      </c>
      <c r="N14" s="93" t="inlineStr"/>
      <c r="O14" s="93" t="inlineStr">
        <is>
          <t>KEDI US AI Big Tech 10+15% Daily Premium Index TR</t>
        </is>
      </c>
      <c r="P14" s="93" t="inlineStr">
        <is>
          <t>커버드콜</t>
        </is>
      </c>
      <c r="Q14" s="93" t="inlineStr">
        <is>
          <t>주식</t>
        </is>
      </c>
      <c r="R14" s="93" t="inlineStr">
        <is>
          <t>월배당</t>
        </is>
      </c>
      <c r="S14" s="94" t="n">
        <v>12</v>
      </c>
      <c r="T14">
        <f>IF(AND($J14&lt;&gt;"",OR(조회_주기="전체",$R14=조회_주기),$J14&gt;=조회_최소,$J14&lt;=조회_최대),1,0)</f>
        <v/>
      </c>
      <c r="U14">
        <f>IF($T14=1,COUNTIF($T$4:$T14,1),"")</f>
        <v/>
      </c>
    </row>
    <row r="15">
      <c r="A15" s="93" t="inlineStr">
        <is>
          <t>KODEX 미국S&amp;P500데일리커버드콜OTM</t>
        </is>
      </c>
      <c r="B15" s="93" t="inlineStr">
        <is>
          <t>0005A0</t>
        </is>
      </c>
      <c r="C15" s="93" t="inlineStr">
        <is>
          <t>삼성자산운용(ETF)</t>
        </is>
      </c>
      <c r="D15" s="94" t="n">
        <v>9290</v>
      </c>
      <c r="E15" s="94" t="n">
        <v>199735000000</v>
      </c>
      <c r="F15" s="94" t="n">
        <v>1958922434</v>
      </c>
      <c r="G15" s="74" t="n">
        <v>0.005639999999999999</v>
      </c>
      <c r="H15" s="74" t="n">
        <v>0.1474</v>
      </c>
      <c r="I15" s="74" t="n">
        <v>0.0124</v>
      </c>
      <c r="J15" s="74" t="n">
        <v>0.159419</v>
      </c>
      <c r="K15" s="94" t="n">
        <v>20</v>
      </c>
      <c r="L15" s="93" t="inlineStr">
        <is>
          <t>20260828</t>
        </is>
      </c>
      <c r="M15" s="93" t="inlineStr">
        <is>
          <t>채택</t>
        </is>
      </c>
      <c r="N15" s="93" t="inlineStr"/>
      <c r="O15" s="93" t="inlineStr">
        <is>
          <t>S&amp;P500 Covered Call 1% OTM Daily Index(TR)</t>
        </is>
      </c>
      <c r="P15" s="93" t="inlineStr">
        <is>
          <t>커버드콜</t>
        </is>
      </c>
      <c r="Q15" s="93" t="inlineStr">
        <is>
          <t>주식</t>
        </is>
      </c>
      <c r="R15" s="93" t="inlineStr">
        <is>
          <t>월배당</t>
        </is>
      </c>
      <c r="S15" s="94" t="n">
        <v>11</v>
      </c>
      <c r="T15">
        <f>IF(AND($J15&lt;&gt;"",OR(조회_주기="전체",$R15=조회_주기),$J15&gt;=조회_최소,$J15&lt;=조회_최대),1,0)</f>
        <v/>
      </c>
      <c r="U15">
        <f>IF($T15=1,COUNTIF($T$4:$T15,1),"")</f>
        <v/>
      </c>
    </row>
    <row r="16">
      <c r="A16" s="93" t="inlineStr">
        <is>
          <t>TIGER 미국나스닥100타겟데일리커버드콜</t>
        </is>
      </c>
      <c r="B16" s="93" t="inlineStr">
        <is>
          <t>486290</t>
        </is>
      </c>
      <c r="C16" s="93" t="inlineStr">
        <is>
          <t>미래에셋자산운용</t>
        </is>
      </c>
      <c r="D16" s="94" t="n">
        <v>10365</v>
      </c>
      <c r="E16" s="94" t="n">
        <v>2477076000000</v>
      </c>
      <c r="F16" s="94" t="n">
        <v>29238390499</v>
      </c>
      <c r="G16" s="74" t="n">
        <v>0.004563</v>
      </c>
      <c r="H16" s="74" t="n">
        <v>0.2069</v>
      </c>
      <c r="I16" s="74" t="n">
        <v>0.0124</v>
      </c>
      <c r="J16" s="74" t="n">
        <v>0.158032</v>
      </c>
      <c r="K16" s="94" t="n">
        <v>26</v>
      </c>
      <c r="L16" s="93" t="inlineStr">
        <is>
          <t>20260828</t>
        </is>
      </c>
      <c r="M16" s="93" t="inlineStr">
        <is>
          <t>채택</t>
        </is>
      </c>
      <c r="N16" s="93" t="inlineStr"/>
      <c r="O16" s="93" t="inlineStr">
        <is>
          <t>NASDAQ 100 Daily Covered Call Target Premium 15% Index</t>
        </is>
      </c>
      <c r="P16" s="93" t="inlineStr">
        <is>
          <t>커버드콜</t>
        </is>
      </c>
      <c r="Q16" s="93" t="inlineStr">
        <is>
          <t>주식</t>
        </is>
      </c>
      <c r="R16" s="93" t="inlineStr">
        <is>
          <t>월배당</t>
        </is>
      </c>
      <c r="S16" s="94" t="n">
        <v>11</v>
      </c>
      <c r="T16">
        <f>IF(AND($J16&lt;&gt;"",OR(조회_주기="전체",$R16=조회_주기),$J16&gt;=조회_최소,$J16&lt;=조회_최대),1,0)</f>
        <v/>
      </c>
      <c r="U16">
        <f>IF($T16=1,COUNTIF($T$4:$T16,1),"")</f>
        <v/>
      </c>
    </row>
    <row r="17">
      <c r="A17" s="93" t="inlineStr">
        <is>
          <t>KODEX 미국AI테크TOP10타겟커버드콜</t>
        </is>
      </c>
      <c r="B17" s="93" t="inlineStr">
        <is>
          <t>483280</t>
        </is>
      </c>
      <c r="C17" s="93" t="inlineStr">
        <is>
          <t>삼성자산운용(ETF)</t>
        </is>
      </c>
      <c r="D17" s="94" t="n">
        <v>11665</v>
      </c>
      <c r="E17" s="94" t="n">
        <v>458434500000</v>
      </c>
      <c r="F17" s="94" t="n">
        <v>2801830944</v>
      </c>
      <c r="G17" s="74" t="n">
        <v>0.005830999999999999</v>
      </c>
      <c r="H17" s="74" t="n">
        <v>0.2453</v>
      </c>
      <c r="I17" s="74" t="n">
        <v>0.0123</v>
      </c>
      <c r="J17" s="74" t="n">
        <v>0.157737</v>
      </c>
      <c r="K17" s="94" t="n">
        <v>27</v>
      </c>
      <c r="L17" s="93" t="inlineStr">
        <is>
          <t>20260828</t>
        </is>
      </c>
      <c r="M17" s="93" t="inlineStr">
        <is>
          <t>채택</t>
        </is>
      </c>
      <c r="N17" s="93" t="inlineStr"/>
      <c r="O17" s="93" t="inlineStr">
        <is>
          <t>KEDI US AI Tech Top 10+15% Premium Index</t>
        </is>
      </c>
      <c r="P17" s="93" t="inlineStr">
        <is>
          <t>커버드콜</t>
        </is>
      </c>
      <c r="Q17" s="93" t="inlineStr">
        <is>
          <t>주식</t>
        </is>
      </c>
      <c r="R17" s="93" t="inlineStr">
        <is>
          <t>월배당</t>
        </is>
      </c>
      <c r="S17" s="94" t="n">
        <v>11</v>
      </c>
      <c r="T17">
        <f>IF(AND($J17&lt;&gt;"",OR(조회_주기="전체",$R17=조회_주기),$J17&gt;=조회_최소,$J17&lt;=조회_최대),1,0)</f>
        <v/>
      </c>
      <c r="U17">
        <f>IF($T17=1,COUNTIF($T$4:$T17,1),"")</f>
        <v/>
      </c>
    </row>
    <row r="18">
      <c r="A18" s="93" t="inlineStr">
        <is>
          <t>KODEX 금융고배당TOP10타겟위클리커버드콜</t>
        </is>
      </c>
      <c r="B18" s="93" t="inlineStr">
        <is>
          <t>498410</t>
        </is>
      </c>
      <c r="C18" s="93" t="inlineStr">
        <is>
          <t>삼성자산운용(ETF)</t>
        </is>
      </c>
      <c r="D18" s="94" t="n">
        <v>12165</v>
      </c>
      <c r="E18" s="94" t="n">
        <v>848946000000</v>
      </c>
      <c r="F18" s="94" t="n">
        <v>22542969019</v>
      </c>
      <c r="G18" s="74" t="n">
        <v>0.006697</v>
      </c>
      <c r="H18" s="74" t="n">
        <v>0.3272</v>
      </c>
      <c r="I18" s="74" t="n">
        <v>0.0121</v>
      </c>
      <c r="J18" s="74" t="n">
        <v>0.154706</v>
      </c>
      <c r="K18" s="94" t="n">
        <v>20</v>
      </c>
      <c r="L18" s="93" t="inlineStr">
        <is>
          <t>20260828</t>
        </is>
      </c>
      <c r="M18" s="93" t="inlineStr">
        <is>
          <t>채택</t>
        </is>
      </c>
      <c r="N18" s="93" t="inlineStr"/>
      <c r="O18" s="93" t="inlineStr">
        <is>
          <t>코스피 200 금융 고배당 TOP 10 타겟 15% 분배 위클리 커버드콜</t>
        </is>
      </c>
      <c r="P18" s="93" t="inlineStr">
        <is>
          <t>커버드콜</t>
        </is>
      </c>
      <c r="Q18" s="93" t="inlineStr">
        <is>
          <t>주식</t>
        </is>
      </c>
      <c r="R18" s="93" t="inlineStr">
        <is>
          <t>월배당</t>
        </is>
      </c>
      <c r="S18" s="94" t="n">
        <v>11</v>
      </c>
      <c r="T18">
        <f>IF(AND($J18&lt;&gt;"",OR(조회_주기="전체",$R18=조회_주기),$J18&gt;=조회_최소,$J18&lt;=조회_최대),1,0)</f>
        <v/>
      </c>
      <c r="U18">
        <f>IF($T18=1,COUNTIF($T$4:$T18,1),"")</f>
        <v/>
      </c>
    </row>
    <row r="19">
      <c r="A19" s="93" t="inlineStr">
        <is>
          <t>TIGER 미국30년국채커버드콜액티브(H)</t>
        </is>
      </c>
      <c r="B19" s="93" t="inlineStr">
        <is>
          <t>476550</t>
        </is>
      </c>
      <c r="C19" s="93" t="inlineStr">
        <is>
          <t>미래에셋자산운용</t>
        </is>
      </c>
      <c r="D19" s="94" t="n">
        <v>6725</v>
      </c>
      <c r="E19" s="94" t="n">
        <v>760368000000</v>
      </c>
      <c r="F19" s="94" t="n">
        <v>7792532803</v>
      </c>
      <c r="G19" s="74" t="n">
        <v>0.007784</v>
      </c>
      <c r="H19" s="74" t="n">
        <v>0.0888</v>
      </c>
      <c r="I19" s="74" t="n">
        <v>0.01</v>
      </c>
      <c r="J19" s="74" t="n">
        <v>0.134721</v>
      </c>
      <c r="K19" s="94" t="n">
        <v>30</v>
      </c>
      <c r="L19" s="93" t="inlineStr">
        <is>
          <t>20260828</t>
        </is>
      </c>
      <c r="M19" s="93" t="inlineStr">
        <is>
          <t>채택</t>
        </is>
      </c>
      <c r="N19" s="93" t="inlineStr"/>
      <c r="O19" s="93" t="inlineStr">
        <is>
          <t>KEDI US Treasury 30Y Weekly Covered Call 30 Index</t>
        </is>
      </c>
      <c r="P19" s="93" t="inlineStr">
        <is>
          <t>커버드콜</t>
        </is>
      </c>
      <c r="Q19" s="93" t="inlineStr">
        <is>
          <t>채권</t>
        </is>
      </c>
      <c r="R19" s="93" t="inlineStr">
        <is>
          <t>월배당</t>
        </is>
      </c>
      <c r="S19" s="94" t="n">
        <v>11</v>
      </c>
      <c r="T19">
        <f>IF(AND($J19&lt;&gt;"",OR(조회_주기="전체",$R19=조회_주기),$J19&gt;=조회_최소,$J19&lt;=조회_최대),1,0)</f>
        <v/>
      </c>
      <c r="U19">
        <f>IF($T19=1,COUNTIF($T$4:$T19,1),"")</f>
        <v/>
      </c>
    </row>
    <row r="20">
      <c r="A20" s="93" t="inlineStr">
        <is>
          <t>KODEX 미국30년국채타겟커버드콜(합성 H)</t>
        </is>
      </c>
      <c r="B20" s="93" t="inlineStr">
        <is>
          <t>481060</t>
        </is>
      </c>
      <c r="C20" s="93" t="inlineStr">
        <is>
          <t>삼성자산운용(ETF)</t>
        </is>
      </c>
      <c r="D20" s="94" t="n">
        <v>7275</v>
      </c>
      <c r="E20" s="94" t="n">
        <v>742413750000</v>
      </c>
      <c r="F20" s="94" t="n">
        <v>4026404612</v>
      </c>
      <c r="G20" s="74" t="n">
        <v>0.003244</v>
      </c>
      <c r="H20" s="74" t="n">
        <v>0.08349999999999999</v>
      </c>
      <c r="I20" s="74" t="n">
        <v>0.0101</v>
      </c>
      <c r="J20" s="74" t="n">
        <v>0.132509</v>
      </c>
      <c r="K20" s="94" t="n">
        <v>29</v>
      </c>
      <c r="L20" s="93" t="inlineStr">
        <is>
          <t>20260914</t>
        </is>
      </c>
      <c r="M20" s="93" t="inlineStr">
        <is>
          <t>채택</t>
        </is>
      </c>
      <c r="N20" s="93" t="inlineStr"/>
      <c r="O20" s="93" t="inlineStr">
        <is>
          <t>Bloomberg U.S. Treasury 20+ Year + 12% Premium (TLT) Covered</t>
        </is>
      </c>
      <c r="P20" s="93" t="inlineStr">
        <is>
          <t>커버드콜</t>
        </is>
      </c>
      <c r="Q20" s="93" t="inlineStr">
        <is>
          <t>채권</t>
        </is>
      </c>
      <c r="R20" s="93" t="inlineStr">
        <is>
          <t>월배당</t>
        </is>
      </c>
      <c r="S20" s="94" t="n">
        <v>12</v>
      </c>
      <c r="T20">
        <f>IF(AND($J20&lt;&gt;"",OR(조회_주기="전체",$R20=조회_주기),$J20&gt;=조회_최소,$J20&lt;=조회_최대),1,0)</f>
        <v/>
      </c>
      <c r="U20">
        <f>IF($T20=1,COUNTIF($T$4:$T20,1),"")</f>
        <v/>
      </c>
    </row>
    <row r="21">
      <c r="A21" s="93" t="inlineStr">
        <is>
          <t>SOL 미국30년국채커버드콜(합성)</t>
        </is>
      </c>
      <c r="B21" s="93" t="inlineStr">
        <is>
          <t>473330</t>
        </is>
      </c>
      <c r="C21" s="93" t="inlineStr">
        <is>
          <t>신한자산운용</t>
        </is>
      </c>
      <c r="D21" s="94" t="n">
        <v>7875</v>
      </c>
      <c r="E21" s="94" t="n">
        <v>276018750000</v>
      </c>
      <c r="F21" s="94" t="n">
        <v>2152431069</v>
      </c>
      <c r="G21" s="74" t="n">
        <v>0.0035</v>
      </c>
      <c r="H21" s="74" t="n">
        <v>0.1354</v>
      </c>
      <c r="I21" s="74" t="n">
        <v>0.0074</v>
      </c>
      <c r="J21" s="74" t="n">
        <v>0.129143</v>
      </c>
      <c r="K21" s="94" t="n">
        <v>32</v>
      </c>
      <c r="L21" s="93" t="inlineStr">
        <is>
          <t>20260828</t>
        </is>
      </c>
      <c r="M21" s="93" t="inlineStr">
        <is>
          <t>채택</t>
        </is>
      </c>
      <c r="N21" s="93" t="inlineStr"/>
      <c r="O21" s="93" t="inlineStr">
        <is>
          <t>KEDI US Treasury 20Y+ 2% OTM BuyWrite Index</t>
        </is>
      </c>
      <c r="P21" s="93" t="inlineStr">
        <is>
          <t>커버드콜</t>
        </is>
      </c>
      <c r="Q21" s="93" t="inlineStr">
        <is>
          <t>채권</t>
        </is>
      </c>
      <c r="R21" s="93" t="inlineStr">
        <is>
          <t>월배당</t>
        </is>
      </c>
      <c r="S21" s="94" t="n">
        <v>11</v>
      </c>
      <c r="T21">
        <f>IF(AND($J21&lt;&gt;"",OR(조회_주기="전체",$R21=조회_주기),$J21&gt;=조회_최소,$J21&lt;=조회_최대),1,0)</f>
        <v/>
      </c>
      <c r="U21">
        <f>IF($T21=1,COUNTIF($T$4:$T21,1),"")</f>
        <v/>
      </c>
    </row>
    <row r="22">
      <c r="A22" s="93" t="inlineStr">
        <is>
          <t>TIGER 미국나스닥100커버드콜(합성)</t>
        </is>
      </c>
      <c r="B22" s="93" t="inlineStr">
        <is>
          <t>441680</t>
        </is>
      </c>
      <c r="C22" s="93" t="inlineStr">
        <is>
          <t>미래에셋자산운용</t>
        </is>
      </c>
      <c r="D22" s="94" t="n">
        <v>10730</v>
      </c>
      <c r="E22" s="94" t="n">
        <v>282330500000</v>
      </c>
      <c r="F22" s="94" t="n">
        <v>934343138</v>
      </c>
      <c r="G22" s="74" t="n">
        <v>0.004923</v>
      </c>
      <c r="H22" s="74" t="n">
        <v>0.1463</v>
      </c>
      <c r="I22" s="74" t="n">
        <v>0.01</v>
      </c>
      <c r="J22" s="74" t="n">
        <v>0.124884</v>
      </c>
      <c r="K22" s="94" t="n">
        <v>47</v>
      </c>
      <c r="L22" s="93" t="inlineStr">
        <is>
          <t>20260828</t>
        </is>
      </c>
      <c r="M22" s="93" t="inlineStr">
        <is>
          <t>채택</t>
        </is>
      </c>
      <c r="N22" s="93" t="inlineStr"/>
      <c r="O22" s="93" t="inlineStr">
        <is>
          <t>Cboe NASDAQ-100 BuyWrite V2 Index</t>
        </is>
      </c>
      <c r="P22" s="93" t="inlineStr">
        <is>
          <t>커버드콜</t>
        </is>
      </c>
      <c r="Q22" s="93" t="inlineStr">
        <is>
          <t>주식</t>
        </is>
      </c>
      <c r="R22" s="93" t="inlineStr">
        <is>
          <t>월배당</t>
        </is>
      </c>
      <c r="S22" s="94" t="n">
        <v>11</v>
      </c>
      <c r="T22">
        <f>IF(AND($J22&lt;&gt;"",OR(조회_주기="전체",$R22=조회_주기),$J22&gt;=조회_최소,$J22&lt;=조회_최대),1,0)</f>
        <v/>
      </c>
      <c r="U22">
        <f>IF($T22=1,COUNTIF($T$4:$T22,1),"")</f>
        <v/>
      </c>
    </row>
    <row r="23">
      <c r="A23" s="93" t="inlineStr">
        <is>
          <t>KODEX 미국배당다우존스타겟커버드콜</t>
        </is>
      </c>
      <c r="B23" s="93" t="inlineStr">
        <is>
          <t>483290</t>
        </is>
      </c>
      <c r="C23" s="93" t="inlineStr">
        <is>
          <t>삼성자산운용(ETF)</t>
        </is>
      </c>
      <c r="D23" s="94" t="n">
        <v>10200</v>
      </c>
      <c r="E23" s="94" t="n">
        <v>177654000000</v>
      </c>
      <c r="F23" s="94" t="n">
        <v>2245620814</v>
      </c>
      <c r="G23" s="74" t="n">
        <v>0.005798</v>
      </c>
      <c r="H23" s="74" t="n">
        <v>0.1571</v>
      </c>
      <c r="I23" s="74" t="n">
        <v>0.0098</v>
      </c>
      <c r="J23" s="74" t="n">
        <v>0.122157</v>
      </c>
      <c r="K23" s="94" t="n">
        <v>27</v>
      </c>
      <c r="L23" s="93" t="inlineStr">
        <is>
          <t>20260828</t>
        </is>
      </c>
      <c r="M23" s="93" t="inlineStr">
        <is>
          <t>채택</t>
        </is>
      </c>
      <c r="N23" s="93" t="inlineStr"/>
      <c r="O23" s="93" t="inlineStr">
        <is>
          <t>Dow Jones US Dividend 100 10% Premium Covered Call Index(PR)</t>
        </is>
      </c>
      <c r="P23" s="93" t="inlineStr">
        <is>
          <t>커버드콜</t>
        </is>
      </c>
      <c r="Q23" s="93" t="inlineStr">
        <is>
          <t>주식</t>
        </is>
      </c>
      <c r="R23" s="93" t="inlineStr">
        <is>
          <t>월배당</t>
        </is>
      </c>
      <c r="S23" s="94" t="n">
        <v>11</v>
      </c>
      <c r="T23">
        <f>IF(AND($J23&lt;&gt;"",OR(조회_주기="전체",$R23=조회_주기),$J23&gt;=조회_최소,$J23&lt;=조회_최대),1,0)</f>
        <v/>
      </c>
      <c r="U23">
        <f>IF($T23=1,COUNTIF($T$4:$T23,1),"")</f>
        <v/>
      </c>
    </row>
    <row r="24">
      <c r="A24" s="93" t="inlineStr">
        <is>
          <t>TIGER 미국배당다우존스타겟데일리커버드콜</t>
        </is>
      </c>
      <c r="B24" s="93" t="inlineStr">
        <is>
          <t>0008S0</t>
        </is>
      </c>
      <c r="C24" s="93" t="inlineStr">
        <is>
          <t>미래에셋자산운용</t>
        </is>
      </c>
      <c r="D24" s="94" t="n">
        <v>9720</v>
      </c>
      <c r="E24" s="94" t="n">
        <v>313306000000</v>
      </c>
      <c r="F24" s="94" t="n">
        <v>3322700171</v>
      </c>
      <c r="G24" s="74" t="n">
        <v>0.004797</v>
      </c>
      <c r="H24" s="74" t="n">
        <v>0.1436</v>
      </c>
      <c r="I24" s="74" t="n">
        <v>0.01</v>
      </c>
      <c r="J24" s="74" t="n">
        <v>0.121091</v>
      </c>
      <c r="K24" s="94" t="n">
        <v>20</v>
      </c>
      <c r="L24" s="93" t="inlineStr">
        <is>
          <t>20260914</t>
        </is>
      </c>
      <c r="M24" s="93" t="inlineStr">
        <is>
          <t>채택</t>
        </is>
      </c>
      <c r="N24" s="93" t="inlineStr"/>
      <c r="O24" s="93" t="inlineStr">
        <is>
          <t>Dow Jones U.S. Dividend 100 10% Daily Premium Covered Call I</t>
        </is>
      </c>
      <c r="P24" s="93" t="inlineStr">
        <is>
          <t>커버드콜</t>
        </is>
      </c>
      <c r="Q24" s="93" t="inlineStr">
        <is>
          <t>주식</t>
        </is>
      </c>
      <c r="R24" s="93" t="inlineStr">
        <is>
          <t>월배당</t>
        </is>
      </c>
      <c r="S24" s="94" t="n">
        <v>12</v>
      </c>
      <c r="T24">
        <f>IF(AND($J24&lt;&gt;"",OR(조회_주기="전체",$R24=조회_주기),$J24&gt;=조회_최소,$J24&lt;=조회_최대),1,0)</f>
        <v/>
      </c>
      <c r="U24">
        <f>IF($T24=1,COUNTIF($T$4:$T24,1),"")</f>
        <v/>
      </c>
    </row>
    <row r="25">
      <c r="A25" s="93" t="inlineStr">
        <is>
          <t>TIGER 미국테크TOP10타겟커버드콜</t>
        </is>
      </c>
      <c r="B25" s="93" t="inlineStr">
        <is>
          <t>474220</t>
        </is>
      </c>
      <c r="C25" s="93" t="inlineStr">
        <is>
          <t>미래에셋자산운용</t>
        </is>
      </c>
      <c r="D25" s="94" t="n">
        <v>14870</v>
      </c>
      <c r="E25" s="94" t="n">
        <v>419334000000</v>
      </c>
      <c r="F25" s="94" t="n">
        <v>1650047189</v>
      </c>
      <c r="G25" s="74" t="n">
        <v>0.006686</v>
      </c>
      <c r="H25" s="74" t="n">
        <v>0.1939</v>
      </c>
      <c r="I25" s="74" t="n">
        <v>0.0083</v>
      </c>
      <c r="J25" s="74" t="n">
        <v>0.105447</v>
      </c>
      <c r="K25" s="94" t="n">
        <v>32</v>
      </c>
      <c r="L25" s="93" t="inlineStr">
        <is>
          <t>20260914</t>
        </is>
      </c>
      <c r="M25" s="93" t="inlineStr">
        <is>
          <t>채택</t>
        </is>
      </c>
      <c r="N25" s="93" t="inlineStr"/>
      <c r="O25" s="93" t="inlineStr">
        <is>
          <t>Bloomberg U.S. Tech Top10 + 10% Premium Covered Call Index</t>
        </is>
      </c>
      <c r="P25" s="93" t="inlineStr">
        <is>
          <t>커버드콜</t>
        </is>
      </c>
      <c r="Q25" s="93" t="inlineStr">
        <is>
          <t>주식</t>
        </is>
      </c>
      <c r="R25" s="93" t="inlineStr">
        <is>
          <t>월배당</t>
        </is>
      </c>
      <c r="S25" s="94" t="n">
        <v>12</v>
      </c>
      <c r="T25">
        <f>IF(AND($J25&lt;&gt;"",OR(조회_주기="전체",$R25=조회_주기),$J25&gt;=조회_최소,$J25&lt;=조회_최대),1,0)</f>
        <v/>
      </c>
      <c r="U25">
        <f>IF($T25=1,COUNTIF($T$4:$T25,1),"")</f>
        <v/>
      </c>
    </row>
    <row r="26">
      <c r="A26" s="93" t="inlineStr">
        <is>
          <t>TIGER 리츠부동산인프라</t>
        </is>
      </c>
      <c r="B26" s="93" t="inlineStr">
        <is>
          <t>329200</t>
        </is>
      </c>
      <c r="C26" s="93" t="inlineStr">
        <is>
          <t>미래에셋자산운용</t>
        </is>
      </c>
      <c r="D26" s="94" t="n">
        <v>4057</v>
      </c>
      <c r="E26" s="94" t="n">
        <v>1556265200000</v>
      </c>
      <c r="F26" s="94" t="n">
        <v>12104722584</v>
      </c>
      <c r="G26" s="74" t="n">
        <v>0.001412</v>
      </c>
      <c r="H26" s="74" t="n">
        <v>0.177</v>
      </c>
      <c r="I26" s="74" t="n">
        <v>0.008100000000000001</v>
      </c>
      <c r="J26" s="74" t="n">
        <v>0.097609</v>
      </c>
      <c r="K26" s="94" t="n">
        <v>51</v>
      </c>
      <c r="L26" s="93" t="inlineStr">
        <is>
          <t>20260828</t>
        </is>
      </c>
      <c r="M26" s="93" t="inlineStr">
        <is>
          <t>채택</t>
        </is>
      </c>
      <c r="N26" s="93" t="inlineStr"/>
      <c r="O26" s="93" t="inlineStr">
        <is>
          <t>FnGuide 리츠부동산인프라</t>
        </is>
      </c>
      <c r="P26" s="93" t="inlineStr">
        <is>
          <t>일반</t>
        </is>
      </c>
      <c r="Q26" s="93" t="inlineStr">
        <is>
          <t>부동산</t>
        </is>
      </c>
      <c r="R26" s="93" t="inlineStr">
        <is>
          <t>월배당</t>
        </is>
      </c>
      <c r="S26" s="94" t="n">
        <v>11</v>
      </c>
      <c r="T26">
        <f>IF(AND($J26&lt;&gt;"",OR(조회_주기="전체",$R26=조회_주기),$J26&gt;=조회_최소,$J26&lt;=조회_최대),1,0)</f>
        <v/>
      </c>
      <c r="U26">
        <f>IF($T26=1,COUNTIF($T$4:$T26,1),"")</f>
        <v/>
      </c>
    </row>
    <row r="27">
      <c r="A27" s="93" t="inlineStr">
        <is>
          <t>KODEX 미국배당커버드콜액티브</t>
        </is>
      </c>
      <c r="B27" s="93" t="inlineStr">
        <is>
          <t>441640</t>
        </is>
      </c>
      <c r="C27" s="93" t="inlineStr">
        <is>
          <t>삼성자산운용(ETF)</t>
        </is>
      </c>
      <c r="D27" s="94" t="n">
        <v>12345</v>
      </c>
      <c r="E27" s="94" t="n">
        <v>1707387500000</v>
      </c>
      <c r="F27" s="94" t="n">
        <v>12205846429</v>
      </c>
      <c r="G27" s="74" t="n">
        <v>0.003631</v>
      </c>
      <c r="H27" s="74" t="n">
        <v>0.1234</v>
      </c>
      <c r="I27" s="74" t="n">
        <v>0.007800000000000001</v>
      </c>
      <c r="J27" s="74" t="n">
        <v>0.09590899999999999</v>
      </c>
      <c r="K27" s="94" t="n">
        <v>48</v>
      </c>
      <c r="L27" s="93" t="inlineStr">
        <is>
          <t>20260914</t>
        </is>
      </c>
      <c r="M27" s="93" t="inlineStr">
        <is>
          <t>채택</t>
        </is>
      </c>
      <c r="N27" s="93" t="inlineStr"/>
      <c r="O27" s="93" t="inlineStr">
        <is>
          <t>S&amp;P 500</t>
        </is>
      </c>
      <c r="P27" s="93" t="inlineStr">
        <is>
          <t>커버드콜</t>
        </is>
      </c>
      <c r="Q27" s="93" t="inlineStr">
        <is>
          <t>주식</t>
        </is>
      </c>
      <c r="R27" s="93" t="inlineStr">
        <is>
          <t>월배당</t>
        </is>
      </c>
      <c r="S27" s="94" t="n">
        <v>12</v>
      </c>
      <c r="T27">
        <f>IF(AND($J27&lt;&gt;"",OR(조회_주기="전체",$R27=조회_주기),$J27&gt;=조회_최소,$J27&lt;=조회_최대),1,0)</f>
        <v/>
      </c>
      <c r="U27">
        <f>IF($T27=1,COUNTIF($T$4:$T27,1),"")</f>
        <v/>
      </c>
    </row>
    <row r="28">
      <c r="A28" s="93" t="inlineStr">
        <is>
          <t>KODEX 한국부동산리츠인프라</t>
        </is>
      </c>
      <c r="B28" s="93" t="inlineStr">
        <is>
          <t>476800</t>
        </is>
      </c>
      <c r="C28" s="93" t="inlineStr">
        <is>
          <t>삼성자산운용(ETF)</t>
        </is>
      </c>
      <c r="D28" s="94" t="n">
        <v>4180</v>
      </c>
      <c r="E28" s="94" t="n">
        <v>482838750000</v>
      </c>
      <c r="F28" s="94" t="n">
        <v>2310152052</v>
      </c>
      <c r="G28" s="74" t="n">
        <v>0.001492</v>
      </c>
      <c r="H28" s="74" t="n">
        <v>0.1486</v>
      </c>
      <c r="I28" s="74" t="n">
        <v>0.0141</v>
      </c>
      <c r="J28" s="74" t="n">
        <v>0.092584</v>
      </c>
      <c r="K28" s="94" t="n">
        <v>30</v>
      </c>
      <c r="L28" s="93" t="inlineStr">
        <is>
          <t>20260914</t>
        </is>
      </c>
      <c r="M28" s="93" t="inlineStr">
        <is>
          <t>채택</t>
        </is>
      </c>
      <c r="N28" s="93" t="inlineStr"/>
      <c r="O28" s="93" t="inlineStr">
        <is>
          <t>KRX 부동산리츠인프라 지수</t>
        </is>
      </c>
      <c r="P28" s="93" t="inlineStr">
        <is>
          <t>일반</t>
        </is>
      </c>
      <c r="Q28" s="93" t="inlineStr">
        <is>
          <t>부동산</t>
        </is>
      </c>
      <c r="R28" s="93" t="inlineStr">
        <is>
          <t>월배당</t>
        </is>
      </c>
      <c r="S28" s="94" t="n">
        <v>12</v>
      </c>
      <c r="T28">
        <f>IF(AND($J28&lt;&gt;"",OR(조회_주기="전체",$R28=조회_주기),$J28&gt;=조회_최소,$J28&lt;=조회_최대),1,0)</f>
        <v/>
      </c>
      <c r="U28">
        <f>IF($T28=1,COUNTIF($T$4:$T28,1),"")</f>
        <v/>
      </c>
    </row>
    <row r="29">
      <c r="A29" s="93" t="inlineStr">
        <is>
          <t>ACE 글로벌인컴TOP10</t>
        </is>
      </c>
      <c r="B29" s="93" t="inlineStr">
        <is>
          <t>460960</t>
        </is>
      </c>
      <c r="C29" s="93" t="inlineStr">
        <is>
          <t>한국투신운용(ETF)</t>
        </is>
      </c>
      <c r="D29" s="94" t="n">
        <v>10830</v>
      </c>
      <c r="E29" s="94" t="n">
        <v>85015500000</v>
      </c>
      <c r="F29" s="94" t="n">
        <v>831890105</v>
      </c>
      <c r="G29" s="74" t="n">
        <v>0.004552</v>
      </c>
      <c r="H29" s="74" t="n">
        <v>0.111</v>
      </c>
      <c r="I29" s="74" t="n">
        <v>0.006</v>
      </c>
      <c r="J29" s="74" t="n">
        <v>0.078763</v>
      </c>
      <c r="K29" s="94" t="n">
        <v>37</v>
      </c>
      <c r="L29" s="93" t="inlineStr">
        <is>
          <t>20260828</t>
        </is>
      </c>
      <c r="M29" s="93" t="inlineStr">
        <is>
          <t>채택</t>
        </is>
      </c>
      <c r="N29" s="93" t="inlineStr"/>
      <c r="O29" s="93" t="inlineStr">
        <is>
          <t>Solactive Global Superior Income TOP 10 Index PR</t>
        </is>
      </c>
      <c r="P29" s="93" t="inlineStr">
        <is>
          <t>일반</t>
        </is>
      </c>
      <c r="Q29" s="93" t="inlineStr">
        <is>
          <t>멀티에셋</t>
        </is>
      </c>
      <c r="R29" s="93" t="inlineStr">
        <is>
          <t>월배당</t>
        </is>
      </c>
      <c r="S29" s="94" t="n">
        <v>11</v>
      </c>
      <c r="T29">
        <f>IF(AND($J29&lt;&gt;"",OR(조회_주기="전체",$R29=조회_주기),$J29&gt;=조회_최소,$J29&lt;=조회_최대),1,0)</f>
        <v/>
      </c>
      <c r="U29">
        <f>IF($T29=1,COUNTIF($T$4:$T29,1),"")</f>
        <v/>
      </c>
    </row>
    <row r="30">
      <c r="A30" s="93" t="inlineStr">
        <is>
          <t>KODEX iShares미국하이일드액티브</t>
        </is>
      </c>
      <c r="B30" s="93" t="inlineStr">
        <is>
          <t>468380</t>
        </is>
      </c>
      <c r="C30" s="93" t="inlineStr">
        <is>
          <t>삼성자산운용(ETF)</t>
        </is>
      </c>
      <c r="D30" s="94" t="n">
        <v>10800</v>
      </c>
      <c r="E30" s="94" t="n">
        <v>89573450000</v>
      </c>
      <c r="F30" s="94" t="n">
        <v>768144699</v>
      </c>
      <c r="G30" s="74" t="n">
        <v>0.002327</v>
      </c>
      <c r="H30" s="74" t="n">
        <v>0.1013</v>
      </c>
      <c r="I30" s="74" t="n">
        <v>0.005699999999999999</v>
      </c>
      <c r="J30" s="74" t="n">
        <v>0.071852</v>
      </c>
      <c r="K30" s="94" t="n">
        <v>34</v>
      </c>
      <c r="L30" s="93" t="inlineStr">
        <is>
          <t>20260828</t>
        </is>
      </c>
      <c r="M30" s="93" t="inlineStr">
        <is>
          <t>채택</t>
        </is>
      </c>
      <c r="N30" s="93" t="inlineStr"/>
      <c r="O30" s="93" t="inlineStr">
        <is>
          <t>ICE BofAML US HY Constrained Index</t>
        </is>
      </c>
      <c r="P30" s="93" t="inlineStr">
        <is>
          <t>일반</t>
        </is>
      </c>
      <c r="Q30" s="93" t="inlineStr">
        <is>
          <t>채권</t>
        </is>
      </c>
      <c r="R30" s="93" t="inlineStr">
        <is>
          <t>월배당</t>
        </is>
      </c>
      <c r="S30" s="94" t="n">
        <v>11</v>
      </c>
      <c r="T30">
        <f>IF(AND($J30&lt;&gt;"",OR(조회_주기="전체",$R30=조회_주기),$J30&gt;=조회_최소,$J30&lt;=조회_최대),1,0)</f>
        <v/>
      </c>
      <c r="U30">
        <f>IF($T30=1,COUNTIF($T$4:$T30,1),"")</f>
        <v/>
      </c>
    </row>
    <row r="31">
      <c r="A31" s="93" t="inlineStr">
        <is>
          <t>KODEX 미국30년국채액티브(H)</t>
        </is>
      </c>
      <c r="B31" s="93" t="inlineStr">
        <is>
          <t>484790</t>
        </is>
      </c>
      <c r="C31" s="93" t="inlineStr">
        <is>
          <t>삼성자산운용(ETF)</t>
        </is>
      </c>
      <c r="D31" s="94" t="n">
        <v>8145</v>
      </c>
      <c r="E31" s="94" t="n">
        <v>586975400000</v>
      </c>
      <c r="F31" s="94" t="n">
        <v>4519114883</v>
      </c>
      <c r="G31" s="74" t="n">
        <v>0.000584</v>
      </c>
      <c r="H31" s="74" t="n">
        <v>0.09050000000000001</v>
      </c>
      <c r="I31" s="74" t="n">
        <v>0.0042</v>
      </c>
      <c r="J31" s="74" t="n">
        <v>0.05267</v>
      </c>
      <c r="K31" s="94" t="n">
        <v>26</v>
      </c>
      <c r="L31" s="93" t="inlineStr">
        <is>
          <t>20260828</t>
        </is>
      </c>
      <c r="M31" s="93" t="inlineStr">
        <is>
          <t>채택</t>
        </is>
      </c>
      <c r="N31" s="93" t="inlineStr"/>
      <c r="O31" s="93" t="inlineStr">
        <is>
          <t>KEDI-KAP 미 국채 20년+ 지수(TR)</t>
        </is>
      </c>
      <c r="P31" s="93" t="inlineStr">
        <is>
          <t>일반</t>
        </is>
      </c>
      <c r="Q31" s="93" t="inlineStr">
        <is>
          <t>채권</t>
        </is>
      </c>
      <c r="R31" s="93" t="inlineStr">
        <is>
          <t>월배당</t>
        </is>
      </c>
      <c r="S31" s="94" t="n">
        <v>11</v>
      </c>
      <c r="T31">
        <f>IF(AND($J31&lt;&gt;"",OR(조회_주기="전체",$R31=조회_주기),$J31&gt;=조회_최소,$J31&lt;=조회_최대),1,0)</f>
        <v/>
      </c>
      <c r="U31">
        <f>IF($T31=1,COUNTIF($T$4:$T31,1),"")</f>
        <v/>
      </c>
    </row>
    <row r="32">
      <c r="A32" s="93" t="inlineStr">
        <is>
          <t>PLUS 자사주매입고배당주</t>
        </is>
      </c>
      <c r="B32" s="93" t="inlineStr">
        <is>
          <t>0098N0</t>
        </is>
      </c>
      <c r="C32" s="93" t="inlineStr">
        <is>
          <t>한화자산운용</t>
        </is>
      </c>
      <c r="D32" s="94" t="n">
        <v>13140</v>
      </c>
      <c r="E32" s="94" t="n">
        <v>79497000000</v>
      </c>
      <c r="F32" s="94" t="n">
        <v>874039437</v>
      </c>
      <c r="G32" s="74" t="n">
        <v>0.004286</v>
      </c>
      <c r="H32" s="74" t="n">
        <v>0.282</v>
      </c>
      <c r="I32" s="74" t="n">
        <v>0.0053</v>
      </c>
      <c r="J32" s="74" t="n">
        <v>0.049087</v>
      </c>
      <c r="K32" s="94" t="n">
        <v>12</v>
      </c>
      <c r="L32" s="93" t="inlineStr">
        <is>
          <t>20260914</t>
        </is>
      </c>
      <c r="M32" s="93" t="inlineStr">
        <is>
          <t>채택</t>
        </is>
      </c>
      <c r="N32" s="93" t="inlineStr"/>
      <c r="O32" s="93" t="inlineStr">
        <is>
          <t>FnGuide 고배당주 플러스 자사주 지수</t>
        </is>
      </c>
      <c r="P32" s="93" t="inlineStr">
        <is>
          <t>일반</t>
        </is>
      </c>
      <c r="Q32" s="93" t="inlineStr">
        <is>
          <t>주식</t>
        </is>
      </c>
      <c r="R32" s="93" t="inlineStr">
        <is>
          <t>월배당</t>
        </is>
      </c>
      <c r="S32" s="94" t="n">
        <v>12</v>
      </c>
      <c r="T32">
        <f>IF(AND($J32&lt;&gt;"",OR(조회_주기="전체",$R32=조회_주기),$J32&gt;=조회_최소,$J32&lt;=조회_최대),1,0)</f>
        <v/>
      </c>
      <c r="U32">
        <f>IF($T32=1,COUNTIF($T$4:$T32,1),"")</f>
        <v/>
      </c>
    </row>
    <row r="33">
      <c r="A33" s="93" t="inlineStr">
        <is>
          <t>KODEX 미국종합채권ESG액티브(H)</t>
        </is>
      </c>
      <c r="B33" s="93" t="inlineStr">
        <is>
          <t>437080</t>
        </is>
      </c>
      <c r="C33" s="93" t="inlineStr">
        <is>
          <t>삼성자산운용(ETF)</t>
        </is>
      </c>
      <c r="D33" s="94" t="n">
        <v>95870</v>
      </c>
      <c r="E33" s="94" t="n">
        <v>223879800000</v>
      </c>
      <c r="F33" s="94" t="n">
        <v>595704011</v>
      </c>
      <c r="G33" s="74" t="n">
        <v>0.0023</v>
      </c>
      <c r="H33" s="74" t="n">
        <v>0.0391</v>
      </c>
      <c r="I33" s="74" t="n">
        <v>0.004</v>
      </c>
      <c r="J33" s="74" t="n">
        <v>0.046198</v>
      </c>
      <c r="K33" s="94" t="n">
        <v>19</v>
      </c>
      <c r="L33" s="93" t="inlineStr">
        <is>
          <t>20260828</t>
        </is>
      </c>
      <c r="M33" s="93" t="inlineStr">
        <is>
          <t>채택</t>
        </is>
      </c>
      <c r="N33" s="93" t="inlineStr"/>
      <c r="O33" s="93" t="inlineStr">
        <is>
          <t>Bloomberg MSCI US Aggregate 2BN ex Securitized SRI Capped In</t>
        </is>
      </c>
      <c r="P33" s="93" t="inlineStr">
        <is>
          <t>일반</t>
        </is>
      </c>
      <c r="Q33" s="93" t="inlineStr">
        <is>
          <t>채권</t>
        </is>
      </c>
      <c r="R33" s="93" t="inlineStr">
        <is>
          <t>월배당</t>
        </is>
      </c>
      <c r="S33" s="94" t="n">
        <v>11</v>
      </c>
      <c r="T33">
        <f>IF(AND($J33&lt;&gt;"",OR(조회_주기="전체",$R33=조회_주기),$J33&gt;=조회_최소,$J33&lt;=조회_최대),1,0)</f>
        <v/>
      </c>
      <c r="U33">
        <f>IF($T33=1,COUNTIF($T$4:$T33,1),"")</f>
        <v/>
      </c>
    </row>
    <row r="34">
      <c r="A34" s="93" t="inlineStr">
        <is>
          <t>KODEX 미국머니마켓액티브</t>
        </is>
      </c>
      <c r="B34" s="93" t="inlineStr">
        <is>
          <t>0048J0</t>
        </is>
      </c>
      <c r="C34" s="93" t="inlineStr">
        <is>
          <t>삼성자산운용(ETF)</t>
        </is>
      </c>
      <c r="D34" s="94" t="n">
        <v>13755</v>
      </c>
      <c r="E34" s="94" t="n">
        <v>862690500000</v>
      </c>
      <c r="F34" s="94" t="n">
        <v>8062690722</v>
      </c>
      <c r="G34" s="74" t="n">
        <v>0.0008100000000000001</v>
      </c>
      <c r="H34" s="74" t="n">
        <v>0.1055</v>
      </c>
      <c r="I34" s="74" t="n">
        <v>0.0044</v>
      </c>
      <c r="J34" s="74" t="n">
        <v>0.046092</v>
      </c>
      <c r="K34" s="94" t="n">
        <v>15</v>
      </c>
      <c r="L34" s="93" t="inlineStr">
        <is>
          <t>20260828</t>
        </is>
      </c>
      <c r="M34" s="93" t="inlineStr">
        <is>
          <t>채택</t>
        </is>
      </c>
      <c r="N34" s="93" t="inlineStr"/>
      <c r="O34" s="93" t="inlineStr">
        <is>
          <t>KAP 미국 머니마켓 지수</t>
        </is>
      </c>
      <c r="P34" s="93" t="inlineStr">
        <is>
          <t>일반</t>
        </is>
      </c>
      <c r="Q34" s="93" t="inlineStr">
        <is>
          <t>단기자금(파킹형)</t>
        </is>
      </c>
      <c r="R34" s="93" t="inlineStr">
        <is>
          <t>월배당</t>
        </is>
      </c>
      <c r="S34" s="94" t="n">
        <v>11</v>
      </c>
      <c r="T34">
        <f>IF(AND($J34&lt;&gt;"",OR(조회_주기="전체",$R34=조회_주기),$J34&gt;=조회_최소,$J34&lt;=조회_최대),1,0)</f>
        <v/>
      </c>
      <c r="U34">
        <f>IF($T34=1,COUNTIF($T$4:$T34,1),"")</f>
        <v/>
      </c>
    </row>
    <row r="35">
      <c r="A35" s="93" t="inlineStr">
        <is>
          <t>SOL 국제금커버드콜액티브</t>
        </is>
      </c>
      <c r="B35" s="93" t="inlineStr">
        <is>
          <t>0022T0</t>
        </is>
      </c>
      <c r="C35" s="93" t="inlineStr">
        <is>
          <t>신한자산운용</t>
        </is>
      </c>
      <c r="D35" s="94" t="n">
        <v>12825</v>
      </c>
      <c r="E35" s="94" t="n">
        <v>73017000000</v>
      </c>
      <c r="F35" s="94" t="n">
        <v>993543787</v>
      </c>
      <c r="G35" s="74" t="n">
        <v>0.006737999999999999</v>
      </c>
      <c r="H35" s="74" t="n">
        <v>0.2873</v>
      </c>
      <c r="I35" s="74" t="n">
        <v>0.0033</v>
      </c>
      <c r="J35" s="74" t="n">
        <v>0.04499</v>
      </c>
      <c r="K35" s="94" t="n">
        <v>17</v>
      </c>
      <c r="L35" s="93" t="inlineStr">
        <is>
          <t>20260828</t>
        </is>
      </c>
      <c r="M35" s="93" t="inlineStr">
        <is>
          <t>채택</t>
        </is>
      </c>
      <c r="N35" s="93" t="inlineStr"/>
      <c r="O35" s="93" t="inlineStr">
        <is>
          <t>KEDI Gold Income Premium Index (Net Total Return)</t>
        </is>
      </c>
      <c r="P35" s="93" t="inlineStr">
        <is>
          <t>커버드콜</t>
        </is>
      </c>
      <c r="Q35" s="93" t="inlineStr">
        <is>
          <t>원자재</t>
        </is>
      </c>
      <c r="R35" s="93" t="inlineStr">
        <is>
          <t>월배당</t>
        </is>
      </c>
      <c r="S35" s="94" t="n">
        <v>11</v>
      </c>
      <c r="T35">
        <f>IF(AND($J35&lt;&gt;"",OR(조회_주기="전체",$R35=조회_주기),$J35&gt;=조회_최소,$J35&lt;=조회_최대),1,0)</f>
        <v/>
      </c>
      <c r="U35">
        <f>IF($T35=1,COUNTIF($T$4:$T35,1),"")</f>
        <v/>
      </c>
    </row>
    <row r="36">
      <c r="A36" s="93" t="inlineStr">
        <is>
          <t>ACE 미국30년국채액티브</t>
        </is>
      </c>
      <c r="B36" s="93" t="inlineStr">
        <is>
          <t>476760</t>
        </is>
      </c>
      <c r="C36" s="93" t="inlineStr">
        <is>
          <t>한국투자신탁운용</t>
        </is>
      </c>
      <c r="D36" s="94" t="n">
        <v>8825</v>
      </c>
      <c r="E36" s="94" t="n">
        <v>381240000000</v>
      </c>
      <c r="F36" s="94" t="n">
        <v>4859107583</v>
      </c>
      <c r="G36" s="74" t="n">
        <v>0.001314</v>
      </c>
      <c r="H36" s="74" t="n">
        <v>0.1323</v>
      </c>
      <c r="I36" s="74" t="n">
        <v>0.0036</v>
      </c>
      <c r="J36" s="74" t="n">
        <v>0.044986</v>
      </c>
      <c r="K36" s="94" t="n">
        <v>29</v>
      </c>
      <c r="L36" s="93" t="inlineStr">
        <is>
          <t>20260828</t>
        </is>
      </c>
      <c r="M36" s="93" t="inlineStr">
        <is>
          <t>채택</t>
        </is>
      </c>
      <c r="N36" s="93" t="inlineStr"/>
      <c r="O36" s="93" t="inlineStr">
        <is>
          <t>Bloomberg US Treasury 20+ Year Total Return Index</t>
        </is>
      </c>
      <c r="P36" s="93" t="inlineStr">
        <is>
          <t>일반</t>
        </is>
      </c>
      <c r="Q36" s="93" t="inlineStr">
        <is>
          <t>채권</t>
        </is>
      </c>
      <c r="R36" s="93" t="inlineStr">
        <is>
          <t>월배당</t>
        </is>
      </c>
      <c r="S36" s="94" t="n">
        <v>11</v>
      </c>
      <c r="T36">
        <f>IF(AND($J36&lt;&gt;"",OR(조회_주기="전체",$R36=조회_주기),$J36&gt;=조회_최소,$J36&lt;=조회_최대),1,0)</f>
        <v/>
      </c>
      <c r="U36">
        <f>IF($T36=1,COUNTIF($T$4:$T36,1),"")</f>
        <v/>
      </c>
    </row>
    <row r="37">
      <c r="A37" s="93" t="inlineStr">
        <is>
          <t>TIGER 코리아배당다우존스</t>
        </is>
      </c>
      <c r="B37" s="93" t="inlineStr">
        <is>
          <t>0052D0</t>
        </is>
      </c>
      <c r="C37" s="93" t="inlineStr">
        <is>
          <t>미래에셋자산운용</t>
        </is>
      </c>
      <c r="D37" s="94" t="n">
        <v>15550</v>
      </c>
      <c r="E37" s="94" t="n">
        <v>339112000000</v>
      </c>
      <c r="F37" s="94" t="n">
        <v>2509850168</v>
      </c>
      <c r="G37" s="74" t="n">
        <v>0.004184</v>
      </c>
      <c r="H37" s="74" t="n">
        <v>0.3046</v>
      </c>
      <c r="I37" s="74" t="n">
        <v>0.0042</v>
      </c>
      <c r="J37" s="74" t="n">
        <v>0.043023</v>
      </c>
      <c r="K37" s="94" t="n">
        <v>15</v>
      </c>
      <c r="L37" s="93" t="inlineStr">
        <is>
          <t>20260914</t>
        </is>
      </c>
      <c r="M37" s="93" t="inlineStr">
        <is>
          <t>채택</t>
        </is>
      </c>
      <c r="N37" s="93" t="inlineStr"/>
      <c r="O37" s="93" t="inlineStr">
        <is>
          <t>Dow Jones Korea Dividend 30 Index (KRW)</t>
        </is>
      </c>
      <c r="P37" s="93" t="inlineStr">
        <is>
          <t>일반</t>
        </is>
      </c>
      <c r="Q37" s="93" t="inlineStr">
        <is>
          <t>주식</t>
        </is>
      </c>
      <c r="R37" s="93" t="inlineStr">
        <is>
          <t>월배당</t>
        </is>
      </c>
      <c r="S37" s="94" t="n">
        <v>12</v>
      </c>
      <c r="T37">
        <f>IF(AND($J37&lt;&gt;"",OR(조회_주기="전체",$R37=조회_주기),$J37&gt;=조회_최소,$J37&lt;=조회_최대),1,0)</f>
        <v/>
      </c>
      <c r="U37">
        <f>IF($T37=1,COUNTIF($T$4:$T37,1),"")</f>
        <v/>
      </c>
    </row>
    <row r="38">
      <c r="A38" s="93" t="inlineStr">
        <is>
          <t>KODEX 미국10년국채액티브(H)</t>
        </is>
      </c>
      <c r="B38" s="93" t="inlineStr">
        <is>
          <t>0091C0</t>
        </is>
      </c>
      <c r="C38" s="93" t="inlineStr">
        <is>
          <t>삼성자산운용(ETF)</t>
        </is>
      </c>
      <c r="D38" s="94" t="n">
        <v>9375</v>
      </c>
      <c r="E38" s="94" t="n">
        <v>186656250000</v>
      </c>
      <c r="F38" s="94" t="n">
        <v>885434183</v>
      </c>
      <c r="G38" s="74" t="n">
        <v>0.002175</v>
      </c>
      <c r="H38" s="74" t="n">
        <v>0.0447</v>
      </c>
      <c r="I38" s="74" t="n">
        <v>0.0036</v>
      </c>
      <c r="J38" s="74" t="n">
        <v>0.042667</v>
      </c>
      <c r="K38" s="94" t="n">
        <v>12</v>
      </c>
      <c r="L38" s="93" t="inlineStr">
        <is>
          <t>20260914</t>
        </is>
      </c>
      <c r="M38" s="93" t="inlineStr">
        <is>
          <t>채택</t>
        </is>
      </c>
      <c r="N38" s="93" t="inlineStr"/>
      <c r="O38" s="93" t="inlineStr">
        <is>
          <t>KAP 미국 국채 10년 지수(총수익)</t>
        </is>
      </c>
      <c r="P38" s="93" t="inlineStr">
        <is>
          <t>일반</t>
        </is>
      </c>
      <c r="Q38" s="93" t="inlineStr">
        <is>
          <t>채권</t>
        </is>
      </c>
      <c r="R38" s="93" t="inlineStr">
        <is>
          <t>월배당</t>
        </is>
      </c>
      <c r="S38" s="94" t="n">
        <v>12</v>
      </c>
      <c r="T38">
        <f>IF(AND($J38&lt;&gt;"",OR(조회_주기="전체",$R38=조회_주기),$J38&gt;=조회_최소,$J38&lt;=조회_최대),1,0)</f>
        <v/>
      </c>
      <c r="U38">
        <f>IF($T38=1,COUNTIF($T$4:$T38,1),"")</f>
        <v/>
      </c>
    </row>
    <row r="39">
      <c r="A39" s="93" t="inlineStr">
        <is>
          <t>ACE 미국30년국채액티브(H)</t>
        </is>
      </c>
      <c r="B39" s="93" t="inlineStr">
        <is>
          <t>453850</t>
        </is>
      </c>
      <c r="C39" s="93" t="inlineStr">
        <is>
          <t>한국투자신탁운용</t>
        </is>
      </c>
      <c r="D39" s="94" t="n">
        <v>7095</v>
      </c>
      <c r="E39" s="94" t="n">
        <v>1470793500000</v>
      </c>
      <c r="F39" s="94" t="n">
        <v>6881450635</v>
      </c>
      <c r="G39" s="74" t="n">
        <v>0.001321</v>
      </c>
      <c r="H39" s="74" t="n">
        <v>0.08800000000000001</v>
      </c>
      <c r="I39" s="74" t="n">
        <v>0.0036</v>
      </c>
      <c r="J39" s="74" t="n">
        <v>0.04186</v>
      </c>
      <c r="K39" s="94" t="n">
        <v>41</v>
      </c>
      <c r="L39" s="93" t="inlineStr">
        <is>
          <t>20260828</t>
        </is>
      </c>
      <c r="M39" s="93" t="inlineStr">
        <is>
          <t>채택</t>
        </is>
      </c>
      <c r="N39" s="93" t="inlineStr"/>
      <c r="O39" s="93" t="inlineStr">
        <is>
          <t>Bloomberg US Treasury 20+ Year Total Return Index</t>
        </is>
      </c>
      <c r="P39" s="93" t="inlineStr">
        <is>
          <t>일반</t>
        </is>
      </c>
      <c r="Q39" s="93" t="inlineStr">
        <is>
          <t>채권</t>
        </is>
      </c>
      <c r="R39" s="93" t="inlineStr">
        <is>
          <t>월배당</t>
        </is>
      </c>
      <c r="S39" s="94" t="n">
        <v>11</v>
      </c>
      <c r="T39">
        <f>IF(AND($J39&lt;&gt;"",OR(조회_주기="전체",$R39=조회_주기),$J39&gt;=조회_최소,$J39&lt;=조회_최대),1,0)</f>
        <v/>
      </c>
      <c r="U39">
        <f>IF($T39=1,COUNTIF($T$4:$T39,1),"")</f>
        <v/>
      </c>
    </row>
    <row r="40">
      <c r="A40" s="93" t="inlineStr">
        <is>
          <t>KODEX 미국달러SOFR금리액티브(합성)</t>
        </is>
      </c>
      <c r="B40" s="93" t="inlineStr">
        <is>
          <t>455030</t>
        </is>
      </c>
      <c r="C40" s="93" t="inlineStr">
        <is>
          <t>삼성자산운용(ETF)</t>
        </is>
      </c>
      <c r="D40" s="94" t="n">
        <v>11840</v>
      </c>
      <c r="E40" s="94" t="n">
        <v>537536000000</v>
      </c>
      <c r="F40" s="94" t="n">
        <v>1597749922</v>
      </c>
      <c r="G40" s="74" t="n">
        <v>0.001804</v>
      </c>
      <c r="H40" s="74" t="n">
        <v>0.1063</v>
      </c>
      <c r="I40" s="74" t="n">
        <v>0.0036</v>
      </c>
      <c r="J40" s="74" t="n">
        <v>0.041723</v>
      </c>
      <c r="K40" s="94" t="n">
        <v>14</v>
      </c>
      <c r="L40" s="93" t="inlineStr">
        <is>
          <t>20260828</t>
        </is>
      </c>
      <c r="M40" s="93" t="inlineStr">
        <is>
          <t>채택</t>
        </is>
      </c>
      <c r="N40" s="93" t="inlineStr"/>
      <c r="O40" s="93" t="inlineStr">
        <is>
          <t>Bloomberg SOFR Index</t>
        </is>
      </c>
      <c r="P40" s="93" t="inlineStr">
        <is>
          <t>일반</t>
        </is>
      </c>
      <c r="Q40" s="93" t="inlineStr">
        <is>
          <t>단기자금(파킹형)</t>
        </is>
      </c>
      <c r="R40" s="93" t="inlineStr">
        <is>
          <t>월배당</t>
        </is>
      </c>
      <c r="S40" s="94" t="n">
        <v>11</v>
      </c>
      <c r="T40">
        <f>IF(AND($J40&lt;&gt;"",OR(조회_주기="전체",$R40=조회_주기),$J40&gt;=조회_최소,$J40&lt;=조회_최대),1,0)</f>
        <v/>
      </c>
      <c r="U40">
        <f>IF($T40=1,COUNTIF($T$4:$T40,1),"")</f>
        <v/>
      </c>
    </row>
    <row r="41">
      <c r="A41" s="93" t="inlineStr">
        <is>
          <t>KODEX 고배당주</t>
        </is>
      </c>
      <c r="B41" s="93" t="inlineStr">
        <is>
          <t>279530</t>
        </is>
      </c>
      <c r="C41" s="93" t="inlineStr">
        <is>
          <t>삼성자산운용(ETF)</t>
        </is>
      </c>
      <c r="D41" s="94" t="n">
        <v>17670</v>
      </c>
      <c r="E41" s="94" t="n">
        <v>349569000000</v>
      </c>
      <c r="F41" s="94" t="n">
        <v>5280636258</v>
      </c>
      <c r="G41" s="74" t="n">
        <v>0.005271000000000001</v>
      </c>
      <c r="H41" s="74" t="n">
        <v>0.2973</v>
      </c>
      <c r="I41" s="74" t="n">
        <v>0.0043</v>
      </c>
      <c r="J41" s="74" t="n">
        <v>0.04137</v>
      </c>
      <c r="K41" s="94" t="n">
        <v>36</v>
      </c>
      <c r="L41" s="93" t="inlineStr">
        <is>
          <t>20260828</t>
        </is>
      </c>
      <c r="M41" s="93" t="inlineStr">
        <is>
          <t>채택</t>
        </is>
      </c>
      <c r="N41" s="93" t="inlineStr"/>
      <c r="O41" s="93" t="inlineStr">
        <is>
          <t>FnGuide 고배당 Plus 지수</t>
        </is>
      </c>
      <c r="P41" s="93" t="inlineStr">
        <is>
          <t>일반</t>
        </is>
      </c>
      <c r="Q41" s="93" t="inlineStr">
        <is>
          <t>주식</t>
        </is>
      </c>
      <c r="R41" s="93" t="inlineStr">
        <is>
          <t>월배당</t>
        </is>
      </c>
      <c r="S41" s="94" t="n">
        <v>11</v>
      </c>
      <c r="T41">
        <f>IF(AND($J41&lt;&gt;"",OR(조회_주기="전체",$R41=조회_주기),$J41&gt;=조회_최소,$J41&lt;=조회_최대),1,0)</f>
        <v/>
      </c>
      <c r="U41">
        <f>IF($T41=1,COUNTIF($T$4:$T41,1),"")</f>
        <v/>
      </c>
    </row>
    <row r="42">
      <c r="A42" s="93" t="inlineStr">
        <is>
          <t>PLUS 고배당주</t>
        </is>
      </c>
      <c r="B42" s="93" t="inlineStr">
        <is>
          <t>161510</t>
        </is>
      </c>
      <c r="C42" s="93" t="inlineStr">
        <is>
          <t>한화자산운용</t>
        </is>
      </c>
      <c r="D42" s="94" t="n">
        <v>25305</v>
      </c>
      <c r="E42" s="94" t="n">
        <v>2418479100000</v>
      </c>
      <c r="F42" s="94" t="n">
        <v>22277773178</v>
      </c>
      <c r="G42" s="74" t="n">
        <v>0.003443</v>
      </c>
      <c r="H42" s="74" t="n">
        <v>0.3055</v>
      </c>
      <c r="I42" s="74" t="n">
        <v>0.004099999999999999</v>
      </c>
      <c r="J42" s="74" t="n">
        <v>0.040861</v>
      </c>
      <c r="K42" s="94" t="n">
        <v>31</v>
      </c>
      <c r="L42" s="93" t="inlineStr">
        <is>
          <t>20260828</t>
        </is>
      </c>
      <c r="M42" s="93" t="inlineStr">
        <is>
          <t>채택</t>
        </is>
      </c>
      <c r="N42" s="93" t="inlineStr"/>
      <c r="O42" s="93" t="inlineStr">
        <is>
          <t>FnGuide 고배당주</t>
        </is>
      </c>
      <c r="P42" s="93" t="inlineStr">
        <is>
          <t>일반</t>
        </is>
      </c>
      <c r="Q42" s="93" t="inlineStr">
        <is>
          <t>주식</t>
        </is>
      </c>
      <c r="R42" s="93" t="inlineStr">
        <is>
          <t>월배당</t>
        </is>
      </c>
      <c r="S42" s="94" t="n">
        <v>11</v>
      </c>
      <c r="T42">
        <f>IF(AND($J42&lt;&gt;"",OR(조회_주기="전체",$R42=조회_주기),$J42&gt;=조회_최소,$J42&lt;=조회_최대),1,0)</f>
        <v/>
      </c>
      <c r="U42">
        <f>IF($T42=1,COUNTIF($T$4:$T42,1),"")</f>
        <v/>
      </c>
    </row>
    <row r="43">
      <c r="A43" s="93" t="inlineStr">
        <is>
          <t>KODEX 금융고배당TOP10</t>
        </is>
      </c>
      <c r="B43" s="93" t="inlineStr">
        <is>
          <t>0089D0</t>
        </is>
      </c>
      <c r="C43" s="93" t="inlineStr">
        <is>
          <t>삼성자산운용(ETF)</t>
        </is>
      </c>
      <c r="D43" s="94" t="n">
        <v>13800</v>
      </c>
      <c r="E43" s="94" t="n">
        <v>233389000000</v>
      </c>
      <c r="F43" s="94" t="n">
        <v>3450365010</v>
      </c>
      <c r="G43" s="74" t="n">
        <v>0.004122</v>
      </c>
      <c r="H43" s="74" t="n">
        <v>0.3491</v>
      </c>
      <c r="I43" s="74" t="n">
        <v>0.0044</v>
      </c>
      <c r="J43" s="74" t="n">
        <v>0.040362</v>
      </c>
      <c r="K43" s="94" t="n">
        <v>11</v>
      </c>
      <c r="L43" s="93" t="inlineStr">
        <is>
          <t>20260914</t>
        </is>
      </c>
      <c r="M43" s="93" t="inlineStr">
        <is>
          <t>채택</t>
        </is>
      </c>
      <c r="N43" s="93" t="inlineStr"/>
      <c r="O43" s="93" t="inlineStr">
        <is>
          <t>코스피 200 금융 고배당 TOP 10 지수</t>
        </is>
      </c>
      <c r="P43" s="93" t="inlineStr">
        <is>
          <t>일반</t>
        </is>
      </c>
      <c r="Q43" s="93" t="inlineStr">
        <is>
          <t>주식</t>
        </is>
      </c>
      <c r="R43" s="93" t="inlineStr">
        <is>
          <t>월배당</t>
        </is>
      </c>
      <c r="S43" s="94" t="n">
        <v>11</v>
      </c>
      <c r="T43">
        <f>IF(AND($J43&lt;&gt;"",OR(조회_주기="전체",$R43=조회_주기),$J43&gt;=조회_최소,$J43&lt;=조회_최대),1,0)</f>
        <v/>
      </c>
      <c r="U43">
        <f>IF($T43=1,COUNTIF($T$4:$T43,1),"")</f>
        <v/>
      </c>
    </row>
    <row r="44">
      <c r="A44" s="93" t="inlineStr">
        <is>
          <t>ACE 미국10년국채액티브</t>
        </is>
      </c>
      <c r="B44" s="93" t="inlineStr">
        <is>
          <t>0085P0</t>
        </is>
      </c>
      <c r="C44" s="93" t="inlineStr">
        <is>
          <t>한국투신운용(ETF)</t>
        </is>
      </c>
      <c r="D44" s="94" t="n">
        <v>9645</v>
      </c>
      <c r="E44" s="94" t="n">
        <v>110917500000</v>
      </c>
      <c r="F44" s="94" t="n">
        <v>1740848658</v>
      </c>
      <c r="G44" s="74" t="n">
        <v>0.002155</v>
      </c>
      <c r="H44" s="74" t="n">
        <v>0.1076</v>
      </c>
      <c r="I44" s="74" t="n">
        <v>0.0031</v>
      </c>
      <c r="J44" s="74" t="n">
        <v>0.038984</v>
      </c>
      <c r="K44" s="94" t="n">
        <v>13</v>
      </c>
      <c r="L44" s="93" t="inlineStr">
        <is>
          <t>20260828</t>
        </is>
      </c>
      <c r="M44" s="93" t="inlineStr">
        <is>
          <t>채택</t>
        </is>
      </c>
      <c r="N44" s="93" t="inlineStr"/>
      <c r="O44" s="93" t="inlineStr">
        <is>
          <t>ICE U.S.Treasury 7-10 Year Bond Index</t>
        </is>
      </c>
      <c r="P44" s="93" t="inlineStr">
        <is>
          <t>일반</t>
        </is>
      </c>
      <c r="Q44" s="93" t="inlineStr">
        <is>
          <t>채권</t>
        </is>
      </c>
      <c r="R44" s="93" t="inlineStr">
        <is>
          <t>월배당</t>
        </is>
      </c>
      <c r="S44" s="94" t="n">
        <v>11</v>
      </c>
      <c r="T44">
        <f>IF(AND($J44&lt;&gt;"",OR(조회_주기="전체",$R44=조회_주기),$J44&gt;=조회_최소,$J44&lt;=조회_최대),1,0)</f>
        <v/>
      </c>
      <c r="U44">
        <f>IF($T44=1,COUNTIF($T$4:$T44,1),"")</f>
        <v/>
      </c>
    </row>
    <row r="45">
      <c r="A45" s="93" t="inlineStr">
        <is>
          <t>PLUS 고배당주채권혼합</t>
        </is>
      </c>
      <c r="B45" s="93" t="inlineStr">
        <is>
          <t>251600</t>
        </is>
      </c>
      <c r="C45" s="93" t="inlineStr">
        <is>
          <t>한화자산운용</t>
        </is>
      </c>
      <c r="D45" s="94" t="n">
        <v>15445</v>
      </c>
      <c r="E45" s="94" t="n">
        <v>596754000000</v>
      </c>
      <c r="F45" s="94" t="n">
        <v>3673494896</v>
      </c>
      <c r="G45" s="74" t="n">
        <v>0.00484</v>
      </c>
      <c r="H45" s="74" t="n">
        <v>0.1538</v>
      </c>
      <c r="I45" s="74" t="n">
        <v>0.0032</v>
      </c>
      <c r="J45" s="74" t="n">
        <v>0.036776</v>
      </c>
      <c r="K45" s="94" t="n">
        <v>33</v>
      </c>
      <c r="L45" s="93" t="inlineStr">
        <is>
          <t>20260828</t>
        </is>
      </c>
      <c r="M45" s="93" t="inlineStr">
        <is>
          <t>채택</t>
        </is>
      </c>
      <c r="N45" s="93" t="inlineStr"/>
      <c r="O45" s="93" t="inlineStr">
        <is>
          <t>FnGuide 고배당 채권혼합 지수</t>
        </is>
      </c>
      <c r="P45" s="93" t="inlineStr">
        <is>
          <t>일반</t>
        </is>
      </c>
      <c r="Q45" s="93" t="inlineStr">
        <is>
          <t>멀티에셋</t>
        </is>
      </c>
      <c r="R45" s="93" t="inlineStr">
        <is>
          <t>월배당</t>
        </is>
      </c>
      <c r="S45" s="94" t="n">
        <v>11</v>
      </c>
      <c r="T45">
        <f>IF(AND($J45&lt;&gt;"",OR(조회_주기="전체",$R45=조회_주기),$J45&gt;=조회_최소,$J45&lt;=조회_최대),1,0)</f>
        <v/>
      </c>
      <c r="U45">
        <f>IF($T45=1,COUNTIF($T$4:$T45,1),"")</f>
        <v/>
      </c>
    </row>
    <row r="46">
      <c r="A46" s="93" t="inlineStr">
        <is>
          <t>TIGER 미국초단기(3개월이하)국채</t>
        </is>
      </c>
      <c r="B46" s="93" t="inlineStr">
        <is>
          <t>0046A0</t>
        </is>
      </c>
      <c r="C46" s="93" t="inlineStr">
        <is>
          <t>미래에셋자산운용</t>
        </is>
      </c>
      <c r="D46" s="94" t="n">
        <v>9530</v>
      </c>
      <c r="E46" s="94" t="n">
        <v>372038370000</v>
      </c>
      <c r="F46" s="94" t="n">
        <v>8139718434</v>
      </c>
      <c r="G46" s="74" t="n">
        <v>0.002068</v>
      </c>
      <c r="H46" s="74" t="n">
        <v>0.1051</v>
      </c>
      <c r="I46" s="74" t="n">
        <v>0.0027</v>
      </c>
      <c r="J46" s="74" t="n">
        <v>0.036097</v>
      </c>
      <c r="K46" s="94" t="n">
        <v>16</v>
      </c>
      <c r="L46" s="93" t="inlineStr">
        <is>
          <t>20260828</t>
        </is>
      </c>
      <c r="M46" s="93" t="inlineStr">
        <is>
          <t>채택</t>
        </is>
      </c>
      <c r="N46" s="93" t="inlineStr"/>
      <c r="O46" s="93" t="inlineStr">
        <is>
          <t>ICE 0-3 Month US Treasury Securities Index</t>
        </is>
      </c>
      <c r="P46" s="93" t="inlineStr">
        <is>
          <t>일반</t>
        </is>
      </c>
      <c r="Q46" s="93" t="inlineStr">
        <is>
          <t>단기자금(파킹형)</t>
        </is>
      </c>
      <c r="R46" s="93" t="inlineStr">
        <is>
          <t>월배당</t>
        </is>
      </c>
      <c r="S46" s="94" t="n">
        <v>11</v>
      </c>
      <c r="T46">
        <f>IF(AND($J46&lt;&gt;"",OR(조회_주기="전체",$R46=조회_주기),$J46&gt;=조회_최소,$J46&lt;=조회_최대),1,0)</f>
        <v/>
      </c>
      <c r="U46">
        <f>IF($T46=1,COUNTIF($T$4:$T46,1),"")</f>
        <v/>
      </c>
    </row>
    <row r="47">
      <c r="A47" s="93" t="inlineStr">
        <is>
          <t>TIGER 은행고배당플러스TOP10</t>
        </is>
      </c>
      <c r="B47" s="93" t="inlineStr">
        <is>
          <t>466940</t>
        </is>
      </c>
      <c r="C47" s="93" t="inlineStr">
        <is>
          <t>미래에셋자산운용</t>
        </is>
      </c>
      <c r="D47" s="94" t="n">
        <v>27750</v>
      </c>
      <c r="E47" s="94" t="n">
        <v>866250000000</v>
      </c>
      <c r="F47" s="94" t="n">
        <v>22219772541</v>
      </c>
      <c r="G47" s="74" t="n">
        <v>0.003869</v>
      </c>
      <c r="H47" s="74" t="n">
        <v>0.3356</v>
      </c>
      <c r="I47" s="74" t="n">
        <v>0.0038</v>
      </c>
      <c r="J47" s="74" t="n">
        <v>0.035892</v>
      </c>
      <c r="K47" s="94" t="n">
        <v>32</v>
      </c>
      <c r="L47" s="93" t="inlineStr">
        <is>
          <t>20260828</t>
        </is>
      </c>
      <c r="M47" s="93" t="inlineStr">
        <is>
          <t>채택</t>
        </is>
      </c>
      <c r="N47" s="93" t="inlineStr"/>
      <c r="O47" s="93" t="inlineStr">
        <is>
          <t>FnGuide 은행 고배당 플러스 TOP 10 지수</t>
        </is>
      </c>
      <c r="P47" s="93" t="inlineStr">
        <is>
          <t>일반</t>
        </is>
      </c>
      <c r="Q47" s="93" t="inlineStr">
        <is>
          <t>주식</t>
        </is>
      </c>
      <c r="R47" s="93" t="inlineStr">
        <is>
          <t>월배당</t>
        </is>
      </c>
      <c r="S47" s="94" t="n">
        <v>11</v>
      </c>
      <c r="T47">
        <f>IF(AND($J47&lt;&gt;"",OR(조회_주기="전체",$R47=조회_주기),$J47&gt;=조회_최소,$J47&lt;=조회_최대),1,0)</f>
        <v/>
      </c>
      <c r="U47">
        <f>IF($T47=1,COUNTIF($T$4:$T47,1),"")</f>
        <v/>
      </c>
    </row>
    <row r="48">
      <c r="A48" s="93" t="inlineStr">
        <is>
          <t>KODEX 은행</t>
        </is>
      </c>
      <c r="B48" s="93" t="inlineStr">
        <is>
          <t>091170</t>
        </is>
      </c>
      <c r="C48" s="93" t="inlineStr">
        <is>
          <t>삼성자산운용(ETF)</t>
        </is>
      </c>
      <c r="D48" s="94" t="n">
        <v>17040</v>
      </c>
      <c r="E48" s="94" t="n">
        <v>301285500000</v>
      </c>
      <c r="F48" s="94" t="n">
        <v>25819951123</v>
      </c>
      <c r="G48" s="74" t="n">
        <v>0.003334</v>
      </c>
      <c r="H48" s="74" t="n">
        <v>0.3442</v>
      </c>
      <c r="I48" s="74" t="n">
        <v>0.0037</v>
      </c>
      <c r="J48" s="74" t="n">
        <v>0.035739</v>
      </c>
      <c r="K48" s="94" t="n">
        <v>29</v>
      </c>
      <c r="L48" s="93" t="inlineStr">
        <is>
          <t>20260828</t>
        </is>
      </c>
      <c r="M48" s="93" t="inlineStr">
        <is>
          <t>채택</t>
        </is>
      </c>
      <c r="N48" s="93" t="inlineStr"/>
      <c r="O48" s="93" t="inlineStr">
        <is>
          <t>KRX 은행</t>
        </is>
      </c>
      <c r="P48" s="93" t="inlineStr">
        <is>
          <t>일반</t>
        </is>
      </c>
      <c r="Q48" s="93" t="inlineStr">
        <is>
          <t>주식</t>
        </is>
      </c>
      <c r="R48" s="93" t="inlineStr">
        <is>
          <t>월배당</t>
        </is>
      </c>
      <c r="S48" s="94" t="n">
        <v>11</v>
      </c>
      <c r="T48">
        <f>IF(AND($J48&lt;&gt;"",OR(조회_주기="전체",$R48=조회_주기),$J48&gt;=조회_최소,$J48&lt;=조회_최대),1,0)</f>
        <v/>
      </c>
      <c r="U48">
        <f>IF($T48=1,COUNTIF($T$4:$T48,1),"")</f>
        <v/>
      </c>
    </row>
    <row r="49">
      <c r="A49" s="93" t="inlineStr">
        <is>
          <t>RISE 미국30년국채엔화노출(합성 H)</t>
        </is>
      </c>
      <c r="B49" s="93" t="inlineStr">
        <is>
          <t>472870</t>
        </is>
      </c>
      <c r="C49" s="93" t="inlineStr">
        <is>
          <t>KB자산운용</t>
        </is>
      </c>
      <c r="D49" s="94" t="n">
        <v>6905</v>
      </c>
      <c r="E49" s="94" t="n">
        <v>167688750000</v>
      </c>
      <c r="F49" s="94" t="n">
        <v>1606626124</v>
      </c>
      <c r="G49" s="74" t="n">
        <v>0.001874</v>
      </c>
      <c r="H49" s="74" t="n">
        <v>0.1367</v>
      </c>
      <c r="I49" s="74" t="n">
        <v>0.0024</v>
      </c>
      <c r="J49" s="74" t="n">
        <v>0.034468</v>
      </c>
      <c r="K49" s="94" t="n">
        <v>29</v>
      </c>
      <c r="L49" s="93" t="inlineStr">
        <is>
          <t>20260828</t>
        </is>
      </c>
      <c r="M49" s="93" t="inlineStr">
        <is>
          <t>채택</t>
        </is>
      </c>
      <c r="N49" s="93" t="inlineStr"/>
      <c r="O49" s="93" t="inlineStr">
        <is>
          <t>KIS 미국채 30년 엔화노출 지수(USD/JPY 헤지)</t>
        </is>
      </c>
      <c r="P49" s="93" t="inlineStr">
        <is>
          <t>일반</t>
        </is>
      </c>
      <c r="Q49" s="93" t="inlineStr">
        <is>
          <t>채권</t>
        </is>
      </c>
      <c r="R49" s="93" t="inlineStr">
        <is>
          <t>월배당</t>
        </is>
      </c>
      <c r="S49" s="94" t="n">
        <v>11</v>
      </c>
      <c r="T49">
        <f>IF(AND($J49&lt;&gt;"",OR(조회_주기="전체",$R49=조회_주기),$J49&gt;=조회_최소,$J49&lt;=조회_최대),1,0)</f>
        <v/>
      </c>
      <c r="U49">
        <f>IF($T49=1,COUNTIF($T$4:$T49,1),"")</f>
        <v/>
      </c>
    </row>
    <row r="50">
      <c r="A50" s="93" t="inlineStr">
        <is>
          <t>ACE 미국30년국채엔화노출액티브(H)</t>
        </is>
      </c>
      <c r="B50" s="93" t="inlineStr">
        <is>
          <t>476750</t>
        </is>
      </c>
      <c r="C50" s="93" t="inlineStr">
        <is>
          <t>한국투자신탁운용</t>
        </is>
      </c>
      <c r="D50" s="94" t="n">
        <v>7460</v>
      </c>
      <c r="E50" s="94" t="n">
        <v>60426000000</v>
      </c>
      <c r="F50" s="94" t="n">
        <v>631586522</v>
      </c>
      <c r="G50" s="74" t="n">
        <v>0.002615</v>
      </c>
      <c r="H50" s="74" t="n">
        <v>0.1284</v>
      </c>
      <c r="I50" s="74" t="n">
        <v>0.0029</v>
      </c>
      <c r="J50" s="74" t="n">
        <v>0.03445</v>
      </c>
      <c r="K50" s="94" t="n">
        <v>29</v>
      </c>
      <c r="L50" s="93" t="inlineStr">
        <is>
          <t>20260828</t>
        </is>
      </c>
      <c r="M50" s="93" t="inlineStr">
        <is>
          <t>채택</t>
        </is>
      </c>
      <c r="N50" s="93" t="inlineStr"/>
      <c r="O50" s="93" t="inlineStr">
        <is>
          <t>Bloomberg U.S. Treasury 20+ Year Index T1530 JPY Currency He</t>
        </is>
      </c>
      <c r="P50" s="93" t="inlineStr">
        <is>
          <t>일반</t>
        </is>
      </c>
      <c r="Q50" s="93" t="inlineStr">
        <is>
          <t>채권</t>
        </is>
      </c>
      <c r="R50" s="93" t="inlineStr">
        <is>
          <t>월배당</t>
        </is>
      </c>
      <c r="S50" s="94" t="n">
        <v>11</v>
      </c>
      <c r="T50">
        <f>IF(AND($J50&lt;&gt;"",OR(조회_주기="전체",$R50=조회_주기),$J50&gt;=조회_최소,$J50&lt;=조회_최대),1,0)</f>
        <v/>
      </c>
      <c r="U50">
        <f>IF($T50=1,COUNTIF($T$4:$T50,1),"")</f>
        <v/>
      </c>
    </row>
    <row r="51">
      <c r="A51" s="93" t="inlineStr">
        <is>
          <t>SOL CD금리&amp;머니마켓액티브</t>
        </is>
      </c>
      <c r="B51" s="93" t="inlineStr">
        <is>
          <t>497880</t>
        </is>
      </c>
      <c r="C51" s="93" t="inlineStr">
        <is>
          <t>신한자산운용</t>
        </is>
      </c>
      <c r="D51" s="94" t="n">
        <v>50107</v>
      </c>
      <c r="E51" s="94" t="n">
        <v>289836240000</v>
      </c>
      <c r="F51" s="94" t="n">
        <v>5815622955</v>
      </c>
      <c r="G51" s="74" t="n">
        <v>0.0007109999999999999</v>
      </c>
      <c r="H51" s="74" t="n">
        <v>0.009000000000000001</v>
      </c>
      <c r="I51" s="74" t="n">
        <v>0.0032</v>
      </c>
      <c r="J51" s="74" t="n">
        <v>0.031133</v>
      </c>
      <c r="K51" s="94" t="n">
        <v>21</v>
      </c>
      <c r="L51" s="93" t="inlineStr">
        <is>
          <t>20260828</t>
        </is>
      </c>
      <c r="M51" s="93" t="inlineStr">
        <is>
          <t>채택</t>
        </is>
      </c>
      <c r="N51" s="93" t="inlineStr"/>
      <c r="O51" s="93" t="inlineStr">
        <is>
          <t>KAP CD &amp; 단기자금시장 지수</t>
        </is>
      </c>
      <c r="P51" s="93" t="inlineStr">
        <is>
          <t>일반</t>
        </is>
      </c>
      <c r="Q51" s="93" t="inlineStr">
        <is>
          <t>단기자금(파킹형)</t>
        </is>
      </c>
      <c r="R51" s="93" t="inlineStr">
        <is>
          <t>월배당</t>
        </is>
      </c>
      <c r="S51" s="94" t="n">
        <v>11</v>
      </c>
      <c r="T51">
        <f>IF(AND($J51&lt;&gt;"",OR(조회_주기="전체",$R51=조회_주기),$J51&gt;=조회_최소,$J51&lt;=조회_최대),1,0)</f>
        <v/>
      </c>
      <c r="U51">
        <f>IF($T51=1,COUNTIF($T$4:$T51,1),"")</f>
        <v/>
      </c>
    </row>
    <row r="52">
      <c r="A52" s="93" t="inlineStr">
        <is>
          <t>SOL 미국배당다우존스</t>
        </is>
      </c>
      <c r="B52" s="93" t="inlineStr">
        <is>
          <t>446720</t>
        </is>
      </c>
      <c r="C52" s="93" t="inlineStr">
        <is>
          <t>신한자산운용</t>
        </is>
      </c>
      <c r="D52" s="94" t="n">
        <v>13540</v>
      </c>
      <c r="E52" s="94" t="n">
        <v>1030394000000</v>
      </c>
      <c r="F52" s="94" t="n">
        <v>4540619876</v>
      </c>
      <c r="G52" s="74" t="n">
        <v>0.001698</v>
      </c>
      <c r="H52" s="74" t="n">
        <v>0.1416</v>
      </c>
      <c r="I52" s="74" t="n">
        <v>0.0019</v>
      </c>
      <c r="J52" s="74" t="n">
        <v>0.029985</v>
      </c>
      <c r="K52" s="94" t="n">
        <v>45</v>
      </c>
      <c r="L52" s="93" t="inlineStr">
        <is>
          <t>20260828</t>
        </is>
      </c>
      <c r="M52" s="93" t="inlineStr">
        <is>
          <t>채택</t>
        </is>
      </c>
      <c r="N52" s="93" t="inlineStr"/>
      <c r="O52" s="93" t="inlineStr">
        <is>
          <t>Dow Jones U.S. Dividend 100 Price Return Index</t>
        </is>
      </c>
      <c r="P52" s="93" t="inlineStr">
        <is>
          <t>일반</t>
        </is>
      </c>
      <c r="Q52" s="93" t="inlineStr">
        <is>
          <t>주식</t>
        </is>
      </c>
      <c r="R52" s="93" t="inlineStr">
        <is>
          <t>월배당</t>
        </is>
      </c>
      <c r="S52" s="94" t="n">
        <v>11</v>
      </c>
      <c r="T52">
        <f>IF(AND($J52&lt;&gt;"",OR(조회_주기="전체",$R52=조회_주기),$J52&gt;=조회_최소,$J52&lt;=조회_최대),1,0)</f>
        <v/>
      </c>
      <c r="U52">
        <f>IF($T52=1,COUNTIF($T$4:$T52,1),"")</f>
        <v/>
      </c>
    </row>
    <row r="53">
      <c r="A53" s="93" t="inlineStr">
        <is>
          <t>SOL 미국배당미국채혼합50</t>
        </is>
      </c>
      <c r="B53" s="93" t="inlineStr">
        <is>
          <t>490490</t>
        </is>
      </c>
      <c r="C53" s="93" t="inlineStr">
        <is>
          <t>신한자산운용</t>
        </is>
      </c>
      <c r="D53" s="94" t="n">
        <v>10855</v>
      </c>
      <c r="E53" s="94" t="n">
        <v>468720000000</v>
      </c>
      <c r="F53" s="94" t="n">
        <v>2677493726</v>
      </c>
      <c r="G53" s="74" t="n">
        <v>0.002903</v>
      </c>
      <c r="H53" s="74" t="n">
        <v>0.1068</v>
      </c>
      <c r="I53" s="74" t="n">
        <v>0.0026</v>
      </c>
      <c r="J53" s="74" t="n">
        <v>0.029664</v>
      </c>
      <c r="K53" s="94" t="n">
        <v>23</v>
      </c>
      <c r="L53" s="93" t="inlineStr">
        <is>
          <t>20260914</t>
        </is>
      </c>
      <c r="M53" s="93" t="inlineStr">
        <is>
          <t>채택</t>
        </is>
      </c>
      <c r="N53" s="93" t="inlineStr"/>
      <c r="O53" s="93" t="inlineStr">
        <is>
          <t>KRX 다우존스 미국배당국채 혼합지수</t>
        </is>
      </c>
      <c r="P53" s="93" t="inlineStr">
        <is>
          <t>일반</t>
        </is>
      </c>
      <c r="Q53" s="93" t="inlineStr">
        <is>
          <t>멀티에셋</t>
        </is>
      </c>
      <c r="R53" s="93" t="inlineStr">
        <is>
          <t>월배당</t>
        </is>
      </c>
      <c r="S53" s="94" t="n">
        <v>12</v>
      </c>
      <c r="T53">
        <f>IF(AND($J53&lt;&gt;"",OR(조회_주기="전체",$R53=조회_주기),$J53&gt;=조회_최소,$J53&lt;=조회_최대),1,0)</f>
        <v/>
      </c>
      <c r="U53">
        <f>IF($T53=1,COUNTIF($T$4:$T53,1),"")</f>
        <v/>
      </c>
    </row>
    <row r="54">
      <c r="A54" s="93" t="inlineStr">
        <is>
          <t>KODEX 코리아배당성장채권혼합</t>
        </is>
      </c>
      <c r="B54" s="93" t="inlineStr">
        <is>
          <t>237370</t>
        </is>
      </c>
      <c r="C54" s="93" t="inlineStr">
        <is>
          <t>삼성자산운용(ETF)</t>
        </is>
      </c>
      <c r="D54" s="94" t="n">
        <v>15665</v>
      </c>
      <c r="E54" s="94" t="n">
        <v>162916000000</v>
      </c>
      <c r="F54" s="94" t="n">
        <v>1170058905</v>
      </c>
      <c r="G54" s="74" t="n">
        <v>0.003494</v>
      </c>
      <c r="H54" s="74" t="n">
        <v>0.1084</v>
      </c>
      <c r="I54" s="74" t="n">
        <v>0.003</v>
      </c>
      <c r="J54" s="74" t="n">
        <v>0.02962</v>
      </c>
      <c r="K54" s="94" t="n">
        <v>24</v>
      </c>
      <c r="L54" s="93" t="inlineStr">
        <is>
          <t>20260914</t>
        </is>
      </c>
      <c r="M54" s="93" t="inlineStr">
        <is>
          <t>채택</t>
        </is>
      </c>
      <c r="N54" s="93" t="inlineStr"/>
      <c r="O54" s="93" t="inlineStr">
        <is>
          <t>배당성장채권혼합지수</t>
        </is>
      </c>
      <c r="P54" s="93" t="inlineStr">
        <is>
          <t>일반</t>
        </is>
      </c>
      <c r="Q54" s="93" t="inlineStr">
        <is>
          <t>멀티에셋</t>
        </is>
      </c>
      <c r="R54" s="93" t="inlineStr">
        <is>
          <t>월배당</t>
        </is>
      </c>
      <c r="S54" s="94" t="n">
        <v>12</v>
      </c>
      <c r="T54">
        <f>IF(AND($J54&lt;&gt;"",OR(조회_주기="전체",$R54=조회_주기),$J54&gt;=조회_최소,$J54&lt;=조회_최대),1,0)</f>
        <v/>
      </c>
      <c r="U54">
        <f>IF($T54=1,COUNTIF($T$4:$T54,1),"")</f>
        <v/>
      </c>
    </row>
    <row r="55">
      <c r="A55" s="93" t="inlineStr">
        <is>
          <t>ACE 미국배당다우존스</t>
        </is>
      </c>
      <c r="B55" s="93" t="inlineStr">
        <is>
          <t>402970</t>
        </is>
      </c>
      <c r="C55" s="93" t="inlineStr">
        <is>
          <t>한국투신운용(ETF)</t>
        </is>
      </c>
      <c r="D55" s="94" t="n">
        <v>15015</v>
      </c>
      <c r="E55" s="94" t="n">
        <v>963642000000</v>
      </c>
      <c r="F55" s="94" t="n">
        <v>4737233387</v>
      </c>
      <c r="G55" s="74" t="n">
        <v>0.001481</v>
      </c>
      <c r="H55" s="74" t="n">
        <v>0.1408</v>
      </c>
      <c r="I55" s="74" t="n">
        <v>0.0024</v>
      </c>
      <c r="J55" s="74" t="n">
        <v>0.029371</v>
      </c>
      <c r="K55" s="94" t="n">
        <v>44</v>
      </c>
      <c r="L55" s="93" t="inlineStr">
        <is>
          <t>20260914</t>
        </is>
      </c>
      <c r="M55" s="93" t="inlineStr">
        <is>
          <t>채택</t>
        </is>
      </c>
      <c r="N55" s="93" t="inlineStr"/>
      <c r="O55" s="93" t="inlineStr">
        <is>
          <t>Dow Jones U.S. Dividend 100 Price Return Index</t>
        </is>
      </c>
      <c r="P55" s="93" t="inlineStr">
        <is>
          <t>일반</t>
        </is>
      </c>
      <c r="Q55" s="93" t="inlineStr">
        <is>
          <t>주식</t>
        </is>
      </c>
      <c r="R55" s="93" t="inlineStr">
        <is>
          <t>월배당</t>
        </is>
      </c>
      <c r="S55" s="94" t="n">
        <v>12</v>
      </c>
      <c r="T55">
        <f>IF(AND($J55&lt;&gt;"",OR(조회_주기="전체",$R55=조회_주기),$J55&gt;=조회_최소,$J55&lt;=조회_최대),1,0)</f>
        <v/>
      </c>
      <c r="U55">
        <f>IF($T55=1,COUNTIF($T$4:$T55,1),"")</f>
        <v/>
      </c>
    </row>
    <row r="56">
      <c r="A56" s="93" t="inlineStr">
        <is>
          <t>TIGER 미국배당다우존스</t>
        </is>
      </c>
      <c r="B56" s="93" t="inlineStr">
        <is>
          <t>458730</t>
        </is>
      </c>
      <c r="C56" s="93" t="inlineStr">
        <is>
          <t>미래에셋자산운용</t>
        </is>
      </c>
      <c r="D56" s="94" t="n">
        <v>14775</v>
      </c>
      <c r="E56" s="94" t="n">
        <v>4315021000000</v>
      </c>
      <c r="F56" s="94" t="n">
        <v>32505423021</v>
      </c>
      <c r="G56" s="74" t="n">
        <v>0.001034</v>
      </c>
      <c r="H56" s="74" t="n">
        <v>0.1416</v>
      </c>
      <c r="I56" s="74" t="n">
        <v>0.002</v>
      </c>
      <c r="J56" s="74" t="n">
        <v>0.029306</v>
      </c>
      <c r="K56" s="94" t="n">
        <v>38</v>
      </c>
      <c r="L56" s="93" t="inlineStr">
        <is>
          <t>20260828</t>
        </is>
      </c>
      <c r="M56" s="93" t="inlineStr">
        <is>
          <t>채택</t>
        </is>
      </c>
      <c r="N56" s="93" t="inlineStr"/>
      <c r="O56" s="93" t="inlineStr">
        <is>
          <t>Dow Jones U.S. Dividend 100 Price Return Index</t>
        </is>
      </c>
      <c r="P56" s="93" t="inlineStr">
        <is>
          <t>일반</t>
        </is>
      </c>
      <c r="Q56" s="93" t="inlineStr">
        <is>
          <t>주식</t>
        </is>
      </c>
      <c r="R56" s="93" t="inlineStr">
        <is>
          <t>월배당</t>
        </is>
      </c>
      <c r="S56" s="94" t="n">
        <v>11</v>
      </c>
      <c r="T56">
        <f>IF(AND($J56&lt;&gt;"",OR(조회_주기="전체",$R56=조회_주기),$J56&gt;=조회_최소,$J56&lt;=조회_최대),1,0)</f>
        <v/>
      </c>
      <c r="U56">
        <f>IF($T56=1,COUNTIF($T$4:$T56,1),"")</f>
        <v/>
      </c>
    </row>
    <row r="57">
      <c r="A57" s="93" t="inlineStr">
        <is>
          <t>KODEX 미국배당다우존스</t>
        </is>
      </c>
      <c r="B57" s="93" t="inlineStr">
        <is>
          <t>489250</t>
        </is>
      </c>
      <c r="C57" s="93" t="inlineStr">
        <is>
          <t>삼성자산운용(ETF)</t>
        </is>
      </c>
      <c r="D57" s="94" t="n">
        <v>12720</v>
      </c>
      <c r="E57" s="94" t="n">
        <v>604200000000</v>
      </c>
      <c r="F57" s="94" t="n">
        <v>5524076546</v>
      </c>
      <c r="G57" s="74" t="n">
        <v>0.001834</v>
      </c>
      <c r="H57" s="74" t="n">
        <v>0.1417</v>
      </c>
      <c r="I57" s="74" t="n">
        <v>0.0019</v>
      </c>
      <c r="J57" s="74" t="n">
        <v>0.028931</v>
      </c>
      <c r="K57" s="94" t="n">
        <v>25</v>
      </c>
      <c r="L57" s="93" t="inlineStr">
        <is>
          <t>20260914</t>
        </is>
      </c>
      <c r="M57" s="93" t="inlineStr">
        <is>
          <t>채택</t>
        </is>
      </c>
      <c r="N57" s="93" t="inlineStr"/>
      <c r="O57" s="93" t="inlineStr">
        <is>
          <t>Dow Jones U.S. Dividend 100 Price Return Index</t>
        </is>
      </c>
      <c r="P57" s="93" t="inlineStr">
        <is>
          <t>일반</t>
        </is>
      </c>
      <c r="Q57" s="93" t="inlineStr">
        <is>
          <t>주식</t>
        </is>
      </c>
      <c r="R57" s="93" t="inlineStr">
        <is>
          <t>월배당</t>
        </is>
      </c>
      <c r="S57" s="94" t="n">
        <v>12</v>
      </c>
      <c r="T57">
        <f>IF(AND($J57&lt;&gt;"",OR(조회_주기="전체",$R57=조회_주기),$J57&gt;=조회_최소,$J57&lt;=조회_최대),1,0)</f>
        <v/>
      </c>
      <c r="U57">
        <f>IF($T57=1,COUNTIF($T$4:$T57,1),"")</f>
        <v/>
      </c>
    </row>
    <row r="58">
      <c r="A58" s="93" t="inlineStr">
        <is>
          <t>KODEX CD1년금리플러스액티브(합성)</t>
        </is>
      </c>
      <c r="B58" s="93" t="inlineStr">
        <is>
          <t>481050</t>
        </is>
      </c>
      <c r="C58" s="93" t="inlineStr">
        <is>
          <t>삼성자산운용(ETF)</t>
        </is>
      </c>
      <c r="D58" s="94" t="n">
        <v>1023300</v>
      </c>
      <c r="E58" s="94" t="n">
        <v>2540559323500</v>
      </c>
      <c r="F58" s="94" t="n">
        <v>23897804699</v>
      </c>
      <c r="G58" s="74" t="n">
        <v>0.000659</v>
      </c>
      <c r="H58" s="74" t="n">
        <v>0.008199999999999999</v>
      </c>
      <c r="I58" s="74" t="n">
        <v>0.0027</v>
      </c>
      <c r="J58" s="74" t="n">
        <v>0.028798</v>
      </c>
      <c r="K58" s="94" t="n">
        <v>21</v>
      </c>
      <c r="L58" s="93" t="inlineStr">
        <is>
          <t>20260828</t>
        </is>
      </c>
      <c r="M58" s="93" t="inlineStr">
        <is>
          <t>채택</t>
        </is>
      </c>
      <c r="N58" s="93" t="inlineStr"/>
      <c r="O58" s="93" t="inlineStr">
        <is>
          <t>KAP 1년은행CD+추가금리 지수</t>
        </is>
      </c>
      <c r="P58" s="93" t="inlineStr">
        <is>
          <t>일반</t>
        </is>
      </c>
      <c r="Q58" s="93" t="inlineStr">
        <is>
          <t>단기자금(파킹형)</t>
        </is>
      </c>
      <c r="R58" s="93" t="inlineStr">
        <is>
          <t>월배당</t>
        </is>
      </c>
      <c r="S58" s="94" t="n">
        <v>11</v>
      </c>
      <c r="T58">
        <f>IF(AND($J58&lt;&gt;"",OR(조회_주기="전체",$R58=조회_주기),$J58&gt;=조회_최소,$J58&lt;=조회_최대),1,0)</f>
        <v/>
      </c>
      <c r="U58">
        <f>IF($T58=1,COUNTIF($T$4:$T58,1),"")</f>
        <v/>
      </c>
    </row>
    <row r="59">
      <c r="A59" s="93" t="inlineStr">
        <is>
          <t>TIGER CD금리플러스액티브(합성)</t>
        </is>
      </c>
      <c r="B59" s="93" t="inlineStr">
        <is>
          <t>499660</t>
        </is>
      </c>
      <c r="C59" s="93" t="inlineStr">
        <is>
          <t>미래에셋자산운용</t>
        </is>
      </c>
      <c r="D59" s="94" t="n">
        <v>1002030</v>
      </c>
      <c r="E59" s="94" t="n">
        <v>450212079000</v>
      </c>
      <c r="F59" s="94" t="n">
        <v>12891666875</v>
      </c>
      <c r="G59" s="74" t="n">
        <v>0.000328</v>
      </c>
      <c r="H59" s="74" t="n">
        <v>0.008100000000000001</v>
      </c>
      <c r="I59" s="74" t="n">
        <v>0.0024</v>
      </c>
      <c r="J59" s="74" t="n">
        <v>0.028153</v>
      </c>
      <c r="K59" s="94" t="n">
        <v>21</v>
      </c>
      <c r="L59" s="93" t="inlineStr">
        <is>
          <t>20260828</t>
        </is>
      </c>
      <c r="M59" s="93" t="inlineStr">
        <is>
          <t>채택</t>
        </is>
      </c>
      <c r="N59" s="93" t="inlineStr"/>
      <c r="O59" s="93" t="inlineStr">
        <is>
          <t>KIS CD+CPI연동금리 월분배 지수(PR지수)</t>
        </is>
      </c>
      <c r="P59" s="93" t="inlineStr">
        <is>
          <t>일반</t>
        </is>
      </c>
      <c r="Q59" s="93" t="inlineStr">
        <is>
          <t>단기자금(파킹형)</t>
        </is>
      </c>
      <c r="R59" s="93" t="inlineStr">
        <is>
          <t>월배당</t>
        </is>
      </c>
      <c r="S59" s="94" t="n">
        <v>11</v>
      </c>
      <c r="T59">
        <f>IF(AND($J59&lt;&gt;"",OR(조회_주기="전체",$R59=조회_주기),$J59&gt;=조회_최소,$J59&lt;=조회_최대),1,0)</f>
        <v/>
      </c>
      <c r="U59">
        <f>IF($T59=1,COUNTIF($T$4:$T59,1),"")</f>
        <v/>
      </c>
    </row>
    <row r="60">
      <c r="A60" s="93" t="inlineStr">
        <is>
          <t>SOL 미국배당다우존스(H)</t>
        </is>
      </c>
      <c r="B60" s="93" t="inlineStr">
        <is>
          <t>452360</t>
        </is>
      </c>
      <c r="C60" s="93" t="inlineStr">
        <is>
          <t>신한자산운용</t>
        </is>
      </c>
      <c r="D60" s="94" t="n">
        <v>13250</v>
      </c>
      <c r="E60" s="94" t="n">
        <v>226318500000</v>
      </c>
      <c r="F60" s="94" t="n">
        <v>1887249162</v>
      </c>
      <c r="G60" s="74" t="n">
        <v>0.002404</v>
      </c>
      <c r="H60" s="74" t="n">
        <v>0.1107</v>
      </c>
      <c r="I60" s="74" t="n">
        <v>0.0019</v>
      </c>
      <c r="J60" s="74" t="n">
        <v>0.028151</v>
      </c>
      <c r="K60" s="94" t="n">
        <v>41</v>
      </c>
      <c r="L60" s="93" t="inlineStr">
        <is>
          <t>20260828</t>
        </is>
      </c>
      <c r="M60" s="93" t="inlineStr">
        <is>
          <t>채택</t>
        </is>
      </c>
      <c r="N60" s="93" t="inlineStr"/>
      <c r="O60" s="93" t="inlineStr">
        <is>
          <t>Dow Jones U.S. Dividend 100 Price Return Index</t>
        </is>
      </c>
      <c r="P60" s="93" t="inlineStr">
        <is>
          <t>일반</t>
        </is>
      </c>
      <c r="Q60" s="93" t="inlineStr">
        <is>
          <t>주식</t>
        </is>
      </c>
      <c r="R60" s="93" t="inlineStr">
        <is>
          <t>월배당</t>
        </is>
      </c>
      <c r="S60" s="94" t="n">
        <v>11</v>
      </c>
      <c r="T60">
        <f>IF(AND($J60&lt;&gt;"",OR(조회_주기="전체",$R60=조회_주기),$J60&gt;=조회_최소,$J60&lt;=조회_최대),1,0)</f>
        <v/>
      </c>
      <c r="U60">
        <f>IF($T60=1,COUNTIF($T$4:$T60,1),"")</f>
        <v/>
      </c>
    </row>
    <row r="61">
      <c r="A61" s="93" t="inlineStr">
        <is>
          <t>KODEX CD금리액티브(합성)</t>
        </is>
      </c>
      <c r="B61" s="93" t="inlineStr">
        <is>
          <t>459580</t>
        </is>
      </c>
      <c r="C61" s="93" t="inlineStr">
        <is>
          <t>삼성자산운용(ETF)</t>
        </is>
      </c>
      <c r="D61" s="94" t="n">
        <v>1075140</v>
      </c>
      <c r="E61" s="94" t="n">
        <v>6837352830000</v>
      </c>
      <c r="F61" s="94" t="n">
        <v>513592768904</v>
      </c>
      <c r="G61" s="74" t="n">
        <v>0.000332</v>
      </c>
      <c r="H61" s="74" t="n">
        <v>0.007900000000000001</v>
      </c>
      <c r="I61" s="74" t="n">
        <v>0.0026</v>
      </c>
      <c r="J61" s="74" t="n">
        <v>0.027515</v>
      </c>
      <c r="K61" s="94" t="n">
        <v>14</v>
      </c>
      <c r="L61" s="93" t="inlineStr">
        <is>
          <t>20260828</t>
        </is>
      </c>
      <c r="M61" s="93" t="inlineStr">
        <is>
          <t>채택</t>
        </is>
      </c>
      <c r="N61" s="93" t="inlineStr"/>
      <c r="O61" s="93" t="inlineStr">
        <is>
          <t>KAP 양도성예금증서(CD) 금리 지수</t>
        </is>
      </c>
      <c r="P61" s="93" t="inlineStr">
        <is>
          <t>일반</t>
        </is>
      </c>
      <c r="Q61" s="93" t="inlineStr">
        <is>
          <t>단기자금(파킹형)</t>
        </is>
      </c>
      <c r="R61" s="93" t="inlineStr">
        <is>
          <t>월배당</t>
        </is>
      </c>
      <c r="S61" s="94" t="n">
        <v>11</v>
      </c>
      <c r="T61">
        <f>IF(AND($J61&lt;&gt;"",OR(조회_주기="전체",$R61=조회_주기),$J61&gt;=조회_최소,$J61&lt;=조회_최대),1,0)</f>
        <v/>
      </c>
      <c r="U61">
        <f>IF($T61=1,COUNTIF($T$4:$T61,1),"")</f>
        <v/>
      </c>
    </row>
    <row r="62">
      <c r="A62" s="93" t="inlineStr">
        <is>
          <t>RISE 중기우량회사채</t>
        </is>
      </c>
      <c r="B62" s="93" t="inlineStr">
        <is>
          <t>136340</t>
        </is>
      </c>
      <c r="C62" s="93" t="inlineStr">
        <is>
          <t>KB자산운용</t>
        </is>
      </c>
      <c r="D62" s="94" t="n">
        <v>103875</v>
      </c>
      <c r="E62" s="94" t="n">
        <v>295954120000</v>
      </c>
      <c r="F62" s="94" t="n">
        <v>590102398</v>
      </c>
      <c r="G62" s="74" t="n">
        <v>0.001037</v>
      </c>
      <c r="H62" s="74" t="n">
        <v>0.0212</v>
      </c>
      <c r="I62" s="74" t="n">
        <v>0.0012</v>
      </c>
      <c r="J62" s="74" t="n">
        <v>0.027225</v>
      </c>
      <c r="K62" s="94" t="n">
        <v>45</v>
      </c>
      <c r="L62" s="93" t="inlineStr">
        <is>
          <t>20260828</t>
        </is>
      </c>
      <c r="M62" s="93" t="inlineStr">
        <is>
          <t>채택</t>
        </is>
      </c>
      <c r="N62" s="93" t="inlineStr"/>
      <c r="O62" s="93" t="inlineStr">
        <is>
          <t>KOBI Credit</t>
        </is>
      </c>
      <c r="P62" s="93" t="inlineStr">
        <is>
          <t>일반</t>
        </is>
      </c>
      <c r="Q62" s="93" t="inlineStr">
        <is>
          <t>채권</t>
        </is>
      </c>
      <c r="R62" s="93" t="inlineStr">
        <is>
          <t>월배당</t>
        </is>
      </c>
      <c r="S62" s="94" t="n">
        <v>11</v>
      </c>
      <c r="T62">
        <f>IF(AND($J62&lt;&gt;"",OR(조회_주기="전체",$R62=조회_주기),$J62&gt;=조회_최소,$J62&lt;=조회_최대),1,0)</f>
        <v/>
      </c>
      <c r="U62">
        <f>IF($T62=1,COUNTIF($T$4:$T62,1),"")</f>
        <v/>
      </c>
    </row>
    <row r="63">
      <c r="A63" s="93" t="inlineStr">
        <is>
          <t>KODEX 단기채권PLUS</t>
        </is>
      </c>
      <c r="B63" s="93" t="inlineStr">
        <is>
          <t>214980</t>
        </is>
      </c>
      <c r="C63" s="93" t="inlineStr">
        <is>
          <t>삼성자산운용(ETF)</t>
        </is>
      </c>
      <c r="D63" s="94" t="n">
        <v>114410</v>
      </c>
      <c r="E63" s="94" t="n">
        <v>1831406520000</v>
      </c>
      <c r="F63" s="94" t="n">
        <v>3818732111</v>
      </c>
      <c r="G63" s="74" t="n">
        <v>0.001704</v>
      </c>
      <c r="H63" s="74" t="n">
        <v>0.0083</v>
      </c>
      <c r="I63" s="74" t="n">
        <v>0.0025</v>
      </c>
      <c r="J63" s="74" t="n">
        <v>0.026964</v>
      </c>
      <c r="K63" s="94" t="n">
        <v>14</v>
      </c>
      <c r="L63" s="93" t="inlineStr">
        <is>
          <t>20260914</t>
        </is>
      </c>
      <c r="M63" s="93" t="inlineStr">
        <is>
          <t>채택</t>
        </is>
      </c>
      <c r="N63" s="93" t="inlineStr"/>
      <c r="O63" s="93" t="inlineStr">
        <is>
          <t>KRW Cash+PLUS Index</t>
        </is>
      </c>
      <c r="P63" s="93" t="inlineStr">
        <is>
          <t>일반</t>
        </is>
      </c>
      <c r="Q63" s="93" t="inlineStr">
        <is>
          <t>채권</t>
        </is>
      </c>
      <c r="R63" s="93" t="inlineStr">
        <is>
          <t>월배당</t>
        </is>
      </c>
      <c r="S63" s="94" t="n">
        <v>12</v>
      </c>
      <c r="T63">
        <f>IF(AND($J63&lt;&gt;"",OR(조회_주기="전체",$R63=조회_주기),$J63&gt;=조회_최소,$J63&lt;=조회_최대),1,0)</f>
        <v/>
      </c>
      <c r="U63">
        <f>IF($T63=1,COUNTIF($T$4:$T63,1),"")</f>
        <v/>
      </c>
    </row>
    <row r="64">
      <c r="A64" s="93" t="inlineStr">
        <is>
          <t>KODEX 코리아배당성장</t>
        </is>
      </c>
      <c r="B64" s="93" t="inlineStr">
        <is>
          <t>211900</t>
        </is>
      </c>
      <c r="C64" s="93" t="inlineStr">
        <is>
          <t>삼성자산운용(ETF)</t>
        </is>
      </c>
      <c r="D64" s="94" t="n">
        <v>28340</v>
      </c>
      <c r="E64" s="94" t="n">
        <v>92088750000</v>
      </c>
      <c r="F64" s="94" t="n">
        <v>542037536</v>
      </c>
      <c r="G64" s="74" t="n">
        <v>0.002156</v>
      </c>
      <c r="H64" s="74" t="n">
        <v>0.3453</v>
      </c>
      <c r="I64" s="74" t="n">
        <v>0.0009</v>
      </c>
      <c r="J64" s="74" t="n">
        <v>0.026217</v>
      </c>
      <c r="K64" s="94" t="n">
        <v>16</v>
      </c>
      <c r="L64" s="93" t="inlineStr">
        <is>
          <t>20260828</t>
        </is>
      </c>
      <c r="M64" s="93" t="inlineStr">
        <is>
          <t>채택</t>
        </is>
      </c>
      <c r="N64" s="93" t="inlineStr"/>
      <c r="O64" s="93" t="inlineStr">
        <is>
          <t>코스피 배당성장 50</t>
        </is>
      </c>
      <c r="P64" s="93" t="inlineStr">
        <is>
          <t>일반</t>
        </is>
      </c>
      <c r="Q64" s="93" t="inlineStr">
        <is>
          <t>주식</t>
        </is>
      </c>
      <c r="R64" s="93" t="inlineStr">
        <is>
          <t>월배당</t>
        </is>
      </c>
      <c r="S64" s="94" t="n">
        <v>11</v>
      </c>
      <c r="T64">
        <f>IF(AND($J64&lt;&gt;"",OR(조회_주기="전체",$R64=조회_주기),$J64&gt;=조회_최소,$J64&lt;=조회_최대),1,0)</f>
        <v/>
      </c>
      <c r="U64">
        <f>IF($T64=1,COUNTIF($T$4:$T64,1),"")</f>
        <v/>
      </c>
    </row>
    <row r="65">
      <c r="A65" s="93" t="inlineStr">
        <is>
          <t>KODEX KOFR금리액티브(합성)</t>
        </is>
      </c>
      <c r="B65" s="93" t="inlineStr">
        <is>
          <t>423160</t>
        </is>
      </c>
      <c r="C65" s="93" t="inlineStr">
        <is>
          <t>삼성자산운용(ETF)</t>
        </is>
      </c>
      <c r="D65" s="94" t="n">
        <v>110807</v>
      </c>
      <c r="E65" s="94" t="n">
        <v>3632462610000</v>
      </c>
      <c r="F65" s="94" t="n">
        <v>11142772557</v>
      </c>
      <c r="G65" s="74" t="n">
        <v>0.0006180000000000001</v>
      </c>
      <c r="H65" s="74" t="n">
        <v>0.0075</v>
      </c>
      <c r="I65" s="74" t="n">
        <v>0.0024</v>
      </c>
      <c r="J65" s="74" t="n">
        <v>0.026081</v>
      </c>
      <c r="K65" s="94" t="n">
        <v>14</v>
      </c>
      <c r="L65" s="93" t="inlineStr">
        <is>
          <t>20260828</t>
        </is>
      </c>
      <c r="M65" s="93" t="inlineStr">
        <is>
          <t>채택</t>
        </is>
      </c>
      <c r="N65" s="93" t="inlineStr"/>
      <c r="O65" s="93" t="inlineStr">
        <is>
          <t>KOFR 인덱스</t>
        </is>
      </c>
      <c r="P65" s="93" t="inlineStr">
        <is>
          <t>일반</t>
        </is>
      </c>
      <c r="Q65" s="93" t="inlineStr">
        <is>
          <t>단기자금(파킹형)</t>
        </is>
      </c>
      <c r="R65" s="93" t="inlineStr">
        <is>
          <t>월배당</t>
        </is>
      </c>
      <c r="S65" s="94" t="n">
        <v>11</v>
      </c>
      <c r="T65">
        <f>IF(AND($J65&lt;&gt;"",OR(조회_주기="전체",$R65=조회_주기),$J65&gt;=조회_최소,$J65&lt;=조회_최대),1,0)</f>
        <v/>
      </c>
      <c r="U65">
        <f>IF($T65=1,COUNTIF($T$4:$T65,1),"")</f>
        <v/>
      </c>
    </row>
    <row r="66">
      <c r="A66" s="93" t="inlineStr">
        <is>
          <t>KODEX TRF3070</t>
        </is>
      </c>
      <c r="B66" s="93" t="inlineStr">
        <is>
          <t>329650</t>
        </is>
      </c>
      <c r="C66" s="93" t="inlineStr">
        <is>
          <t>삼성자산운용(ETF)</t>
        </is>
      </c>
      <c r="D66" s="94" t="n">
        <v>13940</v>
      </c>
      <c r="E66" s="94" t="n">
        <v>230010000000</v>
      </c>
      <c r="F66" s="94" t="n">
        <v>667451988</v>
      </c>
      <c r="G66" s="74" t="n">
        <v>0.003135</v>
      </c>
      <c r="H66" s="74" t="n">
        <v>0.0484</v>
      </c>
      <c r="I66" s="74" t="n">
        <v>0.0022</v>
      </c>
      <c r="J66" s="74" t="n">
        <v>0.02604</v>
      </c>
      <c r="K66" s="94" t="n">
        <v>14</v>
      </c>
      <c r="L66" s="93" t="inlineStr">
        <is>
          <t>20260914</t>
        </is>
      </c>
      <c r="M66" s="93" t="inlineStr">
        <is>
          <t>채택</t>
        </is>
      </c>
      <c r="N66" s="93" t="inlineStr"/>
      <c r="O66" s="93" t="inlineStr">
        <is>
          <t>FnGuide TRF 3070 지수</t>
        </is>
      </c>
      <c r="P66" s="93" t="inlineStr">
        <is>
          <t>일반</t>
        </is>
      </c>
      <c r="Q66" s="93" t="inlineStr">
        <is>
          <t>멀티에셋</t>
        </is>
      </c>
      <c r="R66" s="93" t="inlineStr">
        <is>
          <t>월배당</t>
        </is>
      </c>
      <c r="S66" s="94" t="n">
        <v>12</v>
      </c>
      <c r="T66">
        <f>IF(AND($J66&lt;&gt;"",OR(조회_주기="전체",$R66=조회_주기),$J66&gt;=조회_최소,$J66&lt;=조회_최대),1,0)</f>
        <v/>
      </c>
      <c r="U66">
        <f>IF($T66=1,COUNTIF($T$4:$T66,1),"")</f>
        <v/>
      </c>
    </row>
    <row r="67">
      <c r="A67" s="93" t="inlineStr">
        <is>
          <t>KODEX 단기변동금리부채권액티브</t>
        </is>
      </c>
      <c r="B67" s="93" t="inlineStr">
        <is>
          <t>273140</t>
        </is>
      </c>
      <c r="C67" s="93" t="inlineStr">
        <is>
          <t>삼성자산운용(ETF)</t>
        </is>
      </c>
      <c r="D67" s="94" t="n">
        <v>114610</v>
      </c>
      <c r="E67" s="94" t="n">
        <v>279763010000</v>
      </c>
      <c r="F67" s="94" t="n">
        <v>502697422</v>
      </c>
      <c r="G67" s="74" t="n">
        <v>0.001725</v>
      </c>
      <c r="H67" s="74" t="n">
        <v>0.0077</v>
      </c>
      <c r="I67" s="74" t="n">
        <v>0.0023</v>
      </c>
      <c r="J67" s="74" t="n">
        <v>0.02553</v>
      </c>
      <c r="K67" s="94" t="n">
        <v>14</v>
      </c>
      <c r="L67" s="93" t="inlineStr">
        <is>
          <t>20260914</t>
        </is>
      </c>
      <c r="M67" s="93" t="inlineStr">
        <is>
          <t>채택</t>
        </is>
      </c>
      <c r="N67" s="93" t="inlineStr"/>
      <c r="O67" s="93" t="inlineStr">
        <is>
          <t>KAP 단기변동금리부 은행채</t>
        </is>
      </c>
      <c r="P67" s="93" t="inlineStr">
        <is>
          <t>일반</t>
        </is>
      </c>
      <c r="Q67" s="93" t="inlineStr">
        <is>
          <t>채권</t>
        </is>
      </c>
      <c r="R67" s="93" t="inlineStr">
        <is>
          <t>월배당</t>
        </is>
      </c>
      <c r="S67" s="94" t="n">
        <v>12</v>
      </c>
      <c r="T67">
        <f>IF(AND($J67&lt;&gt;"",OR(조회_주기="전체",$R67=조회_주기),$J67&gt;=조회_최소,$J67&lt;=조회_최대),1,0)</f>
        <v/>
      </c>
      <c r="U67">
        <f>IF($T67=1,COUNTIF($T$4:$T67,1),"")</f>
        <v/>
      </c>
    </row>
    <row r="68">
      <c r="A68" s="93" t="inlineStr">
        <is>
          <t>KODEX 단기채권</t>
        </is>
      </c>
      <c r="B68" s="93" t="inlineStr">
        <is>
          <t>153130</t>
        </is>
      </c>
      <c r="C68" s="93" t="inlineStr">
        <is>
          <t>삼성자산운용(ETF)</t>
        </is>
      </c>
      <c r="D68" s="94" t="n">
        <v>113145</v>
      </c>
      <c r="E68" s="94" t="n">
        <v>806384415000</v>
      </c>
      <c r="F68" s="94" t="n">
        <v>4055046454</v>
      </c>
      <c r="G68" s="74" t="n">
        <v>0.001779</v>
      </c>
      <c r="H68" s="74" t="n">
        <v>0.007800000000000001</v>
      </c>
      <c r="I68" s="74" t="n">
        <v>0.0022</v>
      </c>
      <c r="J68" s="74" t="n">
        <v>0.025171</v>
      </c>
      <c r="K68" s="94" t="n">
        <v>14</v>
      </c>
      <c r="L68" s="93" t="inlineStr">
        <is>
          <t>20260914</t>
        </is>
      </c>
      <c r="M68" s="93" t="inlineStr">
        <is>
          <t>채택</t>
        </is>
      </c>
      <c r="N68" s="93" t="inlineStr"/>
      <c r="O68" s="93" t="inlineStr">
        <is>
          <t>KRW Cash Index</t>
        </is>
      </c>
      <c r="P68" s="93" t="inlineStr">
        <is>
          <t>일반</t>
        </is>
      </c>
      <c r="Q68" s="93" t="inlineStr">
        <is>
          <t>채권</t>
        </is>
      </c>
      <c r="R68" s="93" t="inlineStr">
        <is>
          <t>월배당</t>
        </is>
      </c>
      <c r="S68" s="94" t="n">
        <v>12</v>
      </c>
      <c r="T68">
        <f>IF(AND($J68&lt;&gt;"",OR(조회_주기="전체",$R68=조회_주기),$J68&gt;=조회_최소,$J68&lt;=조회_최대),1,0)</f>
        <v/>
      </c>
      <c r="U68">
        <f>IF($T68=1,COUNTIF($T$4:$T68,1),"")</f>
        <v/>
      </c>
    </row>
    <row r="69">
      <c r="A69" s="93" t="inlineStr">
        <is>
          <t>KODEX 삼성전자채권혼합</t>
        </is>
      </c>
      <c r="B69" s="93" t="inlineStr">
        <is>
          <t>448330</t>
        </is>
      </c>
      <c r="C69" s="93" t="inlineStr">
        <is>
          <t>삼성자산운용(ETF)</t>
        </is>
      </c>
      <c r="D69" s="94" t="n">
        <v>17145</v>
      </c>
      <c r="E69" s="94" t="n">
        <v>1267385000000</v>
      </c>
      <c r="F69" s="94" t="n">
        <v>13840558325</v>
      </c>
      <c r="G69" s="74" t="n">
        <v>0.001635</v>
      </c>
      <c r="H69" s="74" t="n">
        <v>0.2306</v>
      </c>
      <c r="I69" s="74" t="n">
        <v>0.0021</v>
      </c>
      <c r="J69" s="74" t="n">
        <v>0.021114</v>
      </c>
      <c r="K69" s="94" t="n">
        <v>24</v>
      </c>
      <c r="L69" s="93" t="inlineStr">
        <is>
          <t>20260914</t>
        </is>
      </c>
      <c r="M69" s="93" t="inlineStr">
        <is>
          <t>채택</t>
        </is>
      </c>
      <c r="N69" s="93" t="inlineStr"/>
      <c r="O69" s="93" t="inlineStr">
        <is>
          <t>Wise 삼성전자 채권혼합 지수</t>
        </is>
      </c>
      <c r="P69" s="93" t="inlineStr">
        <is>
          <t>일반</t>
        </is>
      </c>
      <c r="Q69" s="93" t="inlineStr">
        <is>
          <t>멀티에셋</t>
        </is>
      </c>
      <c r="R69" s="93" t="inlineStr">
        <is>
          <t>월배당</t>
        </is>
      </c>
      <c r="S69" s="94" t="n">
        <v>12</v>
      </c>
      <c r="T69">
        <f>IF(AND($J69&lt;&gt;"",OR(조회_주기="전체",$R69=조회_주기),$J69&gt;=조회_최소,$J69&lt;=조회_최대),1,0)</f>
        <v/>
      </c>
      <c r="U69">
        <f>IF($T69=1,COUNTIF($T$4:$T69,1),"")</f>
        <v/>
      </c>
    </row>
    <row r="70">
      <c r="A70" s="93" t="inlineStr">
        <is>
          <t>TIGER 미국S&amp;P500배당귀족</t>
        </is>
      </c>
      <c r="B70" s="93" t="inlineStr">
        <is>
          <t>429000</t>
        </is>
      </c>
      <c r="C70" s="93" t="inlineStr">
        <is>
          <t>미래에셋자산운용</t>
        </is>
      </c>
      <c r="D70" s="94" t="n">
        <v>13015</v>
      </c>
      <c r="E70" s="94" t="n">
        <v>186543500000</v>
      </c>
      <c r="F70" s="94" t="n">
        <v>1352413917</v>
      </c>
      <c r="G70" s="74" t="n">
        <v>0.004159</v>
      </c>
      <c r="H70" s="74" t="n">
        <v>0.1468</v>
      </c>
      <c r="I70" s="74" t="n">
        <v>0.0015</v>
      </c>
      <c r="J70" s="74" t="n">
        <v>0.021053</v>
      </c>
      <c r="K70" s="94" t="n">
        <v>48</v>
      </c>
      <c r="L70" s="93" t="inlineStr">
        <is>
          <t>20260828</t>
        </is>
      </c>
      <c r="M70" s="93" t="inlineStr">
        <is>
          <t>채택</t>
        </is>
      </c>
      <c r="N70" s="93" t="inlineStr"/>
      <c r="O70" s="93" t="inlineStr">
        <is>
          <t>S&amp;P 500 Dividend Aristocrats Index</t>
        </is>
      </c>
      <c r="P70" s="93" t="inlineStr">
        <is>
          <t>일반</t>
        </is>
      </c>
      <c r="Q70" s="93" t="inlineStr">
        <is>
          <t>주식</t>
        </is>
      </c>
      <c r="R70" s="93" t="inlineStr">
        <is>
          <t>월배당</t>
        </is>
      </c>
      <c r="S70" s="94" t="n">
        <v>11</v>
      </c>
      <c r="T70">
        <f>IF(AND($J70&lt;&gt;"",OR(조회_주기="전체",$R70=조회_주기),$J70&gt;=조회_최소,$J70&lt;=조회_최대),1,0)</f>
        <v/>
      </c>
      <c r="U70">
        <f>IF($T70=1,COUNTIF($T$4:$T70,1),"")</f>
        <v/>
      </c>
    </row>
    <row r="71">
      <c r="A71" s="93" t="inlineStr">
        <is>
          <t>KODEX 200미국채혼합50</t>
        </is>
      </c>
      <c r="B71" s="93" t="inlineStr">
        <is>
          <t>284430</t>
        </is>
      </c>
      <c r="C71" s="93" t="inlineStr">
        <is>
          <t>삼성자산운용(ETF)</t>
        </is>
      </c>
      <c r="D71" s="94" t="n">
        <v>20530</v>
      </c>
      <c r="E71" s="94" t="n">
        <v>1987680000000</v>
      </c>
      <c r="F71" s="94" t="n">
        <v>21788123207</v>
      </c>
      <c r="G71" s="74" t="n">
        <v>0.006232</v>
      </c>
      <c r="H71" s="74" t="n">
        <v>0.25</v>
      </c>
      <c r="I71" s="74" t="n">
        <v>0.0013</v>
      </c>
      <c r="J71" s="74" t="n">
        <v>0.017048</v>
      </c>
      <c r="K71" s="94" t="n">
        <v>14</v>
      </c>
      <c r="L71" s="93" t="inlineStr">
        <is>
          <t>20260914</t>
        </is>
      </c>
      <c r="M71" s="93" t="inlineStr">
        <is>
          <t>채택</t>
        </is>
      </c>
      <c r="N71" s="93" t="inlineStr"/>
      <c r="O71" s="93" t="inlineStr">
        <is>
          <t>코스피 200 미국채 혼합지수</t>
        </is>
      </c>
      <c r="P71" s="93" t="inlineStr">
        <is>
          <t>일반</t>
        </is>
      </c>
      <c r="Q71" s="93" t="inlineStr">
        <is>
          <t>멀티에셋</t>
        </is>
      </c>
      <c r="R71" s="93" t="inlineStr">
        <is>
          <t>월배당</t>
        </is>
      </c>
      <c r="S71" s="94" t="n">
        <v>12</v>
      </c>
      <c r="T71">
        <f>IF(AND($J71&lt;&gt;"",OR(조회_주기="전체",$R71=조회_주기),$J71&gt;=조회_최소,$J71&lt;=조회_최대),1,0)</f>
        <v/>
      </c>
      <c r="U71">
        <f>IF($T71=1,COUNTIF($T$4:$T71,1),"")</f>
        <v/>
      </c>
    </row>
    <row r="72">
      <c r="A72" s="93" t="inlineStr">
        <is>
          <t>PLUS 미국S&amp;P500미국채혼합50액티브</t>
        </is>
      </c>
      <c r="B72" s="93" t="inlineStr">
        <is>
          <t>0057H0</t>
        </is>
      </c>
      <c r="C72" s="93" t="inlineStr">
        <is>
          <t>한화자산운용</t>
        </is>
      </c>
      <c r="D72" s="94" t="n">
        <v>11550</v>
      </c>
      <c r="E72" s="94" t="n">
        <v>79833000000</v>
      </c>
      <c r="F72" s="94" t="n">
        <v>1030471946</v>
      </c>
      <c r="G72" s="74" t="n">
        <v>0.003249</v>
      </c>
      <c r="H72" s="74" t="n">
        <v>0.1015</v>
      </c>
      <c r="I72" s="74" t="n">
        <v>0.001</v>
      </c>
      <c r="J72" s="74" t="n">
        <v>0.015498</v>
      </c>
      <c r="K72" s="94" t="n">
        <v>10</v>
      </c>
      <c r="L72" s="93" t="inlineStr">
        <is>
          <t>20260828</t>
        </is>
      </c>
      <c r="M72" s="93" t="inlineStr">
        <is>
          <t>채택</t>
        </is>
      </c>
      <c r="N72" s="93" t="inlineStr"/>
      <c r="O72" s="93" t="inlineStr">
        <is>
          <t>S&amp;P500 and U.S. Treasury Bill 0-3 Month 50/50 Blend Index (U</t>
        </is>
      </c>
      <c r="P72" s="93" t="inlineStr">
        <is>
          <t>일반</t>
        </is>
      </c>
      <c r="Q72" s="93" t="inlineStr">
        <is>
          <t>멀티에셋</t>
        </is>
      </c>
      <c r="R72" s="93" t="inlineStr">
        <is>
          <t>월배당</t>
        </is>
      </c>
      <c r="S72" s="94" t="n">
        <v>10</v>
      </c>
      <c r="T72">
        <f>IF(AND($J72&lt;&gt;"",OR(조회_주기="전체",$R72=조회_주기),$J72&gt;=조회_최소,$J72&lt;=조회_최대),1,0)</f>
        <v/>
      </c>
      <c r="U72">
        <f>IF($T72=1,COUNTIF($T$4:$T72,1),"")</f>
        <v/>
      </c>
    </row>
    <row r="73">
      <c r="A73" s="93" t="inlineStr">
        <is>
          <t>TIGER 미국다우존스30</t>
        </is>
      </c>
      <c r="B73" s="93" t="inlineStr">
        <is>
          <t>245340</t>
        </is>
      </c>
      <c r="C73" s="93" t="inlineStr">
        <is>
          <t>미래에셋자산운용</t>
        </is>
      </c>
      <c r="D73" s="94" t="n">
        <v>34755</v>
      </c>
      <c r="E73" s="94" t="n">
        <v>141145900000</v>
      </c>
      <c r="F73" s="94" t="n">
        <v>877026053</v>
      </c>
      <c r="G73" s="74" t="n">
        <v>0.004859</v>
      </c>
      <c r="H73" s="74" t="n">
        <v>0.1454</v>
      </c>
      <c r="I73" s="74" t="n">
        <v>0.001</v>
      </c>
      <c r="J73" s="74" t="n">
        <v>0.013523</v>
      </c>
      <c r="K73" s="94" t="n">
        <v>52</v>
      </c>
      <c r="L73" s="93" t="inlineStr">
        <is>
          <t>20260828</t>
        </is>
      </c>
      <c r="M73" s="93" t="inlineStr">
        <is>
          <t>채택</t>
        </is>
      </c>
      <c r="N73" s="93" t="inlineStr"/>
      <c r="O73" s="93" t="inlineStr">
        <is>
          <t>DowJones Industrial Average Index</t>
        </is>
      </c>
      <c r="P73" s="93" t="inlineStr">
        <is>
          <t>일반</t>
        </is>
      </c>
      <c r="Q73" s="93" t="inlineStr">
        <is>
          <t>주식</t>
        </is>
      </c>
      <c r="R73" s="93" t="inlineStr">
        <is>
          <t>월배당</t>
        </is>
      </c>
      <c r="S73" s="94" t="n">
        <v>11</v>
      </c>
      <c r="T73">
        <f>IF(AND($J73&lt;&gt;"",OR(조회_주기="전체",$R73=조회_주기),$J73&gt;=조회_최소,$J73&lt;=조회_최대),1,0)</f>
        <v/>
      </c>
      <c r="U73">
        <f>IF($T73=1,COUNTIF($T$4:$T73,1),"")</f>
        <v/>
      </c>
    </row>
    <row r="74">
      <c r="A74" s="93" t="inlineStr">
        <is>
          <t>SOL 미국S&amp;P500</t>
        </is>
      </c>
      <c r="B74" s="93" t="inlineStr">
        <is>
          <t>433330</t>
        </is>
      </c>
      <c r="C74" s="93" t="inlineStr">
        <is>
          <t>신한자산운용</t>
        </is>
      </c>
      <c r="D74" s="94" t="n">
        <v>21675</v>
      </c>
      <c r="E74" s="94" t="n">
        <v>299253000000</v>
      </c>
      <c r="F74" s="94" t="n">
        <v>2015338123</v>
      </c>
      <c r="G74" s="74" t="n">
        <v>0.00143</v>
      </c>
      <c r="H74" s="74" t="n">
        <v>0.1452</v>
      </c>
      <c r="I74" s="74" t="n">
        <v>0.0009</v>
      </c>
      <c r="J74" s="74" t="n">
        <v>0.009043000000000001</v>
      </c>
      <c r="K74" s="94" t="n">
        <v>50</v>
      </c>
      <c r="L74" s="93" t="inlineStr">
        <is>
          <t>20260828</t>
        </is>
      </c>
      <c r="M74" s="93" t="inlineStr">
        <is>
          <t>채택</t>
        </is>
      </c>
      <c r="N74" s="93" t="inlineStr"/>
      <c r="O74" s="93" t="inlineStr">
        <is>
          <t>S&amp;P 500</t>
        </is>
      </c>
      <c r="P74" s="93" t="inlineStr">
        <is>
          <t>일반</t>
        </is>
      </c>
      <c r="Q74" s="93" t="inlineStr">
        <is>
          <t>주식</t>
        </is>
      </c>
      <c r="R74" s="93" t="inlineStr">
        <is>
          <t>월배당</t>
        </is>
      </c>
      <c r="S74" s="94" t="n">
        <v>11</v>
      </c>
      <c r="T74">
        <f>IF(AND($J74&lt;&gt;"",OR(조회_주기="전체",$R74=조회_주기),$J74&gt;=조회_최소,$J74&lt;=조회_최대),1,0)</f>
        <v/>
      </c>
      <c r="U74">
        <f>IF($T74=1,COUNTIF($T$4:$T74,1),"")</f>
        <v/>
      </c>
    </row>
    <row r="75">
      <c r="A75" s="95" t="inlineStr">
        <is>
          <t>ACE 미국반도체데일리타겟커버드콜(합성)</t>
        </is>
      </c>
      <c r="B75" s="95" t="inlineStr">
        <is>
          <t>480040</t>
        </is>
      </c>
      <c r="C75" s="95" t="inlineStr">
        <is>
          <t>한국투신운용(ETF)</t>
        </is>
      </c>
      <c r="D75" s="96" t="n">
        <v>13635</v>
      </c>
      <c r="E75" s="96" t="n">
        <v>185436000000</v>
      </c>
      <c r="F75" s="96" t="n">
        <v>3424830283</v>
      </c>
      <c r="G75" s="97" t="n">
        <v>0.005406999999999999</v>
      </c>
      <c r="H75" s="97" t="n">
        <v>0.4413</v>
      </c>
      <c r="I75" s="97" t="n">
        <v>0.0303</v>
      </c>
      <c r="J75" s="97" t="n">
        <v>0.255372</v>
      </c>
      <c r="K75" s="96" t="n">
        <v>29</v>
      </c>
      <c r="L75" s="95" t="inlineStr">
        <is>
          <t>20260914</t>
        </is>
      </c>
      <c r="M75" s="95" t="inlineStr">
        <is>
          <t>제외</t>
        </is>
      </c>
      <c r="N75" s="95" t="inlineStr">
        <is>
          <t>변동성 44.1%(1년 기준, 기준 35% 초과)</t>
        </is>
      </c>
      <c r="O75" s="95" t="inlineStr">
        <is>
          <t>Bloomberg US Listed Semiconductor Premium(QQQ) Decrement 15%</t>
        </is>
      </c>
      <c r="P75" s="95" t="inlineStr">
        <is>
          <t>커버드콜</t>
        </is>
      </c>
      <c r="Q75" s="95" t="inlineStr">
        <is>
          <t>주식</t>
        </is>
      </c>
      <c r="R75" s="95" t="inlineStr">
        <is>
          <t>월배당</t>
        </is>
      </c>
      <c r="S75" s="96" t="n">
        <v>12</v>
      </c>
      <c r="T75">
        <f>IF(AND($J75&lt;&gt;"",OR(조회_주기="전체",$R75=조회_주기),$J75&gt;=조회_최소,$J75&lt;=조회_최대),1,0)</f>
        <v/>
      </c>
      <c r="U75">
        <f>IF($T75=1,COUNTIF($T$4:$T75,1),"")</f>
        <v/>
      </c>
    </row>
    <row r="76">
      <c r="A76" s="95" t="inlineStr">
        <is>
          <t>RISE 코리아밸류업위클리고정커버드콜</t>
        </is>
      </c>
      <c r="B76" s="95" t="inlineStr">
        <is>
          <t>0094M0</t>
        </is>
      </c>
      <c r="C76" s="95" t="inlineStr">
        <is>
          <t>KB자산운용</t>
        </is>
      </c>
      <c r="D76" s="96" t="n">
        <v>17050</v>
      </c>
      <c r="E76" s="96" t="n">
        <v>342053000000</v>
      </c>
      <c r="F76" s="96" t="n">
        <v>9555900462</v>
      </c>
      <c r="G76" s="97" t="n">
        <v>0.005637</v>
      </c>
      <c r="H76" s="97" t="n">
        <v>0.4584</v>
      </c>
      <c r="I76" s="97" t="n">
        <v>0.0299</v>
      </c>
      <c r="J76" s="97" t="n">
        <v>0.246334</v>
      </c>
      <c r="K76" s="96" t="n">
        <v>12</v>
      </c>
      <c r="L76" s="95" t="inlineStr">
        <is>
          <t>20260914</t>
        </is>
      </c>
      <c r="M76" s="95" t="inlineStr">
        <is>
          <t>제외</t>
        </is>
      </c>
      <c r="N76" s="95" t="inlineStr">
        <is>
          <t>변동성 45.8%(1년 기준, 기준 35% 초과)</t>
        </is>
      </c>
      <c r="O76" s="95" t="inlineStr">
        <is>
          <t>코리아 밸류업 위클리 커버드콜 30% 지수</t>
        </is>
      </c>
      <c r="P76" s="95" t="inlineStr">
        <is>
          <t>커버드콜</t>
        </is>
      </c>
      <c r="Q76" s="95" t="inlineStr">
        <is>
          <t>주식</t>
        </is>
      </c>
      <c r="R76" s="95" t="inlineStr">
        <is>
          <t>월배당</t>
        </is>
      </c>
      <c r="S76" s="96" t="n">
        <v>12</v>
      </c>
      <c r="T76">
        <f>IF(AND($J76&lt;&gt;"",OR(조회_주기="전체",$R76=조회_주기),$J76&gt;=조회_최소,$J76&lt;=조회_최대),1,0)</f>
        <v/>
      </c>
      <c r="U76">
        <f>IF($T76=1,COUNTIF($T$4:$T76,1),"")</f>
        <v/>
      </c>
    </row>
    <row r="77">
      <c r="A77" s="95" t="inlineStr">
        <is>
          <t>TIGER 배당커버드콜액티브</t>
        </is>
      </c>
      <c r="B77" s="95" t="inlineStr">
        <is>
          <t>472150</t>
        </is>
      </c>
      <c r="C77" s="95" t="inlineStr">
        <is>
          <t>미래에셋자산운용</t>
        </is>
      </c>
      <c r="D77" s="96" t="n">
        <v>20040</v>
      </c>
      <c r="E77" s="96" t="n">
        <v>2477361550000</v>
      </c>
      <c r="F77" s="96" t="n">
        <v>99540735899</v>
      </c>
      <c r="G77" s="97" t="n">
        <v>0.006008</v>
      </c>
      <c r="H77" s="97" t="n">
        <v>0.5732</v>
      </c>
      <c r="I77" s="97" t="n">
        <v>0.0197</v>
      </c>
      <c r="J77" s="97" t="n">
        <v>0.218812</v>
      </c>
      <c r="K77" s="96" t="n">
        <v>33</v>
      </c>
      <c r="L77" s="95" t="inlineStr">
        <is>
          <t>20260828</t>
        </is>
      </c>
      <c r="M77" s="95" t="inlineStr">
        <is>
          <t>제외</t>
        </is>
      </c>
      <c r="N77" s="95" t="inlineStr">
        <is>
          <t>변동성 57.3%(1년 기준, 기준 35% 초과)</t>
        </is>
      </c>
      <c r="O77" s="95" t="inlineStr">
        <is>
          <t>코스피 200 커버드콜 5% OTM</t>
        </is>
      </c>
      <c r="P77" s="95" t="inlineStr">
        <is>
          <t>커버드콜</t>
        </is>
      </c>
      <c r="Q77" s="95" t="inlineStr">
        <is>
          <t>주식</t>
        </is>
      </c>
      <c r="R77" s="95" t="inlineStr">
        <is>
          <t>월배당</t>
        </is>
      </c>
      <c r="S77" s="96" t="n">
        <v>11</v>
      </c>
      <c r="T77">
        <f>IF(AND($J77&lt;&gt;"",OR(조회_주기="전체",$R77=조회_주기),$J77&gt;=조회_최소,$J77&lt;=조회_최대),1,0)</f>
        <v/>
      </c>
      <c r="U77">
        <f>IF($T77=1,COUNTIF($T$4:$T77,1),"")</f>
        <v/>
      </c>
    </row>
    <row r="78">
      <c r="A78" s="95" t="inlineStr">
        <is>
          <t>RISE 200위클리커버드콜</t>
        </is>
      </c>
      <c r="B78" s="95" t="inlineStr">
        <is>
          <t>475720</t>
        </is>
      </c>
      <c r="C78" s="95" t="inlineStr">
        <is>
          <t>KB자산운용</t>
        </is>
      </c>
      <c r="D78" s="96" t="n">
        <v>12485</v>
      </c>
      <c r="E78" s="96" t="n">
        <v>829960500000</v>
      </c>
      <c r="F78" s="96" t="n">
        <v>12376311669</v>
      </c>
      <c r="G78" s="97" t="n">
        <v>0.006305</v>
      </c>
      <c r="H78" s="97" t="n">
        <v>0.4327</v>
      </c>
      <c r="I78" s="97" t="n">
        <v>0.0185</v>
      </c>
      <c r="J78" s="97" t="n">
        <v>0.197837</v>
      </c>
      <c r="K78" s="96" t="n">
        <v>30</v>
      </c>
      <c r="L78" s="95" t="inlineStr">
        <is>
          <t>20260828</t>
        </is>
      </c>
      <c r="M78" s="95" t="inlineStr">
        <is>
          <t>제외</t>
        </is>
      </c>
      <c r="N78" s="95" t="inlineStr">
        <is>
          <t>변동성 43.3%(1년 기준, 기준 35% 초과)</t>
        </is>
      </c>
      <c r="O78" s="95" t="inlineStr">
        <is>
          <t>코스피 200 위클리 커버드콜 ATM 지수</t>
        </is>
      </c>
      <c r="P78" s="95" t="inlineStr">
        <is>
          <t>커버드콜</t>
        </is>
      </c>
      <c r="Q78" s="95" t="inlineStr">
        <is>
          <t>주식</t>
        </is>
      </c>
      <c r="R78" s="95" t="inlineStr">
        <is>
          <t>월배당</t>
        </is>
      </c>
      <c r="S78" s="96" t="n">
        <v>11</v>
      </c>
      <c r="T78">
        <f>IF(AND($J78&lt;&gt;"",OR(조회_주기="전체",$R78=조회_주기),$J78&gt;=조회_최소,$J78&lt;=조회_최대),1,0)</f>
        <v/>
      </c>
      <c r="U78">
        <f>IF($T78=1,COUNTIF($T$4:$T78,1),"")</f>
        <v/>
      </c>
    </row>
    <row r="79">
      <c r="A79" s="95" t="inlineStr">
        <is>
          <t>RISE 테슬라미국채타겟커버드콜혼합(합성)</t>
        </is>
      </c>
      <c r="B79" s="95" t="inlineStr">
        <is>
          <t>0013R0</t>
        </is>
      </c>
      <c r="C79" s="95" t="inlineStr">
        <is>
          <t>KB자산운용</t>
        </is>
      </c>
      <c r="D79" s="96" t="n">
        <v>7725</v>
      </c>
      <c r="E79" s="96" t="n">
        <v>27828000000</v>
      </c>
      <c r="F79" s="96" t="n">
        <v>157141278</v>
      </c>
      <c r="G79" s="97" t="n">
        <v>0.003495</v>
      </c>
      <c r="H79" s="97" t="n">
        <v>0.1857</v>
      </c>
      <c r="I79" s="97" t="n">
        <v>0.0129</v>
      </c>
      <c r="J79" s="97" t="n">
        <v>0.18123</v>
      </c>
      <c r="K79" s="96" t="n">
        <v>18</v>
      </c>
      <c r="L79" s="95" t="inlineStr">
        <is>
          <t>20260828</t>
        </is>
      </c>
      <c r="M79" s="95" t="inlineStr">
        <is>
          <t>제외</t>
        </is>
      </c>
      <c r="N79" s="95" t="inlineStr">
        <is>
          <t>순자산 278억(기준 300억 미만), 60일 거래대금 1.6억(기준 5억 미만)</t>
        </is>
      </c>
      <c r="O79" s="95" t="inlineStr">
        <is>
          <t>KEDI Tesla U.S. 30Y Treasury 15% Target Premium Balanced Ind</t>
        </is>
      </c>
      <c r="P79" s="95" t="inlineStr">
        <is>
          <t>커버드콜</t>
        </is>
      </c>
      <c r="Q79" s="95" t="inlineStr">
        <is>
          <t>멀티에셋</t>
        </is>
      </c>
      <c r="R79" s="95" t="inlineStr">
        <is>
          <t>월배당</t>
        </is>
      </c>
      <c r="S79" s="96" t="n">
        <v>11</v>
      </c>
      <c r="T79">
        <f>IF(AND($J79&lt;&gt;"",OR(조회_주기="전체",$R79=조회_주기),$J79&gt;=조회_최소,$J79&lt;=조회_최대),1,0)</f>
        <v/>
      </c>
      <c r="U79">
        <f>IF($T79=1,COUNTIF($T$4:$T79,1),"")</f>
        <v/>
      </c>
    </row>
    <row r="80">
      <c r="A80" s="95" t="inlineStr">
        <is>
          <t>RISE 미국배당100데일리고정커버드콜</t>
        </is>
      </c>
      <c r="B80" s="95" t="inlineStr">
        <is>
          <t>490600</t>
        </is>
      </c>
      <c r="C80" s="95" t="inlineStr">
        <is>
          <t>KB자산운용</t>
        </is>
      </c>
      <c r="D80" s="96" t="n">
        <v>8810</v>
      </c>
      <c r="E80" s="96" t="n">
        <v>168711500000</v>
      </c>
      <c r="F80" s="96" t="n">
        <v>2316105116</v>
      </c>
      <c r="G80" s="97" t="n">
        <v>0.005953000000000001</v>
      </c>
      <c r="H80" s="97" t="n">
        <v>0.146</v>
      </c>
      <c r="I80" s="97" t="n">
        <v>0.01</v>
      </c>
      <c r="J80" s="97" t="n">
        <v>0.179001</v>
      </c>
      <c r="K80" s="96" t="n">
        <v>24</v>
      </c>
      <c r="L80" s="95" t="inlineStr">
        <is>
          <t>20260914</t>
        </is>
      </c>
      <c r="M80" s="95" t="inlineStr">
        <is>
          <t>제외</t>
        </is>
      </c>
      <c r="N80" s="95" t="inlineStr">
        <is>
          <t>분배율 대조 불일치(연분배율 계산 17.9001% vs ETFCHECK 16.5380%)</t>
        </is>
      </c>
      <c r="O80" s="95" t="inlineStr">
        <is>
          <t>KEDI U.S. Dividend100 90% Participation + Daily Options Prem</t>
        </is>
      </c>
      <c r="P80" s="95" t="inlineStr">
        <is>
          <t>커버드콜</t>
        </is>
      </c>
      <c r="Q80" s="95" t="inlineStr">
        <is>
          <t>주식</t>
        </is>
      </c>
      <c r="R80" s="95" t="inlineStr">
        <is>
          <t>월배당</t>
        </is>
      </c>
      <c r="S80" s="96" t="n">
        <v>12</v>
      </c>
      <c r="T80">
        <f>IF(AND($J80&lt;&gt;"",OR(조회_주기="전체",$R80=조회_주기),$J80&gt;=조회_최소,$J80&lt;=조회_최대),1,0)</f>
        <v/>
      </c>
      <c r="U80">
        <f>IF($T80=1,COUNTIF($T$4:$T80,1),"")</f>
        <v/>
      </c>
    </row>
    <row r="81">
      <c r="A81" s="95" t="inlineStr">
        <is>
          <t>KODEX 200타겟위클리커버드콜</t>
        </is>
      </c>
      <c r="B81" s="95" t="inlineStr">
        <is>
          <t>498400</t>
        </is>
      </c>
      <c r="C81" s="95" t="inlineStr">
        <is>
          <t>삼성자산운용(ETF)</t>
        </is>
      </c>
      <c r="D81" s="96" t="n">
        <v>19885</v>
      </c>
      <c r="E81" s="96" t="n">
        <v>5852340000000</v>
      </c>
      <c r="F81" s="96" t="n">
        <v>172046003723</v>
      </c>
      <c r="G81" s="97" t="n">
        <v>0.005095</v>
      </c>
      <c r="H81" s="97" t="n">
        <v>0.5656</v>
      </c>
      <c r="I81" s="97" t="n">
        <v>0.0145</v>
      </c>
      <c r="J81" s="97" t="n">
        <v>0.157204</v>
      </c>
      <c r="K81" s="96" t="n">
        <v>21</v>
      </c>
      <c r="L81" s="95" t="inlineStr">
        <is>
          <t>20260914</t>
        </is>
      </c>
      <c r="M81" s="95" t="inlineStr">
        <is>
          <t>제외</t>
        </is>
      </c>
      <c r="N81" s="95" t="inlineStr">
        <is>
          <t>변동성 56.6%(1년 기준, 기준 35% 초과)</t>
        </is>
      </c>
      <c r="O81" s="95" t="inlineStr">
        <is>
          <t>코스피 200 타겟 15% 위클리 커버드콜 지수</t>
        </is>
      </c>
      <c r="P81" s="95" t="inlineStr">
        <is>
          <t>커버드콜</t>
        </is>
      </c>
      <c r="Q81" s="95" t="inlineStr">
        <is>
          <t>주식</t>
        </is>
      </c>
      <c r="R81" s="95" t="inlineStr">
        <is>
          <t>월배당</t>
        </is>
      </c>
      <c r="S81" s="96" t="n">
        <v>12</v>
      </c>
      <c r="T81">
        <f>IF(AND($J81&lt;&gt;"",OR(조회_주기="전체",$R81=조회_주기),$J81&gt;=조회_최소,$J81&lt;=조회_최대),1,0)</f>
        <v/>
      </c>
      <c r="U81">
        <f>IF($T81=1,COUNTIF($T$4:$T81,1),"")</f>
        <v/>
      </c>
    </row>
    <row r="82">
      <c r="A82" s="95" t="inlineStr">
        <is>
          <t>RISE 차이나테크TOP10위클리타겟커버드콜</t>
        </is>
      </c>
      <c r="B82" s="95" t="inlineStr">
        <is>
          <t>0094L0</t>
        </is>
      </c>
      <c r="C82" s="95" t="inlineStr">
        <is>
          <t>KB자산운용</t>
        </is>
      </c>
      <c r="D82" s="96" t="n">
        <v>6955</v>
      </c>
      <c r="E82" s="96" t="n">
        <v>9737000000</v>
      </c>
      <c r="F82" s="96" t="n">
        <v>59258108</v>
      </c>
      <c r="G82" s="97" t="n">
        <v>0.011533</v>
      </c>
      <c r="H82" s="97" t="n">
        <v>0.2786</v>
      </c>
      <c r="I82" s="97" t="n">
        <v>0.0097</v>
      </c>
      <c r="J82" s="97" t="n">
        <v>0.156722</v>
      </c>
      <c r="K82" s="96" t="n">
        <v>12</v>
      </c>
      <c r="L82" s="95" t="inlineStr">
        <is>
          <t>20260828</t>
        </is>
      </c>
      <c r="M82" s="95" t="inlineStr">
        <is>
          <t>제외</t>
        </is>
      </c>
      <c r="N82" s="95" t="inlineStr">
        <is>
          <t>순자산 97억(기준 300억 미만), 60일 거래대금 0.6억(기준 5억 미만)</t>
        </is>
      </c>
      <c r="O82" s="95" t="inlineStr">
        <is>
          <t>Bloomberg China Tech Select Top 10 + 12% Target Premium Week</t>
        </is>
      </c>
      <c r="P82" s="95" t="inlineStr">
        <is>
          <t>커버드콜</t>
        </is>
      </c>
      <c r="Q82" s="95" t="inlineStr">
        <is>
          <t>주식</t>
        </is>
      </c>
      <c r="R82" s="95" t="inlineStr">
        <is>
          <t>월배당</t>
        </is>
      </c>
      <c r="S82" s="96" t="n">
        <v>11</v>
      </c>
      <c r="T82">
        <f>IF(AND($J82&lt;&gt;"",OR(조회_주기="전체",$R82=조회_주기),$J82&gt;=조회_최소,$J82&lt;=조회_최대),1,0)</f>
        <v/>
      </c>
      <c r="U82">
        <f>IF($T82=1,COUNTIF($T$4:$T82,1),"")</f>
        <v/>
      </c>
    </row>
    <row r="83">
      <c r="A83" s="95" t="inlineStr">
        <is>
          <t>PLUS 미국배당증가성장주데일리커버드콜</t>
        </is>
      </c>
      <c r="B83" s="95" t="inlineStr">
        <is>
          <t>494420</t>
        </is>
      </c>
      <c r="C83" s="95" t="inlineStr">
        <is>
          <t>한화자산운용</t>
        </is>
      </c>
      <c r="D83" s="96" t="n">
        <v>8700</v>
      </c>
      <c r="E83" s="96" t="n">
        <v>15660000000</v>
      </c>
      <c r="F83" s="96" t="n">
        <v>114429663</v>
      </c>
      <c r="G83" s="97" t="n">
        <v>0.007707</v>
      </c>
      <c r="H83" s="97" t="n">
        <v>0.1439</v>
      </c>
      <c r="I83" s="97" t="n">
        <v>0.0119</v>
      </c>
      <c r="J83" s="97" t="n">
        <v>0.148736</v>
      </c>
      <c r="K83" s="96" t="n">
        <v>23</v>
      </c>
      <c r="L83" s="95" t="inlineStr">
        <is>
          <t>20260914</t>
        </is>
      </c>
      <c r="M83" s="95" t="inlineStr">
        <is>
          <t>제외</t>
        </is>
      </c>
      <c r="N83" s="95" t="inlineStr">
        <is>
          <t>순자산 157억(기준 300억 미만), 60일 거래대금 1.1억(기준 5억 미만)</t>
        </is>
      </c>
      <c r="O83" s="95" t="inlineStr">
        <is>
          <t>Bloomberg U.S. Dividend Growth Partial Covered Call Index</t>
        </is>
      </c>
      <c r="P83" s="95" t="inlineStr">
        <is>
          <t>커버드콜</t>
        </is>
      </c>
      <c r="Q83" s="95" t="inlineStr">
        <is>
          <t>주식</t>
        </is>
      </c>
      <c r="R83" s="95" t="inlineStr">
        <is>
          <t>월배당</t>
        </is>
      </c>
      <c r="S83" s="96" t="n">
        <v>12</v>
      </c>
      <c r="T83">
        <f>IF(AND($J83&lt;&gt;"",OR(조회_주기="전체",$R83=조회_주기),$J83&gt;=조회_최소,$J83&lt;=조회_최대),1,0)</f>
        <v/>
      </c>
      <c r="U83">
        <f>IF($T83=1,COUNTIF($T$4:$T83,1),"")</f>
        <v/>
      </c>
    </row>
    <row r="84">
      <c r="A84" s="95" t="inlineStr">
        <is>
          <t>FOCUS 알리바바미국채커버드콜혼합</t>
        </is>
      </c>
      <c r="B84" s="95" t="inlineStr">
        <is>
          <t>0073X0</t>
        </is>
      </c>
      <c r="C84" s="95" t="inlineStr">
        <is>
          <t>브이아이자산운용</t>
        </is>
      </c>
      <c r="D84" s="96" t="n">
        <v>8670</v>
      </c>
      <c r="E84" s="96" t="n">
        <v>4768500000</v>
      </c>
      <c r="F84" s="96" t="n">
        <v>30798393</v>
      </c>
      <c r="G84" s="97" t="n">
        <v>0.01601</v>
      </c>
      <c r="H84" s="97" t="n">
        <v>0.1643</v>
      </c>
      <c r="I84" s="97" t="n">
        <v>0.0091</v>
      </c>
      <c r="J84" s="97" t="n">
        <v>0.148212</v>
      </c>
      <c r="K84" s="96" t="n">
        <v>14</v>
      </c>
      <c r="L84" s="95" t="inlineStr">
        <is>
          <t>20260828</t>
        </is>
      </c>
      <c r="M84" s="95" t="inlineStr">
        <is>
          <t>제외</t>
        </is>
      </c>
      <c r="N84" s="95" t="inlineStr">
        <is>
          <t>순자산 48억(기준 300억 미만), 60일 거래대금 0.3억(기준 5억 미만)</t>
        </is>
      </c>
      <c r="O84" s="95" t="inlineStr">
        <is>
          <t>KEDI 알리바바 미국채커버드콜혼합지수(TR)</t>
        </is>
      </c>
      <c r="P84" s="95" t="inlineStr">
        <is>
          <t>커버드콜</t>
        </is>
      </c>
      <c r="Q84" s="95" t="inlineStr">
        <is>
          <t>멀티에셋</t>
        </is>
      </c>
      <c r="R84" s="95" t="inlineStr">
        <is>
          <t>월배당</t>
        </is>
      </c>
      <c r="S84" s="96" t="n">
        <v>11</v>
      </c>
      <c r="T84">
        <f>IF(AND($J84&lt;&gt;"",OR(조회_주기="전체",$R84=조회_주기),$J84&gt;=조회_최소,$J84&lt;=조회_최대),1,0)</f>
        <v/>
      </c>
      <c r="U84">
        <f>IF($T84=1,COUNTIF($T$4:$T84,1),"")</f>
        <v/>
      </c>
    </row>
    <row r="85">
      <c r="A85" s="95" t="inlineStr">
        <is>
          <t>TIGER 엔비디아미국채커버드콜밸런스(합성)</t>
        </is>
      </c>
      <c r="B85" s="95" t="inlineStr">
        <is>
          <t>0000D0</t>
        </is>
      </c>
      <c r="C85" s="95" t="inlineStr">
        <is>
          <t>미래에셋자산운용</t>
        </is>
      </c>
      <c r="D85" s="96" t="n">
        <v>8845</v>
      </c>
      <c r="E85" s="96" t="n">
        <v>61203000000</v>
      </c>
      <c r="F85" s="96" t="n">
        <v>350904121</v>
      </c>
      <c r="G85" s="97" t="n">
        <v>0.004741</v>
      </c>
      <c r="H85" s="97" t="n">
        <v>0.1682</v>
      </c>
      <c r="I85" s="97" t="n">
        <v>0.009899999999999999</v>
      </c>
      <c r="J85" s="97" t="n">
        <v>0.136009</v>
      </c>
      <c r="K85" s="96" t="n">
        <v>21</v>
      </c>
      <c r="L85" s="95" t="inlineStr">
        <is>
          <t>20260828</t>
        </is>
      </c>
      <c r="M85" s="95" t="inlineStr">
        <is>
          <t>제외</t>
        </is>
      </c>
      <c r="N85" s="95" t="inlineStr">
        <is>
          <t>60일 거래대금 3.5억(기준 5억 미만)</t>
        </is>
      </c>
      <c r="O85" s="95" t="inlineStr">
        <is>
          <t>KEDI Nvidia U.S. 30Y Treasury Target Covered Call Balanced I</t>
        </is>
      </c>
      <c r="P85" s="95" t="inlineStr">
        <is>
          <t>커버드콜</t>
        </is>
      </c>
      <c r="Q85" s="95" t="inlineStr">
        <is>
          <t>멀티에셋</t>
        </is>
      </c>
      <c r="R85" s="95" t="inlineStr">
        <is>
          <t>월배당</t>
        </is>
      </c>
      <c r="S85" s="96" t="n">
        <v>11</v>
      </c>
      <c r="T85">
        <f>IF(AND($J85&lt;&gt;"",OR(조회_주기="전체",$R85=조회_주기),$J85&gt;=조회_최소,$J85&lt;=조회_최대),1,0)</f>
        <v/>
      </c>
      <c r="U85">
        <f>IF($T85=1,COUNTIF($T$4:$T85,1),"")</f>
        <v/>
      </c>
    </row>
    <row r="86">
      <c r="A86" s="95" t="inlineStr">
        <is>
          <t>SOL 미국500타겟데일리커버드콜액티브</t>
        </is>
      </c>
      <c r="B86" s="95" t="inlineStr">
        <is>
          <t>494210</t>
        </is>
      </c>
      <c r="C86" s="95" t="inlineStr">
        <is>
          <t>신한자산운용</t>
        </is>
      </c>
      <c r="D86" s="96" t="n">
        <v>10700</v>
      </c>
      <c r="E86" s="96" t="n">
        <v>7486500000</v>
      </c>
      <c r="F86" s="96" t="n">
        <v>64181372</v>
      </c>
      <c r="G86" s="97" t="n">
        <v>0.00621</v>
      </c>
      <c r="H86" s="97" t="n">
        <v>0.1572</v>
      </c>
      <c r="I86" s="97" t="n">
        <v>0.01</v>
      </c>
      <c r="J86" s="97" t="n">
        <v>0.125514</v>
      </c>
      <c r="K86" s="96" t="n">
        <v>22</v>
      </c>
      <c r="L86" s="95" t="inlineStr">
        <is>
          <t>20260828</t>
        </is>
      </c>
      <c r="M86" s="95" t="inlineStr">
        <is>
          <t>제외</t>
        </is>
      </c>
      <c r="N86" s="95" t="inlineStr">
        <is>
          <t>순자산 75억(기준 300억 미만), 60일 거래대금 0.6억(기준 5억 미만)</t>
        </is>
      </c>
      <c r="O86" s="95" t="inlineStr">
        <is>
          <t>KEDI U.S. Quality500 + Monthly 1% Premium Index NTR</t>
        </is>
      </c>
      <c r="P86" s="95" t="inlineStr">
        <is>
          <t>커버드콜</t>
        </is>
      </c>
      <c r="Q86" s="95" t="inlineStr">
        <is>
          <t>주식</t>
        </is>
      </c>
      <c r="R86" s="95" t="inlineStr">
        <is>
          <t>월배당</t>
        </is>
      </c>
      <c r="S86" s="96" t="n">
        <v>11</v>
      </c>
      <c r="T86">
        <f>IF(AND($J86&lt;&gt;"",OR(조회_주기="전체",$R86=조회_주기),$J86&gt;=조회_최소,$J86&lt;=조회_최대),1,0)</f>
        <v/>
      </c>
      <c r="U86">
        <f>IF($T86=1,COUNTIF($T$4:$T86,1),"")</f>
        <v/>
      </c>
    </row>
    <row r="87">
      <c r="A87" s="95" t="inlineStr">
        <is>
          <t>TIGER 미국S&amp;P500타겟데일리커버드콜</t>
        </is>
      </c>
      <c r="B87" s="95" t="inlineStr">
        <is>
          <t>482730</t>
        </is>
      </c>
      <c r="C87" s="95" t="inlineStr">
        <is>
          <t>미래에셋자산운용</t>
        </is>
      </c>
      <c r="D87" s="96" t="n">
        <v>11525</v>
      </c>
      <c r="E87" s="96" t="n">
        <v>662687500000</v>
      </c>
      <c r="F87" s="96" t="n">
        <v>4876747229</v>
      </c>
      <c r="G87" s="97" t="n">
        <v>0.004313</v>
      </c>
      <c r="H87" s="97" t="n">
        <v>0.1481</v>
      </c>
      <c r="I87" s="97" t="n">
        <v>0.01</v>
      </c>
      <c r="J87" s="97" t="n">
        <v>0.114534</v>
      </c>
      <c r="K87" s="96" t="n">
        <v>28</v>
      </c>
      <c r="L87" s="95" t="inlineStr">
        <is>
          <t>20260914</t>
        </is>
      </c>
      <c r="M87" s="95" t="inlineStr">
        <is>
          <t>제외</t>
        </is>
      </c>
      <c r="N87" s="95" t="inlineStr">
        <is>
          <t>분배율 대조 불일치(연분배율 계산 11.4534% vs ETFCHECK 10.6291%)</t>
        </is>
      </c>
      <c r="O87" s="95" t="inlineStr">
        <is>
          <t>S&amp;P 500 10% Daily Premium Covered Call Index (USD) PR</t>
        </is>
      </c>
      <c r="P87" s="95" t="inlineStr">
        <is>
          <t>커버드콜</t>
        </is>
      </c>
      <c r="Q87" s="95" t="inlineStr">
        <is>
          <t>주식</t>
        </is>
      </c>
      <c r="R87" s="95" t="inlineStr">
        <is>
          <t>월배당</t>
        </is>
      </c>
      <c r="S87" s="96" t="n">
        <v>12</v>
      </c>
      <c r="T87">
        <f>IF(AND($J87&lt;&gt;"",OR(조회_주기="전체",$R87=조회_주기),$J87&gt;=조회_최소,$J87&lt;=조회_최대),1,0)</f>
        <v/>
      </c>
      <c r="U87">
        <f>IF($T87=1,COUNTIF($T$4:$T87,1),"")</f>
        <v/>
      </c>
    </row>
    <row r="88">
      <c r="A88" s="95" t="inlineStr">
        <is>
          <t>RISE 미국30년국채커버드콜(합성)</t>
        </is>
      </c>
      <c r="B88" s="95" t="inlineStr">
        <is>
          <t>472830</t>
        </is>
      </c>
      <c r="C88" s="95" t="inlineStr">
        <is>
          <t>KB자산운용</t>
        </is>
      </c>
      <c r="D88" s="96" t="n">
        <v>7790</v>
      </c>
      <c r="E88" s="96" t="n">
        <v>43234500000</v>
      </c>
      <c r="F88" s="96" t="n">
        <v>283229683</v>
      </c>
      <c r="G88" s="97" t="n">
        <v>0.003419</v>
      </c>
      <c r="H88" s="97" t="n">
        <v>0.1412</v>
      </c>
      <c r="I88" s="97" t="n">
        <v>0.0067</v>
      </c>
      <c r="J88" s="97" t="n">
        <v>0.113736</v>
      </c>
      <c r="K88" s="96" t="n">
        <v>32</v>
      </c>
      <c r="L88" s="95" t="inlineStr">
        <is>
          <t>20260828</t>
        </is>
      </c>
      <c r="M88" s="95" t="inlineStr">
        <is>
          <t>제외</t>
        </is>
      </c>
      <c r="N88" s="95" t="inlineStr">
        <is>
          <t>60일 거래대금 2.8억(기준 5억 미만)</t>
        </is>
      </c>
      <c r="O88" s="95" t="inlineStr">
        <is>
          <t>Bloomberg U.S. Treasury 20+ Year(TLT) 2% OTM Covered Call In</t>
        </is>
      </c>
      <c r="P88" s="95" t="inlineStr">
        <is>
          <t>커버드콜</t>
        </is>
      </c>
      <c r="Q88" s="95" t="inlineStr">
        <is>
          <t>채권</t>
        </is>
      </c>
      <c r="R88" s="95" t="inlineStr">
        <is>
          <t>월배당</t>
        </is>
      </c>
      <c r="S88" s="96" t="n">
        <v>11</v>
      </c>
      <c r="T88">
        <f>IF(AND($J88&lt;&gt;"",OR(조회_주기="전체",$R88=조회_주기),$J88&gt;=조회_최소,$J88&lt;=조회_최대),1,0)</f>
        <v/>
      </c>
      <c r="U88">
        <f>IF($T88=1,COUNTIF($T$4:$T88,1),"")</f>
        <v/>
      </c>
    </row>
    <row r="89">
      <c r="A89" s="95" t="inlineStr">
        <is>
          <t>RISE 200고배당커버드콜ATM</t>
        </is>
      </c>
      <c r="B89" s="95" t="inlineStr">
        <is>
          <t>290080</t>
        </is>
      </c>
      <c r="C89" s="95" t="inlineStr">
        <is>
          <t>KB자산운용</t>
        </is>
      </c>
      <c r="D89" s="96" t="n">
        <v>7490</v>
      </c>
      <c r="E89" s="96" t="n">
        <v>12733000000</v>
      </c>
      <c r="F89" s="96" t="n">
        <v>169318686</v>
      </c>
      <c r="G89" s="97" t="n">
        <v>0.00636</v>
      </c>
      <c r="H89" s="97" t="n">
        <v>0.3096</v>
      </c>
      <c r="I89" s="97" t="n">
        <v>0.008100000000000001</v>
      </c>
      <c r="J89" s="97" t="n">
        <v>0.105741</v>
      </c>
      <c r="K89" s="96" t="n">
        <v>49</v>
      </c>
      <c r="L89" s="95" t="inlineStr">
        <is>
          <t>20260828</t>
        </is>
      </c>
      <c r="M89" s="95" t="inlineStr">
        <is>
          <t>제외</t>
        </is>
      </c>
      <c r="N89" s="95" t="inlineStr">
        <is>
          <t>순자산 127억(기준 300억 미만), 60일 거래대금 1.7억(기준 5억 미만)</t>
        </is>
      </c>
      <c r="O89" s="95" t="inlineStr">
        <is>
          <t>코스피 200 고배당 커버드콜 ATM</t>
        </is>
      </c>
      <c r="P89" s="95" t="inlineStr">
        <is>
          <t>커버드콜</t>
        </is>
      </c>
      <c r="Q89" s="95" t="inlineStr">
        <is>
          <t>주식</t>
        </is>
      </c>
      <c r="R89" s="95" t="inlineStr">
        <is>
          <t>월배당</t>
        </is>
      </c>
      <c r="S89" s="96" t="n">
        <v>11</v>
      </c>
      <c r="T89">
        <f>IF(AND($J89&lt;&gt;"",OR(조회_주기="전체",$R89=조회_주기),$J89&gt;=조회_최소,$J89&lt;=조회_최대),1,0)</f>
        <v/>
      </c>
      <c r="U89">
        <f>IF($T89=1,COUNTIF($T$4:$T89,1),"")</f>
        <v/>
      </c>
    </row>
    <row r="90">
      <c r="A90" s="95" t="inlineStr">
        <is>
          <t>ACE 미국배당퀄리티+커버드콜액티브</t>
        </is>
      </c>
      <c r="B90" s="95" t="inlineStr">
        <is>
          <t>0049M0</t>
        </is>
      </c>
      <c r="C90" s="95" t="inlineStr">
        <is>
          <t>한국투신운용(ETF)</t>
        </is>
      </c>
      <c r="D90" s="96" t="n">
        <v>11105</v>
      </c>
      <c r="E90" s="96" t="n">
        <v>78219750000</v>
      </c>
      <c r="F90" s="96" t="n">
        <v>374960701</v>
      </c>
      <c r="G90" s="97" t="n">
        <v>0.005323</v>
      </c>
      <c r="H90" s="97" t="n">
        <v>0.1289</v>
      </c>
      <c r="I90" s="97" t="n">
        <v>0.006</v>
      </c>
      <c r="J90" s="97" t="n">
        <v>0.07501099999999999</v>
      </c>
      <c r="K90" s="96" t="n">
        <v>15</v>
      </c>
      <c r="L90" s="95" t="inlineStr">
        <is>
          <t>20260828</t>
        </is>
      </c>
      <c r="M90" s="95" t="inlineStr">
        <is>
          <t>제외</t>
        </is>
      </c>
      <c r="N90" s="95" t="inlineStr">
        <is>
          <t>60일 거래대금 3.7억(기준 5억 미만)</t>
        </is>
      </c>
      <c r="O90" s="95" t="inlineStr">
        <is>
          <t>Bloomberg WisdomTree U.S. Quality Dividend &amp; B500 Premium De</t>
        </is>
      </c>
      <c r="P90" s="95" t="inlineStr">
        <is>
          <t>커버드콜</t>
        </is>
      </c>
      <c r="Q90" s="95" t="inlineStr">
        <is>
          <t>주식</t>
        </is>
      </c>
      <c r="R90" s="95" t="inlineStr">
        <is>
          <t>월배당</t>
        </is>
      </c>
      <c r="S90" s="96" t="n">
        <v>11</v>
      </c>
      <c r="T90">
        <f>IF(AND($J90&lt;&gt;"",OR(조회_주기="전체",$R90=조회_주기),$J90&gt;=조회_최소,$J90&lt;=조회_최대),1,0)</f>
        <v/>
      </c>
      <c r="U90">
        <f>IF($T90=1,COUNTIF($T$4:$T90,1),"")</f>
        <v/>
      </c>
    </row>
    <row r="91">
      <c r="A91" s="95" t="inlineStr">
        <is>
          <t>TIME Korea플러스배당액티브</t>
        </is>
      </c>
      <c r="B91" s="95" t="inlineStr">
        <is>
          <t>441800</t>
        </is>
      </c>
      <c r="C91" s="95" t="inlineStr">
        <is>
          <t>타임폴리오자산운용</t>
        </is>
      </c>
      <c r="D91" s="96" t="n">
        <v>28590</v>
      </c>
      <c r="E91" s="96" t="n">
        <v>781425200000</v>
      </c>
      <c r="F91" s="96" t="n">
        <v>11500156298</v>
      </c>
      <c r="G91" s="97" t="n">
        <v>0.011006</v>
      </c>
      <c r="H91" s="97" t="n">
        <v>0.4893</v>
      </c>
      <c r="I91" s="97" t="n">
        <v>0.005</v>
      </c>
      <c r="J91" s="97" t="n">
        <v>0.072753</v>
      </c>
      <c r="K91" s="96" t="n">
        <v>47</v>
      </c>
      <c r="L91" s="95" t="inlineStr">
        <is>
          <t>20260828</t>
        </is>
      </c>
      <c r="M91" s="95" t="inlineStr">
        <is>
          <t>제외</t>
        </is>
      </c>
      <c r="N91" s="95" t="inlineStr">
        <is>
          <t>변동성 48.9%(1년 기준, 기준 35% 초과)</t>
        </is>
      </c>
      <c r="O91" s="95" t="inlineStr">
        <is>
          <t>KOSPI 200</t>
        </is>
      </c>
      <c r="P91" s="95" t="inlineStr">
        <is>
          <t>일반</t>
        </is>
      </c>
      <c r="Q91" s="95" t="inlineStr">
        <is>
          <t>주식</t>
        </is>
      </c>
      <c r="R91" s="95" t="inlineStr">
        <is>
          <t>월배당</t>
        </is>
      </c>
      <c r="S91" s="96" t="n">
        <v>11</v>
      </c>
      <c r="T91">
        <f>IF(AND($J91&lt;&gt;"",OR(조회_주기="전체",$R91=조회_주기),$J91&gt;=조회_최소,$J91&lt;=조회_최대),1,0)</f>
        <v/>
      </c>
      <c r="U91">
        <f>IF($T91=1,COUNTIF($T$4:$T91,1),"")</f>
        <v/>
      </c>
    </row>
    <row r="92">
      <c r="A92" s="95" t="inlineStr">
        <is>
          <t>TIGER 200커버드콜</t>
        </is>
      </c>
      <c r="B92" s="95" t="inlineStr">
        <is>
          <t>289480</t>
        </is>
      </c>
      <c r="C92" s="95" t="inlineStr">
        <is>
          <t>미래에셋자산운용</t>
        </is>
      </c>
      <c r="D92" s="96" t="n">
        <v>12760</v>
      </c>
      <c r="E92" s="96" t="n">
        <v>26796000000</v>
      </c>
      <c r="F92" s="96" t="n">
        <v>425696091</v>
      </c>
      <c r="G92" s="97" t="n">
        <v>0.007145</v>
      </c>
      <c r="H92" s="97" t="n">
        <v>0.3833</v>
      </c>
      <c r="I92" s="97" t="n">
        <v>0.0069</v>
      </c>
      <c r="J92" s="97" t="n">
        <v>0.069906</v>
      </c>
      <c r="K92" s="96" t="n">
        <v>51</v>
      </c>
      <c r="L92" s="95" t="inlineStr">
        <is>
          <t>20260828</t>
        </is>
      </c>
      <c r="M92" s="95" t="inlineStr">
        <is>
          <t>제외</t>
        </is>
      </c>
      <c r="N92" s="95" t="inlineStr">
        <is>
          <t>순자산 268억(기준 300억 미만), 60일 거래대금 4.3억(기준 5억 미만), 변동성 38.3%(1년 기준, 기준 35% 초과)</t>
        </is>
      </c>
      <c r="O92" s="95" t="inlineStr">
        <is>
          <t>코스피 200 커버드콜 ATM</t>
        </is>
      </c>
      <c r="P92" s="95" t="inlineStr">
        <is>
          <t>커버드콜</t>
        </is>
      </c>
      <c r="Q92" s="95" t="inlineStr">
        <is>
          <t>주식</t>
        </is>
      </c>
      <c r="R92" s="95" t="inlineStr">
        <is>
          <t>월배당</t>
        </is>
      </c>
      <c r="S92" s="96" t="n">
        <v>11</v>
      </c>
      <c r="T92">
        <f>IF(AND($J92&lt;&gt;"",OR(조회_주기="전체",$R92=조회_주기),$J92&gt;=조회_최소,$J92&lt;=조회_최대),1,0)</f>
        <v/>
      </c>
      <c r="U92">
        <f>IF($T92=1,COUNTIF($T$4:$T92,1),"")</f>
        <v/>
      </c>
    </row>
    <row r="93">
      <c r="A93" s="95" t="inlineStr">
        <is>
          <t>KoAct 배당성장액티브</t>
        </is>
      </c>
      <c r="B93" s="95" t="inlineStr">
        <is>
          <t>476850</t>
        </is>
      </c>
      <c r="C93" s="95" t="inlineStr">
        <is>
          <t>삼성액티브자산(ETF)</t>
        </is>
      </c>
      <c r="D93" s="96" t="n">
        <v>21390</v>
      </c>
      <c r="E93" s="96" t="n">
        <v>102336000000</v>
      </c>
      <c r="F93" s="96" t="n">
        <v>2296960174</v>
      </c>
      <c r="G93" s="97" t="n">
        <v>0.009448</v>
      </c>
      <c r="H93" s="97" t="n">
        <v>0.5002</v>
      </c>
      <c r="I93" s="97" t="n">
        <v>0.005</v>
      </c>
      <c r="J93" s="97" t="n">
        <v>0.06947199999999999</v>
      </c>
      <c r="K93" s="96" t="n">
        <v>15</v>
      </c>
      <c r="L93" s="95" t="inlineStr">
        <is>
          <t>20260828</t>
        </is>
      </c>
      <c r="M93" s="95" t="inlineStr">
        <is>
          <t>제외</t>
        </is>
      </c>
      <c r="N93" s="95" t="inlineStr">
        <is>
          <t>변동성 50.0%(1년 기준, 기준 35% 초과)</t>
        </is>
      </c>
      <c r="O93" s="95" t="inlineStr">
        <is>
          <t>코스피</t>
        </is>
      </c>
      <c r="P93" s="95" t="inlineStr">
        <is>
          <t>일반</t>
        </is>
      </c>
      <c r="Q93" s="95" t="inlineStr">
        <is>
          <t>주식</t>
        </is>
      </c>
      <c r="R93" s="95" t="inlineStr">
        <is>
          <t>비정기</t>
        </is>
      </c>
      <c r="S93" s="96" t="n">
        <v>8</v>
      </c>
      <c r="T93">
        <f>IF(AND($J93&lt;&gt;"",OR(조회_주기="전체",$R93=조회_주기),$J93&gt;=조회_최소,$J93&lt;=조회_최대),1,0)</f>
        <v/>
      </c>
      <c r="U93">
        <f>IF($T93=1,COUNTIF($T$4:$T93,1),"")</f>
        <v/>
      </c>
    </row>
    <row r="94">
      <c r="A94" s="95" t="inlineStr">
        <is>
          <t>TIGER 리츠부동산인프라TOP10액티브</t>
        </is>
      </c>
      <c r="B94" s="95" t="inlineStr">
        <is>
          <t>0086B0</t>
        </is>
      </c>
      <c r="C94" s="95" t="inlineStr">
        <is>
          <t>미래에셋자산운용</t>
        </is>
      </c>
      <c r="D94" s="96" t="n">
        <v>9365</v>
      </c>
      <c r="E94" s="96" t="n">
        <v>45864000000</v>
      </c>
      <c r="F94" s="96" t="n">
        <v>229655391</v>
      </c>
      <c r="G94" s="97" t="n">
        <v>0.001463</v>
      </c>
      <c r="H94" s="97" t="n">
        <v>0.1718</v>
      </c>
      <c r="I94" s="97" t="n">
        <v>0.005699999999999999</v>
      </c>
      <c r="J94" s="97" t="n">
        <v>0.06919400000000001</v>
      </c>
      <c r="K94" s="96" t="n">
        <v>13</v>
      </c>
      <c r="L94" s="95" t="inlineStr">
        <is>
          <t>20260914</t>
        </is>
      </c>
      <c r="M94" s="95" t="inlineStr">
        <is>
          <t>제외</t>
        </is>
      </c>
      <c r="N94" s="95" t="inlineStr">
        <is>
          <t>60일 거래대금 2.3억(기준 5억 미만)</t>
        </is>
      </c>
      <c r="O94" s="95" t="inlineStr">
        <is>
          <t>KEDI 리츠부동산인프라TOP10 지수</t>
        </is>
      </c>
      <c r="P94" s="95" t="inlineStr">
        <is>
          <t>일반</t>
        </is>
      </c>
      <c r="Q94" s="95" t="inlineStr">
        <is>
          <t>부동산</t>
        </is>
      </c>
      <c r="R94" s="95" t="inlineStr">
        <is>
          <t>월배당</t>
        </is>
      </c>
      <c r="S94" s="96" t="n">
        <v>12</v>
      </c>
      <c r="T94">
        <f>IF(AND($J94&lt;&gt;"",OR(조회_주기="전체",$R94=조회_주기),$J94&gt;=조회_최소,$J94&lt;=조회_최대),1,0)</f>
        <v/>
      </c>
      <c r="U94">
        <f>IF($T94=1,COUNTIF($T$4:$T94,1),"")</f>
        <v/>
      </c>
    </row>
    <row r="95">
      <c r="A95" s="95" t="inlineStr">
        <is>
          <t>ACE 미국하이일드액티브(H)</t>
        </is>
      </c>
      <c r="B95" s="95" t="inlineStr">
        <is>
          <t>455660</t>
        </is>
      </c>
      <c r="C95" s="95" t="inlineStr">
        <is>
          <t>한국투자신탁운용</t>
        </is>
      </c>
      <c r="D95" s="96" t="n">
        <v>9340</v>
      </c>
      <c r="E95" s="96" t="n">
        <v>61644000000</v>
      </c>
      <c r="F95" s="96" t="n">
        <v>205346153</v>
      </c>
      <c r="G95" s="97" t="n">
        <v>0.003596</v>
      </c>
      <c r="H95" s="97" t="n">
        <v>0.0394</v>
      </c>
      <c r="I95" s="97" t="n">
        <v>0.005500000000000001</v>
      </c>
      <c r="J95" s="97" t="n">
        <v>0.06873700000000001</v>
      </c>
      <c r="K95" s="96" t="n">
        <v>40</v>
      </c>
      <c r="L95" s="95" t="inlineStr">
        <is>
          <t>20260828</t>
        </is>
      </c>
      <c r="M95" s="95" t="inlineStr">
        <is>
          <t>제외</t>
        </is>
      </c>
      <c r="N95" s="95" t="inlineStr">
        <is>
          <t>60일 거래대금 2.1억(기준 5억 미만)</t>
        </is>
      </c>
      <c r="O95" s="95" t="inlineStr">
        <is>
          <t>iBoxx USD Liquid High Yield Total Return Index</t>
        </is>
      </c>
      <c r="P95" s="95" t="inlineStr">
        <is>
          <t>일반</t>
        </is>
      </c>
      <c r="Q95" s="95" t="inlineStr">
        <is>
          <t>채권</t>
        </is>
      </c>
      <c r="R95" s="95" t="inlineStr">
        <is>
          <t>월배당</t>
        </is>
      </c>
      <c r="S95" s="96" t="n">
        <v>11</v>
      </c>
      <c r="T95">
        <f>IF(AND($J95&lt;&gt;"",OR(조회_주기="전체",$R95=조회_주기),$J95&gt;=조회_최소,$J95&lt;=조회_최대),1,0)</f>
        <v/>
      </c>
      <c r="U95">
        <f>IF($T95=1,COUNTIF($T$4:$T95,1),"")</f>
        <v/>
      </c>
    </row>
    <row r="96">
      <c r="A96" s="95" t="inlineStr">
        <is>
          <t>KODEX 일본부동산리츠(H)</t>
        </is>
      </c>
      <c r="B96" s="95" t="inlineStr">
        <is>
          <t>352540</t>
        </is>
      </c>
      <c r="C96" s="95" t="inlineStr">
        <is>
          <t>삼성자산운용(ETF)</t>
        </is>
      </c>
      <c r="D96" s="96" t="n">
        <v>11030</v>
      </c>
      <c r="E96" s="96" t="n">
        <v>37502000000</v>
      </c>
      <c r="F96" s="96" t="n">
        <v>144238540</v>
      </c>
      <c r="G96" s="97" t="n">
        <v>0.00525</v>
      </c>
      <c r="H96" s="97" t="n">
        <v>0.1201</v>
      </c>
      <c r="I96" s="97" t="n">
        <v>0.005600000000000001</v>
      </c>
      <c r="J96" s="97" t="n">
        <v>0.06672699999999999</v>
      </c>
      <c r="K96" s="96" t="n">
        <v>47</v>
      </c>
      <c r="L96" s="95" t="inlineStr">
        <is>
          <t>20260828</t>
        </is>
      </c>
      <c r="M96" s="95" t="inlineStr">
        <is>
          <t>제외</t>
        </is>
      </c>
      <c r="N96" s="95" t="inlineStr">
        <is>
          <t>60일 거래대금 1.4억(기준 5억 미만)</t>
        </is>
      </c>
      <c r="O96" s="95" t="inlineStr">
        <is>
          <t>TSE 부동산 지수</t>
        </is>
      </c>
      <c r="P96" s="95" t="inlineStr">
        <is>
          <t>일반</t>
        </is>
      </c>
      <c r="Q96" s="95" t="inlineStr">
        <is>
          <t>부동산</t>
        </is>
      </c>
      <c r="R96" s="95" t="inlineStr">
        <is>
          <t>월배당</t>
        </is>
      </c>
      <c r="S96" s="96" t="n">
        <v>10</v>
      </c>
      <c r="T96">
        <f>IF(AND($J96&lt;&gt;"",OR(조회_주기="전체",$R96=조회_주기),$J96&gt;=조회_최소,$J96&lt;=조회_최대),1,0)</f>
        <v/>
      </c>
      <c r="U96">
        <f>IF($T96=1,COUNTIF($T$4:$T96,1),"")</f>
        <v/>
      </c>
    </row>
    <row r="97">
      <c r="A97" s="95" t="inlineStr">
        <is>
          <t>PLUS K리츠</t>
        </is>
      </c>
      <c r="B97" s="95" t="inlineStr">
        <is>
          <t>429740</t>
        </is>
      </c>
      <c r="C97" s="95" t="inlineStr">
        <is>
          <t>한화자산운용</t>
        </is>
      </c>
      <c r="D97" s="96" t="n">
        <v>6095</v>
      </c>
      <c r="E97" s="96" t="n">
        <v>6095000000</v>
      </c>
      <c r="F97" s="96" t="n">
        <v>33544287</v>
      </c>
      <c r="G97" s="97" t="n">
        <v>0.00353</v>
      </c>
      <c r="H97" s="97" t="n">
        <v>0.2024</v>
      </c>
      <c r="I97" s="97" t="n">
        <v>0.0044</v>
      </c>
      <c r="J97" s="97" t="n">
        <v>0.066284</v>
      </c>
      <c r="K97" s="96" t="n">
        <v>35</v>
      </c>
      <c r="L97" s="95" t="inlineStr">
        <is>
          <t>20260828</t>
        </is>
      </c>
      <c r="M97" s="95" t="inlineStr">
        <is>
          <t>제외</t>
        </is>
      </c>
      <c r="N97" s="95" t="inlineStr">
        <is>
          <t>순자산 61억(기준 300억 미만), 60일 거래대금 0.3억(기준 5억 미만)</t>
        </is>
      </c>
      <c r="O97" s="95" t="inlineStr">
        <is>
          <t>FnGuide 리츠 지수</t>
        </is>
      </c>
      <c r="P97" s="95" t="inlineStr">
        <is>
          <t>일반</t>
        </is>
      </c>
      <c r="Q97" s="95" t="inlineStr">
        <is>
          <t>부동산</t>
        </is>
      </c>
      <c r="R97" s="95" t="inlineStr">
        <is>
          <t>월배당</t>
        </is>
      </c>
      <c r="S97" s="96" t="n">
        <v>11</v>
      </c>
      <c r="T97">
        <f>IF(AND($J97&lt;&gt;"",OR(조회_주기="전체",$R97=조회_주기),$J97&gt;=조회_최소,$J97&lt;=조회_최대),1,0)</f>
        <v/>
      </c>
      <c r="U97">
        <f>IF($T97=1,COUNTIF($T$4:$T97,1),"")</f>
        <v/>
      </c>
    </row>
    <row r="98">
      <c r="A98" s="95" t="inlineStr">
        <is>
          <t>WON 한국부동산TOP3플러스</t>
        </is>
      </c>
      <c r="B98" s="95" t="inlineStr">
        <is>
          <t>480460</t>
        </is>
      </c>
      <c r="C98" s="95" t="inlineStr">
        <is>
          <t>우리자산운용</t>
        </is>
      </c>
      <c r="D98" s="96" t="n">
        <v>9105</v>
      </c>
      <c r="E98" s="96" t="n">
        <v>7739250000</v>
      </c>
      <c r="F98" s="96" t="n">
        <v>26195852</v>
      </c>
      <c r="G98" s="97" t="n">
        <v>0.003313</v>
      </c>
      <c r="H98" s="97" t="n">
        <v>0.17</v>
      </c>
      <c r="I98" s="97" t="n">
        <v>0.0053</v>
      </c>
      <c r="J98" s="97" t="n">
        <v>0.065898</v>
      </c>
      <c r="K98" s="96" t="n">
        <v>27</v>
      </c>
      <c r="L98" s="95" t="inlineStr">
        <is>
          <t>20260828</t>
        </is>
      </c>
      <c r="M98" s="95" t="inlineStr">
        <is>
          <t>제외</t>
        </is>
      </c>
      <c r="N98" s="95" t="inlineStr">
        <is>
          <t>순자산 77억(기준 300억 미만), 60일 거래대금 0.3억(기준 5억 미만)</t>
        </is>
      </c>
      <c r="O98" s="95" t="inlineStr">
        <is>
          <t>DeepSearch 한국부동산 Top3 플러스 지수</t>
        </is>
      </c>
      <c r="P98" s="95" t="inlineStr">
        <is>
          <t>일반</t>
        </is>
      </c>
      <c r="Q98" s="95" t="inlineStr">
        <is>
          <t>부동산</t>
        </is>
      </c>
      <c r="R98" s="95" t="inlineStr">
        <is>
          <t>월배당</t>
        </is>
      </c>
      <c r="S98" s="96" t="n">
        <v>11</v>
      </c>
      <c r="T98">
        <f>IF(AND($J98&lt;&gt;"",OR(조회_주기="전체",$R98=조회_주기),$J98&gt;=조회_최소,$J98&lt;=조회_최대),1,0)</f>
        <v/>
      </c>
      <c r="U98">
        <f>IF($T98=1,COUNTIF($T$4:$T98,1),"")</f>
        <v/>
      </c>
    </row>
    <row r="99">
      <c r="A99" s="95" t="inlineStr">
        <is>
          <t>TIGER 리츠부동산인프라채권</t>
        </is>
      </c>
      <c r="B99" s="95" t="inlineStr">
        <is>
          <t>341850</t>
        </is>
      </c>
      <c r="C99" s="95" t="inlineStr">
        <is>
          <t>미래에셋자산운용</t>
        </is>
      </c>
      <c r="D99" s="96" t="n">
        <v>4560</v>
      </c>
      <c r="E99" s="96" t="n">
        <v>9130000000</v>
      </c>
      <c r="F99" s="96" t="n">
        <v>33492994</v>
      </c>
      <c r="G99" s="97" t="n">
        <v>0.002886</v>
      </c>
      <c r="H99" s="97" t="n">
        <v>0.1326</v>
      </c>
      <c r="I99" s="97" t="n">
        <v>0.0052</v>
      </c>
      <c r="J99" s="97" t="n">
        <v>0.06315800000000001</v>
      </c>
      <c r="K99" s="96" t="n">
        <v>51</v>
      </c>
      <c r="L99" s="95" t="inlineStr">
        <is>
          <t>20260828</t>
        </is>
      </c>
      <c r="M99" s="95" t="inlineStr">
        <is>
          <t>제외</t>
        </is>
      </c>
      <c r="N99" s="95" t="inlineStr">
        <is>
          <t>순자산 91억(기준 300억 미만), 60일 거래대금 0.3억(기준 5억 미만)</t>
        </is>
      </c>
      <c r="O99" s="95" t="inlineStr">
        <is>
          <t>KIS 리츠부동산인프라채권 지수</t>
        </is>
      </c>
      <c r="P99" s="95" t="inlineStr">
        <is>
          <t>일반</t>
        </is>
      </c>
      <c r="Q99" s="95" t="inlineStr">
        <is>
          <t>멀티에셋</t>
        </is>
      </c>
      <c r="R99" s="95" t="inlineStr">
        <is>
          <t>월배당</t>
        </is>
      </c>
      <c r="S99" s="96" t="n">
        <v>11</v>
      </c>
      <c r="T99">
        <f>IF(AND($J99&lt;&gt;"",OR(조회_주기="전체",$R99=조회_주기),$J99&gt;=조회_최소,$J99&lt;=조회_최대),1,0)</f>
        <v/>
      </c>
      <c r="U99">
        <f>IF($T99=1,COUNTIF($T$4:$T99,1),"")</f>
        <v/>
      </c>
    </row>
    <row r="100">
      <c r="A100" s="95" t="inlineStr">
        <is>
          <t>KODEX 대만테크고배당다우존스</t>
        </is>
      </c>
      <c r="B100" s="95" t="inlineStr">
        <is>
          <t>487950</t>
        </is>
      </c>
      <c r="C100" s="95" t="inlineStr">
        <is>
          <t>삼성자산운용(ETF)</t>
        </is>
      </c>
      <c r="D100" s="96" t="n">
        <v>12925</v>
      </c>
      <c r="E100" s="96" t="n">
        <v>18741250000</v>
      </c>
      <c r="F100" s="96" t="n">
        <v>307083625</v>
      </c>
      <c r="G100" s="97" t="n">
        <v>0.009642</v>
      </c>
      <c r="H100" s="97" t="n">
        <v>0.2953</v>
      </c>
      <c r="I100" s="97" t="n">
        <v>0.005600000000000001</v>
      </c>
      <c r="J100" s="97" t="n">
        <v>0.06243699999999999</v>
      </c>
      <c r="K100" s="96" t="n">
        <v>25</v>
      </c>
      <c r="L100" s="95" t="inlineStr">
        <is>
          <t>20260828</t>
        </is>
      </c>
      <c r="M100" s="95" t="inlineStr">
        <is>
          <t>제외</t>
        </is>
      </c>
      <c r="N100" s="95" t="inlineStr">
        <is>
          <t>순자산 187억(기준 300억 미만), 60일 거래대금 3.1억(기준 5억 미만)</t>
        </is>
      </c>
      <c r="O100" s="95" t="inlineStr">
        <is>
          <t>Dow Jones Taiwan Technology Dividend 30 Index (TWD)</t>
        </is>
      </c>
      <c r="P100" s="95" t="inlineStr">
        <is>
          <t>일반</t>
        </is>
      </c>
      <c r="Q100" s="95" t="inlineStr">
        <is>
          <t>주식</t>
        </is>
      </c>
      <c r="R100" s="95" t="inlineStr">
        <is>
          <t>월배당</t>
        </is>
      </c>
      <c r="S100" s="96" t="n">
        <v>11</v>
      </c>
      <c r="T100">
        <f>IF(AND($J100&lt;&gt;"",OR(조회_주기="전체",$R100=조회_주기),$J100&gt;=조회_최소,$J100&lt;=조회_최대),1,0)</f>
        <v/>
      </c>
      <c r="U100">
        <f>IF($T100=1,COUNTIF($T$4:$T100,1),"")</f>
        <v/>
      </c>
    </row>
    <row r="101">
      <c r="A101" s="95" t="inlineStr">
        <is>
          <t>ACE 싱가포르리츠</t>
        </is>
      </c>
      <c r="B101" s="95" t="inlineStr">
        <is>
          <t>316300</t>
        </is>
      </c>
      <c r="C101" s="95" t="inlineStr">
        <is>
          <t>한국투신운용(ETF)</t>
        </is>
      </c>
      <c r="D101" s="96" t="n">
        <v>12410</v>
      </c>
      <c r="E101" s="96" t="n">
        <v>6205000000</v>
      </c>
      <c r="F101" s="96" t="n">
        <v>13162013</v>
      </c>
      <c r="G101" s="97" t="n">
        <v>0.010192</v>
      </c>
      <c r="H101" s="97" t="n">
        <v>0.1323</v>
      </c>
      <c r="I101" s="97" t="n">
        <v>0.004</v>
      </c>
      <c r="J101" s="97" t="n">
        <v>0.06180500000000001</v>
      </c>
      <c r="K101" s="96" t="n">
        <v>25</v>
      </c>
      <c r="L101" s="95" t="inlineStr">
        <is>
          <t>20260828</t>
        </is>
      </c>
      <c r="M101" s="95" t="inlineStr">
        <is>
          <t>제외</t>
        </is>
      </c>
      <c r="N101" s="95" t="inlineStr">
        <is>
          <t>순자산 62억(기준 300억 미만), 60일 거래대금 0.1억(기준 5억 미만)</t>
        </is>
      </c>
      <c r="O101" s="95" t="inlineStr">
        <is>
          <t>Morningstar Singapore REIT Yield Focus Index</t>
        </is>
      </c>
      <c r="P101" s="95" t="inlineStr">
        <is>
          <t>일반</t>
        </is>
      </c>
      <c r="Q101" s="95" t="inlineStr">
        <is>
          <t>부동산</t>
        </is>
      </c>
      <c r="R101" s="95" t="inlineStr">
        <is>
          <t>월배당</t>
        </is>
      </c>
      <c r="S101" s="96" t="n">
        <v>11</v>
      </c>
      <c r="T101">
        <f>IF(AND($J101&lt;&gt;"",OR(조회_주기="전체",$R101=조회_주기),$J101&gt;=조회_최소,$J101&lt;=조회_최대),1,0)</f>
        <v/>
      </c>
      <c r="U101">
        <f>IF($T101=1,COUNTIF($T$4:$T101,1),"")</f>
        <v/>
      </c>
    </row>
    <row r="102">
      <c r="A102" s="95" t="inlineStr">
        <is>
          <t>RISE 미국30년국채액티브</t>
        </is>
      </c>
      <c r="B102" s="95" t="inlineStr">
        <is>
          <t>481340</t>
        </is>
      </c>
      <c r="C102" s="95" t="inlineStr">
        <is>
          <t>KB자산운용</t>
        </is>
      </c>
      <c r="D102" s="96" t="n">
        <v>8440</v>
      </c>
      <c r="E102" s="96" t="n">
        <v>24068250000</v>
      </c>
      <c r="F102" s="96" t="n">
        <v>339106435</v>
      </c>
      <c r="G102" s="97" t="n">
        <v>0.001572</v>
      </c>
      <c r="H102" s="97" t="n">
        <v>0.1309</v>
      </c>
      <c r="I102" s="97" t="n">
        <v>0.0036</v>
      </c>
      <c r="J102" s="97" t="n">
        <v>0.050948</v>
      </c>
      <c r="K102" s="96" t="n">
        <v>27</v>
      </c>
      <c r="L102" s="95" t="inlineStr">
        <is>
          <t>20260828</t>
        </is>
      </c>
      <c r="M102" s="95" t="inlineStr">
        <is>
          <t>제외</t>
        </is>
      </c>
      <c r="N102" s="95" t="inlineStr">
        <is>
          <t>순자산 241억(기준 300억 미만), 60일 거래대금 3.4억(기준 5억 미만)</t>
        </is>
      </c>
      <c r="O102" s="95" t="inlineStr">
        <is>
          <t>Bloomberg US Treasury 20+ Year Total Return Index</t>
        </is>
      </c>
      <c r="P102" s="95" t="inlineStr">
        <is>
          <t>일반</t>
        </is>
      </c>
      <c r="Q102" s="95" t="inlineStr">
        <is>
          <t>채권</t>
        </is>
      </c>
      <c r="R102" s="95" t="inlineStr">
        <is>
          <t>월배당</t>
        </is>
      </c>
      <c r="S102" s="96" t="n">
        <v>11</v>
      </c>
      <c r="T102">
        <f>IF(AND($J102&lt;&gt;"",OR(조회_주기="전체",$R102=조회_주기),$J102&gt;=조회_최소,$J102&lt;=조회_최대),1,0)</f>
        <v/>
      </c>
      <c r="U102">
        <f>IF($T102=1,COUNTIF($T$4:$T102,1),"")</f>
        <v/>
      </c>
    </row>
    <row r="103">
      <c r="A103" s="95" t="inlineStr">
        <is>
          <t>KODEX 아시아달러채권ESG플러스액티브</t>
        </is>
      </c>
      <c r="B103" s="95" t="inlineStr">
        <is>
          <t>437070</t>
        </is>
      </c>
      <c r="C103" s="95" t="inlineStr">
        <is>
          <t>삼성자산운용(ETF)</t>
        </is>
      </c>
      <c r="D103" s="96" t="n">
        <v>58180</v>
      </c>
      <c r="E103" s="96" t="n">
        <v>20130280000</v>
      </c>
      <c r="F103" s="96" t="n">
        <v>55334444</v>
      </c>
      <c r="G103" s="97" t="n">
        <v>0.002319</v>
      </c>
      <c r="H103" s="97" t="n">
        <v>0.1031</v>
      </c>
      <c r="I103" s="97" t="n">
        <v>0.0042</v>
      </c>
      <c r="J103" s="97" t="n">
        <v>0.050034</v>
      </c>
      <c r="K103" s="96" t="n">
        <v>14</v>
      </c>
      <c r="L103" s="95" t="inlineStr">
        <is>
          <t>20260828</t>
        </is>
      </c>
      <c r="M103" s="95" t="inlineStr">
        <is>
          <t>제외</t>
        </is>
      </c>
      <c r="N103" s="95" t="inlineStr">
        <is>
          <t>순자산 201억(기준 300억 미만), 60일 거래대금 0.6억(기준 5억 미만)</t>
        </is>
      </c>
      <c r="O103" s="95" t="inlineStr">
        <is>
          <t>Bloomberg MSCI EM Asia Investment Grade Credit SRI Index TR</t>
        </is>
      </c>
      <c r="P103" s="95" t="inlineStr">
        <is>
          <t>일반</t>
        </is>
      </c>
      <c r="Q103" s="95" t="inlineStr">
        <is>
          <t>채권</t>
        </is>
      </c>
      <c r="R103" s="95" t="inlineStr">
        <is>
          <t>월배당</t>
        </is>
      </c>
      <c r="S103" s="96" t="n">
        <v>11</v>
      </c>
      <c r="T103">
        <f>IF(AND($J103&lt;&gt;"",OR(조회_주기="전체",$R103=조회_주기),$J103&gt;=조회_최소,$J103&lt;=조회_최대),1,0)</f>
        <v/>
      </c>
      <c r="U103">
        <f>IF($T103=1,COUNTIF($T$4:$T103,1),"")</f>
        <v/>
      </c>
    </row>
    <row r="104">
      <c r="A104" s="95" t="inlineStr">
        <is>
          <t>TIGER 미국투자등급회사채액티브(H)</t>
        </is>
      </c>
      <c r="B104" s="95" t="inlineStr">
        <is>
          <t>458260</t>
        </is>
      </c>
      <c r="C104" s="95" t="inlineStr">
        <is>
          <t>미래에셋자산운용</t>
        </is>
      </c>
      <c r="D104" s="96" t="n">
        <v>45795</v>
      </c>
      <c r="E104" s="96" t="n">
        <v>219600000000</v>
      </c>
      <c r="F104" s="96" t="n">
        <v>406912395</v>
      </c>
      <c r="G104" s="97" t="n">
        <v>0.002203</v>
      </c>
      <c r="H104" s="97" t="n">
        <v>0.0528</v>
      </c>
      <c r="I104" s="97" t="n">
        <v>0.0037</v>
      </c>
      <c r="J104" s="97" t="n">
        <v>0.049809</v>
      </c>
      <c r="K104" s="96" t="n">
        <v>39</v>
      </c>
      <c r="L104" s="95" t="inlineStr">
        <is>
          <t>20260828</t>
        </is>
      </c>
      <c r="M104" s="95" t="inlineStr">
        <is>
          <t>제외</t>
        </is>
      </c>
      <c r="N104" s="95" t="inlineStr">
        <is>
          <t>60일 거래대금 4.1억(기준 5억 미만)</t>
        </is>
      </c>
      <c r="O104" s="95" t="inlineStr">
        <is>
          <t>iBoxx USD Liquid Investment Grade PR Index</t>
        </is>
      </c>
      <c r="P104" s="95" t="inlineStr">
        <is>
          <t>일반</t>
        </is>
      </c>
      <c r="Q104" s="95" t="inlineStr">
        <is>
          <t>채권</t>
        </is>
      </c>
      <c r="R104" s="95" t="inlineStr">
        <is>
          <t>월배당</t>
        </is>
      </c>
      <c r="S104" s="96" t="n">
        <v>11</v>
      </c>
      <c r="T104">
        <f>IF(AND($J104&lt;&gt;"",OR(조회_주기="전체",$R104=조회_주기),$J104&gt;=조회_최소,$J104&lt;=조회_최대),1,0)</f>
        <v/>
      </c>
      <c r="U104">
        <f>IF($T104=1,COUNTIF($T$4:$T104,1),"")</f>
        <v/>
      </c>
    </row>
    <row r="105">
      <c r="A105" s="95" t="inlineStr">
        <is>
          <t>KoAct 미국천연가스인프라액티브</t>
        </is>
      </c>
      <c r="B105" s="95" t="inlineStr">
        <is>
          <t>497780</t>
        </is>
      </c>
      <c r="C105" s="95" t="inlineStr">
        <is>
          <t>삼성액티브자산(ETF)</t>
        </is>
      </c>
      <c r="D105" s="96" t="n">
        <v>10380</v>
      </c>
      <c r="E105" s="96" t="n">
        <v>19156750000</v>
      </c>
      <c r="F105" s="96" t="n">
        <v>202819990</v>
      </c>
      <c r="G105" s="97" t="n">
        <v>0.007934</v>
      </c>
      <c r="H105" s="97" t="n">
        <v>0.1791</v>
      </c>
      <c r="I105" s="97" t="n">
        <v>0.0039</v>
      </c>
      <c r="J105" s="97" t="n">
        <v>0.04942199999999999</v>
      </c>
      <c r="K105" s="96" t="n">
        <v>20</v>
      </c>
      <c r="L105" s="95" t="inlineStr">
        <is>
          <t>20260828</t>
        </is>
      </c>
      <c r="M105" s="95" t="inlineStr">
        <is>
          <t>제외</t>
        </is>
      </c>
      <c r="N105" s="95" t="inlineStr">
        <is>
          <t>순자산 192억(기준 300억 미만), 60일 거래대금 2.0억(기준 5억 미만)</t>
        </is>
      </c>
      <c r="O105" s="95" t="inlineStr">
        <is>
          <t>Solactive US Natural Gas Infrastructure Index PR</t>
        </is>
      </c>
      <c r="P105" s="95" t="inlineStr">
        <is>
          <t>일반</t>
        </is>
      </c>
      <c r="Q105" s="95" t="inlineStr">
        <is>
          <t>주식</t>
        </is>
      </c>
      <c r="R105" s="95" t="inlineStr">
        <is>
          <t>월배당</t>
        </is>
      </c>
      <c r="S105" s="96" t="n">
        <v>11</v>
      </c>
      <c r="T105">
        <f>IF(AND($J105&lt;&gt;"",OR(조회_주기="전체",$R105=조회_주기),$J105&gt;=조회_최소,$J105&lt;=조회_최대),1,0)</f>
        <v/>
      </c>
      <c r="U105">
        <f>IF($T105=1,COUNTIF($T$4:$T105,1),"")</f>
        <v/>
      </c>
    </row>
    <row r="106">
      <c r="A106" s="95" t="inlineStr">
        <is>
          <t>PLUS 미국장기우량회사채</t>
        </is>
      </c>
      <c r="B106" s="95" t="inlineStr">
        <is>
          <t>332620</t>
        </is>
      </c>
      <c r="C106" s="95" t="inlineStr">
        <is>
          <t>한화자산운용</t>
        </is>
      </c>
      <c r="D106" s="96" t="n">
        <v>87180</v>
      </c>
      <c r="E106" s="96" t="n">
        <v>16302660000</v>
      </c>
      <c r="F106" s="96" t="n">
        <v>57294263</v>
      </c>
      <c r="G106" s="97" t="n">
        <v>0.004</v>
      </c>
      <c r="H106" s="97" t="n">
        <v>0.1195</v>
      </c>
      <c r="I106" s="97" t="n">
        <v>0.0035</v>
      </c>
      <c r="J106" s="97" t="n">
        <v>0.047671</v>
      </c>
      <c r="K106" s="96" t="n">
        <v>18</v>
      </c>
      <c r="L106" s="95" t="inlineStr">
        <is>
          <t>20260828</t>
        </is>
      </c>
      <c r="M106" s="95" t="inlineStr">
        <is>
          <t>제외</t>
        </is>
      </c>
      <c r="N106" s="95" t="inlineStr">
        <is>
          <t>순자산 163억(기준 300억 미만), 60일 거래대금 0.6억(기준 5억 미만)</t>
        </is>
      </c>
      <c r="O106" s="95" t="inlineStr">
        <is>
          <t>ICE BOFAML 15+ YEAR AAA-A US CORPORATE INDEX</t>
        </is>
      </c>
      <c r="P106" s="95" t="inlineStr">
        <is>
          <t>일반</t>
        </is>
      </c>
      <c r="Q106" s="95" t="inlineStr">
        <is>
          <t>채권</t>
        </is>
      </c>
      <c r="R106" s="95" t="inlineStr">
        <is>
          <t>월배당</t>
        </is>
      </c>
      <c r="S106" s="96" t="n">
        <v>11</v>
      </c>
      <c r="T106">
        <f>IF(AND($J106&lt;&gt;"",OR(조회_주기="전체",$R106=조회_주기),$J106&gt;=조회_최소,$J106&lt;=조회_최대),1,0)</f>
        <v/>
      </c>
      <c r="U106">
        <f>IF($T106=1,COUNTIF($T$4:$T106,1),"")</f>
        <v/>
      </c>
    </row>
    <row r="107">
      <c r="A107" s="95" t="inlineStr">
        <is>
          <t>KIWOOM 코리아고배당</t>
        </is>
      </c>
      <c r="B107" s="95" t="inlineStr">
        <is>
          <t>104530</t>
        </is>
      </c>
      <c r="C107" s="95" t="inlineStr">
        <is>
          <t>키움투자자산운용</t>
        </is>
      </c>
      <c r="D107" s="96" t="n">
        <v>17240</v>
      </c>
      <c r="E107" s="96" t="n">
        <v>35260000000</v>
      </c>
      <c r="F107" s="96" t="n">
        <v>190985522</v>
      </c>
      <c r="G107" s="97" t="n">
        <v>0.003257</v>
      </c>
      <c r="H107" s="97" t="n">
        <v>0.3082</v>
      </c>
      <c r="I107" s="97" t="n">
        <v>0.004500000000000001</v>
      </c>
      <c r="J107" s="97" t="n">
        <v>0.047274</v>
      </c>
      <c r="K107" s="96" t="n">
        <v>30</v>
      </c>
      <c r="L107" s="95" t="inlineStr">
        <is>
          <t>20260914</t>
        </is>
      </c>
      <c r="M107" s="95" t="inlineStr">
        <is>
          <t>제외</t>
        </is>
      </c>
      <c r="N107" s="95" t="inlineStr">
        <is>
          <t>60일 거래대금 1.9억(기준 5억 미만)</t>
        </is>
      </c>
      <c r="O107" s="95" t="inlineStr">
        <is>
          <t>FnGuide Wealth 고배당20</t>
        </is>
      </c>
      <c r="P107" s="95" t="inlineStr">
        <is>
          <t>일반</t>
        </is>
      </c>
      <c r="Q107" s="95" t="inlineStr">
        <is>
          <t>주식</t>
        </is>
      </c>
      <c r="R107" s="95" t="inlineStr">
        <is>
          <t>월배당</t>
        </is>
      </c>
      <c r="S107" s="96" t="n">
        <v>12</v>
      </c>
      <c r="T107">
        <f>IF(AND($J107&lt;&gt;"",OR(조회_주기="전체",$R107=조회_주기),$J107&gt;=조회_최소,$J107&lt;=조회_최대),1,0)</f>
        <v/>
      </c>
      <c r="U107">
        <f>IF($T107=1,COUNTIF($T$4:$T107,1),"")</f>
        <v/>
      </c>
    </row>
    <row r="108">
      <c r="A108" s="95" t="inlineStr">
        <is>
          <t>KODEX iShares미국투자등급회사채액티브</t>
        </is>
      </c>
      <c r="B108" s="95" t="inlineStr">
        <is>
          <t>468630</t>
        </is>
      </c>
      <c r="C108" s="95" t="inlineStr">
        <is>
          <t>삼성자산운용(ETF)</t>
        </is>
      </c>
      <c r="D108" s="96" t="n">
        <v>10695</v>
      </c>
      <c r="E108" s="96" t="n">
        <v>30052950000</v>
      </c>
      <c r="F108" s="96" t="n">
        <v>461984535</v>
      </c>
      <c r="G108" s="97" t="n">
        <v>0.00187</v>
      </c>
      <c r="H108" s="97" t="n">
        <v>0.1088</v>
      </c>
      <c r="I108" s="97" t="n">
        <v>0.004</v>
      </c>
      <c r="J108" s="97" t="n">
        <v>0.04656399999999999</v>
      </c>
      <c r="K108" s="96" t="n">
        <v>34</v>
      </c>
      <c r="L108" s="95" t="inlineStr">
        <is>
          <t>20260828</t>
        </is>
      </c>
      <c r="M108" s="95" t="inlineStr">
        <is>
          <t>제외</t>
        </is>
      </c>
      <c r="N108" s="95" t="inlineStr">
        <is>
          <t>60일 거래대금 4.6억(기준 5억 미만)</t>
        </is>
      </c>
      <c r="O108" s="95" t="inlineStr">
        <is>
          <t>iBoxx USD Liquid IG Index</t>
        </is>
      </c>
      <c r="P108" s="95" t="inlineStr">
        <is>
          <t>일반</t>
        </is>
      </c>
      <c r="Q108" s="95" t="inlineStr">
        <is>
          <t>채권</t>
        </is>
      </c>
      <c r="R108" s="95" t="inlineStr">
        <is>
          <t>월배당</t>
        </is>
      </c>
      <c r="S108" s="96" t="n">
        <v>11</v>
      </c>
      <c r="T108">
        <f>IF(AND($J108&lt;&gt;"",OR(조회_주기="전체",$R108=조회_주기),$J108&gt;=조회_최소,$J108&lt;=조회_최대),1,0)</f>
        <v/>
      </c>
      <c r="U108">
        <f>IF($T108=1,COUNTIF($T$4:$T108,1),"")</f>
        <v/>
      </c>
    </row>
    <row r="109">
      <c r="A109" s="95" t="inlineStr">
        <is>
          <t>RISE 글로벌리얼티인컴</t>
        </is>
      </c>
      <c r="B109" s="95" t="inlineStr">
        <is>
          <t>475380</t>
        </is>
      </c>
      <c r="C109" s="95" t="inlineStr">
        <is>
          <t>KB자산운용</t>
        </is>
      </c>
      <c r="D109" s="96" t="n">
        <v>10035</v>
      </c>
      <c r="E109" s="96" t="n">
        <v>26592750000</v>
      </c>
      <c r="F109" s="96" t="n">
        <v>80400919</v>
      </c>
      <c r="G109" s="97" t="n">
        <v>0.001555</v>
      </c>
      <c r="H109" s="97" t="n">
        <v>0.1418</v>
      </c>
      <c r="I109" s="97" t="n">
        <v>0.003</v>
      </c>
      <c r="J109" s="97" t="n">
        <v>0.03986</v>
      </c>
      <c r="K109" s="96" t="n">
        <v>30</v>
      </c>
      <c r="L109" s="95" t="inlineStr">
        <is>
          <t>20260828</t>
        </is>
      </c>
      <c r="M109" s="95" t="inlineStr">
        <is>
          <t>제외</t>
        </is>
      </c>
      <c r="N109" s="95" t="inlineStr">
        <is>
          <t>순자산 266억(기준 300억 미만), 60일 거래대금 0.8억(기준 5억 미만)</t>
        </is>
      </c>
      <c r="O109" s="95" t="inlineStr">
        <is>
          <t>Solactive Global Realty Income Index PR</t>
        </is>
      </c>
      <c r="P109" s="95" t="inlineStr">
        <is>
          <t>일반</t>
        </is>
      </c>
      <c r="Q109" s="95" t="inlineStr">
        <is>
          <t>부동산</t>
        </is>
      </c>
      <c r="R109" s="95" t="inlineStr">
        <is>
          <t>월배당</t>
        </is>
      </c>
      <c r="S109" s="96" t="n">
        <v>11</v>
      </c>
      <c r="T109">
        <f>IF(AND($J109&lt;&gt;"",OR(조회_주기="전체",$R109=조회_주기),$J109&gt;=조회_최소,$J109&lt;=조회_최대),1,0)</f>
        <v/>
      </c>
      <c r="U109">
        <f>IF($T109=1,COUNTIF($T$4:$T109,1),"")</f>
        <v/>
      </c>
    </row>
    <row r="110">
      <c r="A110" s="95" t="inlineStr">
        <is>
          <t>TIGER 200커버드콜OTM</t>
        </is>
      </c>
      <c r="B110" s="95" t="inlineStr">
        <is>
          <t>166400</t>
        </is>
      </c>
      <c r="C110" s="95" t="inlineStr">
        <is>
          <t>미래에셋자산운용</t>
        </is>
      </c>
      <c r="D110" s="96" t="n">
        <v>24145</v>
      </c>
      <c r="E110" s="96" t="n">
        <v>12047500000</v>
      </c>
      <c r="F110" s="96" t="n">
        <v>47129501</v>
      </c>
      <c r="G110" s="97" t="n">
        <v>0.006403</v>
      </c>
      <c r="H110" s="97" t="n">
        <v>0.4263</v>
      </c>
      <c r="I110" s="97" t="n">
        <v>0.0039</v>
      </c>
      <c r="J110" s="97" t="n">
        <v>0.039387</v>
      </c>
      <c r="K110" s="96" t="n">
        <v>51</v>
      </c>
      <c r="L110" s="95" t="inlineStr">
        <is>
          <t>20260828</t>
        </is>
      </c>
      <c r="M110" s="95" t="inlineStr">
        <is>
          <t>제외</t>
        </is>
      </c>
      <c r="N110" s="95" t="inlineStr">
        <is>
          <t>순자산 120억(기준 300억 미만), 60일 거래대금 0.5억(기준 5억 미만), 변동성 42.6%(1년 기준, 기준 35% 초과)</t>
        </is>
      </c>
      <c r="O110" s="95" t="inlineStr">
        <is>
          <t>코스피 200 커버드콜 5% OTM</t>
        </is>
      </c>
      <c r="P110" s="95" t="inlineStr">
        <is>
          <t>커버드콜</t>
        </is>
      </c>
      <c r="Q110" s="95" t="inlineStr">
        <is>
          <t>주식</t>
        </is>
      </c>
      <c r="R110" s="95" t="inlineStr">
        <is>
          <t>월배당</t>
        </is>
      </c>
      <c r="S110" s="96" t="n">
        <v>11</v>
      </c>
      <c r="T110">
        <f>IF(AND($J110&lt;&gt;"",OR(조회_주기="전체",$R110=조회_주기),$J110&gt;=조회_최소,$J110&lt;=조회_최대),1,0)</f>
        <v/>
      </c>
      <c r="U110">
        <f>IF($T110=1,COUNTIF($T$4:$T110,1),"")</f>
        <v/>
      </c>
    </row>
    <row r="111">
      <c r="A111" s="95" t="inlineStr">
        <is>
          <t>KIWOOM 한국고배당&amp;미국AI테크</t>
        </is>
      </c>
      <c r="B111" s="95" t="inlineStr">
        <is>
          <t>0097L0</t>
        </is>
      </c>
      <c r="C111" s="95" t="inlineStr">
        <is>
          <t>키움투자자산운용</t>
        </is>
      </c>
      <c r="D111" s="96" t="n">
        <v>12430</v>
      </c>
      <c r="E111" s="96" t="n">
        <v>24189750000</v>
      </c>
      <c r="F111" s="96" t="n">
        <v>115268073</v>
      </c>
      <c r="G111" s="97" t="n">
        <v>0.006977</v>
      </c>
      <c r="H111" s="97" t="n">
        <v>0.2609</v>
      </c>
      <c r="I111" s="97" t="n">
        <v>0.0043</v>
      </c>
      <c r="J111" s="97" t="n">
        <v>0.038214</v>
      </c>
      <c r="K111" s="96" t="n">
        <v>12</v>
      </c>
      <c r="L111" s="95" t="inlineStr">
        <is>
          <t>20260828</t>
        </is>
      </c>
      <c r="M111" s="95" t="inlineStr">
        <is>
          <t>제외</t>
        </is>
      </c>
      <c r="N111" s="95" t="inlineStr">
        <is>
          <t>순자산 242억(기준 300억 미만), 60일 거래대금 1.2억(기준 5억 미만)</t>
        </is>
      </c>
      <c r="O111" s="95" t="inlineStr">
        <is>
          <t>Akros 미국AI테크Top10&amp;한국고배당 3070 지수</t>
        </is>
      </c>
      <c r="P111" s="95" t="inlineStr">
        <is>
          <t>일반</t>
        </is>
      </c>
      <c r="Q111" s="95" t="inlineStr">
        <is>
          <t>주식</t>
        </is>
      </c>
      <c r="R111" s="95" t="inlineStr">
        <is>
          <t>월배당</t>
        </is>
      </c>
      <c r="S111" s="96" t="n">
        <v>11</v>
      </c>
      <c r="T111">
        <f>IF(AND($J111&lt;&gt;"",OR(조회_주기="전체",$R111=조회_주기),$J111&gt;=조회_최소,$J111&lt;=조회_최대),1,0)</f>
        <v/>
      </c>
      <c r="U111">
        <f>IF($T111=1,COUNTIF($T$4:$T111,1),"")</f>
        <v/>
      </c>
    </row>
    <row r="112">
      <c r="A112" s="95" t="inlineStr">
        <is>
          <t>ACE 미국10년국채액티브(H)</t>
        </is>
      </c>
      <c r="B112" s="95" t="inlineStr">
        <is>
          <t>0085N0</t>
        </is>
      </c>
      <c r="C112" s="95" t="inlineStr">
        <is>
          <t>한국투신운용(ETF)</t>
        </is>
      </c>
      <c r="D112" s="96" t="n">
        <v>9605</v>
      </c>
      <c r="E112" s="96" t="n">
        <v>34578000000</v>
      </c>
      <c r="F112" s="96" t="n">
        <v>286326748</v>
      </c>
      <c r="G112" s="97" t="n">
        <v>0.002432</v>
      </c>
      <c r="H112" s="97" t="n">
        <v>0.04389999999999999</v>
      </c>
      <c r="I112" s="97" t="n">
        <v>0.0033</v>
      </c>
      <c r="J112" s="97" t="n">
        <v>0.038105</v>
      </c>
      <c r="K112" s="96" t="n">
        <v>13</v>
      </c>
      <c r="L112" s="95" t="inlineStr">
        <is>
          <t>20260828</t>
        </is>
      </c>
      <c r="M112" s="95" t="inlineStr">
        <is>
          <t>제외</t>
        </is>
      </c>
      <c r="N112" s="95" t="inlineStr">
        <is>
          <t>60일 거래대금 2.9억(기준 5억 미만)</t>
        </is>
      </c>
      <c r="O112" s="95" t="inlineStr">
        <is>
          <t>ICE U.S.Treasury 7-10 Year Bond Index</t>
        </is>
      </c>
      <c r="P112" s="95" t="inlineStr">
        <is>
          <t>일반</t>
        </is>
      </c>
      <c r="Q112" s="95" t="inlineStr">
        <is>
          <t>채권</t>
        </is>
      </c>
      <c r="R112" s="95" t="inlineStr">
        <is>
          <t>월배당</t>
        </is>
      </c>
      <c r="S112" s="96" t="n">
        <v>11</v>
      </c>
      <c r="T112">
        <f>IF(AND($J112&lt;&gt;"",OR(조회_주기="전체",$R112=조회_주기),$J112&gt;=조회_최소,$J112&lt;=조회_최대),1,0)</f>
        <v/>
      </c>
      <c r="U112">
        <f>IF($T112=1,COUNTIF($T$4:$T112,1),"")</f>
        <v/>
      </c>
    </row>
    <row r="113">
      <c r="A113" s="95" t="inlineStr">
        <is>
          <t>PLUS 미국단기회사채(AAA~A)</t>
        </is>
      </c>
      <c r="B113" s="95" t="inlineStr">
        <is>
          <t>332610</t>
        </is>
      </c>
      <c r="C113" s="95" t="inlineStr">
        <is>
          <t>한화자산운용</t>
        </is>
      </c>
      <c r="D113" s="96" t="n">
        <v>125015</v>
      </c>
      <c r="E113" s="96" t="n">
        <v>12001440000</v>
      </c>
      <c r="F113" s="96" t="n">
        <v>3963794931</v>
      </c>
      <c r="G113" s="97" t="n">
        <v>0.004</v>
      </c>
      <c r="H113" s="97" t="n">
        <v>0.1037</v>
      </c>
      <c r="I113" s="97" t="n">
        <v>0.003</v>
      </c>
      <c r="J113" s="97" t="n">
        <v>0.037995</v>
      </c>
      <c r="K113" s="96" t="n">
        <v>18</v>
      </c>
      <c r="L113" s="95" t="inlineStr">
        <is>
          <t>20260828</t>
        </is>
      </c>
      <c r="M113" s="95" t="inlineStr">
        <is>
          <t>제외</t>
        </is>
      </c>
      <c r="N113" s="95" t="inlineStr">
        <is>
          <t>순자산 120억(기준 300억 미만)</t>
        </is>
      </c>
      <c r="O113" s="95" t="inlineStr">
        <is>
          <t>ICE BOFAML 1-3 YEAR AAA-A US CORPORATE INDEX</t>
        </is>
      </c>
      <c r="P113" s="95" t="inlineStr">
        <is>
          <t>일반</t>
        </is>
      </c>
      <c r="Q113" s="95" t="inlineStr">
        <is>
          <t>채권</t>
        </is>
      </c>
      <c r="R113" s="95" t="inlineStr">
        <is>
          <t>월배당</t>
        </is>
      </c>
      <c r="S113" s="96" t="n">
        <v>11</v>
      </c>
      <c r="T113">
        <f>IF(AND($J113&lt;&gt;"",OR(조회_주기="전체",$R113=조회_주기),$J113&gt;=조회_최소,$J113&lt;=조회_최대),1,0)</f>
        <v/>
      </c>
      <c r="U113">
        <f>IF($T113=1,COUNTIF($T$4:$T113,1),"")</f>
        <v/>
      </c>
    </row>
    <row r="114">
      <c r="A114" s="95" t="inlineStr">
        <is>
          <t>RISE 코리아금융고배당</t>
        </is>
      </c>
      <c r="B114" s="95" t="inlineStr">
        <is>
          <t>498860</t>
        </is>
      </c>
      <c r="C114" s="95" t="inlineStr">
        <is>
          <t>KB자산운용</t>
        </is>
      </c>
      <c r="D114" s="96" t="n">
        <v>16715</v>
      </c>
      <c r="E114" s="96" t="n">
        <v>33460000000</v>
      </c>
      <c r="F114" s="96" t="n">
        <v>433580877</v>
      </c>
      <c r="G114" s="97" t="n">
        <v>0.002237</v>
      </c>
      <c r="H114" s="97" t="n">
        <v>0.421</v>
      </c>
      <c r="I114" s="97" t="n">
        <v>0.0024</v>
      </c>
      <c r="J114" s="97" t="n">
        <v>0.035537</v>
      </c>
      <c r="K114" s="96" t="n">
        <v>21</v>
      </c>
      <c r="L114" s="95" t="inlineStr">
        <is>
          <t>20260914</t>
        </is>
      </c>
      <c r="M114" s="95" t="inlineStr">
        <is>
          <t>제외</t>
        </is>
      </c>
      <c r="N114" s="95" t="inlineStr">
        <is>
          <t>60일 거래대금 4.3억(기준 5억 미만), 변동성 42.1%(1년 기준, 기준 35% 초과)</t>
        </is>
      </c>
      <c r="O114" s="95" t="inlineStr">
        <is>
          <t>iSelect 코리아 금융 고배당 지수</t>
        </is>
      </c>
      <c r="P114" s="95" t="inlineStr">
        <is>
          <t>일반</t>
        </is>
      </c>
      <c r="Q114" s="95" t="inlineStr">
        <is>
          <t>주식</t>
        </is>
      </c>
      <c r="R114" s="95" t="inlineStr">
        <is>
          <t>월배당</t>
        </is>
      </c>
      <c r="S114" s="96" t="n">
        <v>12</v>
      </c>
      <c r="T114">
        <f>IF(AND($J114&lt;&gt;"",OR(조회_주기="전체",$R114=조회_주기),$J114&gt;=조회_최소,$J114&lt;=조회_최대),1,0)</f>
        <v/>
      </c>
      <c r="U114">
        <f>IF($T114=1,COUNTIF($T$4:$T114,1),"")</f>
        <v/>
      </c>
    </row>
    <row r="115">
      <c r="A115" s="95" t="inlineStr">
        <is>
          <t>1Q 미국배당TOP30</t>
        </is>
      </c>
      <c r="B115" s="95" t="inlineStr">
        <is>
          <t>0004G0</t>
        </is>
      </c>
      <c r="C115" s="95" t="inlineStr">
        <is>
          <t>하나자산운용</t>
        </is>
      </c>
      <c r="D115" s="96" t="n">
        <v>8800</v>
      </c>
      <c r="E115" s="96" t="n">
        <v>13200000000</v>
      </c>
      <c r="F115" s="96" t="n">
        <v>90841055</v>
      </c>
      <c r="G115" s="97" t="n">
        <v>0.004354</v>
      </c>
      <c r="H115" s="97" t="n">
        <v>0.1576</v>
      </c>
      <c r="I115" s="97" t="n">
        <v>0.0028</v>
      </c>
      <c r="J115" s="97" t="n">
        <v>0.035</v>
      </c>
      <c r="K115" s="96" t="n">
        <v>18</v>
      </c>
      <c r="L115" s="95" t="inlineStr">
        <is>
          <t>20260828</t>
        </is>
      </c>
      <c r="M115" s="95" t="inlineStr">
        <is>
          <t>제외</t>
        </is>
      </c>
      <c r="N115" s="95" t="inlineStr">
        <is>
          <t>순자산 132억(기준 300억 미만), 60일 거래대금 0.9억(기준 5억 미만)</t>
        </is>
      </c>
      <c r="O115" s="95" t="inlineStr">
        <is>
          <t>Solactive U.S. Dividend 30 Index PR</t>
        </is>
      </c>
      <c r="P115" s="95" t="inlineStr">
        <is>
          <t>일반</t>
        </is>
      </c>
      <c r="Q115" s="95" t="inlineStr">
        <is>
          <t>주식</t>
        </is>
      </c>
      <c r="R115" s="95" t="inlineStr">
        <is>
          <t>월배당</t>
        </is>
      </c>
      <c r="S115" s="96" t="n">
        <v>11</v>
      </c>
      <c r="T115">
        <f>IF(AND($J115&lt;&gt;"",OR(조회_주기="전체",$R115=조회_주기),$J115&gt;=조회_최소,$J115&lt;=조회_최대),1,0)</f>
        <v/>
      </c>
      <c r="U115">
        <f>IF($T115=1,COUNTIF($T$4:$T115,1),"")</f>
        <v/>
      </c>
    </row>
    <row r="116">
      <c r="A116" s="95" t="inlineStr">
        <is>
          <t>ACE 미국부동산리츠(합성 H)</t>
        </is>
      </c>
      <c r="B116" s="95" t="inlineStr">
        <is>
          <t>181480</t>
        </is>
      </c>
      <c r="C116" s="95" t="inlineStr">
        <is>
          <t>한국투신운용(ETF)</t>
        </is>
      </c>
      <c r="D116" s="96" t="n">
        <v>82105</v>
      </c>
      <c r="E116" s="96" t="n">
        <v>9852600000</v>
      </c>
      <c r="F116" s="96" t="n">
        <v>85833165</v>
      </c>
      <c r="G116" s="97" t="n">
        <v>0.004405</v>
      </c>
      <c r="H116" s="97" t="n">
        <v>0.1411</v>
      </c>
      <c r="I116" s="97" t="n">
        <v>0.0025</v>
      </c>
      <c r="J116" s="97" t="n">
        <v>0.034809</v>
      </c>
      <c r="K116" s="96" t="n">
        <v>25</v>
      </c>
      <c r="L116" s="95" t="inlineStr">
        <is>
          <t>20260828</t>
        </is>
      </c>
      <c r="M116" s="95" t="inlineStr">
        <is>
          <t>제외</t>
        </is>
      </c>
      <c r="N116" s="95" t="inlineStr">
        <is>
          <t>순자산 99억(기준 300억 미만), 60일 거래대금 0.9억(기준 5억 미만)</t>
        </is>
      </c>
      <c r="O116" s="95" t="inlineStr">
        <is>
          <t>DowJones US Real Estate Index</t>
        </is>
      </c>
      <c r="P116" s="95" t="inlineStr">
        <is>
          <t>일반</t>
        </is>
      </c>
      <c r="Q116" s="95" t="inlineStr">
        <is>
          <t>부동산</t>
        </is>
      </c>
      <c r="R116" s="95" t="inlineStr">
        <is>
          <t>월배당</t>
        </is>
      </c>
      <c r="S116" s="96" t="n">
        <v>11</v>
      </c>
      <c r="T116">
        <f>IF(AND($J116&lt;&gt;"",OR(조회_주기="전체",$R116=조회_주기),$J116&gt;=조회_최소,$J116&lt;=조회_최대),1,0)</f>
        <v/>
      </c>
      <c r="U116">
        <f>IF($T116=1,COUNTIF($T$4:$T116,1),"")</f>
        <v/>
      </c>
    </row>
    <row r="117">
      <c r="A117" s="95" t="inlineStr">
        <is>
          <t>TIGER 리츠부동산인프라10채권혼합액티브</t>
        </is>
      </c>
      <c r="B117" s="95" t="inlineStr">
        <is>
          <t>0086C0</t>
        </is>
      </c>
      <c r="C117" s="95" t="inlineStr">
        <is>
          <t>미래에셋자산운용</t>
        </is>
      </c>
      <c r="D117" s="96" t="n">
        <v>9755</v>
      </c>
      <c r="E117" s="96" t="n">
        <v>17071250000</v>
      </c>
      <c r="F117" s="96" t="n">
        <v>95033508</v>
      </c>
      <c r="G117" s="97" t="n">
        <v>0.002413</v>
      </c>
      <c r="H117" s="97" t="n">
        <v>0.0764</v>
      </c>
      <c r="I117" s="97" t="n">
        <v>0.0029</v>
      </c>
      <c r="J117" s="97" t="n">
        <v>0.034444</v>
      </c>
      <c r="K117" s="96" t="n">
        <v>13</v>
      </c>
      <c r="L117" s="95" t="inlineStr">
        <is>
          <t>20260914</t>
        </is>
      </c>
      <c r="M117" s="95" t="inlineStr">
        <is>
          <t>제외</t>
        </is>
      </c>
      <c r="N117" s="95" t="inlineStr">
        <is>
          <t>순자산 171억(기준 300억 미만), 60일 거래대금 1.0억(기준 5억 미만)</t>
        </is>
      </c>
      <c r="O117" s="95" t="inlineStr">
        <is>
          <t>KEDI 리츠부동산인프라TOP10 채권혼합 지수</t>
        </is>
      </c>
      <c r="P117" s="95" t="inlineStr">
        <is>
          <t>일반</t>
        </is>
      </c>
      <c r="Q117" s="95" t="inlineStr">
        <is>
          <t>멀티에셋</t>
        </is>
      </c>
      <c r="R117" s="95" t="inlineStr">
        <is>
          <t>월배당</t>
        </is>
      </c>
      <c r="S117" s="96" t="n">
        <v>12</v>
      </c>
      <c r="T117">
        <f>IF(AND($J117&lt;&gt;"",OR(조회_주기="전체",$R117=조회_주기),$J117&gt;=조회_최소,$J117&lt;=조회_최대),1,0)</f>
        <v/>
      </c>
      <c r="U117">
        <f>IF($T117=1,COUNTIF($T$4:$T117,1),"")</f>
        <v/>
      </c>
    </row>
    <row r="118">
      <c r="A118" s="95" t="inlineStr">
        <is>
          <t>KODEX 미국부동산리츠(H)</t>
        </is>
      </c>
      <c r="B118" s="95" t="inlineStr">
        <is>
          <t>352560</t>
        </is>
      </c>
      <c r="C118" s="95" t="inlineStr">
        <is>
          <t>삼성자산운용(ETF)</t>
        </is>
      </c>
      <c r="D118" s="96" t="n">
        <v>11935</v>
      </c>
      <c r="E118" s="96" t="n">
        <v>31627750000</v>
      </c>
      <c r="F118" s="96" t="n">
        <v>428135026</v>
      </c>
      <c r="G118" s="97" t="n">
        <v>0.003289</v>
      </c>
      <c r="H118" s="97" t="n">
        <v>0.1371</v>
      </c>
      <c r="I118" s="97" t="n">
        <v>0.0021</v>
      </c>
      <c r="J118" s="97" t="n">
        <v>0.034185</v>
      </c>
      <c r="K118" s="96" t="n">
        <v>47</v>
      </c>
      <c r="L118" s="95" t="inlineStr">
        <is>
          <t>20260828</t>
        </is>
      </c>
      <c r="M118" s="95" t="inlineStr">
        <is>
          <t>제외</t>
        </is>
      </c>
      <c r="N118" s="95" t="inlineStr">
        <is>
          <t>60일 거래대금 4.3억(기준 5억 미만)</t>
        </is>
      </c>
      <c r="O118" s="95" t="inlineStr">
        <is>
          <t>Dow Jones U.S. Real Estate Index</t>
        </is>
      </c>
      <c r="P118" s="95" t="inlineStr">
        <is>
          <t>일반</t>
        </is>
      </c>
      <c r="Q118" s="95" t="inlineStr">
        <is>
          <t>부동산</t>
        </is>
      </c>
      <c r="R118" s="95" t="inlineStr">
        <is>
          <t>월배당</t>
        </is>
      </c>
      <c r="S118" s="96" t="n">
        <v>10</v>
      </c>
      <c r="T118">
        <f>IF(AND($J118&lt;&gt;"",OR(조회_주기="전체",$R118=조회_주기),$J118&gt;=조회_최소,$J118&lt;=조회_최대),1,0)</f>
        <v/>
      </c>
      <c r="U118">
        <f>IF($T118=1,COUNTIF($T$4:$T118,1),"")</f>
        <v/>
      </c>
    </row>
    <row r="119">
      <c r="A119" s="95" t="inlineStr">
        <is>
          <t>SOL 금융지주플러스고배당</t>
        </is>
      </c>
      <c r="B119" s="95" t="inlineStr">
        <is>
          <t>484880</t>
        </is>
      </c>
      <c r="C119" s="95" t="inlineStr">
        <is>
          <t>신한자산운용</t>
        </is>
      </c>
      <c r="D119" s="96" t="n">
        <v>23690</v>
      </c>
      <c r="E119" s="96" t="n">
        <v>396975000000</v>
      </c>
      <c r="F119" s="96" t="n">
        <v>15002139046</v>
      </c>
      <c r="G119" s="97" t="n">
        <v>0.003656</v>
      </c>
      <c r="H119" s="97" t="n">
        <v>0.361</v>
      </c>
      <c r="I119" s="97" t="n">
        <v>0.0038</v>
      </c>
      <c r="J119" s="97" t="n">
        <v>0.034149</v>
      </c>
      <c r="K119" s="96" t="n">
        <v>26</v>
      </c>
      <c r="L119" s="95" t="inlineStr">
        <is>
          <t>20260828</t>
        </is>
      </c>
      <c r="M119" s="95" t="inlineStr">
        <is>
          <t>제외</t>
        </is>
      </c>
      <c r="N119" s="95" t="inlineStr">
        <is>
          <t>변동성 36.1%(1년 기준, 기준 35% 초과)</t>
        </is>
      </c>
      <c r="O119" s="95" t="inlineStr">
        <is>
          <t>FnGuide 금융지주플러스고배당 지수</t>
        </is>
      </c>
      <c r="P119" s="95" t="inlineStr">
        <is>
          <t>일반</t>
        </is>
      </c>
      <c r="Q119" s="95" t="inlineStr">
        <is>
          <t>주식</t>
        </is>
      </c>
      <c r="R119" s="95" t="inlineStr">
        <is>
          <t>월배당</t>
        </is>
      </c>
      <c r="S119" s="96" t="n">
        <v>11</v>
      </c>
      <c r="T119">
        <f>IF(AND($J119&lt;&gt;"",OR(조회_주기="전체",$R119=조회_주기),$J119&gt;=조회_최소,$J119&lt;=조회_최대),1,0)</f>
        <v/>
      </c>
      <c r="U119">
        <f>IF($T119=1,COUNTIF($T$4:$T119,1),"")</f>
        <v/>
      </c>
    </row>
    <row r="120">
      <c r="A120" s="95" t="inlineStr">
        <is>
          <t>TIGER 미국MSCI리츠(합성 H)</t>
        </is>
      </c>
      <c r="B120" s="95" t="inlineStr">
        <is>
          <t>182480</t>
        </is>
      </c>
      <c r="C120" s="95" t="inlineStr">
        <is>
          <t>미래에셋자산운용</t>
        </is>
      </c>
      <c r="D120" s="96" t="n">
        <v>13055</v>
      </c>
      <c r="E120" s="96" t="n">
        <v>115060000000</v>
      </c>
      <c r="F120" s="96" t="n">
        <v>233127062</v>
      </c>
      <c r="G120" s="97" t="n">
        <v>0.004358</v>
      </c>
      <c r="H120" s="97" t="n">
        <v>0.1395</v>
      </c>
      <c r="I120" s="97" t="n">
        <v>0.0014</v>
      </c>
      <c r="J120" s="97" t="n">
        <v>0.03401</v>
      </c>
      <c r="K120" s="96" t="n">
        <v>53</v>
      </c>
      <c r="L120" s="95" t="inlineStr">
        <is>
          <t>20260828</t>
        </is>
      </c>
      <c r="M120" s="95" t="inlineStr">
        <is>
          <t>제외</t>
        </is>
      </c>
      <c r="N120" s="95" t="inlineStr">
        <is>
          <t>60일 거래대금 2.3억(기준 5억 미만)</t>
        </is>
      </c>
      <c r="O120" s="95" t="inlineStr">
        <is>
          <t>MSCI US REIT Index</t>
        </is>
      </c>
      <c r="P120" s="95" t="inlineStr">
        <is>
          <t>일반</t>
        </is>
      </c>
      <c r="Q120" s="95" t="inlineStr">
        <is>
          <t>부동산</t>
        </is>
      </c>
      <c r="R120" s="95" t="inlineStr">
        <is>
          <t>월배당</t>
        </is>
      </c>
      <c r="S120" s="96" t="n">
        <v>11</v>
      </c>
      <c r="T120">
        <f>IF(AND($J120&lt;&gt;"",OR(조회_주기="전체",$R120=조회_주기),$J120&gt;=조회_최소,$J120&lt;=조회_최대),1,0)</f>
        <v/>
      </c>
      <c r="U120">
        <f>IF($T120=1,COUNTIF($T$4:$T120,1),"")</f>
        <v/>
      </c>
    </row>
    <row r="121">
      <c r="A121" s="95" t="inlineStr">
        <is>
          <t>RISE 금융채액티브</t>
        </is>
      </c>
      <c r="B121" s="95" t="inlineStr">
        <is>
          <t>336160</t>
        </is>
      </c>
      <c r="C121" s="95" t="inlineStr">
        <is>
          <t>KB자산운용</t>
        </is>
      </c>
      <c r="D121" s="96" t="n">
        <v>99850</v>
      </c>
      <c r="E121" s="96" t="n">
        <v>46829650000</v>
      </c>
      <c r="F121" s="96" t="n">
        <v>27498510</v>
      </c>
      <c r="G121" s="97" t="n">
        <v>0.000946</v>
      </c>
      <c r="H121" s="97" t="n">
        <v>0.0203</v>
      </c>
      <c r="I121" s="97" t="n">
        <v>0.002</v>
      </c>
      <c r="J121" s="97" t="n">
        <v>0.032389</v>
      </c>
      <c r="K121" s="96" t="n">
        <v>44</v>
      </c>
      <c r="L121" s="95" t="inlineStr">
        <is>
          <t>20260828</t>
        </is>
      </c>
      <c r="M121" s="95" t="inlineStr">
        <is>
          <t>제외</t>
        </is>
      </c>
      <c r="N121" s="95" t="inlineStr">
        <is>
          <t>60일 거래대금 0.3억(기준 5억 미만)</t>
        </is>
      </c>
      <c r="O121" s="95" t="inlineStr">
        <is>
          <t>KIS 종합채권 금융채 2.5-3Y</t>
        </is>
      </c>
      <c r="P121" s="95" t="inlineStr">
        <is>
          <t>일반</t>
        </is>
      </c>
      <c r="Q121" s="95" t="inlineStr">
        <is>
          <t>채권</t>
        </is>
      </c>
      <c r="R121" s="95" t="inlineStr">
        <is>
          <t>월배당</t>
        </is>
      </c>
      <c r="S121" s="96" t="n">
        <v>11</v>
      </c>
      <c r="T121">
        <f>IF(AND($J121&lt;&gt;"",OR(조회_주기="전체",$R121=조회_주기),$J121&gt;=조회_최소,$J121&lt;=조회_최대),1,0)</f>
        <v/>
      </c>
      <c r="U121">
        <f>IF($T121=1,COUNTIF($T$4:$T121,1),"")</f>
        <v/>
      </c>
    </row>
    <row r="122">
      <c r="A122" s="95" t="inlineStr">
        <is>
          <t>KIWOOM 국고채30년액티브</t>
        </is>
      </c>
      <c r="B122" s="95" t="inlineStr">
        <is>
          <t>471460</t>
        </is>
      </c>
      <c r="C122" s="95" t="inlineStr">
        <is>
          <t>키움투자자산운용</t>
        </is>
      </c>
      <c r="D122" s="96" t="n">
        <v>44645</v>
      </c>
      <c r="E122" s="96" t="n">
        <v>20536700000</v>
      </c>
      <c r="F122" s="96" t="n">
        <v>85988265</v>
      </c>
      <c r="G122" s="97" t="n">
        <v>0.000663</v>
      </c>
      <c r="H122" s="97" t="n">
        <v>0.1397</v>
      </c>
      <c r="I122" s="97" t="n">
        <v>0.0028</v>
      </c>
      <c r="J122" s="97" t="n">
        <v>0.031717</v>
      </c>
      <c r="K122" s="96" t="n">
        <v>25</v>
      </c>
      <c r="L122" s="95" t="inlineStr">
        <is>
          <t>20260828</t>
        </is>
      </c>
      <c r="M122" s="95" t="inlineStr">
        <is>
          <t>제외</t>
        </is>
      </c>
      <c r="N122" s="95" t="inlineStr">
        <is>
          <t>순자산 205억(기준 300억 미만), 60일 거래대금 0.9억(기준 5억 미만)</t>
        </is>
      </c>
      <c r="O122" s="95" t="inlineStr">
        <is>
          <t>KIS-키움 국고채30년 지수</t>
        </is>
      </c>
      <c r="P122" s="95" t="inlineStr">
        <is>
          <t>일반</t>
        </is>
      </c>
      <c r="Q122" s="95" t="inlineStr">
        <is>
          <t>채권</t>
        </is>
      </c>
      <c r="R122" s="95" t="inlineStr">
        <is>
          <t>월배당</t>
        </is>
      </c>
      <c r="S122" s="96" t="n">
        <v>11</v>
      </c>
      <c r="T122">
        <f>IF(AND($J122&lt;&gt;"",OR(조회_주기="전체",$R122=조회_주기),$J122&gt;=조회_최소,$J122&lt;=조회_최대),1,0)</f>
        <v/>
      </c>
      <c r="U122">
        <f>IF($T122=1,COUNTIF($T$4:$T122,1),"")</f>
        <v/>
      </c>
    </row>
    <row r="123">
      <c r="A123" s="95" t="inlineStr">
        <is>
          <t>HANARO K고배당</t>
        </is>
      </c>
      <c r="B123" s="95" t="inlineStr">
        <is>
          <t>322410</t>
        </is>
      </c>
      <c r="C123" s="95" t="inlineStr">
        <is>
          <t>NH-Amundi자산운용</t>
        </is>
      </c>
      <c r="D123" s="96" t="n">
        <v>23125</v>
      </c>
      <c r="E123" s="96" t="n">
        <v>40503750000</v>
      </c>
      <c r="F123" s="96" t="n">
        <v>169078724</v>
      </c>
      <c r="G123" s="97" t="n">
        <v>0.001807</v>
      </c>
      <c r="H123" s="97" t="n">
        <v>0.2835</v>
      </c>
      <c r="I123" s="97" t="n">
        <v>0.003</v>
      </c>
      <c r="J123" s="97" t="n">
        <v>0.029924</v>
      </c>
      <c r="K123" s="96" t="n">
        <v>27</v>
      </c>
      <c r="L123" s="95" t="inlineStr">
        <is>
          <t>20260828</t>
        </is>
      </c>
      <c r="M123" s="95" t="inlineStr">
        <is>
          <t>제외</t>
        </is>
      </c>
      <c r="N123" s="95" t="inlineStr">
        <is>
          <t>60일 거래대금 1.7억(기준 5억 미만)</t>
        </is>
      </c>
      <c r="O123" s="95" t="inlineStr">
        <is>
          <t>FnGuide K고배당</t>
        </is>
      </c>
      <c r="P123" s="95" t="inlineStr">
        <is>
          <t>일반</t>
        </is>
      </c>
      <c r="Q123" s="95" t="inlineStr">
        <is>
          <t>주식</t>
        </is>
      </c>
      <c r="R123" s="95" t="inlineStr">
        <is>
          <t>월배당</t>
        </is>
      </c>
      <c r="S123" s="96" t="n">
        <v>11</v>
      </c>
      <c r="T123">
        <f>IF(AND($J123&lt;&gt;"",OR(조회_주기="전체",$R123=조회_주기),$J123&gt;=조회_최소,$J123&lt;=조회_최대),1,0)</f>
        <v/>
      </c>
      <c r="U123">
        <f>IF($T123=1,COUNTIF($T$4:$T123,1),"")</f>
        <v/>
      </c>
    </row>
    <row r="124">
      <c r="A124" s="95" t="inlineStr">
        <is>
          <t>RISE 미국S&amp;P배당킹</t>
        </is>
      </c>
      <c r="B124" s="95" t="inlineStr">
        <is>
          <t>460660</t>
        </is>
      </c>
      <c r="C124" s="95" t="inlineStr">
        <is>
          <t>KB자산운용</t>
        </is>
      </c>
      <c r="D124" s="96" t="n">
        <v>11615</v>
      </c>
      <c r="E124" s="96" t="n">
        <v>17437500000</v>
      </c>
      <c r="F124" s="96" t="n">
        <v>96717840</v>
      </c>
      <c r="G124" s="97" t="n">
        <v>0.003141</v>
      </c>
      <c r="H124" s="97" t="n">
        <v>0.1558</v>
      </c>
      <c r="I124" s="97" t="n">
        <v>0.0024</v>
      </c>
      <c r="J124" s="97" t="n">
        <v>0.029789</v>
      </c>
      <c r="K124" s="96" t="n">
        <v>38</v>
      </c>
      <c r="L124" s="95" t="inlineStr">
        <is>
          <t>20260828</t>
        </is>
      </c>
      <c r="M124" s="95" t="inlineStr">
        <is>
          <t>제외</t>
        </is>
      </c>
      <c r="N124" s="95" t="inlineStr">
        <is>
          <t>순자산 174억(기준 300억 미만), 60일 거래대금 1.0억(기준 5억 미만)</t>
        </is>
      </c>
      <c r="O124" s="95" t="inlineStr">
        <is>
          <t>S&amp;P Dividend Monarchs Index (USD)</t>
        </is>
      </c>
      <c r="P124" s="95" t="inlineStr">
        <is>
          <t>일반</t>
        </is>
      </c>
      <c r="Q124" s="95" t="inlineStr">
        <is>
          <t>주식</t>
        </is>
      </c>
      <c r="R124" s="95" t="inlineStr">
        <is>
          <t>월배당</t>
        </is>
      </c>
      <c r="S124" s="96" t="n">
        <v>11</v>
      </c>
      <c r="T124">
        <f>IF(AND($J124&lt;&gt;"",OR(조회_주기="전체",$R124=조회_주기),$J124&gt;=조회_최소,$J124&lt;=조회_최대),1,0)</f>
        <v/>
      </c>
      <c r="U124">
        <f>IF($T124=1,COUNTIF($T$4:$T124,1),"")</f>
        <v/>
      </c>
    </row>
    <row r="125">
      <c r="A125" s="95" t="inlineStr">
        <is>
          <t>SOL 미국배당다우존스2호</t>
        </is>
      </c>
      <c r="B125" s="95" t="inlineStr">
        <is>
          <t>493420</t>
        </is>
      </c>
      <c r="C125" s="95" t="inlineStr">
        <is>
          <t>신한자산운용</t>
        </is>
      </c>
      <c r="D125" s="96" t="n">
        <v>12500</v>
      </c>
      <c r="E125" s="96" t="n">
        <v>26239500000</v>
      </c>
      <c r="F125" s="96" t="n">
        <v>133242212</v>
      </c>
      <c r="G125" s="97" t="n">
        <v>0.001981</v>
      </c>
      <c r="H125" s="97" t="n">
        <v>0.1408</v>
      </c>
      <c r="I125" s="97" t="n">
        <v>0.0037</v>
      </c>
      <c r="J125" s="97" t="n">
        <v>0.02976</v>
      </c>
      <c r="K125" s="96" t="n">
        <v>16</v>
      </c>
      <c r="L125" s="95" t="inlineStr">
        <is>
          <t>20260914</t>
        </is>
      </c>
      <c r="M125" s="95" t="inlineStr">
        <is>
          <t>제외</t>
        </is>
      </c>
      <c r="N125" s="95" t="inlineStr">
        <is>
          <t>순자산 262억(기준 300억 미만), 60일 거래대금 1.3억(기준 5억 미만)</t>
        </is>
      </c>
      <c r="O125" s="95" t="inlineStr">
        <is>
          <t>Dow Jones U.S. Dividend 100 Total Return Index</t>
        </is>
      </c>
      <c r="P125" s="95" t="inlineStr">
        <is>
          <t>일반</t>
        </is>
      </c>
      <c r="Q125" s="95" t="inlineStr">
        <is>
          <t>주식</t>
        </is>
      </c>
      <c r="R125" s="95" t="inlineStr">
        <is>
          <t>월배당</t>
        </is>
      </c>
      <c r="S125" s="96" t="n">
        <v>12</v>
      </c>
      <c r="T125">
        <f>IF(AND($J125&lt;&gt;"",OR(조회_주기="전체",$R125=조회_주기),$J125&gt;=조회_최소,$J125&lt;=조회_최대),1,0)</f>
        <v/>
      </c>
      <c r="U125">
        <f>IF($T125=1,COUNTIF($T$4:$T125,1),"")</f>
        <v/>
      </c>
    </row>
    <row r="126">
      <c r="A126" s="95" t="inlineStr">
        <is>
          <t>PLUS 미국채30년액티브</t>
        </is>
      </c>
      <c r="B126" s="95" t="inlineStr">
        <is>
          <t>464470</t>
        </is>
      </c>
      <c r="C126" s="95" t="inlineStr">
        <is>
          <t>한화자산운용</t>
        </is>
      </c>
      <c r="D126" s="96" t="n">
        <v>47135</v>
      </c>
      <c r="E126" s="96" t="n">
        <v>36026420000</v>
      </c>
      <c r="F126" s="96" t="n">
        <v>302957266</v>
      </c>
      <c r="G126" s="97" t="n">
        <v>0.002515</v>
      </c>
      <c r="H126" s="97" t="n">
        <v>0.1307</v>
      </c>
      <c r="I126" s="97" t="n">
        <v>0.0019</v>
      </c>
      <c r="J126" s="97" t="n">
        <v>0.026838</v>
      </c>
      <c r="K126" s="96" t="n">
        <v>18</v>
      </c>
      <c r="L126" s="95" t="inlineStr">
        <is>
          <t>20260828</t>
        </is>
      </c>
      <c r="M126" s="95" t="inlineStr">
        <is>
          <t>제외</t>
        </is>
      </c>
      <c r="N126" s="95" t="inlineStr">
        <is>
          <t>60일 거래대금 3.0억(기준 5억 미만)</t>
        </is>
      </c>
      <c r="O126" s="95" t="inlineStr">
        <is>
          <t>ICE U.S. Treasury 20+ Year Bond Index</t>
        </is>
      </c>
      <c r="P126" s="95" t="inlineStr">
        <is>
          <t>일반</t>
        </is>
      </c>
      <c r="Q126" s="95" t="inlineStr">
        <is>
          <t>채권</t>
        </is>
      </c>
      <c r="R126" s="95" t="inlineStr">
        <is>
          <t>월배당</t>
        </is>
      </c>
      <c r="S126" s="96" t="n">
        <v>11</v>
      </c>
      <c r="T126">
        <f>IF(AND($J126&lt;&gt;"",OR(조회_주기="전체",$R126=조회_주기),$J126&gt;=조회_최소,$J126&lt;=조회_최대),1,0)</f>
        <v/>
      </c>
      <c r="U126">
        <f>IF($T126=1,COUNTIF($T$4:$T126,1),"")</f>
        <v/>
      </c>
    </row>
    <row r="127">
      <c r="A127" s="95" t="inlineStr">
        <is>
          <t>KIWOOM 엔비디아미국30년국채혼합액티브(H)</t>
        </is>
      </c>
      <c r="B127" s="95" t="inlineStr">
        <is>
          <t>0015E0</t>
        </is>
      </c>
      <c r="C127" s="95" t="inlineStr">
        <is>
          <t>키움투자자산운용</t>
        </is>
      </c>
      <c r="D127" s="96" t="n">
        <v>10375</v>
      </c>
      <c r="E127" s="96" t="n">
        <v>5187500000</v>
      </c>
      <c r="F127" s="96" t="n">
        <v>32801982</v>
      </c>
      <c r="G127" s="97" t="n">
        <v>0.005058</v>
      </c>
      <c r="H127" s="97" t="n">
        <v>0.1078</v>
      </c>
      <c r="I127" s="97" t="n">
        <v>0.0019</v>
      </c>
      <c r="J127" s="97" t="n">
        <v>0.023133</v>
      </c>
      <c r="K127" s="96" t="n">
        <v>18</v>
      </c>
      <c r="L127" s="95" t="inlineStr">
        <is>
          <t>20260828</t>
        </is>
      </c>
      <c r="M127" s="95" t="inlineStr">
        <is>
          <t>제외</t>
        </is>
      </c>
      <c r="N127" s="95" t="inlineStr">
        <is>
          <t>순자산 52억(기준 300억 미만), 60일 거래대금 0.3억(기준 5억 미만)</t>
        </is>
      </c>
      <c r="O127" s="95" t="inlineStr">
        <is>
          <t>Bloomberg BlendedNVDIAand USLong Treasury Bond Index</t>
        </is>
      </c>
      <c r="P127" s="95" t="inlineStr">
        <is>
          <t>일반</t>
        </is>
      </c>
      <c r="Q127" s="95" t="inlineStr">
        <is>
          <t>멀티에셋</t>
        </is>
      </c>
      <c r="R127" s="95" t="inlineStr">
        <is>
          <t>월배당</t>
        </is>
      </c>
      <c r="S127" s="96" t="n">
        <v>11</v>
      </c>
      <c r="T127">
        <f>IF(AND($J127&lt;&gt;"",OR(조회_주기="전체",$R127=조회_주기),$J127&gt;=조회_최소,$J127&lt;=조회_최대),1,0)</f>
        <v/>
      </c>
      <c r="U127">
        <f>IF($T127=1,COUNTIF($T$4:$T127,1),"")</f>
        <v/>
      </c>
    </row>
    <row r="128">
      <c r="A128" s="95" t="inlineStr">
        <is>
          <t>KIWOOM 팔란티어미국30년국채혼합액티브(H)</t>
        </is>
      </c>
      <c r="B128" s="95" t="inlineStr">
        <is>
          <t>0015F0</t>
        </is>
      </c>
      <c r="C128" s="95" t="inlineStr">
        <is>
          <t>키움투자자산운용</t>
        </is>
      </c>
      <c r="D128" s="96" t="n">
        <v>10440</v>
      </c>
      <c r="E128" s="96" t="n">
        <v>12528000000</v>
      </c>
      <c r="F128" s="96" t="n">
        <v>88856528</v>
      </c>
      <c r="G128" s="97" t="n">
        <v>0.004504</v>
      </c>
      <c r="H128" s="97" t="n">
        <v>0.1563</v>
      </c>
      <c r="I128" s="97" t="n">
        <v>0.0019</v>
      </c>
      <c r="J128" s="97" t="n">
        <v>0.022989</v>
      </c>
      <c r="K128" s="96" t="n">
        <v>18</v>
      </c>
      <c r="L128" s="95" t="inlineStr">
        <is>
          <t>20260828</t>
        </is>
      </c>
      <c r="M128" s="95" t="inlineStr">
        <is>
          <t>제외</t>
        </is>
      </c>
      <c r="N128" s="95" t="inlineStr">
        <is>
          <t>순자산 125억(기준 300억 미만), 60일 거래대금 0.9억(기준 5억 미만)</t>
        </is>
      </c>
      <c r="O128" s="95" t="inlineStr">
        <is>
          <t>Bloomberg Blended PALANTIR and USLong Treasury Bond Index</t>
        </is>
      </c>
      <c r="P128" s="95" t="inlineStr">
        <is>
          <t>일반</t>
        </is>
      </c>
      <c r="Q128" s="95" t="inlineStr">
        <is>
          <t>멀티에셋</t>
        </is>
      </c>
      <c r="R128" s="95" t="inlineStr">
        <is>
          <t>월배당</t>
        </is>
      </c>
      <c r="S128" s="96" t="n">
        <v>11</v>
      </c>
      <c r="T128">
        <f>IF(AND($J128&lt;&gt;"",OR(조회_주기="전체",$R128=조회_주기),$J128&gt;=조회_최소,$J128&lt;=조회_최대),1,0)</f>
        <v/>
      </c>
      <c r="U128">
        <f>IF($T128=1,COUNTIF($T$4:$T128,1),"")</f>
        <v/>
      </c>
    </row>
    <row r="129">
      <c r="A129" s="95" t="inlineStr">
        <is>
          <t>KODEX 미국S&amp;P500변동성확대시커버드콜</t>
        </is>
      </c>
      <c r="B129" s="95" t="inlineStr">
        <is>
          <t>0089C0</t>
        </is>
      </c>
      <c r="C129" s="95" t="inlineStr">
        <is>
          <t>삼성자산운용(ETF)</t>
        </is>
      </c>
      <c r="D129" s="96" t="n">
        <v>11270</v>
      </c>
      <c r="E129" s="96" t="n">
        <v>42826000000</v>
      </c>
      <c r="F129" s="96" t="n">
        <v>368838372</v>
      </c>
      <c r="G129" s="97" t="n">
        <v>0.006338</v>
      </c>
      <c r="H129" s="97" t="n">
        <v>0.1398</v>
      </c>
      <c r="I129" s="97" t="n">
        <v>0.0009</v>
      </c>
      <c r="J129" s="97" t="n">
        <v>0.022094</v>
      </c>
      <c r="K129" s="96" t="n">
        <v>12</v>
      </c>
      <c r="L129" s="95" t="inlineStr">
        <is>
          <t>20260828</t>
        </is>
      </c>
      <c r="M129" s="95" t="inlineStr">
        <is>
          <t>제외</t>
        </is>
      </c>
      <c r="N129" s="95" t="inlineStr">
        <is>
          <t>60일 거래대금 3.7억(기준 5억 미만)</t>
        </is>
      </c>
      <c r="O129" s="95" t="inlineStr">
        <is>
          <t>Cboe S&amp;P 500 Volatility Contingent Daily Covered Call Index</t>
        </is>
      </c>
      <c r="P129" s="95" t="inlineStr">
        <is>
          <t>커버드콜</t>
        </is>
      </c>
      <c r="Q129" s="95" t="inlineStr">
        <is>
          <t>주식</t>
        </is>
      </c>
      <c r="R129" s="95" t="inlineStr">
        <is>
          <t>월배당</t>
        </is>
      </c>
      <c r="S129" s="96" t="n">
        <v>11</v>
      </c>
      <c r="T129">
        <f>IF(AND($J129&lt;&gt;"",OR(조회_주기="전체",$R129=조회_주기),$J129&gt;=조회_최소,$J129&lt;=조회_최대),1,0)</f>
        <v/>
      </c>
      <c r="U129">
        <f>IF($T129=1,COUNTIF($T$4:$T129,1),"")</f>
        <v/>
      </c>
    </row>
    <row r="130">
      <c r="A130" s="95" t="inlineStr">
        <is>
          <t>ACE 미국배당퀄리티채권혼합50</t>
        </is>
      </c>
      <c r="B130" s="95" t="inlineStr">
        <is>
          <t>0049K0</t>
        </is>
      </c>
      <c r="C130" s="95" t="inlineStr">
        <is>
          <t>한국투신운용(ETF)</t>
        </is>
      </c>
      <c r="D130" s="96" t="n">
        <v>11020</v>
      </c>
      <c r="E130" s="96" t="n">
        <v>26999000000</v>
      </c>
      <c r="F130" s="96" t="n">
        <v>181672919</v>
      </c>
      <c r="G130" s="97" t="n">
        <v>0.00499</v>
      </c>
      <c r="H130" s="97" t="n">
        <v>0.0668</v>
      </c>
      <c r="I130" s="97" t="n">
        <v>0.0018</v>
      </c>
      <c r="J130" s="97" t="n">
        <v>0.021869</v>
      </c>
      <c r="K130" s="96" t="n">
        <v>15</v>
      </c>
      <c r="L130" s="95" t="inlineStr">
        <is>
          <t>20260828</t>
        </is>
      </c>
      <c r="M130" s="95" t="inlineStr">
        <is>
          <t>제외</t>
        </is>
      </c>
      <c r="N130" s="95" t="inlineStr">
        <is>
          <t>순자산 270억(기준 300억 미만), 60일 거래대금 1.8억(기준 5억 미만)</t>
        </is>
      </c>
      <c r="O130" s="95" t="inlineStr">
        <is>
          <t>Bloomberg WisdomTree U.S. Quality Dividend &amp; Short Term KRW</t>
        </is>
      </c>
      <c r="P130" s="95" t="inlineStr">
        <is>
          <t>일반</t>
        </is>
      </c>
      <c r="Q130" s="95" t="inlineStr">
        <is>
          <t>멀티에셋</t>
        </is>
      </c>
      <c r="R130" s="95" t="inlineStr">
        <is>
          <t>월배당</t>
        </is>
      </c>
      <c r="S130" s="96" t="n">
        <v>11</v>
      </c>
      <c r="T130">
        <f>IF(AND($J130&lt;&gt;"",OR(조회_주기="전체",$R130=조회_주기),$J130&gt;=조회_최소,$J130&lt;=조회_최대),1,0)</f>
        <v/>
      </c>
      <c r="U130">
        <f>IF($T130=1,COUNTIF($T$4:$T130,1),"")</f>
        <v/>
      </c>
    </row>
    <row r="131">
      <c r="A131" s="95" t="inlineStr">
        <is>
          <t>KODEX TRF5050</t>
        </is>
      </c>
      <c r="B131" s="95" t="inlineStr">
        <is>
          <t>329660</t>
        </is>
      </c>
      <c r="C131" s="95" t="inlineStr">
        <is>
          <t>삼성자산운용(ETF)</t>
        </is>
      </c>
      <c r="D131" s="96" t="n">
        <v>17635</v>
      </c>
      <c r="E131" s="96" t="n">
        <v>82884500000</v>
      </c>
      <c r="F131" s="96" t="n">
        <v>283009172</v>
      </c>
      <c r="G131" s="97" t="n">
        <v>0.002539</v>
      </c>
      <c r="H131" s="97" t="n">
        <v>0.0727</v>
      </c>
      <c r="I131" s="97" t="n">
        <v>0.0018</v>
      </c>
      <c r="J131" s="97" t="n">
        <v>0.021548</v>
      </c>
      <c r="K131" s="96" t="n">
        <v>14</v>
      </c>
      <c r="L131" s="95" t="inlineStr">
        <is>
          <t>20260914</t>
        </is>
      </c>
      <c r="M131" s="95" t="inlineStr">
        <is>
          <t>제외</t>
        </is>
      </c>
      <c r="N131" s="95" t="inlineStr">
        <is>
          <t>60일 거래대금 2.8억(기준 5억 미만)</t>
        </is>
      </c>
      <c r="O131" s="95" t="inlineStr">
        <is>
          <t>FnGuide TRF 5050 지수</t>
        </is>
      </c>
      <c r="P131" s="95" t="inlineStr">
        <is>
          <t>일반</t>
        </is>
      </c>
      <c r="Q131" s="95" t="inlineStr">
        <is>
          <t>멀티에셋</t>
        </is>
      </c>
      <c r="R131" s="95" t="inlineStr">
        <is>
          <t>월배당</t>
        </is>
      </c>
      <c r="S131" s="96" t="n">
        <v>12</v>
      </c>
      <c r="T131">
        <f>IF(AND($J131&lt;&gt;"",OR(조회_주기="전체",$R131=조회_주기),$J131&gt;=조회_최소,$J131&lt;=조회_최대),1,0)</f>
        <v/>
      </c>
      <c r="U131">
        <f>IF($T131=1,COUNTIF($T$4:$T131,1),"")</f>
        <v/>
      </c>
    </row>
    <row r="132">
      <c r="A132" s="95" t="inlineStr">
        <is>
          <t>KIWOOM 미국방어배당성장나스닥</t>
        </is>
      </c>
      <c r="B132" s="95" t="inlineStr">
        <is>
          <t>373790</t>
        </is>
      </c>
      <c r="C132" s="95" t="inlineStr">
        <is>
          <t>키움투자자산운용</t>
        </is>
      </c>
      <c r="D132" s="96" t="n">
        <v>15315</v>
      </c>
      <c r="E132" s="96" t="n">
        <v>4288200000</v>
      </c>
      <c r="F132" s="96" t="n">
        <v>11088906</v>
      </c>
      <c r="G132" s="97" t="n">
        <v>0.014787</v>
      </c>
      <c r="H132" s="97" t="n">
        <v>0.1427</v>
      </c>
      <c r="I132" s="97" t="n">
        <v>0.0019</v>
      </c>
      <c r="J132" s="97" t="n">
        <v>0.019719</v>
      </c>
      <c r="K132" s="96" t="n">
        <v>33</v>
      </c>
      <c r="L132" s="95" t="inlineStr">
        <is>
          <t>20260828</t>
        </is>
      </c>
      <c r="M132" s="95" t="inlineStr">
        <is>
          <t>제외</t>
        </is>
      </c>
      <c r="N132" s="95" t="inlineStr">
        <is>
          <t>순자산 43억(기준 300억 미만), 60일 거래대금 0.1억(기준 5억 미만)</t>
        </is>
      </c>
      <c r="O132" s="95" t="inlineStr">
        <is>
          <t>Nasdaq US Low Volatility Dividend Achievers Index</t>
        </is>
      </c>
      <c r="P132" s="95" t="inlineStr">
        <is>
          <t>일반</t>
        </is>
      </c>
      <c r="Q132" s="95" t="inlineStr">
        <is>
          <t>주식</t>
        </is>
      </c>
      <c r="R132" s="95" t="inlineStr">
        <is>
          <t>월배당</t>
        </is>
      </c>
      <c r="S132" s="96" t="n">
        <v>11</v>
      </c>
      <c r="T132">
        <f>IF(AND($J132&lt;&gt;"",OR(조회_주기="전체",$R132=조회_주기),$J132&gt;=조회_최소,$J132&lt;=조회_최대),1,0)</f>
        <v/>
      </c>
      <c r="U132">
        <f>IF($T132=1,COUNTIF($T$4:$T132,1),"")</f>
        <v/>
      </c>
    </row>
    <row r="133">
      <c r="A133" s="95" t="inlineStr">
        <is>
          <t>KoAct 코리아밸류업액티브</t>
        </is>
      </c>
      <c r="B133" s="95" t="inlineStr">
        <is>
          <t>495230</t>
        </is>
      </c>
      <c r="C133" s="95" t="inlineStr">
        <is>
          <t>삼성액티브자산(ETF)</t>
        </is>
      </c>
      <c r="D133" s="96" t="n">
        <v>30650</v>
      </c>
      <c r="E133" s="96" t="n">
        <v>241345000000</v>
      </c>
      <c r="F133" s="96" t="n">
        <v>3578698046</v>
      </c>
      <c r="G133" s="97" t="n">
        <v>0.010675</v>
      </c>
      <c r="H133" s="97" t="n">
        <v>0.5506</v>
      </c>
      <c r="I133" s="97" t="n">
        <v>0.002</v>
      </c>
      <c r="J133" s="97" t="n">
        <v>0.019706</v>
      </c>
      <c r="K133" s="96" t="n">
        <v>21</v>
      </c>
      <c r="L133" s="95" t="inlineStr">
        <is>
          <t>20260828</t>
        </is>
      </c>
      <c r="M133" s="95" t="inlineStr">
        <is>
          <t>제외</t>
        </is>
      </c>
      <c r="N133" s="95" t="inlineStr">
        <is>
          <t>변동성 55.1%(1년 기준, 기준 35% 초과)</t>
        </is>
      </c>
      <c r="O133" s="95" t="inlineStr">
        <is>
          <t>코리아 밸류업 지수</t>
        </is>
      </c>
      <c r="P133" s="95" t="inlineStr">
        <is>
          <t>일반</t>
        </is>
      </c>
      <c r="Q133" s="95" t="inlineStr">
        <is>
          <t>주식</t>
        </is>
      </c>
      <c r="R133" s="95" t="inlineStr">
        <is>
          <t>월배당</t>
        </is>
      </c>
      <c r="S133" s="96" t="n">
        <v>11</v>
      </c>
      <c r="T133">
        <f>IF(AND($J133&lt;&gt;"",OR(조회_주기="전체",$R133=조회_주기),$J133&gt;=조회_최소,$J133&lt;=조회_최대),1,0)</f>
        <v/>
      </c>
      <c r="U133">
        <f>IF($T133=1,COUNTIF($T$4:$T133,1),"")</f>
        <v/>
      </c>
    </row>
    <row r="134">
      <c r="A134" s="95" t="inlineStr">
        <is>
          <t>KODEX TRF7030</t>
        </is>
      </c>
      <c r="B134" s="95" t="inlineStr">
        <is>
          <t>329670</t>
        </is>
      </c>
      <c r="C134" s="95" t="inlineStr">
        <is>
          <t>삼성자산운용(ETF)</t>
        </is>
      </c>
      <c r="D134" s="96" t="n">
        <v>21740</v>
      </c>
      <c r="E134" s="96" t="n">
        <v>86940000000</v>
      </c>
      <c r="F134" s="96" t="n">
        <v>347315015</v>
      </c>
      <c r="G134" s="97" t="n">
        <v>0.001997</v>
      </c>
      <c r="H134" s="97" t="n">
        <v>0.1025</v>
      </c>
      <c r="I134" s="97" t="n">
        <v>0.0015</v>
      </c>
      <c r="J134" s="97" t="n">
        <v>0.018537</v>
      </c>
      <c r="K134" s="96" t="n">
        <v>14</v>
      </c>
      <c r="L134" s="95" t="inlineStr">
        <is>
          <t>20260914</t>
        </is>
      </c>
      <c r="M134" s="95" t="inlineStr">
        <is>
          <t>제외</t>
        </is>
      </c>
      <c r="N134" s="95" t="inlineStr">
        <is>
          <t>60일 거래대금 3.5억(기준 5억 미만)</t>
        </is>
      </c>
      <c r="O134" s="95" t="inlineStr">
        <is>
          <t>FnGuide TRF 7030 지수</t>
        </is>
      </c>
      <c r="P134" s="95" t="inlineStr">
        <is>
          <t>일반</t>
        </is>
      </c>
      <c r="Q134" s="95" t="inlineStr">
        <is>
          <t>멀티에셋</t>
        </is>
      </c>
      <c r="R134" s="95" t="inlineStr">
        <is>
          <t>월배당</t>
        </is>
      </c>
      <c r="S134" s="96" t="n">
        <v>12</v>
      </c>
      <c r="T134">
        <f>IF(AND($J134&lt;&gt;"",OR(조회_주기="전체",$R134=조회_주기),$J134&gt;=조회_최소,$J134&lt;=조회_최대),1,0)</f>
        <v/>
      </c>
      <c r="U134">
        <f>IF($T134=1,COUNTIF($T$4:$T134,1),"")</f>
        <v/>
      </c>
    </row>
    <row r="135">
      <c r="A135" s="95" t="inlineStr">
        <is>
          <t>TIGER 글로벌비만치료제TOP2Plus</t>
        </is>
      </c>
      <c r="B135" s="95" t="inlineStr">
        <is>
          <t>476690</t>
        </is>
      </c>
      <c r="C135" s="95" t="inlineStr">
        <is>
          <t>미래에셋자산운용</t>
        </is>
      </c>
      <c r="D135" s="96" t="n">
        <v>10160</v>
      </c>
      <c r="E135" s="96" t="n">
        <v>30480000000</v>
      </c>
      <c r="F135" s="96" t="n">
        <v>221448576</v>
      </c>
      <c r="G135" s="97" t="n">
        <v>0.006367</v>
      </c>
      <c r="H135" s="97" t="n">
        <v>0.2427</v>
      </c>
      <c r="I135" s="97" t="n">
        <v>0.001</v>
      </c>
      <c r="J135" s="97" t="n">
        <v>0.016142</v>
      </c>
      <c r="K135" s="96" t="n">
        <v>30</v>
      </c>
      <c r="L135" s="95" t="inlineStr">
        <is>
          <t>20260828</t>
        </is>
      </c>
      <c r="M135" s="95" t="inlineStr">
        <is>
          <t>제외</t>
        </is>
      </c>
      <c r="N135" s="95" t="inlineStr">
        <is>
          <t>60일 거래대금 2.2억(기준 5억 미만)</t>
        </is>
      </c>
      <c r="O135" s="95" t="inlineStr">
        <is>
          <t>Indxx Global Obesity Treatment Top 2 Plus Index</t>
        </is>
      </c>
      <c r="P135" s="95" t="inlineStr">
        <is>
          <t>일반</t>
        </is>
      </c>
      <c r="Q135" s="95" t="inlineStr">
        <is>
          <t>주식</t>
        </is>
      </c>
      <c r="R135" s="95" t="inlineStr">
        <is>
          <t>월배당</t>
        </is>
      </c>
      <c r="S135" s="96" t="n">
        <v>11</v>
      </c>
      <c r="T135">
        <f>IF(AND($J135&lt;&gt;"",OR(조회_주기="전체",$R135=조회_주기),$J135&gt;=조회_최소,$J135&lt;=조회_최대),1,0)</f>
        <v/>
      </c>
      <c r="U135">
        <f>IF($T135=1,COUNTIF($T$4:$T135,1),"")</f>
        <v/>
      </c>
    </row>
    <row r="136">
      <c r="A136" s="95" t="inlineStr">
        <is>
          <t>TIGER 미국캐시카우100</t>
        </is>
      </c>
      <c r="B136" s="95" t="inlineStr">
        <is>
          <t>465670</t>
        </is>
      </c>
      <c r="C136" s="95" t="inlineStr">
        <is>
          <t>미래에셋자산운용</t>
        </is>
      </c>
      <c r="D136" s="96" t="n">
        <v>16510</v>
      </c>
      <c r="E136" s="96" t="n">
        <v>22423500000</v>
      </c>
      <c r="F136" s="96" t="n">
        <v>314831825</v>
      </c>
      <c r="G136" s="97" t="n">
        <v>0.007799</v>
      </c>
      <c r="H136" s="97" t="n">
        <v>0.1722</v>
      </c>
      <c r="I136" s="97" t="n">
        <v>0.001</v>
      </c>
      <c r="J136" s="97" t="n">
        <v>0.015021</v>
      </c>
      <c r="K136" s="96" t="n">
        <v>35</v>
      </c>
      <c r="L136" s="95" t="inlineStr">
        <is>
          <t>20260828</t>
        </is>
      </c>
      <c r="M136" s="95" t="inlineStr">
        <is>
          <t>제외</t>
        </is>
      </c>
      <c r="N136" s="95" t="inlineStr">
        <is>
          <t>순자산 224억(기준 300억 미만), 60일 거래대금 3.1억(기준 5억 미만)</t>
        </is>
      </c>
      <c r="O136" s="95" t="inlineStr">
        <is>
          <t>Global X U.S. Cash Flow Kings 100 Index PR</t>
        </is>
      </c>
      <c r="P136" s="95" t="inlineStr">
        <is>
          <t>일반</t>
        </is>
      </c>
      <c r="Q136" s="95" t="inlineStr">
        <is>
          <t>주식</t>
        </is>
      </c>
      <c r="R136" s="95" t="inlineStr">
        <is>
          <t>월배당</t>
        </is>
      </c>
      <c r="S136" s="96" t="n">
        <v>11</v>
      </c>
      <c r="T136">
        <f>IF(AND($J136&lt;&gt;"",OR(조회_주기="전체",$R136=조회_주기),$J136&gt;=조회_최소,$J136&lt;=조회_최대),1,0)</f>
        <v/>
      </c>
      <c r="U136">
        <f>IF($T136=1,COUNTIF($T$4:$T136,1),"")</f>
        <v/>
      </c>
    </row>
    <row r="137">
      <c r="A137" s="95" t="inlineStr">
        <is>
          <t>ACE 미국배당퀄리티</t>
        </is>
      </c>
      <c r="B137" s="95" t="inlineStr">
        <is>
          <t>0046Y0</t>
        </is>
      </c>
      <c r="C137" s="95" t="inlineStr">
        <is>
          <t>한국투신운용(ETF)</t>
        </is>
      </c>
      <c r="D137" s="96" t="n">
        <v>12365</v>
      </c>
      <c r="E137" s="96" t="n">
        <v>53169500000</v>
      </c>
      <c r="F137" s="96" t="n">
        <v>188080431</v>
      </c>
      <c r="G137" s="97" t="n">
        <v>0.004157</v>
      </c>
      <c r="H137" s="97" t="n">
        <v>0.1296</v>
      </c>
      <c r="I137" s="97" t="n">
        <v>0.001</v>
      </c>
      <c r="J137" s="97" t="n">
        <v>0.014153</v>
      </c>
      <c r="K137" s="96" t="n">
        <v>15</v>
      </c>
      <c r="L137" s="95" t="inlineStr">
        <is>
          <t>20260828</t>
        </is>
      </c>
      <c r="M137" s="95" t="inlineStr">
        <is>
          <t>제외</t>
        </is>
      </c>
      <c r="N137" s="95" t="inlineStr">
        <is>
          <t>60일 거래대금 1.9억(기준 5억 미만)</t>
        </is>
      </c>
      <c r="O137" s="95" t="inlineStr">
        <is>
          <t>Wisdom Tree U.S. Quality Dividend Growth Index</t>
        </is>
      </c>
      <c r="P137" s="95" t="inlineStr">
        <is>
          <t>일반</t>
        </is>
      </c>
      <c r="Q137" s="95" t="inlineStr">
        <is>
          <t>주식</t>
        </is>
      </c>
      <c r="R137" s="95" t="inlineStr">
        <is>
          <t>월배당</t>
        </is>
      </c>
      <c r="S137" s="96" t="n">
        <v>11</v>
      </c>
      <c r="T137">
        <f>IF(AND($J137&lt;&gt;"",OR(조회_주기="전체",$R137=조회_주기),$J137&gt;=조회_최소,$J137&lt;=조회_최대),1,0)</f>
        <v/>
      </c>
      <c r="U137">
        <f>IF($T137=1,COUNTIF($T$4:$T137,1),"")</f>
        <v/>
      </c>
    </row>
    <row r="138">
      <c r="A138" s="95" t="inlineStr">
        <is>
          <t>KIWOOM 미국테크100월간목표헤지액티브</t>
        </is>
      </c>
      <c r="B138" s="95" t="inlineStr">
        <is>
          <t>0084D0</t>
        </is>
      </c>
      <c r="C138" s="95" t="inlineStr">
        <is>
          <t>키움투자자산운용</t>
        </is>
      </c>
      <c r="D138" s="96" t="n">
        <v>11195</v>
      </c>
      <c r="E138" s="96" t="n">
        <v>8956000000</v>
      </c>
      <c r="F138" s="96" t="n">
        <v>56817401</v>
      </c>
      <c r="G138" s="97" t="n">
        <v>0.009686</v>
      </c>
      <c r="H138" s="97" t="n">
        <v>0.1352</v>
      </c>
      <c r="I138" s="97" t="n">
        <v>0.0012</v>
      </c>
      <c r="J138" s="97" t="n">
        <v>0.014113</v>
      </c>
      <c r="K138" s="96" t="n">
        <v>13</v>
      </c>
      <c r="L138" s="95" t="inlineStr">
        <is>
          <t>20260828</t>
        </is>
      </c>
      <c r="M138" s="95" t="inlineStr">
        <is>
          <t>제외</t>
        </is>
      </c>
      <c r="N138" s="95" t="inlineStr">
        <is>
          <t>순자산 90억(기준 300억 미만), 60일 거래대금 0.6억(기준 5억 미만)</t>
        </is>
      </c>
      <c r="O138" s="95" t="inlineStr">
        <is>
          <t>Akros U.S. Tech 100 Protective Allocation Monthly Index TR</t>
        </is>
      </c>
      <c r="P138" s="95" t="inlineStr">
        <is>
          <t>일반</t>
        </is>
      </c>
      <c r="Q138" s="95" t="inlineStr">
        <is>
          <t>멀티에셋</t>
        </is>
      </c>
      <c r="R138" s="95" t="inlineStr">
        <is>
          <t>월배당</t>
        </is>
      </c>
      <c r="S138" s="96" t="n">
        <v>11</v>
      </c>
      <c r="T138">
        <f>IF(AND($J138&lt;&gt;"",OR(조회_주기="전체",$R138=조회_주기),$J138&gt;=조회_최소,$J138&lt;=조회_최대),1,0)</f>
        <v/>
      </c>
      <c r="U138">
        <f>IF($T138=1,COUNTIF($T$4:$T138,1),"")</f>
        <v/>
      </c>
    </row>
    <row r="139">
      <c r="A139" s="95" t="inlineStr">
        <is>
          <t>KODEX 코리아밸류업</t>
        </is>
      </c>
      <c r="B139" s="95" t="inlineStr">
        <is>
          <t>495850</t>
        </is>
      </c>
      <c r="C139" s="95" t="inlineStr">
        <is>
          <t>삼성자산운용(ETF)</t>
        </is>
      </c>
      <c r="D139" s="96" t="n">
        <v>31660</v>
      </c>
      <c r="E139" s="96" t="n">
        <v>656945000000</v>
      </c>
      <c r="F139" s="96" t="n">
        <v>10315973385</v>
      </c>
      <c r="G139" s="97" t="n">
        <v>0.001629</v>
      </c>
      <c r="H139" s="97" t="n">
        <v>0.5247999999999999</v>
      </c>
      <c r="I139" s="97" t="n">
        <v>0.0012</v>
      </c>
      <c r="J139" s="97" t="n">
        <v>0.011497</v>
      </c>
      <c r="K139" s="96" t="n">
        <v>21</v>
      </c>
      <c r="L139" s="95" t="inlineStr">
        <is>
          <t>20260828</t>
        </is>
      </c>
      <c r="M139" s="95" t="inlineStr">
        <is>
          <t>제외</t>
        </is>
      </c>
      <c r="N139" s="95" t="inlineStr">
        <is>
          <t>변동성 52.5%(1년 기준, 기준 35% 초과)</t>
        </is>
      </c>
      <c r="O139" s="95" t="inlineStr">
        <is>
          <t>코리아 밸류업 지수</t>
        </is>
      </c>
      <c r="P139" s="95" t="inlineStr">
        <is>
          <t>일반</t>
        </is>
      </c>
      <c r="Q139" s="95" t="inlineStr">
        <is>
          <t>주식</t>
        </is>
      </c>
      <c r="R139" s="95" t="inlineStr">
        <is>
          <t>월배당</t>
        </is>
      </c>
      <c r="S139" s="96" t="n">
        <v>11</v>
      </c>
      <c r="T139">
        <f>IF(AND($J139&lt;&gt;"",OR(조회_주기="전체",$R139=조회_주기),$J139&gt;=조회_최소,$J139&lt;=조회_최대),1,0)</f>
        <v/>
      </c>
      <c r="U139">
        <f>IF($T139=1,COUNTIF($T$4:$T139,1),"")</f>
        <v/>
      </c>
    </row>
    <row r="140">
      <c r="A140" s="95" t="inlineStr">
        <is>
          <t>1Q 코리아밸류업</t>
        </is>
      </c>
      <c r="B140" s="95" t="inlineStr">
        <is>
          <t>495330</t>
        </is>
      </c>
      <c r="C140" s="95" t="inlineStr">
        <is>
          <t>하나자산운용</t>
        </is>
      </c>
      <c r="D140" s="96" t="n">
        <v>31550</v>
      </c>
      <c r="E140" s="96" t="n">
        <v>135665000000</v>
      </c>
      <c r="F140" s="96" t="n">
        <v>608977454</v>
      </c>
      <c r="G140" s="97" t="n">
        <v>0.00091</v>
      </c>
      <c r="H140" s="97" t="n">
        <v>0.5251</v>
      </c>
      <c r="I140" s="97" t="n">
        <v>0.0012</v>
      </c>
      <c r="J140" s="97" t="n">
        <v>0.011189</v>
      </c>
      <c r="K140" s="96" t="n">
        <v>20</v>
      </c>
      <c r="L140" s="95" t="inlineStr">
        <is>
          <t>20260828</t>
        </is>
      </c>
      <c r="M140" s="95" t="inlineStr">
        <is>
          <t>제외</t>
        </is>
      </c>
      <c r="N140" s="95" t="inlineStr">
        <is>
          <t>변동성 52.5%(1년 기준, 기준 35% 초과)</t>
        </is>
      </c>
      <c r="O140" s="95" t="inlineStr">
        <is>
          <t>코리아 밸류업 지수</t>
        </is>
      </c>
      <c r="P140" s="95" t="inlineStr">
        <is>
          <t>일반</t>
        </is>
      </c>
      <c r="Q140" s="95" t="inlineStr">
        <is>
          <t>주식</t>
        </is>
      </c>
      <c r="R140" s="95" t="inlineStr">
        <is>
          <t>월배당</t>
        </is>
      </c>
      <c r="S140" s="96" t="n">
        <v>10</v>
      </c>
      <c r="T140">
        <f>IF(AND($J140&lt;&gt;"",OR(조회_주기="전체",$R140=조회_주기),$J140&gt;=조회_최소,$J140&lt;=조회_최대),1,0)</f>
        <v/>
      </c>
      <c r="U140">
        <f>IF($T140=1,COUNTIF($T$4:$T140,1),"")</f>
        <v/>
      </c>
    </row>
    <row r="141">
      <c r="A141" s="95" t="inlineStr">
        <is>
          <t>SOL 미국S&amp;P500엔화노출(H)</t>
        </is>
      </c>
      <c r="B141" s="95" t="inlineStr">
        <is>
          <t>499150</t>
        </is>
      </c>
      <c r="C141" s="95" t="inlineStr">
        <is>
          <t>신한자산운용</t>
        </is>
      </c>
      <c r="D141" s="96" t="n">
        <v>10815</v>
      </c>
      <c r="E141" s="96" t="n">
        <v>5425000000</v>
      </c>
      <c r="F141" s="96" t="n">
        <v>22199954</v>
      </c>
      <c r="G141" s="97" t="n">
        <v>0.009134</v>
      </c>
      <c r="H141" s="97" t="n">
        <v>0.153</v>
      </c>
      <c r="I141" s="97" t="n">
        <v>0.0009</v>
      </c>
      <c r="J141" s="97" t="n">
        <v>0.011003</v>
      </c>
      <c r="K141" s="96" t="n">
        <v>20</v>
      </c>
      <c r="L141" s="95" t="inlineStr">
        <is>
          <t>20260828</t>
        </is>
      </c>
      <c r="M141" s="95" t="inlineStr">
        <is>
          <t>제외</t>
        </is>
      </c>
      <c r="N141" s="95" t="inlineStr">
        <is>
          <t>순자산 54억(기준 300억 미만), 60일 거래대금 0.2억(기준 5억 미만)</t>
        </is>
      </c>
      <c r="O141" s="95" t="inlineStr">
        <is>
          <t>S&amp;P 500 YEN Hdg</t>
        </is>
      </c>
      <c r="P141" s="95" t="inlineStr">
        <is>
          <t>일반</t>
        </is>
      </c>
      <c r="Q141" s="95" t="inlineStr">
        <is>
          <t>주식</t>
        </is>
      </c>
      <c r="R141" s="95" t="inlineStr">
        <is>
          <t>월배당</t>
        </is>
      </c>
      <c r="S141" s="96" t="n">
        <v>11</v>
      </c>
      <c r="T141">
        <f>IF(AND($J141&lt;&gt;"",OR(조회_주기="전체",$R141=조회_주기),$J141&gt;=조회_최소,$J141&lt;=조회_최대),1,0)</f>
        <v/>
      </c>
      <c r="U141">
        <f>IF($T141=1,COUNTIF($T$4:$T141,1),"")</f>
        <v/>
      </c>
    </row>
    <row r="142">
      <c r="A142" s="95" t="inlineStr">
        <is>
          <t>RISE 코리아밸류업</t>
        </is>
      </c>
      <c r="B142" s="95" t="inlineStr">
        <is>
          <t>495050</t>
        </is>
      </c>
      <c r="C142" s="95" t="inlineStr">
        <is>
          <t>KB자산운용</t>
        </is>
      </c>
      <c r="D142" s="96" t="n">
        <v>31870</v>
      </c>
      <c r="E142" s="96" t="n">
        <v>941906250000</v>
      </c>
      <c r="F142" s="96" t="n">
        <v>14878321946</v>
      </c>
      <c r="G142" s="97" t="n">
        <v>0.000663</v>
      </c>
      <c r="H142" s="97" t="n">
        <v>0.5252</v>
      </c>
      <c r="I142" s="97" t="n">
        <v>0.0011</v>
      </c>
      <c r="J142" s="97" t="n">
        <v>0.010919</v>
      </c>
      <c r="K142" s="96" t="n">
        <v>19</v>
      </c>
      <c r="L142" s="95" t="inlineStr">
        <is>
          <t>20260914</t>
        </is>
      </c>
      <c r="M142" s="95" t="inlineStr">
        <is>
          <t>제외</t>
        </is>
      </c>
      <c r="N142" s="95" t="inlineStr">
        <is>
          <t>변동성 52.5%(1년 기준, 기준 35% 초과)</t>
        </is>
      </c>
      <c r="O142" s="95" t="inlineStr">
        <is>
          <t>코리아 밸류업 지수</t>
        </is>
      </c>
      <c r="P142" s="95" t="inlineStr">
        <is>
          <t>일반</t>
        </is>
      </c>
      <c r="Q142" s="95" t="inlineStr">
        <is>
          <t>주식</t>
        </is>
      </c>
      <c r="R142" s="95" t="inlineStr">
        <is>
          <t>월배당</t>
        </is>
      </c>
      <c r="S142" s="96" t="n">
        <v>11</v>
      </c>
      <c r="T142">
        <f>IF(AND($J142&lt;&gt;"",OR(조회_주기="전체",$R142=조회_주기),$J142&gt;=조회_최소,$J142&lt;=조회_최대),1,0)</f>
        <v/>
      </c>
      <c r="U142">
        <f>IF($T142=1,COUNTIF($T$4:$T142,1),"")</f>
        <v/>
      </c>
    </row>
    <row r="143">
      <c r="A143" s="95" t="inlineStr">
        <is>
          <t>PLUS 미국나스닥100미국채혼합50</t>
        </is>
      </c>
      <c r="B143" s="95" t="inlineStr">
        <is>
          <t>0089B0</t>
        </is>
      </c>
      <c r="C143" s="95" t="inlineStr">
        <is>
          <t>한화자산운용</t>
        </is>
      </c>
      <c r="D143" s="96" t="n">
        <v>11110</v>
      </c>
      <c r="E143" s="96" t="n">
        <v>33375000000</v>
      </c>
      <c r="F143" s="96" t="n">
        <v>432237782</v>
      </c>
      <c r="G143" s="97" t="n">
        <v>0.004684</v>
      </c>
      <c r="H143" s="97" t="n">
        <v>0.1297</v>
      </c>
      <c r="I143" s="97" t="n">
        <v>0.0009</v>
      </c>
      <c r="J143" s="97" t="n">
        <v>0.010621</v>
      </c>
      <c r="K143" s="96" t="n">
        <v>9</v>
      </c>
      <c r="L143" s="95" t="inlineStr">
        <is>
          <t>20260828</t>
        </is>
      </c>
      <c r="M143" s="95" t="inlineStr">
        <is>
          <t>제외</t>
        </is>
      </c>
      <c r="N143" s="95" t="inlineStr">
        <is>
          <t>60일 거래대금 4.3억(기준 5억 미만)</t>
        </is>
      </c>
      <c r="O143" s="95" t="inlineStr">
        <is>
          <t>Nasdaq-100 US T-Bills 1-3 Month 50/50 Index</t>
        </is>
      </c>
      <c r="P143" s="95" t="inlineStr">
        <is>
          <t>일반</t>
        </is>
      </c>
      <c r="Q143" s="95" t="inlineStr">
        <is>
          <t>멀티에셋</t>
        </is>
      </c>
      <c r="R143" s="95" t="inlineStr">
        <is>
          <t>비정기</t>
        </is>
      </c>
      <c r="S143" s="96" t="n">
        <v>9</v>
      </c>
      <c r="T143">
        <f>IF(AND($J143&lt;&gt;"",OR(조회_주기="전체",$R143=조회_주기),$J143&gt;=조회_최소,$J143&lt;=조회_최대),1,0)</f>
        <v/>
      </c>
      <c r="U143">
        <f>IF($T143=1,COUNTIF($T$4:$T143,1),"")</f>
        <v/>
      </c>
    </row>
    <row r="144">
      <c r="A144" s="95" t="inlineStr">
        <is>
          <t>RISE 미국S&amp;P500(H)</t>
        </is>
      </c>
      <c r="B144" s="95" t="inlineStr">
        <is>
          <t>453330</t>
        </is>
      </c>
      <c r="C144" s="95" t="inlineStr">
        <is>
          <t>KB자산운용</t>
        </is>
      </c>
      <c r="D144" s="96" t="n">
        <v>17960</v>
      </c>
      <c r="E144" s="96" t="n">
        <v>82639000000</v>
      </c>
      <c r="F144" s="96" t="n">
        <v>427276250</v>
      </c>
      <c r="G144" s="97" t="n">
        <v>0.002014</v>
      </c>
      <c r="H144" s="97" t="n">
        <v>0.1304</v>
      </c>
      <c r="I144" s="97" t="n">
        <v>0.0008</v>
      </c>
      <c r="J144" s="97" t="n">
        <v>0.010189</v>
      </c>
      <c r="K144" s="96" t="n">
        <v>41</v>
      </c>
      <c r="L144" s="95" t="inlineStr">
        <is>
          <t>20260828</t>
        </is>
      </c>
      <c r="M144" s="95" t="inlineStr">
        <is>
          <t>제외</t>
        </is>
      </c>
      <c r="N144" s="95" t="inlineStr">
        <is>
          <t>60일 거래대금 4.3억(기준 5억 미만)</t>
        </is>
      </c>
      <c r="O144" s="95" t="inlineStr">
        <is>
          <t>S&amp;P 500</t>
        </is>
      </c>
      <c r="P144" s="95" t="inlineStr">
        <is>
          <t>일반</t>
        </is>
      </c>
      <c r="Q144" s="95" t="inlineStr">
        <is>
          <t>주식</t>
        </is>
      </c>
      <c r="R144" s="95" t="inlineStr">
        <is>
          <t>월배당</t>
        </is>
      </c>
      <c r="S144" s="96" t="n">
        <v>11</v>
      </c>
      <c r="T144">
        <f>IF(AND($J144&lt;&gt;"",OR(조회_주기="전체",$R144=조회_주기),$J144&gt;=조회_최소,$J144&lt;=조회_최대),1,0)</f>
        <v/>
      </c>
      <c r="U144">
        <f>IF($T144=1,COUNTIF($T$4:$T144,1),"")</f>
        <v/>
      </c>
    </row>
    <row r="145">
      <c r="A145" s="95" t="inlineStr">
        <is>
          <t>PLUS 코리아밸류업</t>
        </is>
      </c>
      <c r="B145" s="95" t="inlineStr">
        <is>
          <t>495040</t>
        </is>
      </c>
      <c r="C145" s="95" t="inlineStr">
        <is>
          <t>한화자산운용</t>
        </is>
      </c>
      <c r="D145" s="96" t="n">
        <v>31470</v>
      </c>
      <c r="E145" s="96" t="n">
        <v>84753000000</v>
      </c>
      <c r="F145" s="96" t="n">
        <v>190087222</v>
      </c>
      <c r="G145" s="97" t="n">
        <v>0.001792</v>
      </c>
      <c r="H145" s="97" t="n">
        <v>0.5236999999999999</v>
      </c>
      <c r="I145" s="97" t="n">
        <v>0.0014</v>
      </c>
      <c r="J145" s="97" t="n">
        <v>0.01001</v>
      </c>
      <c r="K145" s="96" t="n">
        <v>21</v>
      </c>
      <c r="L145" s="95" t="inlineStr">
        <is>
          <t>20260914</t>
        </is>
      </c>
      <c r="M145" s="95" t="inlineStr">
        <is>
          <t>제외</t>
        </is>
      </c>
      <c r="N145" s="95" t="inlineStr">
        <is>
          <t>60일 거래대금 1.9억(기준 5억 미만), 변동성 52.4%(1년 기준, 기준 35% 초과)</t>
        </is>
      </c>
      <c r="O145" s="95" t="inlineStr">
        <is>
          <t>코리아 밸류업 지수</t>
        </is>
      </c>
      <c r="P145" s="95" t="inlineStr">
        <is>
          <t>일반</t>
        </is>
      </c>
      <c r="Q145" s="95" t="inlineStr">
        <is>
          <t>주식</t>
        </is>
      </c>
      <c r="R145" s="95" t="inlineStr">
        <is>
          <t>월배당</t>
        </is>
      </c>
      <c r="S145" s="96" t="n">
        <v>12</v>
      </c>
      <c r="T145">
        <f>IF(AND($J145&lt;&gt;"",OR(조회_주기="전체",$R145=조회_주기),$J145&gt;=조회_최소,$J145&lt;=조회_최대),1,0)</f>
        <v/>
      </c>
      <c r="U145">
        <f>IF($T145=1,COUNTIF($T$4:$T145,1),"")</f>
        <v/>
      </c>
    </row>
    <row r="146">
      <c r="A146" s="95" t="inlineStr">
        <is>
          <t>TIGER 코리아밸류업</t>
        </is>
      </c>
      <c r="B146" s="95" t="inlineStr">
        <is>
          <t>496080</t>
        </is>
      </c>
      <c r="C146" s="95" t="inlineStr">
        <is>
          <t>미래에셋자산운용</t>
        </is>
      </c>
      <c r="D146" s="96" t="n">
        <v>31775</v>
      </c>
      <c r="E146" s="96" t="n">
        <v>497122250000</v>
      </c>
      <c r="F146" s="96" t="n">
        <v>12220677877</v>
      </c>
      <c r="G146" s="97" t="n">
        <v>0.001488</v>
      </c>
      <c r="H146" s="97" t="n">
        <v>0.5228</v>
      </c>
      <c r="I146" s="97" t="n">
        <v>0.0009</v>
      </c>
      <c r="J146" s="97" t="n">
        <v>0.009441</v>
      </c>
      <c r="K146" s="96" t="n">
        <v>20</v>
      </c>
      <c r="L146" s="95" t="inlineStr">
        <is>
          <t>20260828</t>
        </is>
      </c>
      <c r="M146" s="95" t="inlineStr">
        <is>
          <t>제외</t>
        </is>
      </c>
      <c r="N146" s="95" t="inlineStr">
        <is>
          <t>변동성 52.3%(1년 기준, 기준 35% 초과)</t>
        </is>
      </c>
      <c r="O146" s="95" t="inlineStr">
        <is>
          <t>코리아 밸류업 지수</t>
        </is>
      </c>
      <c r="P146" s="95" t="inlineStr">
        <is>
          <t>일반</t>
        </is>
      </c>
      <c r="Q146" s="95" t="inlineStr">
        <is>
          <t>주식</t>
        </is>
      </c>
      <c r="R146" s="95" t="inlineStr">
        <is>
          <t>월배당</t>
        </is>
      </c>
      <c r="S146" s="96" t="n">
        <v>11</v>
      </c>
      <c r="T146">
        <f>IF(AND($J146&lt;&gt;"",OR(조회_주기="전체",$R146=조회_주기),$J146&gt;=조회_최소,$J146&lt;=조회_최대),1,0)</f>
        <v/>
      </c>
      <c r="U146">
        <f>IF($T146=1,COUNTIF($T$4:$T146,1),"")</f>
        <v/>
      </c>
    </row>
    <row r="147">
      <c r="A147" s="95" t="inlineStr">
        <is>
          <t>HANARO 미국S&amp;P500</t>
        </is>
      </c>
      <c r="B147" s="95" t="inlineStr">
        <is>
          <t>432840</t>
        </is>
      </c>
      <c r="C147" s="95" t="inlineStr">
        <is>
          <t>NH-Amundi자산운용</t>
        </is>
      </c>
      <c r="D147" s="96" t="n">
        <v>19495</v>
      </c>
      <c r="E147" s="96" t="n">
        <v>15596000000</v>
      </c>
      <c r="F147" s="96" t="n">
        <v>61748597</v>
      </c>
      <c r="G147" s="97" t="n">
        <v>0.003286</v>
      </c>
      <c r="H147" s="97" t="n">
        <v>0.1449</v>
      </c>
      <c r="I147" s="97" t="n">
        <v>0.0005</v>
      </c>
      <c r="J147" s="97" t="n">
        <v>0.00713</v>
      </c>
      <c r="K147" s="96" t="n">
        <v>40</v>
      </c>
      <c r="L147" s="95" t="inlineStr">
        <is>
          <t>20260828</t>
        </is>
      </c>
      <c r="M147" s="95" t="inlineStr">
        <is>
          <t>제외</t>
        </is>
      </c>
      <c r="N147" s="95" t="inlineStr">
        <is>
          <t>순자산 156억(기준 300억 미만), 60일 거래대금 0.6억(기준 5억 미만)</t>
        </is>
      </c>
      <c r="O147" s="95" t="inlineStr">
        <is>
          <t>S&amp;P 500</t>
        </is>
      </c>
      <c r="P147" s="95" t="inlineStr">
        <is>
          <t>일반</t>
        </is>
      </c>
      <c r="Q147" s="95" t="inlineStr">
        <is>
          <t>주식</t>
        </is>
      </c>
      <c r="R147" s="95" t="inlineStr">
        <is>
          <t>월배당</t>
        </is>
      </c>
      <c r="S147" s="96" t="n">
        <v>11</v>
      </c>
      <c r="T147">
        <f>IF(AND($J147&lt;&gt;"",OR(조회_주기="전체",$R147=조회_주기),$J147&gt;=조회_최소,$J147&lt;=조회_최대),1,0)</f>
        <v/>
      </c>
      <c r="U147">
        <f>IF($T147=1,COUNTIF($T$4:$T147,1),"")</f>
        <v/>
      </c>
    </row>
    <row r="148">
      <c r="A148" s="95" t="inlineStr">
        <is>
          <t>WON 200</t>
        </is>
      </c>
      <c r="B148" s="95" t="inlineStr">
        <is>
          <t>448100</t>
        </is>
      </c>
      <c r="C148" s="95" t="inlineStr">
        <is>
          <t>우리자산운용</t>
        </is>
      </c>
      <c r="D148" s="96" t="n">
        <v>110030</v>
      </c>
      <c r="E148" s="96" t="n">
        <v>126367750000</v>
      </c>
      <c r="F148" s="96" t="n">
        <v>3526183121</v>
      </c>
      <c r="G148" s="97" t="n">
        <v>0.000663</v>
      </c>
      <c r="H148" s="97" t="n">
        <v>0.5859000000000001</v>
      </c>
      <c r="I148" s="97" t="n">
        <v>0.0005999999999999999</v>
      </c>
      <c r="J148" s="97" t="n">
        <v>0.006634999999999999</v>
      </c>
      <c r="K148" s="96" t="n">
        <v>40</v>
      </c>
      <c r="L148" s="95" t="inlineStr">
        <is>
          <t>20260828</t>
        </is>
      </c>
      <c r="M148" s="95" t="inlineStr">
        <is>
          <t>제외</t>
        </is>
      </c>
      <c r="N148" s="95" t="inlineStr">
        <is>
          <t>변동성 58.6%(1년 기준, 기준 35% 초과)</t>
        </is>
      </c>
      <c r="O148" s="95" t="inlineStr">
        <is>
          <t>KOSPI 200</t>
        </is>
      </c>
      <c r="P148" s="95" t="inlineStr">
        <is>
          <t>일반</t>
        </is>
      </c>
      <c r="Q148" s="95" t="inlineStr">
        <is>
          <t>주식</t>
        </is>
      </c>
      <c r="R148" s="95" t="inlineStr">
        <is>
          <t>월배당</t>
        </is>
      </c>
      <c r="S148" s="96" t="n">
        <v>11</v>
      </c>
      <c r="T148">
        <f>IF(AND($J148&lt;&gt;"",OR(조회_주기="전체",$R148=조회_주기),$J148&gt;=조회_최소,$J148&lt;=조회_최대),1,0)</f>
        <v/>
      </c>
      <c r="U148">
        <f>IF($T148=1,COUNTIF($T$4:$T148,1),"")</f>
        <v/>
      </c>
    </row>
    <row r="149">
      <c r="A149" s="95" t="inlineStr">
        <is>
          <t>1Q 엔비디아알파벳미국채혼합50</t>
        </is>
      </c>
      <c r="B149" s="95" t="inlineStr">
        <is>
          <t>0224X0</t>
        </is>
      </c>
      <c r="C149" s="95" t="inlineStr">
        <is>
          <t>하나자산운용</t>
        </is>
      </c>
      <c r="D149" s="96" t="n">
        <v>9720</v>
      </c>
      <c r="E149" s="96" t="n">
        <v>27216000000</v>
      </c>
      <c r="F149" s="96" t="n"/>
      <c r="G149" s="97" t="n">
        <v>0.005663</v>
      </c>
      <c r="H149" s="97" t="n"/>
      <c r="I149" s="97" t="n">
        <v>0.0012</v>
      </c>
      <c r="J149" s="97" t="n"/>
      <c r="K149" s="96" t="n">
        <v>1</v>
      </c>
      <c r="L149" s="95" t="inlineStr">
        <is>
          <t>20260828</t>
        </is>
      </c>
      <c r="M149" s="95" t="inlineStr">
        <is>
          <t>제외</t>
        </is>
      </c>
      <c r="N149" s="95" t="inlineStr">
        <is>
          <t>순자산 272억(기준 300억 미만), 거래대금 미확인, 변동성 산출 불가(시세 37일치뿐), 상장 2개월(기준 12개월 미만), 연 분배율 산출 불가(상장 1년 미만 — 12개월 창이 안 채워짐)</t>
        </is>
      </c>
      <c r="O149" s="95" t="inlineStr">
        <is>
          <t>KEDI Nvidia Alphabet U.S. Short-Term Treasury Balanced 50 In</t>
        </is>
      </c>
      <c r="P149" s="95" t="inlineStr">
        <is>
          <t>일반</t>
        </is>
      </c>
      <c r="Q149" s="95" t="inlineStr">
        <is>
          <t>멀티에셋</t>
        </is>
      </c>
      <c r="R149" s="95" t="inlineStr">
        <is>
          <t>판정 불가</t>
        </is>
      </c>
      <c r="S149" s="96" t="n">
        <v>1</v>
      </c>
    </row>
    <row r="150">
      <c r="A150" s="95" t="inlineStr">
        <is>
          <t>ACE 고배당주</t>
        </is>
      </c>
      <c r="B150" s="95" t="inlineStr">
        <is>
          <t>0139P0</t>
        </is>
      </c>
      <c r="C150" s="95" t="inlineStr">
        <is>
          <t>한국투신운용(ETF)</t>
        </is>
      </c>
      <c r="D150" s="96" t="n">
        <v>13585</v>
      </c>
      <c r="E150" s="96" t="n">
        <v>50264500000</v>
      </c>
      <c r="F150" s="96" t="n">
        <v>612920501</v>
      </c>
      <c r="G150" s="97" t="n">
        <v>0.002439</v>
      </c>
      <c r="H150" s="97" t="n">
        <v>0.3893</v>
      </c>
      <c r="I150" s="97" t="n">
        <v>0.0038</v>
      </c>
      <c r="J150" s="97" t="n"/>
      <c r="K150" s="96" t="n">
        <v>9</v>
      </c>
      <c r="L150" s="95" t="inlineStr">
        <is>
          <t>20260828</t>
        </is>
      </c>
      <c r="M150" s="95" t="inlineStr">
        <is>
          <t>제외</t>
        </is>
      </c>
      <c r="N150" s="95" t="inlineStr">
        <is>
          <t>변동성 38.9%(185거래일 기준, 기준 35% 초과), 상장 9개월(기준 12개월 미만), 연 분배율 산출 불가(상장 1년 미만 — 12개월 창이 안 채워짐)</t>
        </is>
      </c>
      <c r="O150" s="95" t="inlineStr">
        <is>
          <t>KRX-Akros 고배당주 20 지수</t>
        </is>
      </c>
      <c r="P150" s="95" t="inlineStr">
        <is>
          <t>일반</t>
        </is>
      </c>
      <c r="Q150" s="95" t="inlineStr">
        <is>
          <t>주식</t>
        </is>
      </c>
      <c r="R150" s="95" t="inlineStr">
        <is>
          <t>판정 불가</t>
        </is>
      </c>
      <c r="S150" s="96" t="n">
        <v>9</v>
      </c>
    </row>
    <row r="151">
      <c r="A151" s="95" t="inlineStr">
        <is>
          <t>ACE 고배당주Plus커버드콜액티브</t>
        </is>
      </c>
      <c r="B151" s="95" t="inlineStr">
        <is>
          <t>0199C0</t>
        </is>
      </c>
      <c r="C151" s="95" t="inlineStr">
        <is>
          <t>한국투신운용(ETF)</t>
        </is>
      </c>
      <c r="D151" s="96" t="n">
        <v>9305</v>
      </c>
      <c r="E151" s="96" t="n">
        <v>139109750000</v>
      </c>
      <c r="F151" s="96" t="n">
        <v>6390601543</v>
      </c>
      <c r="G151" s="97" t="n">
        <v>0.004522</v>
      </c>
      <c r="H151" s="97" t="n">
        <v>0.3579</v>
      </c>
      <c r="I151" s="97" t="n">
        <v>0.0179</v>
      </c>
      <c r="J151" s="97" t="n"/>
      <c r="K151" s="96" t="n">
        <v>3</v>
      </c>
      <c r="L151" s="95" t="inlineStr">
        <is>
          <t>20260828</t>
        </is>
      </c>
      <c r="M151" s="95" t="inlineStr">
        <is>
          <t>제외</t>
        </is>
      </c>
      <c r="N151" s="95" t="inlineStr">
        <is>
          <t>변동성 35.8%(75거래일 기준, 기준 35% 초과), 상장 3개월(기준 12개월 미만), 연 분배율 산출 불가(상장 1년 미만 — 12개월 창이 안 채워짐)</t>
        </is>
      </c>
      <c r="O151" s="95" t="inlineStr">
        <is>
          <t>KRX-Akros 고배당주 20 위클리 고정 30% 커버드콜 지수</t>
        </is>
      </c>
      <c r="P151" s="95" t="inlineStr">
        <is>
          <t>커버드콜</t>
        </is>
      </c>
      <c r="Q151" s="95" t="inlineStr">
        <is>
          <t>주식</t>
        </is>
      </c>
      <c r="R151" s="95" t="inlineStr">
        <is>
          <t>판정 불가</t>
        </is>
      </c>
      <c r="S151" s="96" t="n">
        <v>3</v>
      </c>
    </row>
    <row r="152">
      <c r="A152" s="95" t="inlineStr">
        <is>
          <t>ACE 리츠부동산인프라액티브</t>
        </is>
      </c>
      <c r="B152" s="95" t="inlineStr">
        <is>
          <t>0153P0</t>
        </is>
      </c>
      <c r="C152" s="95" t="inlineStr">
        <is>
          <t>한국투신운용(ETF)</t>
        </is>
      </c>
      <c r="D152" s="96" t="n">
        <v>9425</v>
      </c>
      <c r="E152" s="96" t="n">
        <v>13666250000</v>
      </c>
      <c r="F152" s="96" t="n">
        <v>72021561</v>
      </c>
      <c r="G152" s="97" t="n">
        <v>0.001217</v>
      </c>
      <c r="H152" s="97" t="n">
        <v>0.1901</v>
      </c>
      <c r="I152" s="97" t="n">
        <v>0.005699999999999999</v>
      </c>
      <c r="J152" s="97" t="n"/>
      <c r="K152" s="96" t="n">
        <v>7</v>
      </c>
      <c r="L152" s="95" t="inlineStr">
        <is>
          <t>20260828</t>
        </is>
      </c>
      <c r="M152" s="95" t="inlineStr">
        <is>
          <t>제외</t>
        </is>
      </c>
      <c r="N152" s="95" t="inlineStr">
        <is>
          <t>순자산 137억(기준 300억 미만), 60일 거래대금 0.7억(기준 5억 미만), 상장 8개월(기준 12개월 미만), 연 분배율 산출 불가(상장 1년 미만 — 12개월 창이 안 채워짐)</t>
        </is>
      </c>
      <c r="O152" s="95" t="inlineStr">
        <is>
          <t>FnGuide 맥쿼리인프라 배당 리츠 지수</t>
        </is>
      </c>
      <c r="P152" s="95" t="inlineStr">
        <is>
          <t>일반</t>
        </is>
      </c>
      <c r="Q152" s="95" t="inlineStr">
        <is>
          <t>부동산</t>
        </is>
      </c>
      <c r="R152" s="95" t="inlineStr">
        <is>
          <t>판정 불가</t>
        </is>
      </c>
      <c r="S152" s="96" t="n">
        <v>7</v>
      </c>
    </row>
    <row r="153">
      <c r="A153" s="95" t="inlineStr">
        <is>
          <t>ACE 삼성전자SK하이닉스플러스채권혼합50</t>
        </is>
      </c>
      <c r="B153" s="95" t="inlineStr">
        <is>
          <t>0233A0</t>
        </is>
      </c>
      <c r="C153" s="95" t="inlineStr">
        <is>
          <t>한국투신운용(ETF)</t>
        </is>
      </c>
      <c r="D153" s="96" t="n">
        <v>10335</v>
      </c>
      <c r="E153" s="96" t="n">
        <v>66144000000</v>
      </c>
      <c r="F153" s="96" t="n"/>
      <c r="G153" s="97" t="n">
        <v>0.0007000000000000001</v>
      </c>
      <c r="H153" s="97" t="n"/>
      <c r="I153" s="97" t="n"/>
      <c r="J153" s="97" t="n"/>
      <c r="K153" s="96" t="n">
        <v>0</v>
      </c>
      <c r="L153" s="95" t="n"/>
      <c r="M153" s="95" t="inlineStr">
        <is>
          <t>제외</t>
        </is>
      </c>
      <c r="N153" s="95" t="inlineStr">
        <is>
          <t>거래대금 미확인, 변동성 산출 불가(시세 18일치뿐), 상장 1개월(기준 12개월 미만), 최근 12개월 분배 없음, 연 분배율 산출 불가(상장 1년 미만 — 12개월 창이 안 채워짐)</t>
        </is>
      </c>
      <c r="O153" s="95" t="inlineStr">
        <is>
          <t>KAP 삼성전자SK하이닉스플러스채권혼합50지수</t>
        </is>
      </c>
      <c r="P153" s="95" t="inlineStr">
        <is>
          <t>일반</t>
        </is>
      </c>
      <c r="Q153" s="95" t="inlineStr">
        <is>
          <t>멀티에셋</t>
        </is>
      </c>
      <c r="R153" s="95" t="inlineStr">
        <is>
          <t>판정 불가</t>
        </is>
      </c>
      <c r="S153" s="96" t="n">
        <v>0</v>
      </c>
    </row>
    <row r="154">
      <c r="A154" s="95" t="inlineStr">
        <is>
          <t>DAISHIN 금융&amp;지주고배당</t>
        </is>
      </c>
      <c r="B154" s="95" t="inlineStr">
        <is>
          <t>0189Z0</t>
        </is>
      </c>
      <c r="C154" s="95" t="inlineStr">
        <is>
          <t>대신자산운용</t>
        </is>
      </c>
      <c r="D154" s="96" t="n">
        <v>10475</v>
      </c>
      <c r="E154" s="96" t="n">
        <v>10475000000</v>
      </c>
      <c r="F154" s="96" t="n">
        <v>37465661</v>
      </c>
      <c r="G154" s="97" t="n">
        <v>0.002647</v>
      </c>
      <c r="H154" s="97" t="n">
        <v>0.284</v>
      </c>
      <c r="I154" s="97" t="n">
        <v>0.002</v>
      </c>
      <c r="J154" s="97" t="n"/>
      <c r="K154" s="96" t="n">
        <v>2</v>
      </c>
      <c r="L154" s="95" t="inlineStr">
        <is>
          <t>20260828</t>
        </is>
      </c>
      <c r="M154" s="95" t="inlineStr">
        <is>
          <t>제외</t>
        </is>
      </c>
      <c r="N154" s="95" t="inlineStr">
        <is>
          <t>순자산 105억(기준 300억 미만), 60일 거래대금 0.4억(기준 5억 미만), 상장 3개월(기준 12개월 미만), 연 분배율 산출 불가(상장 1년 미만 — 12개월 창이 안 채워짐)</t>
        </is>
      </c>
      <c r="O154" s="95" t="inlineStr">
        <is>
          <t>KRX-Akros 금융 &amp; 지주 고배당 지수</t>
        </is>
      </c>
      <c r="P154" s="95" t="inlineStr">
        <is>
          <t>일반</t>
        </is>
      </c>
      <c r="Q154" s="95" t="inlineStr">
        <is>
          <t>주식</t>
        </is>
      </c>
      <c r="R154" s="95" t="inlineStr">
        <is>
          <t>판정 불가</t>
        </is>
      </c>
      <c r="S154" s="96" t="n">
        <v>2</v>
      </c>
    </row>
    <row r="155">
      <c r="A155" s="95" t="inlineStr">
        <is>
          <t>DAISHIN 오피스리츠플러스</t>
        </is>
      </c>
      <c r="B155" s="95" t="inlineStr">
        <is>
          <t>0174J0</t>
        </is>
      </c>
      <c r="C155" s="95" t="inlineStr">
        <is>
          <t>대신자산운용</t>
        </is>
      </c>
      <c r="D155" s="96" t="n">
        <v>8695</v>
      </c>
      <c r="E155" s="96" t="n">
        <v>5217000000</v>
      </c>
      <c r="F155" s="96" t="n">
        <v>33210172</v>
      </c>
      <c r="G155" s="97" t="n">
        <v>0.002972</v>
      </c>
      <c r="H155" s="97" t="n">
        <v>0.2787</v>
      </c>
      <c r="I155" s="97" t="n">
        <v>0.0046</v>
      </c>
      <c r="J155" s="97" t="n"/>
      <c r="K155" s="96" t="n">
        <v>5</v>
      </c>
      <c r="L155" s="95" t="inlineStr">
        <is>
          <t>20260828</t>
        </is>
      </c>
      <c r="M155" s="95" t="inlineStr">
        <is>
          <t>제외</t>
        </is>
      </c>
      <c r="N155" s="95" t="inlineStr">
        <is>
          <t>순자산 52억(기준 300억 미만), 60일 거래대금 0.3억(기준 5억 미만), 상장 6개월(기준 12개월 미만), 연 분배율 산출 불가(상장 1년 미만 — 12개월 창이 안 채워짐)</t>
        </is>
      </c>
      <c r="O155" s="95" t="inlineStr">
        <is>
          <t>KRX 프라임 오피스 리츠 지수</t>
        </is>
      </c>
      <c r="P155" s="95" t="inlineStr">
        <is>
          <t>일반</t>
        </is>
      </c>
      <c r="Q155" s="95" t="inlineStr">
        <is>
          <t>부동산</t>
        </is>
      </c>
      <c r="R155" s="95" t="inlineStr">
        <is>
          <t>판정 불가</t>
        </is>
      </c>
      <c r="S155" s="96" t="n">
        <v>5</v>
      </c>
    </row>
    <row r="156">
      <c r="A156" s="95" t="inlineStr">
        <is>
          <t>FOCUS AI반도체위클리고정커버드콜</t>
        </is>
      </c>
      <c r="B156" s="95" t="inlineStr">
        <is>
          <t>0176P0</t>
        </is>
      </c>
      <c r="C156" s="95" t="inlineStr">
        <is>
          <t>브이아이자산운용</t>
        </is>
      </c>
      <c r="D156" s="96" t="n">
        <v>12860</v>
      </c>
      <c r="E156" s="96" t="n">
        <v>7037250000</v>
      </c>
      <c r="F156" s="96" t="n">
        <v>162249069</v>
      </c>
      <c r="G156" s="97" t="n">
        <v>0.003711</v>
      </c>
      <c r="H156" s="97" t="n">
        <v>0.7973</v>
      </c>
      <c r="I156" s="97" t="n">
        <v>0.0143</v>
      </c>
      <c r="J156" s="97" t="n"/>
      <c r="K156" s="96" t="n">
        <v>5</v>
      </c>
      <c r="L156" s="95" t="inlineStr">
        <is>
          <t>20260828</t>
        </is>
      </c>
      <c r="M156" s="95" t="inlineStr">
        <is>
          <t>제외</t>
        </is>
      </c>
      <c r="N156" s="95" t="inlineStr">
        <is>
          <t>순자산 70억(기준 300억 미만), 60일 거래대금 1.6억(기준 5억 미만), 변동성 79.7%(112거래일 기준, 기준 35% 초과), 상장 5개월(기준 12개월 미만), 연 분배율 산출 불가(상장 1년 미만 — 12개월 창이 안 채워짐)</t>
        </is>
      </c>
      <c r="O156" s="95" t="inlineStr">
        <is>
          <t>AI 반도체 위클리 고정 30% 커버드콜 지수</t>
        </is>
      </c>
      <c r="P156" s="95" t="inlineStr">
        <is>
          <t>커버드콜</t>
        </is>
      </c>
      <c r="Q156" s="95" t="inlineStr">
        <is>
          <t>주식</t>
        </is>
      </c>
      <c r="R156" s="95" t="inlineStr">
        <is>
          <t>판정 불가</t>
        </is>
      </c>
      <c r="S156" s="96" t="n">
        <v>5</v>
      </c>
    </row>
    <row r="157">
      <c r="A157" s="95" t="inlineStr">
        <is>
          <t>HANARO 증권고배당TOP3플러스</t>
        </is>
      </c>
      <c r="B157" s="95" t="inlineStr">
        <is>
          <t>0111J0</t>
        </is>
      </c>
      <c r="C157" s="95" t="inlineStr">
        <is>
          <t>NH-Amundi자산운용</t>
        </is>
      </c>
      <c r="D157" s="96" t="n">
        <v>12125</v>
      </c>
      <c r="E157" s="96" t="n">
        <v>52830750000</v>
      </c>
      <c r="F157" s="96" t="n">
        <v>1783939187</v>
      </c>
      <c r="G157" s="97" t="n">
        <v>0.001485</v>
      </c>
      <c r="H157" s="97" t="n">
        <v>0.6399</v>
      </c>
      <c r="I157" s="97" t="n">
        <v>0.0032</v>
      </c>
      <c r="J157" s="97" t="n"/>
      <c r="K157" s="96" t="n">
        <v>8</v>
      </c>
      <c r="L157" s="95" t="inlineStr">
        <is>
          <t>20260828</t>
        </is>
      </c>
      <c r="M157" s="95" t="inlineStr">
        <is>
          <t>제외</t>
        </is>
      </c>
      <c r="N157" s="95" t="inlineStr">
        <is>
          <t>변동성 64.0%(1년 기준, 기준 35% 초과), 상장 11개월(기준 12개월 미만), 연 분배율 산출 불가(상장 1년 미만 — 12개월 창이 안 채워짐)</t>
        </is>
      </c>
      <c r="O157" s="95" t="inlineStr">
        <is>
          <t>FnGuide 증권 고배당 TOP3 플러스 지수</t>
        </is>
      </c>
      <c r="P157" s="95" t="inlineStr">
        <is>
          <t>일반</t>
        </is>
      </c>
      <c r="Q157" s="95" t="inlineStr">
        <is>
          <t>주식</t>
        </is>
      </c>
      <c r="R157" s="95" t="inlineStr">
        <is>
          <t>판정 불가</t>
        </is>
      </c>
      <c r="S157" s="96" t="n">
        <v>8</v>
      </c>
    </row>
    <row r="158">
      <c r="A158" s="95" t="inlineStr">
        <is>
          <t>KIWOOM SK하이닉스선물단일종목레버리지</t>
        </is>
      </c>
      <c r="B158" s="95" t="inlineStr">
        <is>
          <t>0194R0</t>
        </is>
      </c>
      <c r="C158" s="95" t="inlineStr">
        <is>
          <t>키움투자자산운용</t>
        </is>
      </c>
      <c r="D158" s="96" t="n">
        <v>8740</v>
      </c>
      <c r="E158" s="96" t="n">
        <v>12017500000</v>
      </c>
      <c r="F158" s="96" t="n">
        <v>4347754919</v>
      </c>
      <c r="G158" s="97" t="n">
        <v>0.005042</v>
      </c>
      <c r="H158" s="97" t="n">
        <v>2.3653</v>
      </c>
      <c r="I158" s="97" t="n">
        <v>0.0008</v>
      </c>
      <c r="J158" s="97" t="n"/>
      <c r="K158" s="96" t="n">
        <v>3</v>
      </c>
      <c r="L158" s="95" t="inlineStr">
        <is>
          <t>20260914</t>
        </is>
      </c>
      <c r="M158" s="95" t="inlineStr">
        <is>
          <t>제외</t>
        </is>
      </c>
      <c r="N158" s="95" t="inlineStr">
        <is>
          <t>순자산 120억(기준 300억 미만), 변동성 236.5%(79거래일 기준, 기준 35% 초과), 상장 4개월(기준 12개월 미만), 연 분배율 산출 불가(상장 1년 미만 — 12개월 창이 안 채워짐)</t>
        </is>
      </c>
      <c r="O158" s="95" t="inlineStr">
        <is>
          <t>KRX SK하이닉스 선물 지수</t>
        </is>
      </c>
      <c r="P158" s="95" t="inlineStr">
        <is>
          <t>일반</t>
        </is>
      </c>
      <c r="Q158" s="95" t="inlineStr">
        <is>
          <t>주식</t>
        </is>
      </c>
      <c r="R158" s="95" t="inlineStr">
        <is>
          <t>판정 불가</t>
        </is>
      </c>
      <c r="S158" s="96" t="n">
        <v>3</v>
      </c>
    </row>
    <row r="159">
      <c r="A159" s="95" t="inlineStr">
        <is>
          <t>KIWOOM 미국S&amp;P500 TOP10&amp;배당다우비중전환</t>
        </is>
      </c>
      <c r="B159" s="95" t="inlineStr">
        <is>
          <t>0127V0</t>
        </is>
      </c>
      <c r="C159" s="95" t="inlineStr">
        <is>
          <t>키움투자자산운용</t>
        </is>
      </c>
      <c r="D159" s="96" t="n">
        <v>10705</v>
      </c>
      <c r="E159" s="96" t="n">
        <v>13375000000</v>
      </c>
      <c r="F159" s="96" t="n">
        <v>36411200</v>
      </c>
      <c r="G159" s="97" t="n">
        <v>0.006996</v>
      </c>
      <c r="H159" s="97" t="n">
        <v>0.1582</v>
      </c>
      <c r="I159" s="97" t="n">
        <v>0.0009</v>
      </c>
      <c r="J159" s="97" t="n"/>
      <c r="K159" s="96" t="n">
        <v>9</v>
      </c>
      <c r="L159" s="95" t="inlineStr">
        <is>
          <t>20260828</t>
        </is>
      </c>
      <c r="M159" s="95" t="inlineStr">
        <is>
          <t>제외</t>
        </is>
      </c>
      <c r="N159" s="95" t="inlineStr">
        <is>
          <t>순자산 134억(기준 300억 미만), 60일 거래대금 0.4억(기준 5억 미만), 상장 10개월(기준 12개월 미만), 연 분배율 산출 불가(상장 1년 미만 — 12개월 창이 안 채워짐)</t>
        </is>
      </c>
      <c r="O159" s="95" t="inlineStr">
        <is>
          <t>S&amp;P 500 Top 10 and Dow Jones U.S. Dividend 100 Life Cycle 20</t>
        </is>
      </c>
      <c r="P159" s="95" t="inlineStr">
        <is>
          <t>일반</t>
        </is>
      </c>
      <c r="Q159" s="95" t="inlineStr">
        <is>
          <t>주식</t>
        </is>
      </c>
      <c r="R159" s="95" t="inlineStr">
        <is>
          <t>판정 불가</t>
        </is>
      </c>
      <c r="S159" s="96" t="n">
        <v>9</v>
      </c>
    </row>
    <row r="160">
      <c r="A160" s="95" t="inlineStr">
        <is>
          <t>KIWOOM 미국S&amp;P500&amp;배당다우존스비중전환</t>
        </is>
      </c>
      <c r="B160" s="95" t="inlineStr">
        <is>
          <t>0127T0</t>
        </is>
      </c>
      <c r="C160" s="95" t="inlineStr">
        <is>
          <t>키움투자자산운용</t>
        </is>
      </c>
      <c r="D160" s="96" t="n">
        <v>10945</v>
      </c>
      <c r="E160" s="96" t="n">
        <v>13134000000</v>
      </c>
      <c r="F160" s="96" t="n">
        <v>40300996</v>
      </c>
      <c r="G160" s="97" t="n">
        <v>0.008799</v>
      </c>
      <c r="H160" s="97" t="n">
        <v>0.1318</v>
      </c>
      <c r="I160" s="97" t="n">
        <v>0.0013</v>
      </c>
      <c r="J160" s="97" t="n"/>
      <c r="K160" s="96" t="n">
        <v>9</v>
      </c>
      <c r="L160" s="95" t="inlineStr">
        <is>
          <t>20260828</t>
        </is>
      </c>
      <c r="M160" s="95" t="inlineStr">
        <is>
          <t>제외</t>
        </is>
      </c>
      <c r="N160" s="95" t="inlineStr">
        <is>
          <t>순자산 131억(기준 300억 미만), 60일 거래대금 0.4억(기준 5억 미만), 상장 10개월(기준 12개월 미만), 연 분배율 산출 불가(상장 1년 미만 — 12개월 창이 안 채워짐)</t>
        </is>
      </c>
      <c r="O160" s="95" t="inlineStr">
        <is>
          <t>S&amp;P 500 and Dow Jones U.S. Dividend 100 Life Cycle 2040 Inde</t>
        </is>
      </c>
      <c r="P160" s="95" t="inlineStr">
        <is>
          <t>일반</t>
        </is>
      </c>
      <c r="Q160" s="95" t="inlineStr">
        <is>
          <t>주식</t>
        </is>
      </c>
      <c r="R160" s="95" t="inlineStr">
        <is>
          <t>판정 불가</t>
        </is>
      </c>
      <c r="S160" s="96" t="n">
        <v>9</v>
      </c>
    </row>
    <row r="161">
      <c r="A161" s="95" t="inlineStr">
        <is>
          <t>KIWOOM 미국고배당&amp;AI테크</t>
        </is>
      </c>
      <c r="B161" s="95" t="inlineStr">
        <is>
          <t>0107F0</t>
        </is>
      </c>
      <c r="C161" s="95" t="inlineStr">
        <is>
          <t>키움투자자산운용</t>
        </is>
      </c>
      <c r="D161" s="96" t="n">
        <v>11135</v>
      </c>
      <c r="E161" s="96" t="n">
        <v>28394250000</v>
      </c>
      <c r="F161" s="96" t="n">
        <v>153934964</v>
      </c>
      <c r="G161" s="97" t="n">
        <v>0.009559999999999999</v>
      </c>
      <c r="H161" s="97" t="n">
        <v>0.1483</v>
      </c>
      <c r="I161" s="97" t="n">
        <v>0.003</v>
      </c>
      <c r="J161" s="97" t="n"/>
      <c r="K161" s="96" t="n">
        <v>11</v>
      </c>
      <c r="L161" s="95" t="inlineStr">
        <is>
          <t>20260828</t>
        </is>
      </c>
      <c r="M161" s="95" t="inlineStr">
        <is>
          <t>제외</t>
        </is>
      </c>
      <c r="N161" s="95" t="inlineStr">
        <is>
          <t>순자산 284억(기준 300억 미만), 60일 거래대금 1.5억(기준 5억 미만), 연 분배율 산출 불가(상장 1년 미만 — 12개월 창이 안 채워짐)</t>
        </is>
      </c>
      <c r="O161" s="95" t="inlineStr">
        <is>
          <t>Akros U.S. AI Tech Top10 &amp; High Dividend 3070 Index</t>
        </is>
      </c>
      <c r="P161" s="95" t="inlineStr">
        <is>
          <t>일반</t>
        </is>
      </c>
      <c r="Q161" s="95" t="inlineStr">
        <is>
          <t>주식</t>
        </is>
      </c>
      <c r="R161" s="95" t="inlineStr">
        <is>
          <t>월배당</t>
        </is>
      </c>
      <c r="S161" s="96" t="n">
        <v>11</v>
      </c>
    </row>
    <row r="162">
      <c r="A162" s="95" t="inlineStr">
        <is>
          <t>KIWOOM 미국대형주500월간목표헤지액티브</t>
        </is>
      </c>
      <c r="B162" s="95" t="inlineStr">
        <is>
          <t>0084E0</t>
        </is>
      </c>
      <c r="C162" s="95" t="inlineStr">
        <is>
          <t>키움투자자산운용</t>
        </is>
      </c>
      <c r="D162" s="96" t="n">
        <v>9990</v>
      </c>
      <c r="E162" s="96" t="n">
        <v>14485500000</v>
      </c>
      <c r="F162" s="96" t="n">
        <v>1425622</v>
      </c>
      <c r="G162" s="97" t="n">
        <v>0.011002</v>
      </c>
      <c r="H162" s="97" t="n">
        <v>0.1155</v>
      </c>
      <c r="I162" s="97" t="n">
        <v>0.0016</v>
      </c>
      <c r="J162" s="97" t="n"/>
      <c r="K162" s="96" t="n">
        <v>10</v>
      </c>
      <c r="L162" s="95" t="inlineStr">
        <is>
          <t>20260828</t>
        </is>
      </c>
      <c r="M162" s="95" t="inlineStr">
        <is>
          <t>제외</t>
        </is>
      </c>
      <c r="N162" s="95" t="inlineStr">
        <is>
          <t>순자산 145억(기준 300억 미만), 60일 거래대금 0.0억(기준 5억 미만), 상장 11개월(기준 12개월 미만), 연 분배율 산출 불가(상장 1년 미만 — 12개월 창이 안 채워짐)</t>
        </is>
      </c>
      <c r="O162" s="95" t="inlineStr">
        <is>
          <t>Akros U.S. Large Cap 500 Protective Allocation Monthly Index</t>
        </is>
      </c>
      <c r="P162" s="95" t="inlineStr">
        <is>
          <t>일반</t>
        </is>
      </c>
      <c r="Q162" s="95" t="inlineStr">
        <is>
          <t>멀티에셋</t>
        </is>
      </c>
      <c r="R162" s="95" t="inlineStr">
        <is>
          <t>판정 불가</t>
        </is>
      </c>
      <c r="S162" s="96" t="n">
        <v>10</v>
      </c>
    </row>
    <row r="163">
      <c r="A163" s="95" t="inlineStr">
        <is>
          <t>KIWOOM 미국우주테크TOP2채권혼합50</t>
        </is>
      </c>
      <c r="B163" s="95" t="inlineStr">
        <is>
          <t>0216K0</t>
        </is>
      </c>
      <c r="C163" s="95" t="inlineStr">
        <is>
          <t>키움투자자산운용</t>
        </is>
      </c>
      <c r="D163" s="96" t="n">
        <v>8720</v>
      </c>
      <c r="E163" s="96" t="n">
        <v>8720000000</v>
      </c>
      <c r="F163" s="96" t="n">
        <v>421579698</v>
      </c>
      <c r="G163" s="97" t="n">
        <v>0.003144</v>
      </c>
      <c r="H163" s="97" t="n"/>
      <c r="I163" s="97" t="n">
        <v>0.0012</v>
      </c>
      <c r="J163" s="97" t="n"/>
      <c r="K163" s="96" t="n">
        <v>1</v>
      </c>
      <c r="L163" s="95" t="inlineStr">
        <is>
          <t>20260828</t>
        </is>
      </c>
      <c r="M163" s="95" t="inlineStr">
        <is>
          <t>제외</t>
        </is>
      </c>
      <c r="N163" s="95" t="inlineStr">
        <is>
          <t>순자산 87억(기준 300억 미만), 60일 거래대금 4.2억(기준 5억 미만), 변동성 산출 불가(시세 51일치뿐), 상장 2개월(기준 12개월 미만), 연 분배율 산출 불가(상장 1년 미만 — 12개월 창이 안 채워짐)</t>
        </is>
      </c>
      <c r="O163" s="95" t="inlineStr">
        <is>
          <t>Akros 미국우주 Top2 채권혼합 지수</t>
        </is>
      </c>
      <c r="P163" s="95" t="inlineStr">
        <is>
          <t>일반</t>
        </is>
      </c>
      <c r="Q163" s="95" t="inlineStr">
        <is>
          <t>멀티에셋</t>
        </is>
      </c>
      <c r="R163" s="95" t="inlineStr">
        <is>
          <t>판정 불가</t>
        </is>
      </c>
      <c r="S163" s="96" t="n">
        <v>1</v>
      </c>
    </row>
    <row r="164">
      <c r="A164" s="95" t="inlineStr">
        <is>
          <t>KIWOOM 삼성전자&amp;SK하이닉스채권혼합50</t>
        </is>
      </c>
      <c r="B164" s="95" t="inlineStr">
        <is>
          <t>0183V0</t>
        </is>
      </c>
      <c r="C164" s="95" t="inlineStr">
        <is>
          <t>키움투자자산운용</t>
        </is>
      </c>
      <c r="D164" s="96" t="n">
        <v>11625</v>
      </c>
      <c r="E164" s="96" t="n">
        <v>260887500000</v>
      </c>
      <c r="F164" s="96" t="n">
        <v>12938741292</v>
      </c>
      <c r="G164" s="97" t="n">
        <v>0.001344</v>
      </c>
      <c r="H164" s="97" t="n">
        <v>0.5008</v>
      </c>
      <c r="I164" s="97" t="n">
        <v>0.0126</v>
      </c>
      <c r="J164" s="97" t="n"/>
      <c r="K164" s="96" t="n">
        <v>5</v>
      </c>
      <c r="L164" s="95" t="inlineStr">
        <is>
          <t>20260914</t>
        </is>
      </c>
      <c r="M164" s="95" t="inlineStr">
        <is>
          <t>제외</t>
        </is>
      </c>
      <c r="N164" s="95" t="inlineStr">
        <is>
          <t>변동성 50.1%(102거래일 기준, 기준 35% 초과), 상장 5개월(기준 12개월 미만), 연 분배율 산출 불가(상장 1년 미만 — 12개월 창이 안 채워짐)</t>
        </is>
      </c>
      <c r="O164" s="95" t="inlineStr">
        <is>
          <t>FnGuide 삼성전자 &amp; SK하이닉스 채권혼합 지수</t>
        </is>
      </c>
      <c r="P164" s="95" t="inlineStr">
        <is>
          <t>일반</t>
        </is>
      </c>
      <c r="Q164" s="95" t="inlineStr">
        <is>
          <t>멀티에셋</t>
        </is>
      </c>
      <c r="R164" s="95" t="inlineStr">
        <is>
          <t>판정 불가</t>
        </is>
      </c>
      <c r="S164" s="96" t="n">
        <v>5</v>
      </c>
    </row>
    <row r="165">
      <c r="A165" s="95" t="inlineStr">
        <is>
          <t>KIWOOM 삼성전자선물단일종목레버리지</t>
        </is>
      </c>
      <c r="B165" s="95" t="inlineStr">
        <is>
          <t>0194N0</t>
        </is>
      </c>
      <c r="C165" s="95" t="inlineStr">
        <is>
          <t>키움투자자산운용</t>
        </is>
      </c>
      <c r="D165" s="96" t="n">
        <v>10180</v>
      </c>
      <c r="E165" s="96" t="n">
        <v>7889500000</v>
      </c>
      <c r="F165" s="96" t="n">
        <v>1808523803</v>
      </c>
      <c r="G165" s="97" t="n">
        <v>0.005046</v>
      </c>
      <c r="H165" s="97" t="n">
        <v>1.9277</v>
      </c>
      <c r="I165" s="97" t="n">
        <v>0.001</v>
      </c>
      <c r="J165" s="97" t="n"/>
      <c r="K165" s="96" t="n">
        <v>3</v>
      </c>
      <c r="L165" s="95" t="inlineStr">
        <is>
          <t>20260828</t>
        </is>
      </c>
      <c r="M165" s="95" t="inlineStr">
        <is>
          <t>제외</t>
        </is>
      </c>
      <c r="N165" s="95" t="inlineStr">
        <is>
          <t>순자산 79억(기준 300억 미만), 변동성 192.8%(79거래일 기준, 기준 35% 초과), 상장 4개월(기준 12개월 미만), 연 분배율 산출 불가(상장 1년 미만 — 12개월 창이 안 채워짐)</t>
        </is>
      </c>
      <c r="O165" s="95" t="inlineStr">
        <is>
          <t>KRX 삼성전자 선물 지수</t>
        </is>
      </c>
      <c r="P165" s="95" t="inlineStr">
        <is>
          <t>일반</t>
        </is>
      </c>
      <c r="Q165" s="95" t="inlineStr">
        <is>
          <t>주식</t>
        </is>
      </c>
      <c r="R165" s="95" t="inlineStr">
        <is>
          <t>판정 불가</t>
        </is>
      </c>
      <c r="S165" s="96" t="n">
        <v>3</v>
      </c>
    </row>
    <row r="166">
      <c r="A166" s="95" t="inlineStr">
        <is>
          <t>KIWOOM 코스닥150커버드콜액티브</t>
        </is>
      </c>
      <c r="B166" s="95" t="inlineStr">
        <is>
          <t>0198A0</t>
        </is>
      </c>
      <c r="C166" s="95" t="inlineStr">
        <is>
          <t>키움투자자산운용</t>
        </is>
      </c>
      <c r="D166" s="96" t="n">
        <v>8520</v>
      </c>
      <c r="E166" s="96" t="n">
        <v>75383000000</v>
      </c>
      <c r="F166" s="96" t="n">
        <v>4894606044</v>
      </c>
      <c r="G166" s="97" t="n">
        <v>0.006657</v>
      </c>
      <c r="H166" s="97" t="n"/>
      <c r="I166" s="97" t="n">
        <v>0.0243</v>
      </c>
      <c r="J166" s="97" t="n"/>
      <c r="K166" s="96" t="n">
        <v>2</v>
      </c>
      <c r="L166" s="95" t="inlineStr">
        <is>
          <t>20260828</t>
        </is>
      </c>
      <c r="M166" s="95" t="inlineStr">
        <is>
          <t>제외</t>
        </is>
      </c>
      <c r="N166" s="95" t="inlineStr">
        <is>
          <t>변동성 산출 불가(시세 56일치뿐), 상장 3개월(기준 12개월 미만), 연 분배율 산출 불가(상장 1년 미만 — 12개월 창이 안 채워짐)</t>
        </is>
      </c>
      <c r="O166" s="95" t="inlineStr">
        <is>
          <t>코스닥 150 위클리 고정 30% 커버드콜 지수</t>
        </is>
      </c>
      <c r="P166" s="95" t="inlineStr">
        <is>
          <t>커버드콜</t>
        </is>
      </c>
      <c r="Q166" s="95" t="inlineStr">
        <is>
          <t>주식</t>
        </is>
      </c>
      <c r="R166" s="95" t="inlineStr">
        <is>
          <t>판정 불가</t>
        </is>
      </c>
      <c r="S166" s="96" t="n">
        <v>2</v>
      </c>
    </row>
    <row r="167">
      <c r="A167" s="95" t="inlineStr">
        <is>
          <t>KIWOOM 현대차그룹TOP3채권혼합50</t>
        </is>
      </c>
      <c r="B167" s="95" t="inlineStr">
        <is>
          <t>0220A0</t>
        </is>
      </c>
      <c r="C167" s="95" t="inlineStr">
        <is>
          <t>키움투자자산운용</t>
        </is>
      </c>
      <c r="D167" s="96" t="n">
        <v>8895</v>
      </c>
      <c r="E167" s="96" t="n">
        <v>13312500000</v>
      </c>
      <c r="F167" s="96" t="n">
        <v>410131922</v>
      </c>
      <c r="G167" s="97" t="n">
        <v>0.0018</v>
      </c>
      <c r="H167" s="97" t="n"/>
      <c r="I167" s="97" t="n">
        <v>0.0022</v>
      </c>
      <c r="J167" s="97" t="n"/>
      <c r="K167" s="96" t="n">
        <v>1</v>
      </c>
      <c r="L167" s="95" t="inlineStr">
        <is>
          <t>20260828</t>
        </is>
      </c>
      <c r="M167" s="95" t="inlineStr">
        <is>
          <t>제외</t>
        </is>
      </c>
      <c r="N167" s="95" t="inlineStr">
        <is>
          <t>순자산 133억(기준 300억 미만), 60일 거래대금 4.1억(기준 5억 미만), 변동성 산출 불가(시세 46일치뿐), 상장 2개월(기준 12개월 미만), 연 분배율 산출 불가(상장 1년 미만 — 12개월 창이 안 채워짐)</t>
        </is>
      </c>
      <c r="O167" s="95" t="inlineStr">
        <is>
          <t>FnGuide 현대차그룹TOP3 채권혼합지수</t>
        </is>
      </c>
      <c r="P167" s="95" t="inlineStr">
        <is>
          <t>일반</t>
        </is>
      </c>
      <c r="Q167" s="95" t="inlineStr">
        <is>
          <t>멀티에셋</t>
        </is>
      </c>
      <c r="R167" s="95" t="inlineStr">
        <is>
          <t>판정 불가</t>
        </is>
      </c>
      <c r="S167" s="96" t="n">
        <v>1</v>
      </c>
    </row>
    <row r="168">
      <c r="A168" s="95" t="inlineStr">
        <is>
          <t>KoAct 고배당액티브</t>
        </is>
      </c>
      <c r="B168" s="95" t="inlineStr">
        <is>
          <t>0222D0</t>
        </is>
      </c>
      <c r="C168" s="95" t="inlineStr">
        <is>
          <t>삼성액티브자산(ETF)</t>
        </is>
      </c>
      <c r="D168" s="96" t="n">
        <v>10450</v>
      </c>
      <c r="E168" s="96" t="n">
        <v>33897500000</v>
      </c>
      <c r="F168" s="96" t="n"/>
      <c r="G168" s="97" t="n">
        <v>0.005419</v>
      </c>
      <c r="H168" s="97" t="n"/>
      <c r="I168" s="97" t="n">
        <v>0.008100000000000001</v>
      </c>
      <c r="J168" s="97" t="n"/>
      <c r="K168" s="96" t="n">
        <v>1</v>
      </c>
      <c r="L168" s="95" t="inlineStr">
        <is>
          <t>20260828</t>
        </is>
      </c>
      <c r="M168" s="95" t="inlineStr">
        <is>
          <t>제외</t>
        </is>
      </c>
      <c r="N168" s="95" t="inlineStr">
        <is>
          <t>거래대금 미확인, 변동성 산출 불가(시세 37일치뿐), 상장 2개월(기준 12개월 미만), 연 분배율 산출 불가(상장 1년 미만 — 12개월 창이 안 채워짐)</t>
        </is>
      </c>
      <c r="O168" s="95" t="inlineStr">
        <is>
          <t>K200고배당</t>
        </is>
      </c>
      <c r="P168" s="95" t="inlineStr">
        <is>
          <t>일반</t>
        </is>
      </c>
      <c r="Q168" s="95" t="inlineStr">
        <is>
          <t>주식</t>
        </is>
      </c>
      <c r="R168" s="95" t="inlineStr">
        <is>
          <t>판정 불가</t>
        </is>
      </c>
      <c r="S168" s="96" t="n">
        <v>1</v>
      </c>
    </row>
    <row r="169">
      <c r="A169" s="95" t="inlineStr">
        <is>
          <t>KODEX 200커버드콜액티브</t>
        </is>
      </c>
      <c r="B169" s="95" t="inlineStr">
        <is>
          <t>0219E0</t>
        </is>
      </c>
      <c r="C169" s="95" t="inlineStr">
        <is>
          <t>삼성자산운용(ETF)</t>
        </is>
      </c>
      <c r="D169" s="96" t="n">
        <v>8250</v>
      </c>
      <c r="E169" s="96" t="n">
        <v>767502000000</v>
      </c>
      <c r="F169" s="96" t="n">
        <v>45772858021</v>
      </c>
      <c r="G169" s="97" t="n">
        <v>0.005278000000000001</v>
      </c>
      <c r="H169" s="97" t="n"/>
      <c r="I169" s="97" t="n">
        <v>0.0193</v>
      </c>
      <c r="J169" s="97" t="n"/>
      <c r="K169" s="96" t="n">
        <v>2</v>
      </c>
      <c r="L169" s="95" t="inlineStr">
        <is>
          <t>20260828</t>
        </is>
      </c>
      <c r="M169" s="95" t="inlineStr">
        <is>
          <t>제외</t>
        </is>
      </c>
      <c r="N169" s="95" t="inlineStr">
        <is>
          <t>변동성 산출 불가(시세 46일치뿐), 상장 2개월(기준 12개월 미만), 연 분배율 산출 불가(상장 1년 미만 — 12개월 창이 안 채워짐)</t>
        </is>
      </c>
      <c r="O169" s="95" t="inlineStr">
        <is>
          <t>코스피 200 커버드콜 5% OTM</t>
        </is>
      </c>
      <c r="P169" s="95" t="inlineStr">
        <is>
          <t>커버드콜</t>
        </is>
      </c>
      <c r="Q169" s="95" t="inlineStr">
        <is>
          <t>주식</t>
        </is>
      </c>
      <c r="R169" s="95" t="inlineStr">
        <is>
          <t>판정 불가</t>
        </is>
      </c>
      <c r="S169" s="96" t="n">
        <v>2</v>
      </c>
    </row>
    <row r="170">
      <c r="A170" s="95" t="inlineStr">
        <is>
          <t>KODEX 미국성장커버드콜액티브</t>
        </is>
      </c>
      <c r="B170" s="95" t="inlineStr">
        <is>
          <t>0144L0</t>
        </is>
      </c>
      <c r="C170" s="95" t="inlineStr">
        <is>
          <t>삼성자산운용(ETF)</t>
        </is>
      </c>
      <c r="D170" s="96" t="n">
        <v>9410</v>
      </c>
      <c r="E170" s="96" t="n">
        <v>343465000000</v>
      </c>
      <c r="F170" s="96" t="n">
        <v>2421201633</v>
      </c>
      <c r="G170" s="97" t="n">
        <v>0.006395</v>
      </c>
      <c r="H170" s="97" t="n">
        <v>0.1812</v>
      </c>
      <c r="I170" s="97" t="n">
        <v>0.009899999999999999</v>
      </c>
      <c r="J170" s="97" t="n"/>
      <c r="K170" s="96" t="n">
        <v>8</v>
      </c>
      <c r="L170" s="95" t="inlineStr">
        <is>
          <t>20260828</t>
        </is>
      </c>
      <c r="M170" s="95" t="inlineStr">
        <is>
          <t>제외</t>
        </is>
      </c>
      <c r="N170" s="95" t="inlineStr">
        <is>
          <t>상장 9개월(기준 12개월 미만), 연 분배율 산출 불가(상장 1년 미만 — 12개월 창이 안 채워짐)</t>
        </is>
      </c>
      <c r="O170" s="95" t="inlineStr">
        <is>
          <t>나스닥 100</t>
        </is>
      </c>
      <c r="P170" s="95" t="inlineStr">
        <is>
          <t>커버드콜</t>
        </is>
      </c>
      <c r="Q170" s="95" t="inlineStr">
        <is>
          <t>주식</t>
        </is>
      </c>
      <c r="R170" s="95" t="inlineStr">
        <is>
          <t>판정 불가</t>
        </is>
      </c>
      <c r="S170" s="96" t="n">
        <v>8</v>
      </c>
    </row>
    <row r="171">
      <c r="A171" s="95" t="inlineStr">
        <is>
          <t>KODEX 반도체타겟위클리커버드콜</t>
        </is>
      </c>
      <c r="B171" s="95" t="inlineStr">
        <is>
          <t>0190G0</t>
        </is>
      </c>
      <c r="C171" s="95" t="inlineStr">
        <is>
          <t>삼성자산운용(ETF)</t>
        </is>
      </c>
      <c r="D171" s="96" t="n">
        <v>8840</v>
      </c>
      <c r="E171" s="96" t="n">
        <v>168557500000</v>
      </c>
      <c r="F171" s="96" t="n">
        <v>8599516014</v>
      </c>
      <c r="G171" s="97" t="n">
        <v>0.006131</v>
      </c>
      <c r="H171" s="97" t="n">
        <v>0.8543000000000001</v>
      </c>
      <c r="I171" s="97" t="n">
        <v>0.0074</v>
      </c>
      <c r="J171" s="97" t="n"/>
      <c r="K171" s="96" t="n">
        <v>4</v>
      </c>
      <c r="L171" s="95" t="inlineStr">
        <is>
          <t>20260828</t>
        </is>
      </c>
      <c r="M171" s="95" t="inlineStr">
        <is>
          <t>제외</t>
        </is>
      </c>
      <c r="N171" s="95" t="inlineStr">
        <is>
          <t>변동성 85.4%(89거래일 기준, 기준 35% 초과), 상장 4개월(기준 12개월 미만), 연 분배율 산출 불가(상장 1년 미만 — 12개월 창이 안 채워짐)</t>
        </is>
      </c>
      <c r="O171" s="95" t="inlineStr">
        <is>
          <t>KRX 반도체 타겟 9% 분배 위클리 커버드콜 지수</t>
        </is>
      </c>
      <c r="P171" s="95" t="inlineStr">
        <is>
          <t>커버드콜</t>
        </is>
      </c>
      <c r="Q171" s="95" t="inlineStr">
        <is>
          <t>주식</t>
        </is>
      </c>
      <c r="R171" s="95" t="inlineStr">
        <is>
          <t>판정 불가</t>
        </is>
      </c>
      <c r="S171" s="96" t="n">
        <v>4</v>
      </c>
    </row>
    <row r="172">
      <c r="A172" s="95" t="inlineStr">
        <is>
          <t>KODEX 삼성전자SK하이닉스채권혼합50</t>
        </is>
      </c>
      <c r="B172" s="95" t="inlineStr">
        <is>
          <t>0177N0</t>
        </is>
      </c>
      <c r="C172" s="95" t="inlineStr">
        <is>
          <t>삼성자산운용(ETF)</t>
        </is>
      </c>
      <c r="D172" s="96" t="n">
        <v>14105</v>
      </c>
      <c r="E172" s="96" t="n">
        <v>1510984000000</v>
      </c>
      <c r="F172" s="96" t="n">
        <v>84146140081</v>
      </c>
      <c r="G172" s="97" t="n">
        <v>0.002238</v>
      </c>
      <c r="H172" s="97" t="n">
        <v>0.4845</v>
      </c>
      <c r="I172" s="97" t="n">
        <v>0.0016</v>
      </c>
      <c r="J172" s="97" t="n"/>
      <c r="K172" s="96" t="n">
        <v>5</v>
      </c>
      <c r="L172" s="95" t="inlineStr">
        <is>
          <t>20260914</t>
        </is>
      </c>
      <c r="M172" s="95" t="inlineStr">
        <is>
          <t>제외</t>
        </is>
      </c>
      <c r="N172" s="95" t="inlineStr">
        <is>
          <t>변동성 48.5%(112거래일 기준, 기준 35% 초과), 상장 5개월(기준 12개월 미만), 연 분배율 산출 불가(상장 1년 미만 — 12개월 창이 안 채워짐)</t>
        </is>
      </c>
      <c r="O172" s="95" t="inlineStr">
        <is>
          <t>Wise 삼성전자 SK하이닉스 채권혼합 지수</t>
        </is>
      </c>
      <c r="P172" s="95" t="inlineStr">
        <is>
          <t>일반</t>
        </is>
      </c>
      <c r="Q172" s="95" t="inlineStr">
        <is>
          <t>멀티에셋</t>
        </is>
      </c>
      <c r="R172" s="95" t="inlineStr">
        <is>
          <t>판정 불가</t>
        </is>
      </c>
      <c r="S172" s="96" t="n">
        <v>5</v>
      </c>
    </row>
    <row r="173">
      <c r="A173" s="95" t="inlineStr">
        <is>
          <t>KODEX 주주환원고배당주</t>
        </is>
      </c>
      <c r="B173" s="95" t="inlineStr">
        <is>
          <t>0153K0</t>
        </is>
      </c>
      <c r="C173" s="95" t="inlineStr">
        <is>
          <t>삼성자산운용(ETF)</t>
        </is>
      </c>
      <c r="D173" s="96" t="n">
        <v>12405</v>
      </c>
      <c r="E173" s="96" t="n">
        <v>148920000000</v>
      </c>
      <c r="F173" s="96" t="n">
        <v>2472680181</v>
      </c>
      <c r="G173" s="97" t="n">
        <v>0.005125999999999999</v>
      </c>
      <c r="H173" s="97" t="n">
        <v>0.354</v>
      </c>
      <c r="I173" s="97" t="n">
        <v>0.0038</v>
      </c>
      <c r="J173" s="97" t="n"/>
      <c r="K173" s="96" t="n">
        <v>7</v>
      </c>
      <c r="L173" s="95" t="inlineStr">
        <is>
          <t>20260914</t>
        </is>
      </c>
      <c r="M173" s="95" t="inlineStr">
        <is>
          <t>제외</t>
        </is>
      </c>
      <c r="N173" s="95" t="inlineStr">
        <is>
          <t>변동성 35.4%(163거래일 기준, 기준 35% 초과), 상장 8개월(기준 12개월 미만), 연 분배율 산출 불가(상장 1년 미만 — 12개월 창이 안 채워짐)</t>
        </is>
      </c>
      <c r="O173" s="95" t="inlineStr">
        <is>
          <t>Akros 주주환원 고배당 지수</t>
        </is>
      </c>
      <c r="P173" s="95" t="inlineStr">
        <is>
          <t>일반</t>
        </is>
      </c>
      <c r="Q173" s="95" t="inlineStr">
        <is>
          <t>주식</t>
        </is>
      </c>
      <c r="R173" s="95" t="inlineStr">
        <is>
          <t>판정 불가</t>
        </is>
      </c>
      <c r="S173" s="96" t="n">
        <v>7</v>
      </c>
    </row>
    <row r="174">
      <c r="A174" s="95" t="inlineStr">
        <is>
          <t>PLUS 200위클리커버드콜채권혼합</t>
        </is>
      </c>
      <c r="B174" s="95" t="inlineStr">
        <is>
          <t>0203D0</t>
        </is>
      </c>
      <c r="C174" s="95" t="inlineStr">
        <is>
          <t>한화자산운용</t>
        </is>
      </c>
      <c r="D174" s="96" t="n">
        <v>8895</v>
      </c>
      <c r="E174" s="96" t="n">
        <v>10668000000</v>
      </c>
      <c r="F174" s="96" t="n">
        <v>264360875</v>
      </c>
      <c r="G174" s="97" t="n">
        <v>0.004914</v>
      </c>
      <c r="H174" s="97" t="n">
        <v>0.3785</v>
      </c>
      <c r="I174" s="97" t="n">
        <v>0.006999999999999999</v>
      </c>
      <c r="J174" s="97" t="n"/>
      <c r="K174" s="96" t="n">
        <v>3</v>
      </c>
      <c r="L174" s="95" t="inlineStr">
        <is>
          <t>20260828</t>
        </is>
      </c>
      <c r="M174" s="95" t="inlineStr">
        <is>
          <t>제외</t>
        </is>
      </c>
      <c r="N174" s="95" t="inlineStr">
        <is>
          <t>순자산 107억(기준 300억 미만), 60일 거래대금 2.6억(기준 5억 미만), 변동성 37.9%(75거래일 기준, 기준 35% 초과), 상장 3개월(기준 12개월 미만), 연 분배율 산출 불가(상장 1년 미만 — 12개월 창이 안 채워짐)</t>
        </is>
      </c>
      <c r="O174" s="95" t="inlineStr">
        <is>
          <t>코스피 200 KTB 혼합 위클리 고정 10% 커버드콜 지수</t>
        </is>
      </c>
      <c r="P174" s="95" t="inlineStr">
        <is>
          <t>커버드콜</t>
        </is>
      </c>
      <c r="Q174" s="95" t="inlineStr">
        <is>
          <t>멀티에셋</t>
        </is>
      </c>
      <c r="R174" s="95" t="inlineStr">
        <is>
          <t>판정 불가</t>
        </is>
      </c>
      <c r="S174" s="96" t="n">
        <v>3</v>
      </c>
    </row>
    <row r="175">
      <c r="A175" s="95" t="inlineStr">
        <is>
          <t>PLUS 200커버드콜액티브</t>
        </is>
      </c>
      <c r="B175" s="95" t="inlineStr">
        <is>
          <t>0210E0</t>
        </is>
      </c>
      <c r="C175" s="95" t="inlineStr">
        <is>
          <t>한화자산운용</t>
        </is>
      </c>
      <c r="D175" s="96" t="n">
        <v>7220</v>
      </c>
      <c r="E175" s="96" t="n">
        <v>68542500000</v>
      </c>
      <c r="F175" s="96" t="n">
        <v>2642273273</v>
      </c>
      <c r="G175" s="97" t="n">
        <v>0.006020999999999999</v>
      </c>
      <c r="H175" s="97" t="n">
        <v>0.7619</v>
      </c>
      <c r="I175" s="97" t="n">
        <v>0.0194</v>
      </c>
      <c r="J175" s="97" t="n"/>
      <c r="K175" s="96" t="n">
        <v>2</v>
      </c>
      <c r="L175" s="95" t="inlineStr">
        <is>
          <t>20260828</t>
        </is>
      </c>
      <c r="M175" s="95" t="inlineStr">
        <is>
          <t>제외</t>
        </is>
      </c>
      <c r="N175" s="95" t="inlineStr">
        <is>
          <t>변동성 76.2%(61거래일 기준, 기준 35% 초과), 상장 3개월(기준 12개월 미만), 연 분배율 산출 불가(상장 1년 미만 — 12개월 창이 안 채워짐)</t>
        </is>
      </c>
      <c r="O175" s="95" t="inlineStr">
        <is>
          <t>코스피 200 위클리 고정 30% 커버드콜 지수</t>
        </is>
      </c>
      <c r="P175" s="95" t="inlineStr">
        <is>
          <t>커버드콜</t>
        </is>
      </c>
      <c r="Q175" s="95" t="inlineStr">
        <is>
          <t>주식</t>
        </is>
      </c>
      <c r="R175" s="95" t="inlineStr">
        <is>
          <t>판정 불가</t>
        </is>
      </c>
      <c r="S175" s="96" t="n">
        <v>2</v>
      </c>
    </row>
    <row r="176">
      <c r="A176" s="95" t="inlineStr">
        <is>
          <t>PLUS 미국고배당주액티브</t>
        </is>
      </c>
      <c r="B176" s="95" t="inlineStr">
        <is>
          <t>0153X0</t>
        </is>
      </c>
      <c r="C176" s="95" t="inlineStr">
        <is>
          <t>한화자산운용</t>
        </is>
      </c>
      <c r="D176" s="96" t="n">
        <v>11130</v>
      </c>
      <c r="E176" s="96" t="n">
        <v>21185000000</v>
      </c>
      <c r="F176" s="96" t="n">
        <v>496192059</v>
      </c>
      <c r="G176" s="97" t="n">
        <v>0.006036000000000001</v>
      </c>
      <c r="H176" s="97" t="n">
        <v>0.1558</v>
      </c>
      <c r="I176" s="97" t="n">
        <v>0.004099999999999999</v>
      </c>
      <c r="J176" s="97" t="n"/>
      <c r="K176" s="96" t="n">
        <v>7</v>
      </c>
      <c r="L176" s="95" t="inlineStr">
        <is>
          <t>20260828</t>
        </is>
      </c>
      <c r="M176" s="95" t="inlineStr">
        <is>
          <t>제외</t>
        </is>
      </c>
      <c r="N176" s="95" t="inlineStr">
        <is>
          <t>순자산 212억(기준 300억 미만), 60일 거래대금 5.0억(기준 5억 미만), 상장 8개월(기준 12개월 미만), 연 분배율 산출 불가(상장 1년 미만 — 12개월 창이 안 채워짐)</t>
        </is>
      </c>
      <c r="O176" s="95" t="inlineStr">
        <is>
          <t>Akros U.S. High Dividend 20 Index</t>
        </is>
      </c>
      <c r="P176" s="95" t="inlineStr">
        <is>
          <t>일반</t>
        </is>
      </c>
      <c r="Q176" s="95" t="inlineStr">
        <is>
          <t>주식</t>
        </is>
      </c>
      <c r="R176" s="95" t="inlineStr">
        <is>
          <t>판정 불가</t>
        </is>
      </c>
      <c r="S176" s="96" t="n">
        <v>7</v>
      </c>
    </row>
    <row r="177">
      <c r="A177" s="95" t="inlineStr">
        <is>
          <t>PLUS 차이나항셍테크위클리타겟커버드콜</t>
        </is>
      </c>
      <c r="B177" s="95" t="inlineStr">
        <is>
          <t>0128D0</t>
        </is>
      </c>
      <c r="C177" s="95" t="inlineStr">
        <is>
          <t>한화자산운용</t>
        </is>
      </c>
      <c r="D177" s="96" t="n">
        <v>6355</v>
      </c>
      <c r="E177" s="96" t="n">
        <v>4480000000</v>
      </c>
      <c r="F177" s="96" t="n">
        <v>28692864</v>
      </c>
      <c r="G177" s="97" t="n">
        <v>0.01153</v>
      </c>
      <c r="H177" s="97" t="n">
        <v>0.272</v>
      </c>
      <c r="I177" s="97" t="n">
        <v>0.0125</v>
      </c>
      <c r="J177" s="97" t="n"/>
      <c r="K177" s="96" t="n">
        <v>9</v>
      </c>
      <c r="L177" s="95" t="inlineStr">
        <is>
          <t>20260828</t>
        </is>
      </c>
      <c r="M177" s="95" t="inlineStr">
        <is>
          <t>제외</t>
        </is>
      </c>
      <c r="N177" s="95" t="inlineStr">
        <is>
          <t>순자산 45억(기준 300억 미만), 60일 거래대금 0.3억(기준 5억 미만), 상장 10개월(기준 12개월 미만), 연 분배율 산출 불가(상장 1년 미만 — 12개월 창이 안 채워짐)</t>
        </is>
      </c>
      <c r="O177" s="95" t="inlineStr">
        <is>
          <t>HSTECH 15% Target Premium Weekly Covered Call Index</t>
        </is>
      </c>
      <c r="P177" s="95" t="inlineStr">
        <is>
          <t>커버드콜</t>
        </is>
      </c>
      <c r="Q177" s="95" t="inlineStr">
        <is>
          <t>주식</t>
        </is>
      </c>
      <c r="R177" s="95" t="inlineStr">
        <is>
          <t>판정 불가</t>
        </is>
      </c>
      <c r="S177" s="96" t="n">
        <v>9</v>
      </c>
    </row>
    <row r="178">
      <c r="A178" s="95" t="inlineStr">
        <is>
          <t>PLUS 테슬라위클리커버드콜채권혼합</t>
        </is>
      </c>
      <c r="B178" s="95" t="inlineStr">
        <is>
          <t>0132K0</t>
        </is>
      </c>
      <c r="C178" s="95" t="inlineStr">
        <is>
          <t>한화자산운용</t>
        </is>
      </c>
      <c r="D178" s="96" t="n">
        <v>7875</v>
      </c>
      <c r="E178" s="96" t="n">
        <v>109068750000</v>
      </c>
      <c r="F178" s="96" t="n">
        <v>1273340077</v>
      </c>
      <c r="G178" s="97" t="n">
        <v>0.006500000000000001</v>
      </c>
      <c r="H178" s="97" t="n">
        <v>0.13</v>
      </c>
      <c r="I178" s="97" t="n">
        <v>0.02</v>
      </c>
      <c r="J178" s="97" t="n"/>
      <c r="K178" s="96" t="n">
        <v>10</v>
      </c>
      <c r="L178" s="95" t="inlineStr">
        <is>
          <t>20260914</t>
        </is>
      </c>
      <c r="M178" s="95" t="inlineStr">
        <is>
          <t>제외</t>
        </is>
      </c>
      <c r="N178" s="95" t="inlineStr">
        <is>
          <t>상장 9개월(기준 12개월 미만), 연 분배율 산출 불가(상장 1년 미만 — 12개월 창이 안 채워짐)</t>
        </is>
      </c>
      <c r="O178" s="95" t="inlineStr">
        <is>
          <t>Akros Tesla Weekly Covered Call Treasury Balanced Index</t>
        </is>
      </c>
      <c r="P178" s="95" t="inlineStr">
        <is>
          <t>커버드콜</t>
        </is>
      </c>
      <c r="Q178" s="95" t="inlineStr">
        <is>
          <t>멀티에셋</t>
        </is>
      </c>
      <c r="R178" s="95" t="inlineStr">
        <is>
          <t>판정 불가</t>
        </is>
      </c>
      <c r="S178" s="96" t="n">
        <v>10</v>
      </c>
    </row>
    <row r="179">
      <c r="A179" s="95" t="inlineStr">
        <is>
          <t>RISE 미국S&amp;P500데일리고정커버드콜</t>
        </is>
      </c>
      <c r="B179" s="95" t="inlineStr">
        <is>
          <t>0138T0</t>
        </is>
      </c>
      <c r="C179" s="95" t="inlineStr">
        <is>
          <t>KB자산운용</t>
        </is>
      </c>
      <c r="D179" s="96" t="n">
        <v>9300</v>
      </c>
      <c r="E179" s="96" t="n">
        <v>32532500000</v>
      </c>
      <c r="F179" s="96" t="n">
        <v>310076204</v>
      </c>
      <c r="G179" s="97" t="n">
        <v>0.006153</v>
      </c>
      <c r="H179" s="97" t="n">
        <v>0.1556</v>
      </c>
      <c r="I179" s="97" t="n">
        <v>0.008</v>
      </c>
      <c r="J179" s="97" t="n"/>
      <c r="K179" s="96" t="n">
        <v>10</v>
      </c>
      <c r="L179" s="95" t="inlineStr">
        <is>
          <t>20260914</t>
        </is>
      </c>
      <c r="M179" s="95" t="inlineStr">
        <is>
          <t>제외</t>
        </is>
      </c>
      <c r="N179" s="95" t="inlineStr">
        <is>
          <t>60일 거래대금 3.1억(기준 5억 미만), 상장 9개월(기준 12개월 미만), 연 분배율 산출 불가(상장 1년 미만 — 12개월 창이 안 채워짐)</t>
        </is>
      </c>
      <c r="O179" s="95" t="inlineStr">
        <is>
          <t>S&amp;P 500 10% Daily Fixed Covered Call Index (USD) TR</t>
        </is>
      </c>
      <c r="P179" s="95" t="inlineStr">
        <is>
          <t>커버드콜</t>
        </is>
      </c>
      <c r="Q179" s="95" t="inlineStr">
        <is>
          <t>주식</t>
        </is>
      </c>
      <c r="R179" s="95" t="inlineStr">
        <is>
          <t>판정 불가</t>
        </is>
      </c>
      <c r="S179" s="96" t="n">
        <v>10</v>
      </c>
    </row>
    <row r="180">
      <c r="A180" s="95" t="inlineStr">
        <is>
          <t>RISE 미국고배당다우존스TOP10</t>
        </is>
      </c>
      <c r="B180" s="95" t="inlineStr">
        <is>
          <t>0115C0</t>
        </is>
      </c>
      <c r="C180" s="95" t="inlineStr">
        <is>
          <t>KB자산운용</t>
        </is>
      </c>
      <c r="D180" s="96" t="n">
        <v>10875</v>
      </c>
      <c r="E180" s="96" t="n">
        <v>25568000000</v>
      </c>
      <c r="F180" s="96" t="n">
        <v>193426200</v>
      </c>
      <c r="G180" s="97" t="n">
        <v>0.004654</v>
      </c>
      <c r="H180" s="97" t="n">
        <v>0.1604</v>
      </c>
      <c r="I180" s="97" t="n">
        <v>0.0031</v>
      </c>
      <c r="J180" s="97" t="n"/>
      <c r="K180" s="96" t="n">
        <v>10</v>
      </c>
      <c r="L180" s="95" t="inlineStr">
        <is>
          <t>20260914</t>
        </is>
      </c>
      <c r="M180" s="95" t="inlineStr">
        <is>
          <t>제외</t>
        </is>
      </c>
      <c r="N180" s="95" t="inlineStr">
        <is>
          <t>순자산 256억(기준 300억 미만), 60일 거래대금 1.9억(기준 5억 미만), 상장 11개월(기준 12개월 미만), 연 분배율 산출 불가(상장 1년 미만 — 12개월 창이 안 채워짐)</t>
        </is>
      </c>
      <c r="O180" s="95" t="inlineStr">
        <is>
          <t>Dow Jones U.S. High Dividend 10 Index (USD)</t>
        </is>
      </c>
      <c r="P180" s="95" t="inlineStr">
        <is>
          <t>일반</t>
        </is>
      </c>
      <c r="Q180" s="95" t="inlineStr">
        <is>
          <t>주식</t>
        </is>
      </c>
      <c r="R180" s="95" t="inlineStr">
        <is>
          <t>판정 불가</t>
        </is>
      </c>
      <c r="S180" s="96" t="n">
        <v>10</v>
      </c>
    </row>
    <row r="181">
      <c r="A181" s="95" t="inlineStr">
        <is>
          <t>RISE 미국은행TOP10</t>
        </is>
      </c>
      <c r="B181" s="95" t="inlineStr">
        <is>
          <t>0013P0</t>
        </is>
      </c>
      <c r="C181" s="95" t="inlineStr">
        <is>
          <t>KB자산운용</t>
        </is>
      </c>
      <c r="D181" s="96" t="n"/>
      <c r="E181" s="96" t="n"/>
      <c r="F181" s="96" t="n"/>
      <c r="G181" s="97" t="n"/>
      <c r="H181" s="97" t="n"/>
      <c r="I181" s="97" t="n"/>
      <c r="J181" s="97" t="n"/>
      <c r="K181" s="96" t="n"/>
      <c r="L181" s="95" t="n"/>
      <c r="M181" s="95" t="inlineStr">
        <is>
          <t>제외</t>
        </is>
      </c>
      <c r="N181" s="95" t="inlineStr">
        <is>
          <t>수집 실패(세 번 다시 물었으나 답이 오지 않음: HTTP 0)</t>
        </is>
      </c>
      <c r="O181" s="95" t="inlineStr"/>
      <c r="P181" s="95" t="inlineStr">
        <is>
          <t>일반</t>
        </is>
      </c>
      <c r="Q181" s="95" t="inlineStr"/>
      <c r="R181" s="95" t="inlineStr"/>
      <c r="S181" s="96" t="n"/>
    </row>
    <row r="182">
      <c r="A182" s="95" t="inlineStr">
        <is>
          <t>RISE 코스닥커버드콜액티브</t>
        </is>
      </c>
      <c r="B182" s="95" t="inlineStr">
        <is>
          <t>0223A0</t>
        </is>
      </c>
      <c r="C182" s="95" t="inlineStr">
        <is>
          <t>KB자산운용</t>
        </is>
      </c>
      <c r="D182" s="96" t="n">
        <v>10620</v>
      </c>
      <c r="E182" s="96" t="n">
        <v>16992000000</v>
      </c>
      <c r="F182" s="96" t="n"/>
      <c r="G182" s="97" t="n">
        <v>0.003264</v>
      </c>
      <c r="H182" s="97" t="n"/>
      <c r="I182" s="97" t="n">
        <v>0.02</v>
      </c>
      <c r="J182" s="97" t="n"/>
      <c r="K182" s="96" t="n">
        <v>1</v>
      </c>
      <c r="L182" s="95" t="inlineStr">
        <is>
          <t>20260828</t>
        </is>
      </c>
      <c r="M182" s="95" t="inlineStr">
        <is>
          <t>제외</t>
        </is>
      </c>
      <c r="N182" s="95" t="inlineStr">
        <is>
          <t>순자산 170억(기준 300억 미만), 거래대금 미확인, 변동성 산출 불가(시세 37일치뿐), 상장 2개월(기준 12개월 미만), 연 분배율 산출 불가(상장 1년 미만 — 12개월 창이 안 채워짐)</t>
        </is>
      </c>
      <c r="O182" s="95" t="inlineStr">
        <is>
          <t>코스닥 150 타겟 15% 위클리 커버드콜 지수</t>
        </is>
      </c>
      <c r="P182" s="95" t="inlineStr">
        <is>
          <t>커버드콜</t>
        </is>
      </c>
      <c r="Q182" s="95" t="inlineStr">
        <is>
          <t>주식</t>
        </is>
      </c>
      <c r="R182" s="95" t="inlineStr">
        <is>
          <t>판정 불가</t>
        </is>
      </c>
      <c r="S182" s="96" t="n">
        <v>1</v>
      </c>
    </row>
    <row r="183">
      <c r="A183" s="95" t="inlineStr">
        <is>
          <t>SOL 200타겟위클리커버드콜</t>
        </is>
      </c>
      <c r="B183" s="95" t="inlineStr">
        <is>
          <t>0167B0</t>
        </is>
      </c>
      <c r="C183" s="95" t="inlineStr">
        <is>
          <t>신한자산운용</t>
        </is>
      </c>
      <c r="D183" s="96" t="n">
        <v>11580</v>
      </c>
      <c r="E183" s="96" t="n">
        <v>636625000000</v>
      </c>
      <c r="F183" s="96" t="n">
        <v>20155844700</v>
      </c>
      <c r="G183" s="97" t="n">
        <v>0.00345</v>
      </c>
      <c r="H183" s="97" t="n">
        <v>0.6918000000000001</v>
      </c>
      <c r="I183" s="97" t="n">
        <v>0.0139</v>
      </c>
      <c r="J183" s="97" t="n"/>
      <c r="K183" s="96" t="n">
        <v>5</v>
      </c>
      <c r="L183" s="95" t="inlineStr">
        <is>
          <t>20260828</t>
        </is>
      </c>
      <c r="M183" s="95" t="inlineStr">
        <is>
          <t>제외</t>
        </is>
      </c>
      <c r="N183" s="95" t="inlineStr">
        <is>
          <t>변동성 69.2%(127거래일 기준, 기준 35% 초과), 상장 6개월(기준 12개월 미만), 연 분배율 산출 불가(상장 1년 미만 — 12개월 창이 안 채워짐)</t>
        </is>
      </c>
      <c r="O183" s="95" t="inlineStr">
        <is>
          <t>코스피 200 타겟 15% 위클리 커버드콜 지수</t>
        </is>
      </c>
      <c r="P183" s="95" t="inlineStr">
        <is>
          <t>커버드콜</t>
        </is>
      </c>
      <c r="Q183" s="95" t="inlineStr">
        <is>
          <t>주식</t>
        </is>
      </c>
      <c r="R183" s="95" t="inlineStr">
        <is>
          <t>판정 불가</t>
        </is>
      </c>
      <c r="S183" s="96" t="n">
        <v>5</v>
      </c>
    </row>
    <row r="184">
      <c r="A184" s="95" t="inlineStr">
        <is>
          <t>SOL 미국S&amp;P500미국채혼합50</t>
        </is>
      </c>
      <c r="B184" s="95" t="inlineStr">
        <is>
          <t>0080X0</t>
        </is>
      </c>
      <c r="C184" s="95" t="inlineStr">
        <is>
          <t>신한자산운용</t>
        </is>
      </c>
      <c r="D184" s="96" t="n"/>
      <c r="E184" s="96" t="n"/>
      <c r="F184" s="96" t="n"/>
      <c r="G184" s="97" t="n"/>
      <c r="H184" s="97" t="n"/>
      <c r="I184" s="97" t="n"/>
      <c r="J184" s="97" t="n"/>
      <c r="K184" s="96" t="n"/>
      <c r="L184" s="95" t="n"/>
      <c r="M184" s="95" t="inlineStr">
        <is>
          <t>제외</t>
        </is>
      </c>
      <c r="N184" s="95" t="inlineStr">
        <is>
          <t>수집 실패(세 번 다시 물었으나 답이 오지 않음: HTTP 0)</t>
        </is>
      </c>
      <c r="O184" s="95" t="inlineStr"/>
      <c r="P184" s="95" t="inlineStr">
        <is>
          <t>일반</t>
        </is>
      </c>
      <c r="Q184" s="95" t="inlineStr"/>
      <c r="R184" s="95" t="inlineStr"/>
      <c r="S184" s="96" t="n"/>
    </row>
    <row r="185">
      <c r="A185" s="95" t="inlineStr">
        <is>
          <t>SOL 배당성향탑픽액티브</t>
        </is>
      </c>
      <c r="B185" s="95" t="inlineStr">
        <is>
          <t>0152E0</t>
        </is>
      </c>
      <c r="C185" s="95" t="inlineStr">
        <is>
          <t>신한자산운용</t>
        </is>
      </c>
      <c r="D185" s="96" t="n">
        <v>10790</v>
      </c>
      <c r="E185" s="96" t="n">
        <v>25333000000</v>
      </c>
      <c r="F185" s="96" t="n">
        <v>241130204</v>
      </c>
      <c r="G185" s="97" t="n">
        <v>0.004067</v>
      </c>
      <c r="H185" s="97" t="n">
        <v>0.3311</v>
      </c>
      <c r="I185" s="97" t="n">
        <v>0.0046</v>
      </c>
      <c r="J185" s="97" t="n"/>
      <c r="K185" s="96" t="n">
        <v>7</v>
      </c>
      <c r="L185" s="95" t="inlineStr">
        <is>
          <t>20260828</t>
        </is>
      </c>
      <c r="M185" s="95" t="inlineStr">
        <is>
          <t>제외</t>
        </is>
      </c>
      <c r="N185" s="95" t="inlineStr">
        <is>
          <t>순자산 253억(기준 300억 미만), 60일 거래대금 2.4억(기준 5억 미만), 상장 8개월(기준 12개월 미만), 연 분배율 산출 불가(상장 1년 미만 — 12개월 창이 안 채워짐)</t>
        </is>
      </c>
      <c r="O185" s="95" t="inlineStr">
        <is>
          <t>FnGuide 배당성향탑픽 지수</t>
        </is>
      </c>
      <c r="P185" s="95" t="inlineStr">
        <is>
          <t>일반</t>
        </is>
      </c>
      <c r="Q185" s="95" t="inlineStr">
        <is>
          <t>주식</t>
        </is>
      </c>
      <c r="R185" s="95" t="inlineStr">
        <is>
          <t>판정 불가</t>
        </is>
      </c>
      <c r="S185" s="96" t="n">
        <v>7</v>
      </c>
    </row>
    <row r="186">
      <c r="A186" s="95" t="inlineStr">
        <is>
          <t>SOL 코리아고배당</t>
        </is>
      </c>
      <c r="B186" s="95" t="inlineStr">
        <is>
          <t>0105E0</t>
        </is>
      </c>
      <c r="C186" s="95" t="inlineStr">
        <is>
          <t>신한자산운용</t>
        </is>
      </c>
      <c r="D186" s="96" t="n">
        <v>12977</v>
      </c>
      <c r="E186" s="96" t="n">
        <v>535041500000</v>
      </c>
      <c r="F186" s="96" t="n">
        <v>6759756080</v>
      </c>
      <c r="G186" s="97" t="n">
        <v>0.002454</v>
      </c>
      <c r="H186" s="97" t="n">
        <v>0.3055</v>
      </c>
      <c r="I186" s="97" t="n">
        <v>0.0046</v>
      </c>
      <c r="J186" s="97" t="n"/>
      <c r="K186" s="96" t="n">
        <v>11</v>
      </c>
      <c r="L186" s="95" t="inlineStr">
        <is>
          <t>20260914</t>
        </is>
      </c>
      <c r="M186" s="95" t="inlineStr">
        <is>
          <t>제외</t>
        </is>
      </c>
      <c r="N186" s="95" t="inlineStr">
        <is>
          <t>연 분배율 산출 불가(상장 1년 미만 — 12개월 창이 안 채워짐)</t>
        </is>
      </c>
      <c r="O186" s="95" t="inlineStr">
        <is>
          <t>FnGuide 코리아 고배당 지수</t>
        </is>
      </c>
      <c r="P186" s="95" t="inlineStr">
        <is>
          <t>일반</t>
        </is>
      </c>
      <c r="Q186" s="95" t="inlineStr">
        <is>
          <t>주식</t>
        </is>
      </c>
      <c r="R186" s="95" t="inlineStr">
        <is>
          <t>월배당</t>
        </is>
      </c>
      <c r="S186" s="96" t="n">
        <v>11</v>
      </c>
    </row>
    <row r="187">
      <c r="A187" s="95" t="inlineStr">
        <is>
          <t>SOL 코스피200채권혼합50</t>
        </is>
      </c>
      <c r="B187" s="95" t="inlineStr">
        <is>
          <t>0192S0</t>
        </is>
      </c>
      <c r="C187" s="95" t="inlineStr">
        <is>
          <t>신한자산운용</t>
        </is>
      </c>
      <c r="D187" s="96" t="n">
        <v>9340</v>
      </c>
      <c r="E187" s="96" t="n">
        <v>20592000000</v>
      </c>
      <c r="F187" s="96" t="n">
        <v>1880507912</v>
      </c>
      <c r="G187" s="97" t="n">
        <v>0.001772</v>
      </c>
      <c r="H187" s="97" t="n">
        <v>0.3958</v>
      </c>
      <c r="I187" s="97" t="n">
        <v>0.0013</v>
      </c>
      <c r="J187" s="97" t="n"/>
      <c r="K187" s="96" t="n">
        <v>3</v>
      </c>
      <c r="L187" s="95" t="inlineStr">
        <is>
          <t>20260828</t>
        </is>
      </c>
      <c r="M187" s="95" t="inlineStr">
        <is>
          <t>제외</t>
        </is>
      </c>
      <c r="N187" s="95" t="inlineStr">
        <is>
          <t>순자산 206억(기준 300억 미만), 변동성 39.6%(84거래일 기준, 기준 35% 초과), 상장 4개월(기준 12개월 미만), 연 분배율 산출 불가(상장 1년 미만 — 12개월 창이 안 채워짐)</t>
        </is>
      </c>
      <c r="O187" s="95" t="inlineStr">
        <is>
          <t>코스피 200 KTB 혼합지수</t>
        </is>
      </c>
      <c r="P187" s="95" t="inlineStr">
        <is>
          <t>일반</t>
        </is>
      </c>
      <c r="Q187" s="95" t="inlineStr">
        <is>
          <t>멀티에셋</t>
        </is>
      </c>
      <c r="R187" s="95" t="inlineStr">
        <is>
          <t>판정 불가</t>
        </is>
      </c>
      <c r="S187" s="96" t="n">
        <v>3</v>
      </c>
    </row>
    <row r="188">
      <c r="A188" s="95" t="inlineStr">
        <is>
          <t>TIGER 200타겟위클리커버드콜</t>
        </is>
      </c>
      <c r="B188" s="95" t="inlineStr">
        <is>
          <t>0104N0</t>
        </is>
      </c>
      <c r="C188" s="95" t="inlineStr">
        <is>
          <t>미래에셋자산운용</t>
        </is>
      </c>
      <c r="D188" s="96" t="n">
        <v>20465</v>
      </c>
      <c r="E188" s="96" t="n">
        <v>210944000000</v>
      </c>
      <c r="F188" s="96" t="n">
        <v>3246728091</v>
      </c>
      <c r="G188" s="97" t="n">
        <v>0.003325</v>
      </c>
      <c r="H188" s="97" t="n">
        <v>0.5901</v>
      </c>
      <c r="I188" s="97" t="n">
        <v>0.0059</v>
      </c>
      <c r="J188" s="97" t="n"/>
      <c r="K188" s="96" t="n">
        <v>12</v>
      </c>
      <c r="L188" s="95" t="inlineStr">
        <is>
          <t>20260914</t>
        </is>
      </c>
      <c r="M188" s="95" t="inlineStr">
        <is>
          <t>제외</t>
        </is>
      </c>
      <c r="N188" s="95" t="inlineStr">
        <is>
          <t>변동성 59.0%(1년 기준, 기준 35% 초과), 연 분배율 산출 불가(상장 1년 미만 — 12개월 창이 안 채워짐)</t>
        </is>
      </c>
      <c r="O188" s="95" t="inlineStr">
        <is>
          <t>코스피 200 타겟 7% 위클리 커버드콜 지수</t>
        </is>
      </c>
      <c r="P188" s="95" t="inlineStr">
        <is>
          <t>커버드콜</t>
        </is>
      </c>
      <c r="Q188" s="95" t="inlineStr">
        <is>
          <t>주식</t>
        </is>
      </c>
      <c r="R188" s="95" t="inlineStr">
        <is>
          <t>월배당</t>
        </is>
      </c>
      <c r="S188" s="96" t="n">
        <v>12</v>
      </c>
    </row>
    <row r="189">
      <c r="A189" s="95" t="inlineStr">
        <is>
          <t>TIGER 글로벌멀티에셋TIF액티브</t>
        </is>
      </c>
      <c r="B189" s="95" t="inlineStr">
        <is>
          <t>440340</t>
        </is>
      </c>
      <c r="C189" s="95" t="inlineStr">
        <is>
          <t>미래에셋자산운용</t>
        </is>
      </c>
      <c r="D189" s="96" t="n"/>
      <c r="E189" s="96" t="n"/>
      <c r="F189" s="96" t="n"/>
      <c r="G189" s="97" t="n"/>
      <c r="H189" s="97" t="n"/>
      <c r="I189" s="97" t="n"/>
      <c r="J189" s="97" t="n"/>
      <c r="K189" s="96" t="n"/>
      <c r="L189" s="95" t="n"/>
      <c r="M189" s="95" t="inlineStr">
        <is>
          <t>제외</t>
        </is>
      </c>
      <c r="N189" s="95" t="inlineStr">
        <is>
          <t>수집 실패(세 번 다시 물었으나 답이 오지 않음: HTTP 0)</t>
        </is>
      </c>
      <c r="O189" s="95" t="inlineStr"/>
      <c r="P189" s="95" t="inlineStr">
        <is>
          <t>일반</t>
        </is>
      </c>
      <c r="Q189" s="95" t="inlineStr"/>
      <c r="R189" s="95" t="inlineStr"/>
      <c r="S189" s="96" t="n"/>
    </row>
    <row r="190">
      <c r="A190" s="95" t="inlineStr">
        <is>
          <t>TIGER 미국S&amp;P500미국채혼합50</t>
        </is>
      </c>
      <c r="B190" s="95" t="inlineStr">
        <is>
          <t>0238P0</t>
        </is>
      </c>
      <c r="C190" s="95" t="inlineStr">
        <is>
          <t>미래에셋자산운용</t>
        </is>
      </c>
      <c r="D190" s="96" t="n">
        <v>10190</v>
      </c>
      <c r="E190" s="96" t="n">
        <v>51409000000</v>
      </c>
      <c r="F190" s="96" t="n"/>
      <c r="G190" s="97" t="n">
        <v>0.0015</v>
      </c>
      <c r="H190" s="97" t="n"/>
      <c r="I190" s="97" t="n"/>
      <c r="J190" s="97" t="n"/>
      <c r="K190" s="96" t="n">
        <v>0</v>
      </c>
      <c r="L190" s="95" t="n"/>
      <c r="M190" s="95" t="inlineStr">
        <is>
          <t>제외</t>
        </is>
      </c>
      <c r="N190" s="95" t="inlineStr">
        <is>
          <t>거래대금 미확인, 변동성 산출 불가(시세 8일치뿐), 상장 0개월(기준 12개월 미만), 최근 12개월 분배 없음, 연 분배율 산출 불가(상장 1년 미만 — 12개월 창이 안 채워짐)</t>
        </is>
      </c>
      <c r="O190" s="95" t="inlineStr">
        <is>
          <t>S&amp;P 500 and Short-Term Treasury 50/50 Blend Index (USD)</t>
        </is>
      </c>
      <c r="P190" s="95" t="inlineStr">
        <is>
          <t>일반</t>
        </is>
      </c>
      <c r="Q190" s="95" t="inlineStr">
        <is>
          <t>멀티에셋</t>
        </is>
      </c>
      <c r="R190" s="95" t="inlineStr">
        <is>
          <t>판정 불가</t>
        </is>
      </c>
      <c r="S190" s="96" t="n">
        <v>0</v>
      </c>
    </row>
    <row r="191">
      <c r="A191" s="95" t="inlineStr">
        <is>
          <t>TIGER 미국배당다우존스타겟커버드콜1호</t>
        </is>
      </c>
      <c r="B191" s="95" t="inlineStr">
        <is>
          <t>458750</t>
        </is>
      </c>
      <c r="C191" s="95" t="inlineStr">
        <is>
          <t>미래에셋자산운용</t>
        </is>
      </c>
      <c r="D191" s="96" t="n"/>
      <c r="E191" s="96" t="n"/>
      <c r="F191" s="96" t="n"/>
      <c r="G191" s="97" t="n"/>
      <c r="H191" s="97" t="n"/>
      <c r="I191" s="97" t="n"/>
      <c r="J191" s="97" t="n"/>
      <c r="K191" s="96" t="n"/>
      <c r="L191" s="95" t="n"/>
      <c r="M191" s="95" t="inlineStr">
        <is>
          <t>제외</t>
        </is>
      </c>
      <c r="N191" s="95" t="inlineStr">
        <is>
          <t>수집 실패(세 번 다시 물었으나 답이 오지 않음: page.goto: net::ERR_EMPTY_RESPONSE at https://www.etfcheck.co.kr/
Call log:
  - )</t>
        </is>
      </c>
      <c r="O191" s="95" t="inlineStr"/>
      <c r="P191" s="95" t="inlineStr">
        <is>
          <t>커버드콜</t>
        </is>
      </c>
      <c r="Q191" s="95" t="inlineStr"/>
      <c r="R191" s="95" t="inlineStr"/>
      <c r="S191" s="96" t="n"/>
    </row>
    <row r="192">
      <c r="A192" s="95" t="inlineStr">
        <is>
          <t>TIGER 미국배당다우존스타겟커버드콜2호</t>
        </is>
      </c>
      <c r="B192" s="95" t="inlineStr">
        <is>
          <t>458760</t>
        </is>
      </c>
      <c r="C192" s="95" t="inlineStr">
        <is>
          <t>미래에셋자산운용</t>
        </is>
      </c>
      <c r="D192" s="96" t="n"/>
      <c r="E192" s="96" t="n"/>
      <c r="F192" s="96" t="n"/>
      <c r="G192" s="97" t="n"/>
      <c r="H192" s="97" t="n"/>
      <c r="I192" s="97" t="n"/>
      <c r="J192" s="97" t="n"/>
      <c r="K192" s="96" t="n"/>
      <c r="L192" s="95" t="n"/>
      <c r="M192" s="95" t="inlineStr">
        <is>
          <t>제외</t>
        </is>
      </c>
      <c r="N192" s="95" t="inlineStr">
        <is>
          <t>수집 실패(세 번 다시 물었으나 답이 오지 않음: HTTP 0)</t>
        </is>
      </c>
      <c r="O192" s="95" t="inlineStr"/>
      <c r="P192" s="95" t="inlineStr">
        <is>
          <t>커버드콜</t>
        </is>
      </c>
      <c r="Q192" s="95" t="inlineStr"/>
      <c r="R192" s="95" t="inlineStr"/>
      <c r="S192" s="96" t="n"/>
    </row>
    <row r="193">
      <c r="A193" s="95" t="inlineStr">
        <is>
          <t>TIGER 반도체TOP10커버드콜액티브</t>
        </is>
      </c>
      <c r="B193" s="95" t="inlineStr">
        <is>
          <t>0177R0</t>
        </is>
      </c>
      <c r="C193" s="95" t="inlineStr">
        <is>
          <t>미래에셋자산운용</t>
        </is>
      </c>
      <c r="D193" s="96" t="n">
        <v>10980</v>
      </c>
      <c r="E193" s="96" t="n">
        <v>820930000000</v>
      </c>
      <c r="F193" s="96" t="n">
        <v>31491961866</v>
      </c>
      <c r="G193" s="97" t="n">
        <v>0.005719999999999999</v>
      </c>
      <c r="H193" s="97" t="n">
        <v>0.9095</v>
      </c>
      <c r="I193" s="97" t="n">
        <v>0.0155</v>
      </c>
      <c r="J193" s="97" t="n"/>
      <c r="K193" s="96" t="n">
        <v>5</v>
      </c>
      <c r="L193" s="95" t="inlineStr">
        <is>
          <t>20260914</t>
        </is>
      </c>
      <c r="M193" s="95" t="inlineStr">
        <is>
          <t>제외</t>
        </is>
      </c>
      <c r="N193" s="95" t="inlineStr">
        <is>
          <t>변동성 91.0%(102거래일 기준, 기준 35% 초과), 상장 5개월(기준 12개월 미만), 연 분배율 산출 불가(상장 1년 미만 — 12개월 창이 안 채워짐)</t>
        </is>
      </c>
      <c r="O193" s="95" t="inlineStr">
        <is>
          <t>FnGuide 반도체 TOP10 Capped 지수</t>
        </is>
      </c>
      <c r="P193" s="95" t="inlineStr">
        <is>
          <t>커버드콜</t>
        </is>
      </c>
      <c r="Q193" s="95" t="inlineStr">
        <is>
          <t>주식</t>
        </is>
      </c>
      <c r="R193" s="95" t="inlineStr">
        <is>
          <t>판정 불가</t>
        </is>
      </c>
      <c r="S193" s="96" t="n">
        <v>5</v>
      </c>
    </row>
    <row r="194">
      <c r="A194" s="95" t="inlineStr">
        <is>
          <t>TIGER 삼성전자SK하이닉스미국채혼합50</t>
        </is>
      </c>
      <c r="B194" s="95" t="inlineStr">
        <is>
          <t>0233J0</t>
        </is>
      </c>
      <c r="C194" s="95" t="inlineStr">
        <is>
          <t>미래에셋자산운용</t>
        </is>
      </c>
      <c r="D194" s="96" t="n">
        <v>10345</v>
      </c>
      <c r="E194" s="96" t="n">
        <v>206800000000</v>
      </c>
      <c r="F194" s="96" t="n"/>
      <c r="G194" s="97" t="n">
        <v>0.001506</v>
      </c>
      <c r="H194" s="97" t="n"/>
      <c r="I194" s="97" t="n"/>
      <c r="J194" s="97" t="n"/>
      <c r="K194" s="96" t="n">
        <v>0</v>
      </c>
      <c r="L194" s="95" t="n"/>
      <c r="M194" s="95" t="inlineStr">
        <is>
          <t>제외</t>
        </is>
      </c>
      <c r="N194" s="95" t="inlineStr">
        <is>
          <t>거래대금 미확인, 변동성 산출 불가(시세 18일치뿐), 상장 1개월(기준 12개월 미만), 최근 12개월 분배 없음, 연 분배율 산출 불가(상장 1년 미만 — 12개월 창이 안 채워짐)</t>
        </is>
      </c>
      <c r="O194" s="95" t="inlineStr">
        <is>
          <t>KRX 삼성전자 SK하이닉스 미국채 혼합지수</t>
        </is>
      </c>
      <c r="P194" s="95" t="inlineStr">
        <is>
          <t>일반</t>
        </is>
      </c>
      <c r="Q194" s="95" t="inlineStr">
        <is>
          <t>멀티에셋</t>
        </is>
      </c>
      <c r="R194" s="95" t="inlineStr">
        <is>
          <t>판정 불가</t>
        </is>
      </c>
      <c r="S194" s="96" t="n">
        <v>0</v>
      </c>
    </row>
    <row r="195">
      <c r="A195" s="95" t="inlineStr">
        <is>
          <t>TIGER 코리아배당다우존스위클리커버드콜</t>
        </is>
      </c>
      <c r="B195" s="95" t="inlineStr">
        <is>
          <t>0104P0</t>
        </is>
      </c>
      <c r="C195" s="95" t="inlineStr">
        <is>
          <t>미래에셋자산운용</t>
        </is>
      </c>
      <c r="D195" s="96" t="n">
        <v>11115</v>
      </c>
      <c r="E195" s="96" t="n">
        <v>18912500000</v>
      </c>
      <c r="F195" s="96" t="n">
        <v>265207417</v>
      </c>
      <c r="G195" s="97" t="n">
        <v>0.004345</v>
      </c>
      <c r="H195" s="97" t="n">
        <v>0.3105</v>
      </c>
      <c r="I195" s="97" t="n">
        <v>0.0098</v>
      </c>
      <c r="J195" s="97" t="n"/>
      <c r="K195" s="96" t="n">
        <v>11</v>
      </c>
      <c r="L195" s="95" t="inlineStr">
        <is>
          <t>20260828</t>
        </is>
      </c>
      <c r="M195" s="95" t="inlineStr">
        <is>
          <t>제외</t>
        </is>
      </c>
      <c r="N195" s="95" t="inlineStr">
        <is>
          <t>순자산 189억(기준 300억 미만), 60일 거래대금 2.7억(기준 5억 미만), 연 분배율 산출 불가(상장 1년 미만 — 12개월 창이 안 채워짐)</t>
        </is>
      </c>
      <c r="O195" s="95" t="inlineStr">
        <is>
          <t>KRX 다우존스 코리아 배당 30 타겟 7% 위클리 커버드콜 지수</t>
        </is>
      </c>
      <c r="P195" s="95" t="inlineStr">
        <is>
          <t>커버드콜</t>
        </is>
      </c>
      <c r="Q195" s="95" t="inlineStr">
        <is>
          <t>주식</t>
        </is>
      </c>
      <c r="R195" s="95" t="inlineStr">
        <is>
          <t>월배당</t>
        </is>
      </c>
      <c r="S195" s="96" t="n">
        <v>11</v>
      </c>
    </row>
  </sheetData>
  <autoFilter ref="A3:S19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8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04" customWidth="1" min="2" max="2"/>
  </cols>
  <sheetData>
    <row r="1" ht="34" customHeight="1">
      <c r="A1" s="2" t="n"/>
      <c r="B1" s="98" t="inlineStr">
        <is>
          <t>이 파일을 쓰는 법</t>
        </is>
      </c>
    </row>
    <row r="2" ht="3" customHeight="1">
      <c r="A2" s="6" t="n"/>
      <c r="B2" s="6" t="n"/>
    </row>
    <row r="4" ht="18" customHeight="1">
      <c r="B4" s="99" t="inlineStr"/>
    </row>
    <row r="5" ht="24" customHeight="1">
      <c r="B5" s="100" t="inlineStr">
        <is>
          <t>1. [제안서] 장의 노란 칸만 고치면 됩니다.</t>
        </is>
      </c>
    </row>
    <row r="6" ht="18" customHeight="1">
      <c r="B6" s="69" t="inlineStr">
        <is>
          <t xml:space="preserve">     · 고객명 — 그대로 인쇄됩니다.</t>
        </is>
      </c>
    </row>
    <row r="7" ht="18" customHeight="1">
      <c r="B7" s="69" t="inlineStr">
        <is>
          <t xml:space="preserve">     · 총 투자금액 — 원 단위로 넣으십시오. 예: 100000000</t>
        </is>
      </c>
    </row>
    <row r="8" ht="18" customHeight="1">
      <c r="B8" s="69" t="inlineStr">
        <is>
          <t xml:space="preserve">     · 배분 방식 — '비율' 또는 '금액'. 포트폴리오 표의 배분 칸 뜻이 이것에 따라 바뀝니다.</t>
        </is>
      </c>
    </row>
    <row r="9" ht="18" customHeight="1">
      <c r="B9" s="69" t="inlineStr">
        <is>
          <t xml:space="preserve">     · 배당소득세율 — 기본 15.4%. 금융소득종합과세 대상자면 여기만 바꾸십시오.</t>
        </is>
      </c>
    </row>
    <row r="10" ht="18" customHeight="1">
      <c r="B10" s="99" t="inlineStr"/>
    </row>
    <row r="11" ht="24" customHeight="1">
      <c r="B11" s="100" t="inlineStr">
        <is>
          <t>2. 포트폴리오는 10줄까지 담을 수 있습니다.</t>
        </is>
      </c>
    </row>
    <row r="12" ht="18" customHeight="1">
      <c r="B12" s="69" t="inlineStr">
        <is>
          <t xml:space="preserve">     · 투자 ETF 칸을 누르면 ▼ 가 나옵니다. 목록에서 고르십시오.</t>
        </is>
      </c>
    </row>
    <row r="13" ht="18" customHeight="1">
      <c r="B13" s="69" t="inlineStr">
        <is>
          <t xml:space="preserve">     · '비율' 이면 배분 칸에 %를 넣습니다. 합이 100 이 되어야 합니다.</t>
        </is>
      </c>
    </row>
    <row r="14" ht="18" customHeight="1">
      <c r="B14" s="69" t="inlineStr">
        <is>
          <t xml:space="preserve">       예) 50 / 30 / 20 → 총 투자금액을 5:3:2 로 나눕니다.</t>
        </is>
      </c>
    </row>
    <row r="15" ht="18" customHeight="1">
      <c r="B15" s="69" t="inlineStr">
        <is>
          <t xml:space="preserve">     · '금액' 이면 배분 칸에 원 단위 금액을 직접 넣습니다.</t>
        </is>
      </c>
    </row>
    <row r="16" ht="18" customHeight="1">
      <c r="B16" s="69" t="inlineStr">
        <is>
          <t xml:space="preserve">       예) 60000000 / 25000000 / 15000000</t>
        </is>
      </c>
    </row>
    <row r="17" ht="18" customHeight="1">
      <c r="B17" s="69" t="inlineStr">
        <is>
          <t xml:space="preserve">     · 한 종목만 담으려면 첫 줄에만 넣고 배분을 100 으로 두십시오.</t>
        </is>
      </c>
    </row>
    <row r="18" ht="18" customHeight="1">
      <c r="B18" s="69" t="inlineStr">
        <is>
          <t xml:space="preserve">     · 빈 줄은 계산에서 빠집니다. 줄을 지울 필요가 없습니다.</t>
        </is>
      </c>
    </row>
    <row r="19" ht="18" customHeight="1">
      <c r="B19" s="69" t="inlineStr">
        <is>
          <t xml:space="preserve">     · 배분이 어긋나면(비율 합 ≠ 100, 금액 합 &gt; 총액) 합계 줄 아래에 빨간 글씨로 알려 줍니다.</t>
        </is>
      </c>
    </row>
    <row r="20" ht="18" customHeight="1">
      <c r="B20" s="99" t="inlineStr"/>
    </row>
    <row r="21" ht="24" customHeight="1">
      <c r="B21" s="100" t="inlineStr">
        <is>
          <t>3. 드롭다운에는 고를 수 있는 종목이 전부 담겨 있습니다.</t>
        </is>
      </c>
    </row>
    <row r="22" ht="18" customHeight="1">
      <c r="B22" s="69" t="inlineStr">
        <is>
          <t xml:space="preserve">     · 채택 71종목 — 유동성·변동성·분배이력 기준을 통과한 종목</t>
        </is>
      </c>
    </row>
    <row r="23" ht="18" customHeight="1">
      <c r="B23" s="69" t="inlineStr">
        <is>
          <t xml:space="preserve">     · 기준 미달 74종목 — 통과하지 못했지만 고를 수는 있습니다.</t>
        </is>
      </c>
    </row>
    <row r="24" ht="18" customHeight="1">
      <c r="B24" s="69" t="inlineStr">
        <is>
          <t xml:space="preserve">       담으면 합계 줄 아래에 노란 글씨로 알려 주고, 사유는 [ETF데이터] 장 '제외 사유' 칸에 있습니다.</t>
        </is>
      </c>
    </row>
    <row r="25" ht="18" customHeight="1">
      <c r="B25" s="69" t="inlineStr">
        <is>
          <t xml:space="preserve">     · 선택 불가 47종목 — 연 분배율을 낼 수 없는 종목이라 드롭다운에 없습니다.</t>
        </is>
      </c>
    </row>
    <row r="26" ht="18" customHeight="1">
      <c r="B26" s="69" t="inlineStr">
        <is>
          <t xml:space="preserve">       (분배 이력이 열두 달을 못 채웠거나 수집이 실패한 종목입니다. 사유는 [ETF데이터] 장에 있습니다.)</t>
        </is>
      </c>
    </row>
    <row r="27" ht="18" customHeight="1">
      <c r="B27" s="69" t="inlineStr">
        <is>
          <t xml:space="preserve">     · 커버드콜인지, 무슨 자산군인지는 [ETF데이터] 장의 '유형'·'자산군' 칸에 있습니다.</t>
        </is>
      </c>
    </row>
    <row r="28" ht="18" customHeight="1">
      <c r="B28" s="99" t="inlineStr"/>
    </row>
    <row r="29" ht="24" customHeight="1">
      <c r="B29" s="100" t="inlineStr">
        <is>
          <t>4. 나머지 칸은 전부 수식입니다.</t>
        </is>
      </c>
    </row>
    <row r="30" ht="18" customHeight="1">
      <c r="B30" s="69" t="inlineStr">
        <is>
          <t xml:space="preserve">     손으로 고치면 다음 갱신 때 되돌아갑니다.</t>
        </is>
      </c>
    </row>
    <row r="31" ht="18" customHeight="1">
      <c r="B31" s="99" t="inlineStr"/>
    </row>
    <row r="32" ht="24" customHeight="1">
      <c r="B32" s="100" t="inlineStr">
        <is>
          <t>5. 갱신</t>
        </is>
      </c>
    </row>
    <row r="33" ht="18" customHeight="1">
      <c r="B33" s="69" t="inlineStr">
        <is>
          <t xml:space="preserve">     매월 1일 오전(KST)에 ETFCHECK 에서 분배율을 다시 받아 이 파일을 새로 만듭니다.</t>
        </is>
      </c>
    </row>
    <row r="34" ht="18" customHeight="1">
      <c r="B34" s="69" t="inlineStr">
        <is>
          <t xml:space="preserve">     고객명·투자금액·포트폴리오는 갱신 때 초기값으로 돌아가므로, 고객별 사본은 따로 저장해 두십시오.</t>
        </is>
      </c>
    </row>
    <row r="35" ht="18" customHeight="1">
      <c r="B35" s="99" t="inlineStr"/>
    </row>
    <row r="36" ht="24" customHeight="1">
      <c r="B36" s="100" t="inlineStr">
        <is>
          <t>6. 값이 이상해 보이면</t>
        </is>
      </c>
    </row>
    <row r="37" ht="18" customHeight="1">
      <c r="B37" s="69" t="inlineStr">
        <is>
          <t xml:space="preserve">     [ETF데이터] 장을 먼저 보십시오. 그 장이 원천이고, [제안서] 장은 그 장을 가리킬 뿐입니다.</t>
        </is>
      </c>
    </row>
    <row r="38" ht="18" customHeight="1">
      <c r="B38" s="69" t="inlineStr">
        <is>
          <t xml:space="preserve">     그 장의 값이 ETFCHECK 화면과 다르면 수집이 어긋난 것이니 알려 주십시오.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2026-09-17T04:31:40Z</dcterms:created>
  <dcterms:modified xsi:type="dcterms:W3CDTF">2026-09-17T04:31:41Z</dcterms:modified>
</cp:coreProperties>
</file>