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OFFSET('ETF데이터'!$Y$4,0,0,MAX(1,COUNTIF('ETF데이터'!$W$4:$W$580,1)),1)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'제안서'!$A$1:$H$99</definedName>
    <definedName name="_xlnm._FilterDatabase" localSheetId="2" hidden="1">'ETF데이터'!$A$3:$T$662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9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  <c r="O20" s="3">
        <f>IF($K20=0,1,INDEX('ETF데이터'!$T$4:$T$580,$K20))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  <c r="O21" s="3">
        <f>IF($K21=0,1,INDEX('ETF데이터'!$T$4:$T$580,$K21))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  <c r="O22" s="3">
        <f>IF($K22=0,1,INDEX('ETF데이터'!$T$4:$T$580,$K22))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  <c r="O23" s="3">
        <f>IF($K23=0,1,INDEX('ETF데이터'!$T$4:$T$580,$K23))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  <c r="O24" s="3">
        <f>IF($K24=0,1,INDEX('ETF데이터'!$T$4:$T$580,$K24))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  <c r="O25" s="3">
        <f>IF($K25=0,1,INDEX('ETF데이터'!$T$4:$T$580,$K25))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  <c r="O26" s="3">
        <f>IF($K26=0,1,INDEX('ETF데이터'!$T$4:$T$580,$K26))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  <c r="O27" s="3">
        <f>IF($K27=0,1,INDEX('ETF데이터'!$T$4:$T$580,$K27))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  <c r="O28" s="3">
        <f>IF($K28=0,1,INDEX('ETF데이터'!$T$4:$T$580,$K28))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  <c r="O29" s="3">
        <f>IF($K29=0,1,INDEX('ETF데이터'!$T$4:$T$580,$K29))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$C51*IF($G$30=0,1-$C$13,$H$30/$G$30)</f>
        <v/>
      </c>
      <c r="E51" s="48">
        <f>$B51*$C$43</f>
        <v/>
      </c>
      <c r="F51" s="49">
        <f>$E51*IF($G$30=0,1-$C$13,$H$30/$G$30)</f>
        <v/>
      </c>
    </row>
    <row r="52" ht="19" customHeight="1">
      <c r="B52" s="50" t="n">
        <v>30000000</v>
      </c>
      <c r="C52" s="51">
        <f>$B52*$C$43/12</f>
        <v/>
      </c>
      <c r="D52" s="51">
        <f>$C52*IF($G$30=0,1-$C$13,$H$30/$G$30)</f>
        <v/>
      </c>
      <c r="E52" s="51">
        <f>$B52*$C$43</f>
        <v/>
      </c>
      <c r="F52" s="52">
        <f>$E52*IF($G$30=0,1-$C$13,$H$30/$G$30)</f>
        <v/>
      </c>
    </row>
    <row r="53" ht="19" customHeight="1">
      <c r="B53" s="47" t="n">
        <v>50000000</v>
      </c>
      <c r="C53" s="48">
        <f>$B53*$C$43/12</f>
        <v/>
      </c>
      <c r="D53" s="48">
        <f>$C53*IF($G$30=0,1-$C$13,$H$30/$G$30)</f>
        <v/>
      </c>
      <c r="E53" s="48">
        <f>$B53*$C$43</f>
        <v/>
      </c>
      <c r="F53" s="49">
        <f>$E53*IF($G$30=0,1-$C$13,$H$30/$G$30)</f>
        <v/>
      </c>
    </row>
    <row r="54" ht="19" customHeight="1">
      <c r="B54" s="50" t="n">
        <v>100000000</v>
      </c>
      <c r="C54" s="51">
        <f>$B54*$C$43/12</f>
        <v/>
      </c>
      <c r="D54" s="51">
        <f>$C54*IF($G$30=0,1-$C$13,$H$30/$G$30)</f>
        <v/>
      </c>
      <c r="E54" s="51">
        <f>$B54*$C$43</f>
        <v/>
      </c>
      <c r="F54" s="52">
        <f>$E54*IF($G$30=0,1-$C$13,$H$30/$G$30)</f>
        <v/>
      </c>
    </row>
    <row r="55" ht="19" customHeight="1">
      <c r="B55" s="47" t="n">
        <v>200000000</v>
      </c>
      <c r="C55" s="48">
        <f>$B55*$C$43/12</f>
        <v/>
      </c>
      <c r="D55" s="48">
        <f>$C55*IF($G$30=0,1-$C$13,$H$30/$G$30)</f>
        <v/>
      </c>
      <c r="E55" s="48">
        <f>$B55*$C$43</f>
        <v/>
      </c>
      <c r="F55" s="49">
        <f>$E55*IF($G$30=0,1-$C$13,$H$30/$G$30)</f>
        <v/>
      </c>
    </row>
    <row r="56" ht="19" customHeight="1">
      <c r="B56" s="50" t="n">
        <v>300000000</v>
      </c>
      <c r="C56" s="51">
        <f>$B56*$C$43/12</f>
        <v/>
      </c>
      <c r="D56" s="51">
        <f>$C56*IF($G$30=0,1-$C$13,$H$30/$G$30)</f>
        <v/>
      </c>
      <c r="E56" s="51">
        <f>$B56*$C$43</f>
        <v/>
      </c>
      <c r="F56" s="52">
        <f>$E56*IF($G$30=0,1-$C$13,$H$30/$G$30)</f>
        <v/>
      </c>
    </row>
    <row r="57" ht="19" customHeight="1">
      <c r="B57" s="47" t="n">
        <v>500000000</v>
      </c>
      <c r="C57" s="48">
        <f>$B57*$C$43/12</f>
        <v/>
      </c>
      <c r="D57" s="48">
        <f>$C57*IF($G$30=0,1-$C$13,$H$30/$G$30)</f>
        <v/>
      </c>
      <c r="E57" s="48">
        <f>$B57*$C$43</f>
        <v/>
      </c>
      <c r="F57" s="49">
        <f>$E57*IF($G$30=0,1-$C$13,$H$30/$G$30)</f>
        <v/>
      </c>
    </row>
    <row r="58" ht="19" customHeight="1">
      <c r="B58" s="53" t="n">
        <v>1000000000</v>
      </c>
      <c r="C58" s="54">
        <f>$B58*$C$43/12</f>
        <v/>
      </c>
      <c r="D58" s="54">
        <f>$C58*IF($G$30=0,1-$C$13,$H$30/$G$30)</f>
        <v/>
      </c>
      <c r="E58" s="54">
        <f>$B58*$C$43</f>
        <v/>
      </c>
      <c r="F58" s="55">
        <f>$E58*IF($G$30=0,1-$C$13,$H$30/$G$30)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$F65*(1-$C$13*'ETF데이터'!$T$4)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$F66*(1-$C$13*'ETF데이터'!$T$5)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$F67*(1-$C$13*'ETF데이터'!$T$6)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$F68*(1-$C$13*'ETF데이터'!$T$7)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$F69*(1-$C$13*'ETF데이터'!$T$8)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$F70*(1-$C$13*'ETF데이터'!$T$9)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$F71*(1-$C$13*'ETF데이터'!$T$10)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$F72*(1-$C$13*'ETF데이터'!$T$11)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$F73*(1-$C$13*'ETF데이터'!$T$16)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$F74*(1-$C$13*'ETF데이터'!$T$28)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$F75*(1-$C$13*'ETF데이터'!$T$44)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$F76*(1-$C$13*'ETF데이터'!$T$62)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$F77*(1-$C$13*'ETF데이터'!$T$69)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$F78*(1-$C$13*'ETF데이터'!$T$90)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적용했고, 그 비율은 [ETF데이터] 장의 '과세비율' 칸에 있습니다.</t>
        </is>
      </c>
    </row>
    <row r="91" ht="16" customHeight="1">
      <c r="B91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구하지 못한 종목은 전액 과세로 보수적으로 계산했습니다.</t>
        </is>
      </c>
    </row>
    <row r="92" ht="16" customHeight="1">
      <c r="B92" s="7" t="inlineStr">
        <is>
          <t>· 세무 상담이 필요한 사안은 이 문서로 갈음하지 마시고 세무 전문가의 확인을 받으십시오.</t>
        </is>
      </c>
    </row>
    <row r="93" ht="16" customHeight="1">
      <c r="B93" s="7" t="inlineStr">
        <is>
          <t>· 매매수수료·거래세·환율 변동은 반영하지 않았습니다. 총보수는 분배율에 이미 반영되어 있습니다(기준가 차감).</t>
        </is>
      </c>
    </row>
    <row r="94" ht="16" customHeight="1">
      <c r="B94" s="7" t="inlineStr">
        <is>
          <t>· 수량은 정수 매수를 가정해 내림 처리했습니다. 남는 금액은 '미투자 잔액'에 표시됩니다.</t>
        </is>
      </c>
    </row>
    <row r="95" ht="16" customHeight="1">
      <c r="B95" s="7" t="inlineStr">
        <is>
          <t>· 여러 종목에 나눠 담아도 분배 시기는 종목마다 다릅니다. 매월 같은 날 한꺼번에 들어오지 않습니다.</t>
        </is>
      </c>
    </row>
    <row r="96" ht="16" customHeight="1">
      <c r="B96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7" ht="16" customHeight="1">
      <c r="B97" s="7" t="inlineStr">
        <is>
          <t>· 드롭다운에는 유동성·변동성 기준에 미달한 종목도 담겨 있습니다. 담으면 2. 아래에 안내가 뜹니다.</t>
        </is>
      </c>
    </row>
    <row r="99" ht="15" customHeight="1">
      <c r="B99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4">
    <mergeCell ref="B99:H99"/>
    <mergeCell ref="B84:H84"/>
    <mergeCell ref="B92:H92"/>
    <mergeCell ref="B95:H95"/>
    <mergeCell ref="B33:H33"/>
    <mergeCell ref="A1:H1"/>
    <mergeCell ref="B89:H89"/>
    <mergeCell ref="G39:H39"/>
    <mergeCell ref="B85:H85"/>
    <mergeCell ref="B32:H32"/>
    <mergeCell ref="B94:H94"/>
    <mergeCell ref="B97:H97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IF($K20=0,"",INDEX('ETF데이터'!$E$4:$E$580,$K20)/100000000)</f>
        <v/>
      </c>
      <c r="I20" s="73">
        <f>IF($K20=0,"",INDEX('ETF데이터'!$M$4:$M$580,$K20))</f>
        <v/>
      </c>
      <c r="J20" s="78" t="n"/>
      <c r="K20">
        <f>IFERROR(MATCH(1,'ETF데이터'!$V$4:$V$580,0),0)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IF($K21=0,"",INDEX('ETF데이터'!$E$4:$E$580,$K21)/100000000)</f>
        <v/>
      </c>
      <c r="I21" s="79">
        <f>IF($K21=0,"",INDEX('ETF데이터'!$M$4:$M$580,$K21))</f>
        <v/>
      </c>
      <c r="J21" s="78" t="n"/>
      <c r="K21">
        <f>IFERROR(MATCH(2,'ETF데이터'!$V$4:$V$580,0),0)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IF($K22=0,"",INDEX('ETF데이터'!$E$4:$E$580,$K22)/100000000)</f>
        <v/>
      </c>
      <c r="I22" s="73">
        <f>IF($K22=0,"",INDEX('ETF데이터'!$M$4:$M$580,$K22))</f>
        <v/>
      </c>
      <c r="J22" s="78" t="n"/>
      <c r="K22">
        <f>IFERROR(MATCH(3,'ETF데이터'!$V$4:$V$580,0),0)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IF($K23=0,"",INDEX('ETF데이터'!$E$4:$E$580,$K23)/100000000)</f>
        <v/>
      </c>
      <c r="I23" s="79">
        <f>IF($K23=0,"",INDEX('ETF데이터'!$M$4:$M$580,$K23))</f>
        <v/>
      </c>
      <c r="J23" s="78" t="n"/>
      <c r="K23">
        <f>IFERROR(MATCH(4,'ETF데이터'!$V$4:$V$580,0),0)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IF($K24=0,"",INDEX('ETF데이터'!$E$4:$E$580,$K24)/100000000)</f>
        <v/>
      </c>
      <c r="I24" s="73">
        <f>IF($K24=0,"",INDEX('ETF데이터'!$M$4:$M$580,$K24))</f>
        <v/>
      </c>
      <c r="J24" s="78" t="n"/>
      <c r="K24">
        <f>IFERROR(MATCH(5,'ETF데이터'!$V$4:$V$580,0),0)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IF($K25=0,"",INDEX('ETF데이터'!$E$4:$E$580,$K25)/100000000)</f>
        <v/>
      </c>
      <c r="I25" s="79">
        <f>IF($K25=0,"",INDEX('ETF데이터'!$M$4:$M$580,$K25))</f>
        <v/>
      </c>
      <c r="J25" s="78" t="n"/>
      <c r="K25">
        <f>IFERROR(MATCH(6,'ETF데이터'!$V$4:$V$580,0),0)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IF($K26=0,"",INDEX('ETF데이터'!$E$4:$E$580,$K26)/100000000)</f>
        <v/>
      </c>
      <c r="I26" s="73">
        <f>IF($K26=0,"",INDEX('ETF데이터'!$M$4:$M$580,$K26))</f>
        <v/>
      </c>
      <c r="J26" s="78" t="n"/>
      <c r="K26">
        <f>IFERROR(MATCH(7,'ETF데이터'!$V$4:$V$580,0),0)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IF($K27=0,"",INDEX('ETF데이터'!$E$4:$E$580,$K27)/100000000)</f>
        <v/>
      </c>
      <c r="I27" s="79">
        <f>IF($K27=0,"",INDEX('ETF데이터'!$M$4:$M$580,$K27))</f>
        <v/>
      </c>
      <c r="J27" s="78" t="n"/>
      <c r="K27">
        <f>IFERROR(MATCH(8,'ETF데이터'!$V$4:$V$580,0),0)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IF($K28=0,"",INDEX('ETF데이터'!$E$4:$E$580,$K28)/100000000)</f>
        <v/>
      </c>
      <c r="I28" s="73">
        <f>IF($K28=0,"",INDEX('ETF데이터'!$M$4:$M$580,$K28))</f>
        <v/>
      </c>
      <c r="J28" s="78" t="n"/>
      <c r="K28">
        <f>IFERROR(MATCH(9,'ETF데이터'!$V$4:$V$580,0),0)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IF($K29=0,"",INDEX('ETF데이터'!$E$4:$E$580,$K29)/100000000)</f>
        <v/>
      </c>
      <c r="I29" s="79">
        <f>IF($K29=0,"",INDEX('ETF데이터'!$M$4:$M$580,$K29))</f>
        <v/>
      </c>
      <c r="J29" s="78" t="n"/>
      <c r="K29">
        <f>IFERROR(MATCH(10,'ETF데이터'!$V$4:$V$580,0),0)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IF($K30=0,"",INDEX('ETF데이터'!$E$4:$E$580,$K30)/100000000)</f>
        <v/>
      </c>
      <c r="I30" s="73">
        <f>IF($K30=0,"",INDEX('ETF데이터'!$M$4:$M$580,$K30))</f>
        <v/>
      </c>
      <c r="J30" s="78" t="n"/>
      <c r="K30">
        <f>IFERROR(MATCH(11,'ETF데이터'!$V$4:$V$580,0),0)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IF($K31=0,"",INDEX('ETF데이터'!$E$4:$E$580,$K31)/100000000)</f>
        <v/>
      </c>
      <c r="I31" s="79">
        <f>IF($K31=0,"",INDEX('ETF데이터'!$M$4:$M$580,$K31))</f>
        <v/>
      </c>
      <c r="J31" s="78" t="n"/>
      <c r="K31">
        <f>IFERROR(MATCH(12,'ETF데이터'!$V$4:$V$580,0),0)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IF($K32=0,"",INDEX('ETF데이터'!$E$4:$E$580,$K32)/100000000)</f>
        <v/>
      </c>
      <c r="I32" s="73">
        <f>IF($K32=0,"",INDEX('ETF데이터'!$M$4:$M$580,$K32))</f>
        <v/>
      </c>
      <c r="J32" s="78" t="n"/>
      <c r="K32">
        <f>IFERROR(MATCH(13,'ETF데이터'!$V$4:$V$580,0),0)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IF($K33=0,"",INDEX('ETF데이터'!$E$4:$E$580,$K33)/100000000)</f>
        <v/>
      </c>
      <c r="I33" s="79">
        <f>IF($K33=0,"",INDEX('ETF데이터'!$M$4:$M$580,$K33))</f>
        <v/>
      </c>
      <c r="J33" s="78" t="n"/>
      <c r="K33">
        <f>IFERROR(MATCH(14,'ETF데이터'!$V$4:$V$580,0),0)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IF($K34=0,"",INDEX('ETF데이터'!$E$4:$E$580,$K34)/100000000)</f>
        <v/>
      </c>
      <c r="I34" s="73">
        <f>IF($K34=0,"",INDEX('ETF데이터'!$M$4:$M$580,$K34))</f>
        <v/>
      </c>
      <c r="J34" s="78" t="n"/>
      <c r="K34">
        <f>IFERROR(MATCH(15,'ETF데이터'!$V$4:$V$580,0),0)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IF($K35=0,"",INDEX('ETF데이터'!$E$4:$E$580,$K35)/100000000)</f>
        <v/>
      </c>
      <c r="I35" s="79">
        <f>IF($K35=0,"",INDEX('ETF데이터'!$M$4:$M$580,$K35))</f>
        <v/>
      </c>
      <c r="J35" s="78" t="n"/>
      <c r="K35">
        <f>IFERROR(MATCH(16,'ETF데이터'!$V$4:$V$580,0),0)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IF($K36=0,"",INDEX('ETF데이터'!$E$4:$E$580,$K36)/100000000)</f>
        <v/>
      </c>
      <c r="I36" s="73">
        <f>IF($K36=0,"",INDEX('ETF데이터'!$M$4:$M$580,$K36))</f>
        <v/>
      </c>
      <c r="J36" s="78" t="n"/>
      <c r="K36">
        <f>IFERROR(MATCH(17,'ETF데이터'!$V$4:$V$580,0),0)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IF($K37=0,"",INDEX('ETF데이터'!$E$4:$E$580,$K37)/100000000)</f>
        <v/>
      </c>
      <c r="I37" s="79">
        <f>IF($K37=0,"",INDEX('ETF데이터'!$M$4:$M$580,$K37))</f>
        <v/>
      </c>
      <c r="J37" s="78" t="n"/>
      <c r="K37">
        <f>IFERROR(MATCH(18,'ETF데이터'!$V$4:$V$580,0),0)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IF($K38=0,"",INDEX('ETF데이터'!$E$4:$E$580,$K38)/100000000)</f>
        <v/>
      </c>
      <c r="I38" s="73">
        <f>IF($K38=0,"",INDEX('ETF데이터'!$M$4:$M$580,$K38))</f>
        <v/>
      </c>
      <c r="J38" s="78" t="n"/>
      <c r="K38">
        <f>IFERROR(MATCH(19,'ETF데이터'!$V$4:$V$580,0),0)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IF($K39=0,"",INDEX('ETF데이터'!$E$4:$E$580,$K39)/100000000)</f>
        <v/>
      </c>
      <c r="I39" s="79">
        <f>IF($K39=0,"",INDEX('ETF데이터'!$M$4:$M$580,$K39))</f>
        <v/>
      </c>
      <c r="J39" s="78" t="n"/>
      <c r="K39">
        <f>IFERROR(MATCH(20,'ETF데이터'!$V$4:$V$580,0),0)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IF($K40=0,"",INDEX('ETF데이터'!$E$4:$E$580,$K40)/100000000)</f>
        <v/>
      </c>
      <c r="I40" s="73">
        <f>IF($K40=0,"",INDEX('ETF데이터'!$M$4:$M$580,$K40))</f>
        <v/>
      </c>
      <c r="J40" s="78" t="n"/>
      <c r="K40">
        <f>IFERROR(MATCH(21,'ETF데이터'!$V$4:$V$580,0),0)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IF($K41=0,"",INDEX('ETF데이터'!$E$4:$E$580,$K41)/100000000)</f>
        <v/>
      </c>
      <c r="I41" s="79">
        <f>IF($K41=0,"",INDEX('ETF데이터'!$M$4:$M$580,$K41))</f>
        <v/>
      </c>
      <c r="J41" s="78" t="n"/>
      <c r="K41">
        <f>IFERROR(MATCH(22,'ETF데이터'!$V$4:$V$580,0),0)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IF($K42=0,"",INDEX('ETF데이터'!$E$4:$E$580,$K42)/100000000)</f>
        <v/>
      </c>
      <c r="I42" s="73">
        <f>IF($K42=0,"",INDEX('ETF데이터'!$M$4:$M$580,$K42))</f>
        <v/>
      </c>
      <c r="J42" s="78" t="n"/>
      <c r="K42">
        <f>IFERROR(MATCH(23,'ETF데이터'!$V$4:$V$580,0),0)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IF($K43=0,"",INDEX('ETF데이터'!$E$4:$E$580,$K43)/100000000)</f>
        <v/>
      </c>
      <c r="I43" s="79">
        <f>IF($K43=0,"",INDEX('ETF데이터'!$M$4:$M$580,$K43))</f>
        <v/>
      </c>
      <c r="J43" s="78" t="n"/>
      <c r="K43">
        <f>IFERROR(MATCH(24,'ETF데이터'!$V$4:$V$580,0),0)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IF($K44=0,"",INDEX('ETF데이터'!$E$4:$E$580,$K44)/100000000)</f>
        <v/>
      </c>
      <c r="I44" s="73">
        <f>IF($K44=0,"",INDEX('ETF데이터'!$M$4:$M$580,$K44))</f>
        <v/>
      </c>
      <c r="J44" s="78" t="n"/>
      <c r="K44">
        <f>IFERROR(MATCH(25,'ETF데이터'!$V$4:$V$580,0),0)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IF($K45=0,"",INDEX('ETF데이터'!$E$4:$E$580,$K45)/100000000)</f>
        <v/>
      </c>
      <c r="I45" s="79">
        <f>IF($K45=0,"",INDEX('ETF데이터'!$M$4:$M$580,$K45))</f>
        <v/>
      </c>
      <c r="J45" s="78" t="n"/>
      <c r="K45">
        <f>IFERROR(MATCH(26,'ETF데이터'!$V$4:$V$580,0),0)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IF($K46=0,"",INDEX('ETF데이터'!$E$4:$E$580,$K46)/100000000)</f>
        <v/>
      </c>
      <c r="I46" s="73">
        <f>IF($K46=0,"",INDEX('ETF데이터'!$M$4:$M$580,$K46))</f>
        <v/>
      </c>
      <c r="J46" s="78" t="n"/>
      <c r="K46">
        <f>IFERROR(MATCH(27,'ETF데이터'!$V$4:$V$580,0),0)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IF($K47=0,"",INDEX('ETF데이터'!$E$4:$E$580,$K47)/100000000)</f>
        <v/>
      </c>
      <c r="I47" s="79">
        <f>IF($K47=0,"",INDEX('ETF데이터'!$M$4:$M$580,$K47))</f>
        <v/>
      </c>
      <c r="J47" s="78" t="n"/>
      <c r="K47">
        <f>IFERROR(MATCH(28,'ETF데이터'!$V$4:$V$580,0),0)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IF($K48=0,"",INDEX('ETF데이터'!$E$4:$E$580,$K48)/100000000)</f>
        <v/>
      </c>
      <c r="I48" s="73">
        <f>IF($K48=0,"",INDEX('ETF데이터'!$M$4:$M$580,$K48))</f>
        <v/>
      </c>
      <c r="J48" s="78" t="n"/>
      <c r="K48">
        <f>IFERROR(MATCH(29,'ETF데이터'!$V$4:$V$580,0),0)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IF($K49=0,"",INDEX('ETF데이터'!$E$4:$E$580,$K49)/100000000)</f>
        <v/>
      </c>
      <c r="I49" s="79">
        <f>IF($K49=0,"",INDEX('ETF데이터'!$M$4:$M$580,$K49))</f>
        <v/>
      </c>
      <c r="J49" s="78" t="n"/>
      <c r="K49">
        <f>IFERROR(MATCH(30,'ETF데이터'!$V$4:$V$580,0),0)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IF($K50=0,"",INDEX('ETF데이터'!$E$4:$E$580,$K50)/100000000)</f>
        <v/>
      </c>
      <c r="I50" s="73">
        <f>IF($K50=0,"",INDEX('ETF데이터'!$M$4:$M$580,$K50))</f>
        <v/>
      </c>
      <c r="J50" s="78" t="n"/>
      <c r="K50">
        <f>IFERROR(MATCH(31,'ETF데이터'!$V$4:$V$580,0),0)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IF($K51=0,"",INDEX('ETF데이터'!$E$4:$E$580,$K51)/100000000)</f>
        <v/>
      </c>
      <c r="I51" s="79">
        <f>IF($K51=0,"",INDEX('ETF데이터'!$M$4:$M$580,$K51))</f>
        <v/>
      </c>
      <c r="J51" s="78" t="n"/>
      <c r="K51">
        <f>IFERROR(MATCH(32,'ETF데이터'!$V$4:$V$580,0),0)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IF($K52=0,"",INDEX('ETF데이터'!$E$4:$E$580,$K52)/100000000)</f>
        <v/>
      </c>
      <c r="I52" s="73">
        <f>IF($K52=0,"",INDEX('ETF데이터'!$M$4:$M$580,$K52))</f>
        <v/>
      </c>
      <c r="J52" s="78" t="n"/>
      <c r="K52">
        <f>IFERROR(MATCH(33,'ETF데이터'!$V$4:$V$580,0),0)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IF($K53=0,"",INDEX('ETF데이터'!$E$4:$E$580,$K53)/100000000)</f>
        <v/>
      </c>
      <c r="I53" s="79">
        <f>IF($K53=0,"",INDEX('ETF데이터'!$M$4:$M$580,$K53))</f>
        <v/>
      </c>
      <c r="J53" s="78" t="n"/>
      <c r="K53">
        <f>IFERROR(MATCH(34,'ETF데이터'!$V$4:$V$580,0),0)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IF($K54=0,"",INDEX('ETF데이터'!$E$4:$E$580,$K54)/100000000)</f>
        <v/>
      </c>
      <c r="I54" s="73">
        <f>IF($K54=0,"",INDEX('ETF데이터'!$M$4:$M$580,$K54))</f>
        <v/>
      </c>
      <c r="J54" s="78" t="n"/>
      <c r="K54">
        <f>IFERROR(MATCH(35,'ETF데이터'!$V$4:$V$580,0),0)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IF($K55=0,"",INDEX('ETF데이터'!$E$4:$E$580,$K55)/100000000)</f>
        <v/>
      </c>
      <c r="I55" s="79">
        <f>IF($K55=0,"",INDEX('ETF데이터'!$M$4:$M$580,$K55))</f>
        <v/>
      </c>
      <c r="J55" s="78" t="n"/>
      <c r="K55">
        <f>IFERROR(MATCH(36,'ETF데이터'!$V$4:$V$580,0),0)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IF($K56=0,"",INDEX('ETF데이터'!$E$4:$E$580,$K56)/100000000)</f>
        <v/>
      </c>
      <c r="I56" s="73">
        <f>IF($K56=0,"",INDEX('ETF데이터'!$M$4:$M$580,$K56))</f>
        <v/>
      </c>
      <c r="J56" s="78" t="n"/>
      <c r="K56">
        <f>IFERROR(MATCH(37,'ETF데이터'!$V$4:$V$580,0),0)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IF($K57=0,"",INDEX('ETF데이터'!$E$4:$E$580,$K57)/100000000)</f>
        <v/>
      </c>
      <c r="I57" s="79">
        <f>IF($K57=0,"",INDEX('ETF데이터'!$M$4:$M$580,$K57))</f>
        <v/>
      </c>
      <c r="J57" s="78" t="n"/>
      <c r="K57">
        <f>IFERROR(MATCH(38,'ETF데이터'!$V$4:$V$580,0),0)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IF($K58=0,"",INDEX('ETF데이터'!$E$4:$E$580,$K58)/100000000)</f>
        <v/>
      </c>
      <c r="I58" s="73">
        <f>IF($K58=0,"",INDEX('ETF데이터'!$M$4:$M$580,$K58))</f>
        <v/>
      </c>
      <c r="J58" s="78" t="n"/>
      <c r="K58">
        <f>IFERROR(MATCH(39,'ETF데이터'!$V$4:$V$580,0),0)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IF($K59=0,"",INDEX('ETF데이터'!$E$4:$E$580,$K59)/100000000)</f>
        <v/>
      </c>
      <c r="I59" s="79">
        <f>IF($K59=0,"",INDEX('ETF데이터'!$M$4:$M$580,$K59))</f>
        <v/>
      </c>
      <c r="J59" s="78" t="n"/>
      <c r="K59">
        <f>IFERROR(MATCH(40,'ETF데이터'!$V$4:$V$580,0),0)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IF($K60=0,"",INDEX('ETF데이터'!$E$4:$E$580,$K60)/100000000)</f>
        <v/>
      </c>
      <c r="I60" s="73">
        <f>IF($K60=0,"",INDEX('ETF데이터'!$M$4:$M$580,$K60))</f>
        <v/>
      </c>
      <c r="J60" s="78" t="n"/>
      <c r="K60">
        <f>IFERROR(MATCH(41,'ETF데이터'!$V$4:$V$580,0),0)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IF($K61=0,"",INDEX('ETF데이터'!$E$4:$E$580,$K61)/100000000)</f>
        <v/>
      </c>
      <c r="I61" s="79">
        <f>IF($K61=0,"",INDEX('ETF데이터'!$M$4:$M$580,$K61))</f>
        <v/>
      </c>
      <c r="J61" s="78" t="n"/>
      <c r="K61">
        <f>IFERROR(MATCH(42,'ETF데이터'!$V$4:$V$580,0),0)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IF($K62=0,"",INDEX('ETF데이터'!$E$4:$E$580,$K62)/100000000)</f>
        <v/>
      </c>
      <c r="I62" s="73">
        <f>IF($K62=0,"",INDEX('ETF데이터'!$M$4:$M$580,$K62))</f>
        <v/>
      </c>
      <c r="J62" s="78" t="n"/>
      <c r="K62">
        <f>IFERROR(MATCH(43,'ETF데이터'!$V$4:$V$580,0),0)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IF($K63=0,"",INDEX('ETF데이터'!$E$4:$E$580,$K63)/100000000)</f>
        <v/>
      </c>
      <c r="I63" s="79">
        <f>IF($K63=0,"",INDEX('ETF데이터'!$M$4:$M$580,$K63))</f>
        <v/>
      </c>
      <c r="J63" s="78" t="n"/>
      <c r="K63">
        <f>IFERROR(MATCH(44,'ETF데이터'!$V$4:$V$580,0),0)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IF($K64=0,"",INDEX('ETF데이터'!$E$4:$E$580,$K64)/100000000)</f>
        <v/>
      </c>
      <c r="I64" s="73">
        <f>IF($K64=0,"",INDEX('ETF데이터'!$M$4:$M$580,$K64))</f>
        <v/>
      </c>
      <c r="J64" s="78" t="n"/>
      <c r="K64">
        <f>IFERROR(MATCH(45,'ETF데이터'!$V$4:$V$580,0),0)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IF($K65=0,"",INDEX('ETF데이터'!$E$4:$E$580,$K65)/100000000)</f>
        <v/>
      </c>
      <c r="I65" s="79">
        <f>IF($K65=0,"",INDEX('ETF데이터'!$M$4:$M$580,$K65))</f>
        <v/>
      </c>
      <c r="J65" s="78" t="n"/>
      <c r="K65">
        <f>IFERROR(MATCH(46,'ETF데이터'!$V$4:$V$580,0),0)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IF($K66=0,"",INDEX('ETF데이터'!$E$4:$E$580,$K66)/100000000)</f>
        <v/>
      </c>
      <c r="I66" s="73">
        <f>IF($K66=0,"",INDEX('ETF데이터'!$M$4:$M$580,$K66))</f>
        <v/>
      </c>
      <c r="J66" s="78" t="n"/>
      <c r="K66">
        <f>IFERROR(MATCH(47,'ETF데이터'!$V$4:$V$580,0),0)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IF($K67=0,"",INDEX('ETF데이터'!$E$4:$E$580,$K67)/100000000)</f>
        <v/>
      </c>
      <c r="I67" s="79">
        <f>IF($K67=0,"",INDEX('ETF데이터'!$M$4:$M$580,$K67))</f>
        <v/>
      </c>
      <c r="J67" s="78" t="n"/>
      <c r="K67">
        <f>IFERROR(MATCH(48,'ETF데이터'!$V$4:$V$580,0),0)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IF($K68=0,"",INDEX('ETF데이터'!$E$4:$E$580,$K68)/100000000)</f>
        <v/>
      </c>
      <c r="I68" s="73">
        <f>IF($K68=0,"",INDEX('ETF데이터'!$M$4:$M$580,$K68))</f>
        <v/>
      </c>
      <c r="J68" s="78" t="n"/>
      <c r="K68">
        <f>IFERROR(MATCH(49,'ETF데이터'!$V$4:$V$580,0),0)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IF($K69=0,"",INDEX('ETF데이터'!$E$4:$E$580,$K69)/100000000)</f>
        <v/>
      </c>
      <c r="I69" s="79">
        <f>IF($K69=0,"",INDEX('ETF데이터'!$M$4:$M$580,$K69))</f>
        <v/>
      </c>
      <c r="J69" s="78" t="n"/>
      <c r="K69">
        <f>IFERROR(MATCH(50,'ETF데이터'!$V$4:$V$580,0),0)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IF($K70=0,"",INDEX('ETF데이터'!$E$4:$E$580,$K70)/100000000)</f>
        <v/>
      </c>
      <c r="I70" s="73">
        <f>IF($K70=0,"",INDEX('ETF데이터'!$M$4:$M$580,$K70))</f>
        <v/>
      </c>
      <c r="J70" s="78" t="n"/>
      <c r="K70">
        <f>IFERROR(MATCH(51,'ETF데이터'!$V$4:$V$580,0),0)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IF($K71=0,"",INDEX('ETF데이터'!$E$4:$E$580,$K71)/100000000)</f>
        <v/>
      </c>
      <c r="I71" s="79">
        <f>IF($K71=0,"",INDEX('ETF데이터'!$M$4:$M$580,$K71))</f>
        <v/>
      </c>
      <c r="J71" s="78" t="n"/>
      <c r="K71">
        <f>IFERROR(MATCH(52,'ETF데이터'!$V$4:$V$580,0),0)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IF($K72=0,"",INDEX('ETF데이터'!$E$4:$E$580,$K72)/100000000)</f>
        <v/>
      </c>
      <c r="I72" s="73">
        <f>IF($K72=0,"",INDEX('ETF데이터'!$M$4:$M$580,$K72))</f>
        <v/>
      </c>
      <c r="J72" s="78" t="n"/>
      <c r="K72">
        <f>IFERROR(MATCH(53,'ETF데이터'!$V$4:$V$580,0),0)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IF($K73=0,"",INDEX('ETF데이터'!$E$4:$E$580,$K73)/100000000)</f>
        <v/>
      </c>
      <c r="I73" s="79">
        <f>IF($K73=0,"",INDEX('ETF데이터'!$M$4:$M$580,$K73))</f>
        <v/>
      </c>
      <c r="J73" s="78" t="n"/>
      <c r="K73">
        <f>IFERROR(MATCH(54,'ETF데이터'!$V$4:$V$580,0),0)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IF($K74=0,"",INDEX('ETF데이터'!$E$4:$E$580,$K74)/100000000)</f>
        <v/>
      </c>
      <c r="I74" s="73">
        <f>IF($K74=0,"",INDEX('ETF데이터'!$M$4:$M$580,$K74))</f>
        <v/>
      </c>
      <c r="J74" s="78" t="n"/>
      <c r="K74">
        <f>IFERROR(MATCH(55,'ETF데이터'!$V$4:$V$580,0),0)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IF($K75=0,"",INDEX('ETF데이터'!$E$4:$E$580,$K75)/100000000)</f>
        <v/>
      </c>
      <c r="I75" s="79">
        <f>IF($K75=0,"",INDEX('ETF데이터'!$M$4:$M$580,$K75))</f>
        <v/>
      </c>
      <c r="J75" s="78" t="n"/>
      <c r="K75">
        <f>IFERROR(MATCH(56,'ETF데이터'!$V$4:$V$580,0),0)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IF($K76=0,"",INDEX('ETF데이터'!$E$4:$E$580,$K76)/100000000)</f>
        <v/>
      </c>
      <c r="I76" s="73">
        <f>IF($K76=0,"",INDEX('ETF데이터'!$M$4:$M$580,$K76))</f>
        <v/>
      </c>
      <c r="J76" s="78" t="n"/>
      <c r="K76">
        <f>IFERROR(MATCH(57,'ETF데이터'!$V$4:$V$580,0),0)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IF($K77=0,"",INDEX('ETF데이터'!$E$4:$E$580,$K77)/100000000)</f>
        <v/>
      </c>
      <c r="I77" s="79">
        <f>IF($K77=0,"",INDEX('ETF데이터'!$M$4:$M$580,$K77))</f>
        <v/>
      </c>
      <c r="J77" s="78" t="n"/>
      <c r="K77">
        <f>IFERROR(MATCH(58,'ETF데이터'!$V$4:$V$580,0),0)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IF($K78=0,"",INDEX('ETF데이터'!$E$4:$E$580,$K78)/100000000)</f>
        <v/>
      </c>
      <c r="I78" s="73">
        <f>IF($K78=0,"",INDEX('ETF데이터'!$M$4:$M$580,$K78))</f>
        <v/>
      </c>
      <c r="J78" s="78" t="n"/>
      <c r="K78">
        <f>IFERROR(MATCH(59,'ETF데이터'!$V$4:$V$580,0),0)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IF($K79=0,"",INDEX('ETF데이터'!$E$4:$E$580,$K79)/100000000)</f>
        <v/>
      </c>
      <c r="I79" s="84">
        <f>IF($K79=0,"",INDEX('ETF데이터'!$M$4:$M$580,$K79))</f>
        <v/>
      </c>
      <c r="J79" s="89" t="n"/>
      <c r="K79">
        <f>IFERROR(MATCH(60,'ETF데이터'!$V$4:$V$580,0),0)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IFERROR(INDEX($A$4:$A$580,MATCH(1,$X$4:$X$580,0)),"")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1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IFERROR(INDEX($A$4:$A$580,MATCH(2,$X$4:$X$580,0)),"")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1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IFERROR(INDEX($A$4:$A$580,MATCH(3,$X$4:$X$580,0)),"")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1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IFERROR(INDEX($A$4:$A$580,MATCH(4,$X$4:$X$580,0)),"")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1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IFERROR(INDEX($A$4:$A$580,MATCH(5,$X$4:$X$580,0)),"")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IFERROR(INDEX($A$4:$A$580,MATCH(6,$X$4:$X$580,0)),"")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IFERROR(INDEX($A$4:$A$580,MATCH(7,$X$4:$X$580,0)),"")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1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IFERROR(INDEX($A$4:$A$580,MATCH(8,$X$4:$X$580,0)),"")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1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IFERROR(INDEX($A$4:$A$580,MATCH(9,$X$4:$X$580,0)),"")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IFERROR(INDEX($A$4:$A$580,MATCH(10,$X$4:$X$580,0)),"")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IFERROR(INDEX($A$4:$A$580,MATCH(11,$X$4:$X$580,0)),"")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IFERROR(INDEX($A$4:$A$580,MATCH(12,$X$4:$X$580,0)),"")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IFERROR(INDEX($A$4:$A$580,MATCH(13,$X$4:$X$580,0)),"")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IFERROR(INDEX($A$4:$A$580,MATCH(14,$X$4:$X$580,0)),"")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IFERROR(INDEX($A$4:$A$580,MATCH(15,$X$4:$X$580,0)),"")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1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IFERROR(INDEX($A$4:$A$580,MATCH(16,$X$4:$X$580,0)),"")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IFERROR(INDEX($A$4:$A$580,MATCH(17,$X$4:$X$580,0)),"")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IFERROR(INDEX($A$4:$A$580,MATCH(18,$X$4:$X$580,0)),"")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IFERROR(INDEX($A$4:$A$580,MATCH(19,$X$4:$X$580,0)),"")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IFERROR(INDEX($A$4:$A$580,MATCH(20,$X$4:$X$580,0)),"")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1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IFERROR(INDEX($A$4:$A$580,MATCH(21,$X$4:$X$580,0)),"")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IFERROR(INDEX($A$4:$A$580,MATCH(22,$X$4:$X$580,0)),"")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IFERROR(INDEX($A$4:$A$580,MATCH(23,$X$4:$X$580,0)),"")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IFERROR(INDEX($A$4:$A$580,MATCH(24,$X$4:$X$580,0)),"")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IFERROR(INDEX($A$4:$A$580,MATCH(25,$X$4:$X$580,0)),"")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IFERROR(INDEX($A$4:$A$580,MATCH(26,$X$4:$X$580,0)),"")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IFERROR(INDEX($A$4:$A$580,MATCH(27,$X$4:$X$580,0)),"")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IFERROR(INDEX($A$4:$A$580,MATCH(28,$X$4:$X$580,0)),"")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1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IFERROR(INDEX($A$4:$A$580,MATCH(29,$X$4:$X$580,0)),"")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1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IFERROR(INDEX($A$4:$A$580,MATCH(30,$X$4:$X$580,0)),"")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1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IFERROR(INDEX($A$4:$A$580,MATCH(31,$X$4:$X$580,0)),"")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1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IFERROR(INDEX($A$4:$A$580,MATCH(32,$X$4:$X$580,0)),"")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IFERROR(INDEX($A$4:$A$580,MATCH(33,$X$4:$X$580,0)),"")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IFERROR(INDEX($A$4:$A$580,MATCH(34,$X$4:$X$580,0)),"")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IFERROR(INDEX($A$4:$A$580,MATCH(35,$X$4:$X$580,0)),"")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1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IFERROR(INDEX($A$4:$A$580,MATCH(36,$X$4:$X$580,0)),"")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IFERROR(INDEX($A$4:$A$580,MATCH(37,$X$4:$X$580,0)),"")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IFERROR(INDEX($A$4:$A$580,MATCH(38,$X$4:$X$580,0)),"")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>
        <v>1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IFERROR(INDEX($A$4:$A$580,MATCH(39,$X$4:$X$580,0)),"")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IFERROR(INDEX($A$4:$A$580,MATCH(40,$X$4:$X$580,0)),"")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1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IFERROR(INDEX($A$4:$A$580,MATCH(41,$X$4:$X$580,0)),"")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IFERROR(INDEX($A$4:$A$580,MATCH(42,$X$4:$X$580,0)),"")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1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IFERROR(INDEX($A$4:$A$580,MATCH(43,$X$4:$X$580,0)),"")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IFERROR(INDEX($A$4:$A$580,MATCH(44,$X$4:$X$580,0)),"")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IFERROR(INDEX($A$4:$A$580,MATCH(45,$X$4:$X$580,0)),"")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IFERROR(INDEX($A$4:$A$580,MATCH(46,$X$4:$X$580,0)),"")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IFERROR(INDEX($A$4:$A$580,MATCH(47,$X$4:$X$580,0)),"")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IFERROR(INDEX($A$4:$A$580,MATCH(48,$X$4:$X$580,0)),"")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IFERROR(INDEX($A$4:$A$580,MATCH(49,$X$4:$X$580,0)),"")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5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IFERROR(INDEX($A$4:$A$580,MATCH(50,$X$4:$X$580,0)),"")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IFERROR(INDEX($A$4:$A$580,MATCH(51,$X$4:$X$580,0)),"")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5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IFERROR(INDEX($A$4:$A$580,MATCH(52,$X$4:$X$580,0)),"")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IFERROR(INDEX($A$4:$A$580,MATCH(53,$X$4:$X$580,0)),"")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IFERROR(INDEX($A$4:$A$580,MATCH(54,$X$4:$X$580,0)),"")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IFERROR(INDEX($A$4:$A$580,MATCH(55,$X$4:$X$580,0)),"")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IFERROR(INDEX($A$4:$A$580,MATCH(56,$X$4:$X$580,0)),"")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5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IFERROR(INDEX($A$4:$A$580,MATCH(57,$X$4:$X$580,0)),"")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IFERROR(INDEX($A$4:$A$580,MATCH(58,$X$4:$X$580,0)),"")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IFERROR(INDEX($A$4:$A$580,MATCH(59,$X$4:$X$580,0)),"")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IFERROR(INDEX($A$4:$A$580,MATCH(60,$X$4:$X$580,0)),"")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IFERROR(INDEX($A$4:$A$580,MATCH(61,$X$4:$X$580,0)),"")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IFERROR(INDEX($A$4:$A$580,MATCH(62,$X$4:$X$580,0)),"")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IFERROR(INDEX($A$4:$A$580,MATCH(63,$X$4:$X$580,0)),"")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IFERROR(INDEX($A$4:$A$580,MATCH(64,$X$4:$X$580,0)),"")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IFERROR(INDEX($A$4:$A$580,MATCH(65,$X$4:$X$580,0)),"")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IFERROR(INDEX($A$4:$A$580,MATCH(66,$X$4:$X$580,0)),"")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5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IFERROR(INDEX($A$4:$A$580,MATCH(67,$X$4:$X$580,0)),"")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IFERROR(INDEX($A$4:$A$580,MATCH(68,$X$4:$X$580,0)),"")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5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IFERROR(INDEX($A$4:$A$580,MATCH(69,$X$4:$X$580,0)),"")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IFERROR(INDEX($A$4:$A$580,MATCH(70,$X$4:$X$580,0)),"")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IFERROR(INDEX($A$4:$A$580,MATCH(71,$X$4:$X$580,0)),"")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5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IFERROR(INDEX($A$4:$A$580,MATCH(72,$X$4:$X$580,0)),"")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IFERROR(INDEX($A$4:$A$580,MATCH(73,$X$4:$X$580,0)),"")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IFERROR(INDEX($A$4:$A$580,MATCH(74,$X$4:$X$580,0)),"")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IFERROR(INDEX($A$4:$A$580,MATCH(75,$X$4:$X$580,0)),"")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IFERROR(INDEX($A$4:$A$580,MATCH(76,$X$4:$X$580,0)),"")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IFERROR(INDEX($A$4:$A$580,MATCH(77,$X$4:$X$580,0)),"")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5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IFERROR(INDEX($A$4:$A$580,MATCH(78,$X$4:$X$580,0)),"")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5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IFERROR(INDEX($A$4:$A$580,MATCH(79,$X$4:$X$580,0)),"")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5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IFERROR(INDEX($A$4:$A$580,MATCH(80,$X$4:$X$580,0)),"")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5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IFERROR(INDEX($A$4:$A$580,MATCH(81,$X$4:$X$580,0)),"")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IFERROR(INDEX($A$4:$A$580,MATCH(82,$X$4:$X$580,0)),"")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IFERROR(INDEX($A$4:$A$580,MATCH(83,$X$4:$X$580,0)),"")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IFERROR(INDEX($A$4:$A$580,MATCH(84,$X$4:$X$580,0)),"")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IFERROR(INDEX($A$4:$A$580,MATCH(85,$X$4:$X$580,0)),"")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IFERROR(INDEX($A$4:$A$580,MATCH(86,$X$4:$X$580,0)),"")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IFERROR(INDEX($A$4:$A$580,MATCH(87,$X$4:$X$580,0)),"")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5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IFERROR(INDEX($A$4:$A$580,MATCH(88,$X$4:$X$580,0)),"")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IFERROR(INDEX($A$4:$A$580,MATCH(89,$X$4:$X$580,0)),"")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5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IFERROR(INDEX($A$4:$A$580,MATCH(90,$X$4:$X$580,0)),"")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IFERROR(INDEX($A$4:$A$580,MATCH(91,$X$4:$X$580,0)),"")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IFERROR(INDEX($A$4:$A$580,MATCH(92,$X$4:$X$580,0)),"")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IFERROR(INDEX($A$4:$A$580,MATCH(93,$X$4:$X$580,0)),"")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IFERROR(INDEX($A$4:$A$580,MATCH(94,$X$4:$X$580,0)),"")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IFERROR(INDEX($A$4:$A$580,MATCH(95,$X$4:$X$580,0)),"")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IFERROR(INDEX($A$4:$A$580,MATCH(96,$X$4:$X$580,0)),"")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IFERROR(INDEX($A$4:$A$580,MATCH(97,$X$4:$X$580,0)),"")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IFERROR(INDEX($A$4:$A$580,MATCH(98,$X$4:$X$580,0)),"")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IFERROR(INDEX($A$4:$A$580,MATCH(99,$X$4:$X$580,0)),"")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IFERROR(INDEX($A$4:$A$580,MATCH(100,$X$4:$X$580,0)),"")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5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IFERROR(INDEX($A$4:$A$580,MATCH(101,$X$4:$X$580,0)),"")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IFERROR(INDEX($A$4:$A$580,MATCH(102,$X$4:$X$580,0)),"")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IFERROR(INDEX($A$4:$A$580,MATCH(103,$X$4:$X$580,0)),"")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5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IFERROR(INDEX($A$4:$A$580,MATCH(104,$X$4:$X$580,0)),"")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IFERROR(INDEX($A$4:$A$580,MATCH(105,$X$4:$X$580,0)),"")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IFERROR(INDEX($A$4:$A$580,MATCH(106,$X$4:$X$580,0)),"")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5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IFERROR(INDEX($A$4:$A$580,MATCH(107,$X$4:$X$580,0)),"")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5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IFERROR(INDEX($A$4:$A$580,MATCH(108,$X$4:$X$580,0)),"")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IFERROR(INDEX($A$4:$A$580,MATCH(109,$X$4:$X$580,0)),"")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IFERROR(INDEX($A$4:$A$580,MATCH(110,$X$4:$X$580,0)),"")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IFERROR(INDEX($A$4:$A$580,MATCH(111,$X$4:$X$580,0)),"")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IFERROR(INDEX($A$4:$A$580,MATCH(112,$X$4:$X$580,0)),"")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5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IFERROR(INDEX($A$4:$A$580,MATCH(113,$X$4:$X$580,0)),"")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IFERROR(INDEX($A$4:$A$580,MATCH(114,$X$4:$X$580,0)),"")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IFERROR(INDEX($A$4:$A$580,MATCH(115,$X$4:$X$580,0)),"")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5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IFERROR(INDEX($A$4:$A$580,MATCH(116,$X$4:$X$580,0)),"")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IFERROR(INDEX($A$4:$A$580,MATCH(117,$X$4:$X$580,0)),"")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5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IFERROR(INDEX($A$4:$A$580,MATCH(118,$X$4:$X$580,0)),"")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IFERROR(INDEX($A$4:$A$580,MATCH(119,$X$4:$X$580,0)),"")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IFERROR(INDEX($A$4:$A$580,MATCH(120,$X$4:$X$580,0)),"")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IFERROR(INDEX($A$4:$A$580,MATCH(121,$X$4:$X$580,0)),"")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5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IFERROR(INDEX($A$4:$A$580,MATCH(122,$X$4:$X$580,0)),"")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IFERROR(INDEX($A$4:$A$580,MATCH(123,$X$4:$X$580,0)),"")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5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IFERROR(INDEX($A$4:$A$580,MATCH(124,$X$4:$X$580,0)),"")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5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IFERROR(INDEX($A$4:$A$580,MATCH(125,$X$4:$X$580,0)),"")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IFERROR(INDEX($A$4:$A$580,MATCH(126,$X$4:$X$580,0)),"")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IFERROR(INDEX($A$4:$A$580,MATCH(127,$X$4:$X$580,0)),"")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IFERROR(INDEX($A$4:$A$580,MATCH(128,$X$4:$X$580,0)),"")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5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IFERROR(INDEX($A$4:$A$580,MATCH(129,$X$4:$X$580,0)),"")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IFERROR(INDEX($A$4:$A$580,MATCH(130,$X$4:$X$580,0)),"")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IFERROR(INDEX($A$4:$A$580,MATCH(131,$X$4:$X$580,0)),"")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5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IFERROR(INDEX($A$4:$A$580,MATCH(132,$X$4:$X$580,0)),"")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IFERROR(INDEX($A$4:$A$580,MATCH(133,$X$4:$X$580,0)),"")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IFERROR(INDEX($A$4:$A$580,MATCH(134,$X$4:$X$580,0)),"")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IFERROR(INDEX($A$4:$A$580,MATCH(135,$X$4:$X$580,0)),"")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5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IFERROR(INDEX($A$4:$A$580,MATCH(136,$X$4:$X$580,0)),"")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5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IFERROR(INDEX($A$4:$A$580,MATCH(137,$X$4:$X$580,0)),"")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IFERROR(INDEX($A$4:$A$580,MATCH(138,$X$4:$X$580,0)),"")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5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IFERROR(INDEX($A$4:$A$580,MATCH(139,$X$4:$X$580,0)),"")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5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IFERROR(INDEX($A$4:$A$580,MATCH(140,$X$4:$X$580,0)),"")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IFERROR(INDEX($A$4:$A$580,MATCH(141,$X$4:$X$580,0)),"")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5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IFERROR(INDEX($A$4:$A$580,MATCH(142,$X$4:$X$580,0)),"")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5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IFERROR(INDEX($A$4:$A$580,MATCH(143,$X$4:$X$580,0)),"")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IFERROR(INDEX($A$4:$A$580,MATCH(144,$X$4:$X$580,0)),"")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5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IFERROR(INDEX($A$4:$A$580,MATCH(145,$X$4:$X$580,0)),"")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IFERROR(INDEX($A$4:$A$580,MATCH(146,$X$4:$X$580,0)),"")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5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IFERROR(INDEX($A$4:$A$580,MATCH(147,$X$4:$X$580,0)),"")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IFERROR(INDEX($A$4:$A$580,MATCH(148,$X$4:$X$580,0)),"")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5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IFERROR(INDEX($A$4:$A$580,MATCH(149,$X$4:$X$580,0)),"")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IFERROR(INDEX($A$4:$A$580,MATCH(150,$X$4:$X$580,0)),"")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IFERROR(INDEX($A$4:$A$580,MATCH(151,$X$4:$X$580,0)),"")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IFERROR(INDEX($A$4:$A$580,MATCH(152,$X$4:$X$580,0)),"")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5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IFERROR(INDEX($A$4:$A$580,MATCH(153,$X$4:$X$580,0)),"")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5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IFERROR(INDEX($A$4:$A$580,MATCH(154,$X$4:$X$580,0)),"")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5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IFERROR(INDEX($A$4:$A$580,MATCH(155,$X$4:$X$580,0)),"")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5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IFERROR(INDEX($A$4:$A$580,MATCH(156,$X$4:$X$580,0)),"")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5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IFERROR(INDEX($A$4:$A$580,MATCH(157,$X$4:$X$580,0)),"")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5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IFERROR(INDEX($A$4:$A$580,MATCH(158,$X$4:$X$580,0)),"")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5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IFERROR(INDEX($A$4:$A$580,MATCH(159,$X$4:$X$580,0)),"")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IFERROR(INDEX($A$4:$A$580,MATCH(160,$X$4:$X$580,0)),"")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IFERROR(INDEX($A$4:$A$580,MATCH(161,$X$4:$X$580,0)),"")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IFERROR(INDEX($A$4:$A$580,MATCH(162,$X$4:$X$580,0)),"")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5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IFERROR(INDEX($A$4:$A$580,MATCH(163,$X$4:$X$580,0)),"")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IFERROR(INDEX($A$4:$A$580,MATCH(164,$X$4:$X$580,0)),"")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IFERROR(INDEX($A$4:$A$580,MATCH(165,$X$4:$X$580,0)),"")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IFERROR(INDEX($A$4:$A$580,MATCH(166,$X$4:$X$580,0)),"")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IFERROR(INDEX($A$4:$A$580,MATCH(167,$X$4:$X$580,0)),"")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IFERROR(INDEX($A$4:$A$580,MATCH(168,$X$4:$X$580,0)),"")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5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IFERROR(INDEX($A$4:$A$580,MATCH(169,$X$4:$X$580,0)),"")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IFERROR(INDEX($A$4:$A$580,MATCH(170,$X$4:$X$580,0)),"")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5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IFERROR(INDEX($A$4:$A$580,MATCH(171,$X$4:$X$580,0)),"")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IFERROR(INDEX($A$4:$A$580,MATCH(172,$X$4:$X$580,0)),"")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IFERROR(INDEX($A$4:$A$580,MATCH(173,$X$4:$X$580,0)),"")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IFERROR(INDEX($A$4:$A$580,MATCH(174,$X$4:$X$580,0)),"")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IFERROR(INDEX($A$4:$A$580,MATCH(175,$X$4:$X$580,0)),"")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IFERROR(INDEX($A$4:$A$580,MATCH(176,$X$4:$X$580,0)),"")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IFERROR(INDEX($A$4:$A$580,MATCH(177,$X$4:$X$580,0)),"")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IFERROR(INDEX($A$4:$A$580,MATCH(178,$X$4:$X$580,0)),"")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5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IFERROR(INDEX($A$4:$A$580,MATCH(179,$X$4:$X$580,0)),"")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IFERROR(INDEX($A$4:$A$580,MATCH(180,$X$4:$X$580,0)),"")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IFERROR(INDEX($A$4:$A$580,MATCH(181,$X$4:$X$580,0)),"")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5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IFERROR(INDEX($A$4:$A$580,MATCH(182,$X$4:$X$580,0)),"")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5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IFERROR(INDEX($A$4:$A$580,MATCH(183,$X$4:$X$580,0)),"")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IFERROR(INDEX($A$4:$A$580,MATCH(184,$X$4:$X$580,0)),"")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IFERROR(INDEX($A$4:$A$580,MATCH(185,$X$4:$X$580,0)),"")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IFERROR(INDEX($A$4:$A$580,MATCH(186,$X$4:$X$580,0)),"")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5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IFERROR(INDEX($A$4:$A$580,MATCH(187,$X$4:$X$580,0)),"")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5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IFERROR(INDEX($A$4:$A$580,MATCH(188,$X$4:$X$580,0)),"")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5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IFERROR(INDEX($A$4:$A$580,MATCH(189,$X$4:$X$580,0)),"")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IFERROR(INDEX($A$4:$A$580,MATCH(190,$X$4:$X$580,0)),"")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5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IFERROR(INDEX($A$4:$A$580,MATCH(191,$X$4:$X$580,0)),"")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IFERROR(INDEX($A$4:$A$580,MATCH(192,$X$4:$X$580,0)),"")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5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 s="74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IFERROR(INDEX($A$4:$A$580,MATCH(193,$X$4:$X$580,0)),"")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5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 s="74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IFERROR(INDEX($A$4:$A$580,MATCH(194,$X$4:$X$580,0)),"")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5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 s="74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IFERROR(INDEX($A$4:$A$580,MATCH(195,$X$4:$X$580,0)),"")</f>
        <v/>
      </c>
    </row>
    <row r="199">
      <c r="A199" s="96" t="inlineStr">
        <is>
          <t>ACE 미국반도체데일리타겟커버드콜(합성)</t>
        </is>
      </c>
      <c r="B199" s="96" t="inlineStr">
        <is>
          <t>480040</t>
        </is>
      </c>
      <c r="C199" s="96" t="inlineStr">
        <is>
          <t>한국투신운용(ETF)</t>
        </is>
      </c>
      <c r="D199" s="97" t="n">
        <v>13665</v>
      </c>
      <c r="E199" s="97" t="n">
        <v>185844000000</v>
      </c>
      <c r="F199" s="97" t="n">
        <v>3463871851</v>
      </c>
      <c r="G199" s="98" t="n">
        <v>0.004500000000000001</v>
      </c>
      <c r="H199" s="98" t="n">
        <v>0.4415</v>
      </c>
      <c r="I199" s="98" t="n">
        <v>0.0303</v>
      </c>
      <c r="J199" s="98" t="n">
        <v>0.254812</v>
      </c>
      <c r="K199" s="97" t="n">
        <v>29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변동성 44.1%(1년 기준, 기준 35% 초과)</t>
        </is>
      </c>
      <c r="O199" s="96" t="inlineStr">
        <is>
          <t>Bloomberg US Listed Semiconductor Premium(QQQ) Decrement 15%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12</v>
      </c>
      <c r="T199" s="98" t="n">
        <v>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IFERROR(INDEX($A$4:$A$580,MATCH(196,$X$4:$X$580,0)),"")</f>
        <v/>
      </c>
    </row>
    <row r="200">
      <c r="A200" s="96" t="inlineStr">
        <is>
          <t>RISE 코리아밸류업위클리고정커버드콜</t>
        </is>
      </c>
      <c r="B200" s="96" t="inlineStr">
        <is>
          <t>0094M0</t>
        </is>
      </c>
      <c r="C200" s="96" t="inlineStr">
        <is>
          <t>KB자산운용</t>
        </is>
      </c>
      <c r="D200" s="97" t="n">
        <v>17040</v>
      </c>
      <c r="E200" s="97" t="n">
        <v>341652000000</v>
      </c>
      <c r="F200" s="97" t="n">
        <v>9670902755</v>
      </c>
      <c r="G200" s="98" t="n">
        <v>0.003</v>
      </c>
      <c r="H200" s="98" t="n">
        <v>0.4583</v>
      </c>
      <c r="I200" s="98" t="n">
        <v>0.0299</v>
      </c>
      <c r="J200" s="98" t="n">
        <v>0.246479</v>
      </c>
      <c r="K200" s="97" t="n">
        <v>12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변동성 45.8%(1년 기준, 기준 35% 초과)</t>
        </is>
      </c>
      <c r="O200" s="96" t="inlineStr">
        <is>
          <t>코리아 밸류업 위클리 커버드콜 30% 지수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 s="98" t="n">
        <v>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IFERROR(INDEX($A$4:$A$580,MATCH(197,$X$4:$X$580,0)),"")</f>
        <v/>
      </c>
    </row>
    <row r="201">
      <c r="A201" s="96" t="inlineStr">
        <is>
          <t>TIGER 배당커버드콜액티브</t>
        </is>
      </c>
      <c r="B201" s="96" t="inlineStr">
        <is>
          <t>472150</t>
        </is>
      </c>
      <c r="C201" s="96" t="inlineStr">
        <is>
          <t>미래에셋자산운용</t>
        </is>
      </c>
      <c r="D201" s="97" t="n">
        <v>19985</v>
      </c>
      <c r="E201" s="97" t="n">
        <v>2469946150000</v>
      </c>
      <c r="F201" s="97" t="n">
        <v>100512065912</v>
      </c>
      <c r="G201" s="98" t="n">
        <v>0.005</v>
      </c>
      <c r="H201" s="98" t="n">
        <v>0.5732</v>
      </c>
      <c r="I201" s="98" t="n">
        <v>0.0197</v>
      </c>
      <c r="J201" s="98" t="n">
        <v>0.219415</v>
      </c>
      <c r="K201" s="97" t="n">
        <v>33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57.3%(1년 기준, 기준 35% 초과)</t>
        </is>
      </c>
      <c r="O201" s="96" t="inlineStr">
        <is>
          <t>코스피 200 커버드콜 5% OTM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1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IFERROR(INDEX($A$4:$A$580,MATCH(198,$X$4:$X$580,0)),"")</f>
        <v/>
      </c>
    </row>
    <row r="202">
      <c r="A202" s="96" t="inlineStr">
        <is>
          <t>RISE 200위클리커버드콜</t>
        </is>
      </c>
      <c r="B202" s="96" t="inlineStr">
        <is>
          <t>475720</t>
        </is>
      </c>
      <c r="C202" s="96" t="inlineStr">
        <is>
          <t>KB자산운용</t>
        </is>
      </c>
      <c r="D202" s="97" t="n">
        <v>12500</v>
      </c>
      <c r="E202" s="97" t="n">
        <v>830625000000</v>
      </c>
      <c r="F202" s="97" t="n">
        <v>12445368259</v>
      </c>
      <c r="G202" s="98" t="n">
        <v>0.003</v>
      </c>
      <c r="H202" s="98" t="n">
        <v>0.4327</v>
      </c>
      <c r="I202" s="98" t="n">
        <v>0.0185</v>
      </c>
      <c r="J202" s="98" t="n">
        <v>0.1976</v>
      </c>
      <c r="K202" s="97" t="n">
        <v>30</v>
      </c>
      <c r="L202" s="99" t="inlineStr">
        <is>
          <t>20260828</t>
        </is>
      </c>
      <c r="M202" s="96" t="inlineStr">
        <is>
          <t>제외</t>
        </is>
      </c>
      <c r="N202" s="96" t="inlineStr">
        <is>
          <t>변동성 43.3%(1년 기준, 기준 35% 초과)</t>
        </is>
      </c>
      <c r="O202" s="96" t="inlineStr">
        <is>
          <t>코스피 200 위클리 커버드콜 ATM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 s="98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IFERROR(INDEX($A$4:$A$580,MATCH(199,$X$4:$X$580,0)),"")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7755</v>
      </c>
      <c r="E203" s="97" t="n">
        <v>27918000000</v>
      </c>
      <c r="F203" s="97" t="n">
        <v>157568963</v>
      </c>
      <c r="G203" s="98" t="n">
        <v>0.0025</v>
      </c>
      <c r="H203" s="98" t="n">
        <v>0.1861</v>
      </c>
      <c r="I203" s="98" t="n">
        <v>0.0129</v>
      </c>
      <c r="J203" s="98" t="n">
        <v>0.180529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279억(기준 300억 미만), 60일 거래대금 1.6억(기준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 s="98" t="n">
        <v>1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IFERROR(INDEX($A$4:$A$580,MATCH(200,$X$4:$X$580,0)),"")</f>
        <v/>
      </c>
    </row>
    <row r="204">
      <c r="A204" s="96" t="inlineStr">
        <is>
          <t>RISE 미국배당100데일리고정커버드콜</t>
        </is>
      </c>
      <c r="B204" s="96" t="inlineStr">
        <is>
          <t>490600</t>
        </is>
      </c>
      <c r="C204" s="96" t="inlineStr">
        <is>
          <t>KB자산운용</t>
        </is>
      </c>
      <c r="D204" s="97" t="n">
        <v>8855</v>
      </c>
      <c r="E204" s="97" t="n">
        <v>169573250000</v>
      </c>
      <c r="F204" s="97" t="n">
        <v>2326968788</v>
      </c>
      <c r="G204" s="98" t="n">
        <v>0.0025</v>
      </c>
      <c r="H204" s="98" t="n">
        <v>0.1458</v>
      </c>
      <c r="I204" s="98" t="n">
        <v>0.01</v>
      </c>
      <c r="J204" s="98" t="n">
        <v>0.178091</v>
      </c>
      <c r="K204" s="97" t="n">
        <v>24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분배율 대조 불일치(연분배율 계산 17.8091% vs ETFCHECK 16.4540%)</t>
        </is>
      </c>
      <c r="O204" s="96" t="inlineStr">
        <is>
          <t>KEDI U.S. Dividend100 90% Participation + Daily Options Prem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IFERROR(INDEX($A$4:$A$580,MATCH(201,$X$4:$X$580,0)),"")</f>
        <v/>
      </c>
    </row>
    <row r="205">
      <c r="A205" s="96" t="inlineStr">
        <is>
          <t>KODEX 200타겟위클리커버드콜</t>
        </is>
      </c>
      <c r="B205" s="96" t="inlineStr">
        <is>
          <t>498400</t>
        </is>
      </c>
      <c r="C205" s="96" t="inlineStr">
        <is>
          <t>삼성자산운용(ETF)</t>
        </is>
      </c>
      <c r="D205" s="97" t="n">
        <v>19850</v>
      </c>
      <c r="E205" s="97" t="n">
        <v>5859720000000</v>
      </c>
      <c r="F205" s="97" t="n">
        <v>173222729292</v>
      </c>
      <c r="G205" s="98" t="n">
        <v>0.0039</v>
      </c>
      <c r="H205" s="98" t="n">
        <v>0.5656</v>
      </c>
      <c r="I205" s="98" t="n">
        <v>0.0145</v>
      </c>
      <c r="J205" s="98" t="n">
        <v>0.157481</v>
      </c>
      <c r="K205" s="97" t="n">
        <v>21</v>
      </c>
      <c r="L205" s="99" t="inlineStr">
        <is>
          <t>20260914</t>
        </is>
      </c>
      <c r="M205" s="96" t="inlineStr">
        <is>
          <t>제외</t>
        </is>
      </c>
      <c r="N205" s="96" t="inlineStr">
        <is>
          <t>변동성 56.6%(1년 기준, 기준 35% 초과)</t>
        </is>
      </c>
      <c r="O205" s="96" t="inlineStr">
        <is>
          <t>코스피 200 타겟 15% 위클리 커버드콜 지수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12</v>
      </c>
      <c r="T205" s="98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IFERROR(INDEX($A$4:$A$580,MATCH(202,$X$4:$X$580,0)),"")</f>
        <v/>
      </c>
    </row>
    <row r="206">
      <c r="A206" s="96" t="inlineStr">
        <is>
          <t>RISE 차이나테크TOP10위클리타겟커버드콜</t>
        </is>
      </c>
      <c r="B206" s="96" t="inlineStr">
        <is>
          <t>0094L0</t>
        </is>
      </c>
      <c r="C206" s="96" t="inlineStr">
        <is>
          <t>KB자산운용</t>
        </is>
      </c>
      <c r="D206" s="97" t="n">
        <v>7000</v>
      </c>
      <c r="E206" s="97" t="n">
        <v>9800000000</v>
      </c>
      <c r="F206" s="97" t="n">
        <v>59602840</v>
      </c>
      <c r="G206" s="98" t="n">
        <v>0.003</v>
      </c>
      <c r="H206" s="98" t="n">
        <v>0.2786</v>
      </c>
      <c r="I206" s="98" t="n">
        <v>0.0097</v>
      </c>
      <c r="J206" s="98" t="n">
        <v>0.155714</v>
      </c>
      <c r="K206" s="97" t="n">
        <v>12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순자산 98억(기준 300억 미만), 60일 거래대금 0.6억(기준 5억 미만)</t>
        </is>
      </c>
      <c r="O206" s="96" t="inlineStr">
        <is>
          <t>Bloomberg China Tech Select Top 10 + 12% Target Premium Week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IFERROR(INDEX($A$4:$A$580,MATCH(203,$X$4:$X$580,0)),"")</f>
        <v/>
      </c>
    </row>
    <row r="207">
      <c r="A207" s="96" t="inlineStr">
        <is>
          <t>PLUS 미국배당증가성장주데일리커버드콜</t>
        </is>
      </c>
      <c r="B207" s="96" t="inlineStr">
        <is>
          <t>494420</t>
        </is>
      </c>
      <c r="C207" s="96" t="inlineStr">
        <is>
          <t>한화자산운용</t>
        </is>
      </c>
      <c r="D207" s="97" t="n">
        <v>8715</v>
      </c>
      <c r="E207" s="97" t="n">
        <v>15687000000</v>
      </c>
      <c r="F207" s="97" t="n">
        <v>115890439</v>
      </c>
      <c r="G207" s="98" t="n">
        <v>0.0039</v>
      </c>
      <c r="H207" s="98" t="n">
        <v>0.144</v>
      </c>
      <c r="I207" s="98" t="n">
        <v>0.0119</v>
      </c>
      <c r="J207" s="98" t="n">
        <v>0.14848</v>
      </c>
      <c r="K207" s="97" t="n">
        <v>23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순자산 157억(기준 300억 미만), 60일 거래대금 1.2억(기준 5억 미만)</t>
        </is>
      </c>
      <c r="O207" s="96" t="inlineStr">
        <is>
          <t>Bloomberg U.S. Dividend Growth Partial Covered Call Index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12</v>
      </c>
      <c r="T207" s="98" t="n">
        <v>1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IFERROR(INDEX($A$4:$A$580,MATCH(204,$X$4:$X$580,0)),"")</f>
        <v/>
      </c>
    </row>
    <row r="208">
      <c r="A208" s="96" t="inlineStr">
        <is>
          <t>FOCUS 알리바바미국채커버드콜혼합</t>
        </is>
      </c>
      <c r="B208" s="96" t="inlineStr">
        <is>
          <t>0073X0</t>
        </is>
      </c>
      <c r="C208" s="96" t="inlineStr">
        <is>
          <t>브이아이자산운용</t>
        </is>
      </c>
      <c r="D208" s="97" t="n">
        <v>8790</v>
      </c>
      <c r="E208" s="97" t="n">
        <v>4834500000</v>
      </c>
      <c r="F208" s="97" t="n">
        <v>30808961</v>
      </c>
      <c r="G208" s="98" t="n">
        <v>0.0036</v>
      </c>
      <c r="H208" s="98" t="n">
        <v>0.1646</v>
      </c>
      <c r="I208" s="98" t="n">
        <v>0.0091</v>
      </c>
      <c r="J208" s="98" t="n">
        <v>0.146189</v>
      </c>
      <c r="K208" s="97" t="n">
        <v>14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순자산 48억(기준 300억 미만), 60일 거래대금 0.3억(기준 5억 미만)</t>
        </is>
      </c>
      <c r="O208" s="96" t="inlineStr">
        <is>
          <t>KEDI 알리바바 미국채커버드콜혼합지수(TR)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IFERROR(INDEX($A$4:$A$580,MATCH(205,$X$4:$X$580,0)),"")</f>
        <v/>
      </c>
    </row>
    <row r="209">
      <c r="A209" s="96" t="inlineStr">
        <is>
          <t>TIGER 엔비디아미국채커버드콜밸런스(합성)</t>
        </is>
      </c>
      <c r="B209" s="96" t="inlineStr">
        <is>
          <t>0000D0</t>
        </is>
      </c>
      <c r="C209" s="96" t="inlineStr">
        <is>
          <t>미래에셋자산운용</t>
        </is>
      </c>
      <c r="D209" s="97" t="n">
        <v>8895</v>
      </c>
      <c r="E209" s="97" t="n">
        <v>61375500000</v>
      </c>
      <c r="F209" s="97" t="n">
        <v>354902427</v>
      </c>
      <c r="G209" s="98" t="n">
        <v>0.0039</v>
      </c>
      <c r="H209" s="98" t="n">
        <v>0.1686</v>
      </c>
      <c r="I209" s="98" t="n">
        <v>0.009899999999999999</v>
      </c>
      <c r="J209" s="98" t="n">
        <v>0.135245</v>
      </c>
      <c r="K209" s="97" t="n">
        <v>21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60일 거래대금 3.5억(기준 5억 미만)</t>
        </is>
      </c>
      <c r="O209" s="96" t="inlineStr">
        <is>
          <t>KEDI Nvidia U.S. 30Y Treasury Target Covered Call Balanced I</t>
        </is>
      </c>
      <c r="P209" s="96" t="inlineStr">
        <is>
          <t>커버드콜</t>
        </is>
      </c>
      <c r="Q209" s="96" t="inlineStr">
        <is>
          <t>멀티에셋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IFERROR(INDEX($A$4:$A$580,MATCH(206,$X$4:$X$580,0)),"")</f>
        <v/>
      </c>
    </row>
    <row r="210">
      <c r="A210" s="96" t="inlineStr">
        <is>
          <t>SOL 미국500타겟데일리커버드콜액티브</t>
        </is>
      </c>
      <c r="B210" s="96" t="inlineStr">
        <is>
          <t>494210</t>
        </is>
      </c>
      <c r="C210" s="96" t="inlineStr">
        <is>
          <t>신한자산운용</t>
        </is>
      </c>
      <c r="D210" s="97" t="n">
        <v>10750</v>
      </c>
      <c r="E210" s="97" t="n">
        <v>7525000000</v>
      </c>
      <c r="F210" s="97" t="n">
        <v>67719882</v>
      </c>
      <c r="G210" s="98" t="n">
        <v>0.0035</v>
      </c>
      <c r="H210" s="98" t="n">
        <v>0.1574</v>
      </c>
      <c r="I210" s="98" t="n">
        <v>0.01</v>
      </c>
      <c r="J210" s="98" t="n">
        <v>0.12493</v>
      </c>
      <c r="K210" s="97" t="n">
        <v>22</v>
      </c>
      <c r="L210" s="99" t="inlineStr">
        <is>
          <t>20260828</t>
        </is>
      </c>
      <c r="M210" s="96" t="inlineStr">
        <is>
          <t>제외</t>
        </is>
      </c>
      <c r="N210" s="96" t="inlineStr">
        <is>
          <t>순자산 75억(기준 300억 미만), 60일 거래대금 0.7억(기준 5억 미만)</t>
        </is>
      </c>
      <c r="O210" s="96" t="inlineStr">
        <is>
          <t>KEDI U.S. Quality500 + Monthly 1% Premium Index NTR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IFERROR(INDEX($A$4:$A$580,MATCH(207,$X$4:$X$580,0)),"")</f>
        <v/>
      </c>
    </row>
    <row r="211">
      <c r="A211" s="96" t="inlineStr">
        <is>
          <t>TIGER 미국S&amp;P500타겟데일리커버드콜</t>
        </is>
      </c>
      <c r="B211" s="96" t="inlineStr">
        <is>
          <t>482730</t>
        </is>
      </c>
      <c r="C211" s="96" t="inlineStr">
        <is>
          <t>미래에셋자산운용</t>
        </is>
      </c>
      <c r="D211" s="97" t="n">
        <v>11570</v>
      </c>
      <c r="E211" s="97" t="n">
        <v>665275000000</v>
      </c>
      <c r="F211" s="97" t="n">
        <v>4930842099</v>
      </c>
      <c r="G211" s="98" t="n">
        <v>0.0025</v>
      </c>
      <c r="H211" s="98" t="n">
        <v>0.1482</v>
      </c>
      <c r="I211" s="98" t="n">
        <v>0.01</v>
      </c>
      <c r="J211" s="98" t="n">
        <v>0.114088</v>
      </c>
      <c r="K211" s="97" t="n">
        <v>28</v>
      </c>
      <c r="L211" s="99" t="inlineStr">
        <is>
          <t>20260914</t>
        </is>
      </c>
      <c r="M211" s="96" t="inlineStr">
        <is>
          <t>제외</t>
        </is>
      </c>
      <c r="N211" s="96" t="inlineStr">
        <is>
          <t>분배율 대조 불일치(연분배율 계산 11.4088% vs ETFCHECK 10.5877%)</t>
        </is>
      </c>
      <c r="O211" s="96" t="inlineStr">
        <is>
          <t>S&amp;P 500 10% Daily Premium Covered Call Index (USD) PR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12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IFERROR(INDEX($A$4:$A$580,MATCH(208,$X$4:$X$580,0)),"")</f>
        <v/>
      </c>
    </row>
    <row r="212">
      <c r="A212" s="96" t="inlineStr">
        <is>
          <t>RISE 미국30년국채커버드콜(합성)</t>
        </is>
      </c>
      <c r="B212" s="96" t="inlineStr">
        <is>
          <t>472830</t>
        </is>
      </c>
      <c r="C212" s="96" t="inlineStr">
        <is>
          <t>KB자산운용</t>
        </is>
      </c>
      <c r="D212" s="97" t="n">
        <v>7810</v>
      </c>
      <c r="E212" s="97" t="n">
        <v>43345500000</v>
      </c>
      <c r="F212" s="97" t="n">
        <v>285123120</v>
      </c>
      <c r="G212" s="98" t="n">
        <v>0.0025</v>
      </c>
      <c r="H212" s="98" t="n">
        <v>0.1417</v>
      </c>
      <c r="I212" s="98" t="n">
        <v>0.0067</v>
      </c>
      <c r="J212" s="98" t="n">
        <v>0.113444</v>
      </c>
      <c r="K212" s="97" t="n">
        <v>32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60일 거래대금 2.9억(기준 5억 미만)</t>
        </is>
      </c>
      <c r="O212" s="96" t="inlineStr">
        <is>
          <t>Bloomberg U.S. Treasury 20+ Year(TLT) 2% OTM Covered Call In</t>
        </is>
      </c>
      <c r="P212" s="96" t="inlineStr">
        <is>
          <t>커버드콜</t>
        </is>
      </c>
      <c r="Q212" s="96" t="inlineStr">
        <is>
          <t>채권</t>
        </is>
      </c>
      <c r="R212" s="96" t="inlineStr">
        <is>
          <t>월배당</t>
        </is>
      </c>
      <c r="S212" s="97" t="n">
        <v>11</v>
      </c>
      <c r="T212" s="98" t="n">
        <v>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IFERROR(INDEX($A$4:$A$580,MATCH(209,$X$4:$X$580,0)),"")</f>
        <v/>
      </c>
    </row>
    <row r="213">
      <c r="A213" s="96" t="inlineStr">
        <is>
          <t>RISE 200고배당커버드콜ATM</t>
        </is>
      </c>
      <c r="B213" s="96" t="inlineStr">
        <is>
          <t>290080</t>
        </is>
      </c>
      <c r="C213" s="96" t="inlineStr">
        <is>
          <t>KB자산운용</t>
        </is>
      </c>
      <c r="D213" s="97" t="n">
        <v>7460</v>
      </c>
      <c r="E213" s="97" t="n">
        <v>12682000000</v>
      </c>
      <c r="F213" s="97" t="n">
        <v>169688535</v>
      </c>
      <c r="G213" s="98" t="n">
        <v>0.004</v>
      </c>
      <c r="H213" s="98" t="n">
        <v>0.3095</v>
      </c>
      <c r="I213" s="98" t="n">
        <v>0.008100000000000001</v>
      </c>
      <c r="J213" s="98" t="n">
        <v>0.106166</v>
      </c>
      <c r="K213" s="97" t="n">
        <v>49</v>
      </c>
      <c r="L213" s="99" t="inlineStr">
        <is>
          <t>20260828</t>
        </is>
      </c>
      <c r="M213" s="96" t="inlineStr">
        <is>
          <t>제외</t>
        </is>
      </c>
      <c r="N213" s="96" t="inlineStr">
        <is>
          <t>순자산 127억(기준 300억 미만), 60일 거래대금 1.7억(기준 5억 미만)</t>
        </is>
      </c>
      <c r="O213" s="96" t="inlineStr">
        <is>
          <t>코스피 200 고배당 커버드콜 ATM</t>
        </is>
      </c>
      <c r="P213" s="96" t="inlineStr">
        <is>
          <t>커버드콜</t>
        </is>
      </c>
      <c r="Q213" s="96" t="inlineStr">
        <is>
          <t>주식</t>
        </is>
      </c>
      <c r="R213" s="96" t="inlineStr">
        <is>
          <t>월배당</t>
        </is>
      </c>
      <c r="S213" s="97" t="n">
        <v>11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IFERROR(INDEX($A$4:$A$580,MATCH(210,$X$4:$X$580,0)),"")</f>
        <v/>
      </c>
    </row>
    <row r="214">
      <c r="A214" s="96" t="inlineStr">
        <is>
          <t>HK 종합채권(AA-이상)액티브</t>
        </is>
      </c>
      <c r="B214" s="96" t="inlineStr">
        <is>
          <t>472920</t>
        </is>
      </c>
      <c r="C214" s="96" t="inlineStr">
        <is>
          <t>흥국자산운용</t>
        </is>
      </c>
      <c r="D214" s="97" t="n">
        <v>97775</v>
      </c>
      <c r="E214" s="97" t="n">
        <v>253335025000</v>
      </c>
      <c r="F214" s="97" t="n">
        <v>2184795</v>
      </c>
      <c r="G214" s="98" t="n">
        <v>0.00036</v>
      </c>
      <c r="H214" s="98" t="n">
        <v>0.08210000000000001</v>
      </c>
      <c r="I214" s="98" t="n">
        <v>0.0674</v>
      </c>
      <c r="J214" s="98" t="n">
        <v>0.07535700000000001</v>
      </c>
      <c r="K214" s="97" t="n">
        <v>1</v>
      </c>
      <c r="L214" s="99" t="inlineStr">
        <is>
          <t>20251229</t>
        </is>
      </c>
      <c r="M214" s="96" t="inlineStr">
        <is>
          <t>제외</t>
        </is>
      </c>
      <c r="N214" s="96" t="inlineStr">
        <is>
          <t>60일 거래대금 0.0억(기준 5억 미만)</t>
        </is>
      </c>
      <c r="O214" s="96" t="inlineStr">
        <is>
          <t>KAP 종합채권 AA- 이상 지수(총수익)</t>
        </is>
      </c>
      <c r="P214" s="96" t="inlineStr">
        <is>
          <t>일반</t>
        </is>
      </c>
      <c r="Q214" s="96" t="inlineStr">
        <is>
          <t>채권</t>
        </is>
      </c>
      <c r="R214" s="96" t="inlineStr">
        <is>
          <t>연배당</t>
        </is>
      </c>
      <c r="S214" s="97" t="n">
        <v>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IFERROR(INDEX($A$4:$A$580,MATCH(211,$X$4:$X$580,0)),"")</f>
        <v/>
      </c>
    </row>
    <row r="215">
      <c r="A215" s="96" t="inlineStr">
        <is>
          <t>ACE 미국배당퀄리티+커버드콜액티브</t>
        </is>
      </c>
      <c r="B215" s="96" t="inlineStr">
        <is>
          <t>0049M0</t>
        </is>
      </c>
      <c r="C215" s="96" t="inlineStr">
        <is>
          <t>한국투신운용(ETF)</t>
        </is>
      </c>
      <c r="D215" s="97" t="n">
        <v>11115</v>
      </c>
      <c r="E215" s="97" t="n">
        <v>78360750000</v>
      </c>
      <c r="F215" s="97" t="n">
        <v>376959469</v>
      </c>
      <c r="G215" s="98" t="n">
        <v>0.0015</v>
      </c>
      <c r="H215" s="98" t="n">
        <v>0.1291</v>
      </c>
      <c r="I215" s="98" t="n">
        <v>0.006</v>
      </c>
      <c r="J215" s="98" t="n">
        <v>0.074944</v>
      </c>
      <c r="K215" s="97" t="n">
        <v>15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60일 거래대금 3.8억(기준 5억 미만)</t>
        </is>
      </c>
      <c r="O215" s="96" t="inlineStr">
        <is>
          <t>Bloomberg WisdomTree U.S. Quality Dividend &amp; B500 Premium De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IFERROR(INDEX($A$4:$A$580,MATCH(212,$X$4:$X$580,0)),"")</f>
        <v/>
      </c>
    </row>
    <row r="216">
      <c r="A216" s="96" t="inlineStr">
        <is>
          <t>TIME Korea플러스배당액티브</t>
        </is>
      </c>
      <c r="B216" s="96" t="inlineStr">
        <is>
          <t>441800</t>
        </is>
      </c>
      <c r="C216" s="96" t="inlineStr">
        <is>
          <t>타임폴리오자산운용</t>
        </is>
      </c>
      <c r="D216" s="97" t="n">
        <v>28345</v>
      </c>
      <c r="E216" s="97" t="n">
        <v>776086100000</v>
      </c>
      <c r="F216" s="97" t="n">
        <v>11534145017</v>
      </c>
      <c r="G216" s="98" t="n">
        <v>0.008</v>
      </c>
      <c r="H216" s="98" t="n">
        <v>0.4893</v>
      </c>
      <c r="I216" s="98" t="n">
        <v>0.005</v>
      </c>
      <c r="J216" s="98" t="n">
        <v>0.073382</v>
      </c>
      <c r="K216" s="97" t="n">
        <v>47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변동성 48.9%(1년 기준, 기준 35% 초과)</t>
        </is>
      </c>
      <c r="O216" s="96" t="inlineStr">
        <is>
          <t>KOSPI 200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IFERROR(INDEX($A$4:$A$580,MATCH(213,$X$4:$X$580,0)),"")</f>
        <v/>
      </c>
    </row>
    <row r="217">
      <c r="A217" s="96" t="inlineStr">
        <is>
          <t>TIGER 200커버드콜</t>
        </is>
      </c>
      <c r="B217" s="96" t="inlineStr">
        <is>
          <t>289480</t>
        </is>
      </c>
      <c r="C217" s="96" t="inlineStr">
        <is>
          <t>미래에셋자산운용</t>
        </is>
      </c>
      <c r="D217" s="97" t="n">
        <v>12745</v>
      </c>
      <c r="E217" s="97" t="n">
        <v>26764500000</v>
      </c>
      <c r="F217" s="97" t="n">
        <v>431969558</v>
      </c>
      <c r="G217" s="98" t="n">
        <v>0.0038</v>
      </c>
      <c r="H217" s="98" t="n">
        <v>0.3833</v>
      </c>
      <c r="I217" s="98" t="n">
        <v>0.0069</v>
      </c>
      <c r="J217" s="98" t="n">
        <v>0.06998799999999999</v>
      </c>
      <c r="K217" s="97" t="n">
        <v>51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순자산 268억(기준 300억 미만), 60일 거래대금 4.3억(기준 5억 미만), 변동성 38.3%(1년 기준, 기준 35% 초과)</t>
        </is>
      </c>
      <c r="O217" s="96" t="inlineStr">
        <is>
          <t>코스피 200 커버드콜 ATM</t>
        </is>
      </c>
      <c r="P217" s="96" t="inlineStr">
        <is>
          <t>커버드콜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IFERROR(INDEX($A$4:$A$580,MATCH(214,$X$4:$X$580,0)),"")</f>
        <v/>
      </c>
    </row>
    <row r="218">
      <c r="A218" s="96" t="inlineStr">
        <is>
          <t>KoAct 배당성장액티브</t>
        </is>
      </c>
      <c r="B218" s="96" t="inlineStr">
        <is>
          <t>476850</t>
        </is>
      </c>
      <c r="C218" s="96" t="inlineStr">
        <is>
          <t>삼성액티브자산(ETF)</t>
        </is>
      </c>
      <c r="D218" s="97" t="n">
        <v>21295</v>
      </c>
      <c r="E218" s="97" t="n">
        <v>102216000000</v>
      </c>
      <c r="F218" s="97" t="n">
        <v>2314727820</v>
      </c>
      <c r="G218" s="98" t="n">
        <v>0.005</v>
      </c>
      <c r="H218" s="98" t="n">
        <v>0.5002</v>
      </c>
      <c r="I218" s="98" t="n">
        <v>0.005</v>
      </c>
      <c r="J218" s="98" t="n">
        <v>0.069782</v>
      </c>
      <c r="K218" s="97" t="n">
        <v>15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변동성 50.0%(1년 기준, 기준 35% 초과)</t>
        </is>
      </c>
      <c r="O218" s="96" t="inlineStr">
        <is>
          <t>코스피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비정기</t>
        </is>
      </c>
      <c r="S218" s="97" t="n">
        <v>8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IFERROR(INDEX($A$4:$A$580,MATCH(215,$X$4:$X$580,0)),"")</f>
        <v/>
      </c>
    </row>
    <row r="219">
      <c r="A219" s="96" t="inlineStr">
        <is>
          <t>TIGER 리츠부동산인프라TOP10액티브</t>
        </is>
      </c>
      <c r="B219" s="96" t="inlineStr">
        <is>
          <t>0086B0</t>
        </is>
      </c>
      <c r="C219" s="96" t="inlineStr">
        <is>
          <t>미래에셋자산운용</t>
        </is>
      </c>
      <c r="D219" s="97" t="n">
        <v>9340</v>
      </c>
      <c r="E219" s="97" t="n">
        <v>45766000000</v>
      </c>
      <c r="F219" s="97" t="n">
        <v>231670978</v>
      </c>
      <c r="G219" s="98" t="n">
        <v>0.0005999999999999999</v>
      </c>
      <c r="H219" s="98" t="n">
        <v>0.1718</v>
      </c>
      <c r="I219" s="98" t="n">
        <v>0.005699999999999999</v>
      </c>
      <c r="J219" s="98" t="n">
        <v>0.069379</v>
      </c>
      <c r="K219" s="97" t="n">
        <v>13</v>
      </c>
      <c r="L219" s="99" t="inlineStr">
        <is>
          <t>20260914</t>
        </is>
      </c>
      <c r="M219" s="96" t="inlineStr">
        <is>
          <t>제외</t>
        </is>
      </c>
      <c r="N219" s="96" t="inlineStr">
        <is>
          <t>60일 거래대금 2.3억(기준 5억 미만)</t>
        </is>
      </c>
      <c r="O219" s="96" t="inlineStr">
        <is>
          <t>KEDI 리츠부동산인프라TOP10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12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IFERROR(INDEX($A$4:$A$580,MATCH(216,$X$4:$X$580,0)),"")</f>
        <v/>
      </c>
    </row>
    <row r="220">
      <c r="A220" s="96" t="inlineStr">
        <is>
          <t>ACE 미국하이일드액티브(H)</t>
        </is>
      </c>
      <c r="B220" s="96" t="inlineStr">
        <is>
          <t>455660</t>
        </is>
      </c>
      <c r="C220" s="96" t="inlineStr">
        <is>
          <t>한국투자신탁운용</t>
        </is>
      </c>
      <c r="D220" s="97" t="n">
        <v>9345</v>
      </c>
      <c r="E220" s="97" t="n">
        <v>61677000000</v>
      </c>
      <c r="F220" s="97" t="n">
        <v>206766330</v>
      </c>
      <c r="G220" s="98" t="n">
        <v>0.0024</v>
      </c>
      <c r="H220" s="98" t="n">
        <v>0.0394</v>
      </c>
      <c r="I220" s="98" t="n">
        <v>0.005500000000000001</v>
      </c>
      <c r="J220" s="98" t="n">
        <v>0.0687</v>
      </c>
      <c r="K220" s="97" t="n">
        <v>40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2.1억(기준 5억 미만)</t>
        </is>
      </c>
      <c r="O220" s="96" t="inlineStr">
        <is>
          <t>iBoxx USD Liquid High Yield Total Return Index</t>
        </is>
      </c>
      <c r="P220" s="96" t="inlineStr">
        <is>
          <t>일반</t>
        </is>
      </c>
      <c r="Q220" s="96" t="inlineStr">
        <is>
          <t>채권</t>
        </is>
      </c>
      <c r="R220" s="96" t="inlineStr">
        <is>
          <t>월배당</t>
        </is>
      </c>
      <c r="S220" s="97" t="n">
        <v>11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IFERROR(INDEX($A$4:$A$580,MATCH(217,$X$4:$X$580,0)),"")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6050</v>
      </c>
      <c r="E221" s="97" t="n">
        <v>6050000000</v>
      </c>
      <c r="F221" s="97" t="n">
        <v>33652892</v>
      </c>
      <c r="G221" s="98" t="n">
        <v>0.0025</v>
      </c>
      <c r="H221" s="98" t="n">
        <v>0.2024</v>
      </c>
      <c r="I221" s="98" t="n">
        <v>0.0044</v>
      </c>
      <c r="J221" s="98" t="n">
        <v>0.066777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IFERROR(INDEX($A$4:$A$580,MATCH(218,$X$4:$X$580,0)),"")</f>
        <v/>
      </c>
    </row>
    <row r="222">
      <c r="A222" s="96" t="inlineStr">
        <is>
          <t>KODEX 일본부동산리츠(H)</t>
        </is>
      </c>
      <c r="B222" s="96" t="inlineStr">
        <is>
          <t>352540</t>
        </is>
      </c>
      <c r="C222" s="96" t="inlineStr">
        <is>
          <t>삼성자산운용(ETF)</t>
        </is>
      </c>
      <c r="D222" s="97" t="n">
        <v>11030</v>
      </c>
      <c r="E222" s="97" t="n">
        <v>37502000000</v>
      </c>
      <c r="F222" s="97" t="n">
        <v>147748838</v>
      </c>
      <c r="G222" s="98" t="n">
        <v>0.003</v>
      </c>
      <c r="H222" s="98" t="n">
        <v>0.1201</v>
      </c>
      <c r="I222" s="98" t="n">
        <v>0.005600000000000001</v>
      </c>
      <c r="J222" s="98" t="n">
        <v>0.06672699999999999</v>
      </c>
      <c r="K222" s="97" t="n">
        <v>47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60일 거래대금 1.5억(기준 5억 미만)</t>
        </is>
      </c>
      <c r="O222" s="96" t="inlineStr">
        <is>
          <t>TSE 부동산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10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IFERROR(INDEX($A$4:$A$580,MATCH(219,$X$4:$X$580,0)),"")</f>
        <v/>
      </c>
    </row>
    <row r="223">
      <c r="A223" s="96" t="inlineStr">
        <is>
          <t>WON 한국부동산TOP3플러스</t>
        </is>
      </c>
      <c r="B223" s="96" t="inlineStr">
        <is>
          <t>480460</t>
        </is>
      </c>
      <c r="C223" s="96" t="inlineStr">
        <is>
          <t>우리자산운용</t>
        </is>
      </c>
      <c r="D223" s="97" t="n">
        <v>9100</v>
      </c>
      <c r="E223" s="97" t="n">
        <v>7735000000</v>
      </c>
      <c r="F223" s="97" t="n">
        <v>26198723</v>
      </c>
      <c r="G223" s="98" t="n">
        <v>0.0025</v>
      </c>
      <c r="H223" s="98" t="n">
        <v>0.17</v>
      </c>
      <c r="I223" s="98" t="n">
        <v>0.0053</v>
      </c>
      <c r="J223" s="98" t="n">
        <v>0.06593399999999999</v>
      </c>
      <c r="K223" s="97" t="n">
        <v>27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77억(기준 300억 미만), 60일 거래대금 0.3억(기준 5억 미만)</t>
        </is>
      </c>
      <c r="O223" s="96" t="inlineStr">
        <is>
          <t>DeepSearch 한국부동산 Top3 플러스 지수</t>
        </is>
      </c>
      <c r="P223" s="96" t="inlineStr">
        <is>
          <t>일반</t>
        </is>
      </c>
      <c r="Q223" s="96" t="inlineStr">
        <is>
          <t>부동산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IFERROR(INDEX($A$4:$A$580,MATCH(220,$X$4:$X$580,0)),"")</f>
        <v/>
      </c>
    </row>
    <row r="224">
      <c r="A224" s="96" t="inlineStr">
        <is>
          <t>TIGER 리츠부동산인프라채권</t>
        </is>
      </c>
      <c r="B224" s="96" t="inlineStr">
        <is>
          <t>341850</t>
        </is>
      </c>
      <c r="C224" s="96" t="inlineStr">
        <is>
          <t>미래에셋자산운용</t>
        </is>
      </c>
      <c r="D224" s="97" t="n">
        <v>4560</v>
      </c>
      <c r="E224" s="97" t="n">
        <v>9120000000</v>
      </c>
      <c r="F224" s="97" t="n">
        <v>33663952</v>
      </c>
      <c r="G224" s="98" t="n">
        <v>0.0022</v>
      </c>
      <c r="H224" s="98" t="n">
        <v>0.1327</v>
      </c>
      <c r="I224" s="98" t="n">
        <v>0.0052</v>
      </c>
      <c r="J224" s="98" t="n">
        <v>0.06315800000000001</v>
      </c>
      <c r="K224" s="97" t="n">
        <v>51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91억(기준 300억 미만), 60일 거래대금 0.3억(기준 5억 미만)</t>
        </is>
      </c>
      <c r="O224" s="96" t="inlineStr">
        <is>
          <t>KIS 리츠부동산인프라채권 지수</t>
        </is>
      </c>
      <c r="P224" s="96" t="inlineStr">
        <is>
          <t>일반</t>
        </is>
      </c>
      <c r="Q224" s="96" t="inlineStr">
        <is>
          <t>멀티에셋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IFERROR(INDEX($A$4:$A$580,MATCH(221,$X$4:$X$580,0)),"")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13065</v>
      </c>
      <c r="E225" s="97" t="n">
        <v>18944250000</v>
      </c>
      <c r="F225" s="97" t="n">
        <v>314088839</v>
      </c>
      <c r="G225" s="98" t="n">
        <v>0.004500000000000001</v>
      </c>
      <c r="H225" s="98" t="n">
        <v>0.2958</v>
      </c>
      <c r="I225" s="98" t="n">
        <v>0.005600000000000001</v>
      </c>
      <c r="J225" s="98" t="n">
        <v>0.061768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189억(기준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IFERROR(INDEX($A$4:$A$580,MATCH(222,$X$4:$X$580,0)),"")</f>
        <v/>
      </c>
    </row>
    <row r="226">
      <c r="A226" s="96" t="inlineStr">
        <is>
          <t>ACE 싱가포르리츠</t>
        </is>
      </c>
      <c r="B226" s="96" t="inlineStr">
        <is>
          <t>316300</t>
        </is>
      </c>
      <c r="C226" s="96" t="inlineStr">
        <is>
          <t>한국투신운용(ETF)</t>
        </is>
      </c>
      <c r="D226" s="97" t="n">
        <v>12465</v>
      </c>
      <c r="E226" s="97" t="n">
        <v>6232500000</v>
      </c>
      <c r="F226" s="97" t="n">
        <v>13222123</v>
      </c>
      <c r="G226" s="98" t="n">
        <v>0.004</v>
      </c>
      <c r="H226" s="98" t="n">
        <v>0.1328</v>
      </c>
      <c r="I226" s="98" t="n">
        <v>0.004</v>
      </c>
      <c r="J226" s="98" t="n">
        <v>0.061532</v>
      </c>
      <c r="K226" s="97" t="n">
        <v>25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62억(기준 300억 미만), 60일 거래대금 0.1억(기준 5억 미만)</t>
        </is>
      </c>
      <c r="O226" s="96" t="inlineStr">
        <is>
          <t>Morningstar Singapore REIT Yield Focus Index</t>
        </is>
      </c>
      <c r="P226" s="96" t="inlineStr">
        <is>
          <t>일반</t>
        </is>
      </c>
      <c r="Q226" s="96" t="inlineStr">
        <is>
          <t>부동산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IFERROR(INDEX($A$4:$A$580,MATCH(223,$X$4:$X$580,0)),"")</f>
        <v/>
      </c>
    </row>
    <row r="227">
      <c r="A227" s="96" t="inlineStr">
        <is>
          <t>KODEX 미국S&amp;P500배당귀족커버드콜(합성 H)</t>
        </is>
      </c>
      <c r="B227" s="96" t="inlineStr">
        <is>
          <t>276970</t>
        </is>
      </c>
      <c r="C227" s="96" t="inlineStr">
        <is>
          <t>삼성자산운용(ETF)</t>
        </is>
      </c>
      <c r="D227" s="97" t="n">
        <v>7590</v>
      </c>
      <c r="E227" s="97" t="n">
        <v>35673000000</v>
      </c>
      <c r="F227" s="97" t="n">
        <v>118849890</v>
      </c>
      <c r="G227" s="98" t="n">
        <v>0.003</v>
      </c>
      <c r="H227" s="98" t="n">
        <v>0.1197</v>
      </c>
      <c r="I227" s="98" t="n">
        <v>0.0153</v>
      </c>
      <c r="J227" s="98" t="n">
        <v>0.061133</v>
      </c>
      <c r="K227" s="97" t="n">
        <v>20</v>
      </c>
      <c r="L227" s="99" t="inlineStr">
        <is>
          <t>20260623</t>
        </is>
      </c>
      <c r="M227" s="96" t="inlineStr">
        <is>
          <t>제외</t>
        </is>
      </c>
      <c r="N227" s="96" t="inlineStr">
        <is>
          <t>60일 거래대금 1.2억(기준 5억 미만)</t>
        </is>
      </c>
      <c r="O227" s="96" t="inlineStr">
        <is>
          <t>S&amp;P 500 Dividend Aristocrats Covered Call (7.2% Premium) Ind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3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IFERROR(INDEX($A$4:$A$580,MATCH(224,$X$4:$X$580,0)),"")</f>
        <v/>
      </c>
    </row>
    <row r="228">
      <c r="A228" s="96" t="inlineStr">
        <is>
          <t>TIGER 미국배당다우존스타겟커버드콜1호</t>
        </is>
      </c>
      <c r="B228" s="96" t="inlineStr">
        <is>
          <t>458750</t>
        </is>
      </c>
      <c r="C228" s="96" t="inlineStr">
        <is>
          <t>미래에셋자산운용</t>
        </is>
      </c>
      <c r="D228" s="97" t="n">
        <v>12810</v>
      </c>
      <c r="E228" s="97" t="n">
        <v>66612000000</v>
      </c>
      <c r="F228" s="97" t="n">
        <v>411551584</v>
      </c>
      <c r="G228" s="98" t="n">
        <v>0.0039</v>
      </c>
      <c r="H228" s="98" t="n">
        <v>0.1445</v>
      </c>
      <c r="I228" s="98" t="n">
        <v>0.0052</v>
      </c>
      <c r="J228" s="98" t="n">
        <v>0.059875</v>
      </c>
      <c r="K228" s="97" t="n">
        <v>39</v>
      </c>
      <c r="L228" s="99" t="inlineStr">
        <is>
          <t>20260914</t>
        </is>
      </c>
      <c r="M228" s="96" t="inlineStr">
        <is>
          <t>제외</t>
        </is>
      </c>
      <c r="N228" s="96" t="inlineStr">
        <is>
          <t>60일 거래대금 4.1억(기준 5억 미만)</t>
        </is>
      </c>
      <c r="O228" s="96" t="inlineStr">
        <is>
          <t>Dow Jones U.S. Dividend 100 3% Premium Covered Call Index</t>
        </is>
      </c>
      <c r="P228" s="96" t="inlineStr">
        <is>
          <t>커버드콜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12</v>
      </c>
      <c r="T228" s="98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IFERROR(INDEX($A$4:$A$580,MATCH(225,$X$4:$X$580,0)),"")</f>
        <v/>
      </c>
    </row>
    <row r="229">
      <c r="A229" s="96" t="inlineStr">
        <is>
          <t>RISE 미국30년국채액티브</t>
        </is>
      </c>
      <c r="B229" s="96" t="inlineStr">
        <is>
          <t>481340</t>
        </is>
      </c>
      <c r="C229" s="96" t="inlineStr">
        <is>
          <t>KB자산운용</t>
        </is>
      </c>
      <c r="D229" s="97" t="n">
        <v>8460</v>
      </c>
      <c r="E229" s="97" t="n">
        <v>24111000000</v>
      </c>
      <c r="F229" s="97" t="n">
        <v>344358151</v>
      </c>
      <c r="G229" s="98" t="n">
        <v>0.0005</v>
      </c>
      <c r="H229" s="98" t="n">
        <v>0.131</v>
      </c>
      <c r="I229" s="98" t="n">
        <v>0.0036</v>
      </c>
      <c r="J229" s="98" t="n">
        <v>0.050827</v>
      </c>
      <c r="K229" s="97" t="n">
        <v>27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241억(기준 300억 미만), 60일 거래대금 3.4억(기준 5억 미만)</t>
        </is>
      </c>
      <c r="O229" s="96" t="inlineStr">
        <is>
          <t>Bloomberg US Treasury 20+ Year Total Return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IFERROR(INDEX($A$4:$A$580,MATCH(226,$X$4:$X$580,0)),"")</f>
        <v/>
      </c>
    </row>
    <row r="230">
      <c r="A230" s="96" t="inlineStr">
        <is>
          <t>TIGER 미국투자등급회사채액티브(H)</t>
        </is>
      </c>
      <c r="B230" s="96" t="inlineStr">
        <is>
          <t>458260</t>
        </is>
      </c>
      <c r="C230" s="96" t="inlineStr">
        <is>
          <t>미래에셋자산운용</t>
        </is>
      </c>
      <c r="D230" s="97" t="n">
        <v>45740</v>
      </c>
      <c r="E230" s="97" t="n">
        <v>219552000000</v>
      </c>
      <c r="F230" s="97" t="n">
        <v>420877560</v>
      </c>
      <c r="G230" s="98" t="n">
        <v>0.0014</v>
      </c>
      <c r="H230" s="98" t="n">
        <v>0.0528</v>
      </c>
      <c r="I230" s="98" t="n">
        <v>0.0037</v>
      </c>
      <c r="J230" s="98" t="n">
        <v>0.049869</v>
      </c>
      <c r="K230" s="97" t="n">
        <v>39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60일 거래대금 4.2억(기준 5억 미만)</t>
        </is>
      </c>
      <c r="O230" s="96" t="inlineStr">
        <is>
          <t>iBoxx USD Liquid Investment Grade PR Index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IFERROR(INDEX($A$4:$A$580,MATCH(227,$X$4:$X$580,0)),"")</f>
        <v/>
      </c>
    </row>
    <row r="231">
      <c r="A231" s="96" t="inlineStr">
        <is>
          <t>KODEX 아시아달러채권ESG플러스액티브</t>
        </is>
      </c>
      <c r="B231" s="96" t="inlineStr">
        <is>
          <t>437070</t>
        </is>
      </c>
      <c r="C231" s="96" t="inlineStr">
        <is>
          <t>삼성자산운용(ETF)</t>
        </is>
      </c>
      <c r="D231" s="97" t="n">
        <v>58505</v>
      </c>
      <c r="E231" s="97" t="n">
        <v>20242730000</v>
      </c>
      <c r="F231" s="97" t="n">
        <v>55743274</v>
      </c>
      <c r="G231" s="98" t="n">
        <v>0.0018</v>
      </c>
      <c r="H231" s="98" t="n">
        <v>0.1035</v>
      </c>
      <c r="I231" s="98" t="n">
        <v>0.0042</v>
      </c>
      <c r="J231" s="98" t="n">
        <v>0.049756</v>
      </c>
      <c r="K231" s="97" t="n">
        <v>14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202억(기준 300억 미만), 60일 거래대금 0.6억(기준 5억 미만)</t>
        </is>
      </c>
      <c r="O231" s="96" t="inlineStr">
        <is>
          <t>Bloomberg MSCI EM Asia Investment Grade Credit SRI Index TR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 s="98" t="n">
        <v>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IFERROR(INDEX($A$4:$A$580,MATCH(228,$X$4:$X$580,0)),"")</f>
        <v/>
      </c>
    </row>
    <row r="232">
      <c r="A232" s="96" t="inlineStr">
        <is>
          <t>KoAct 미국천연가스인프라액티브</t>
        </is>
      </c>
      <c r="B232" s="96" t="inlineStr">
        <is>
          <t>497780</t>
        </is>
      </c>
      <c r="C232" s="96" t="inlineStr">
        <is>
          <t>삼성액티브자산(ETF)</t>
        </is>
      </c>
      <c r="D232" s="97" t="n">
        <v>10400</v>
      </c>
      <c r="E232" s="97" t="n">
        <v>19240000000</v>
      </c>
      <c r="F232" s="97" t="n">
        <v>204155347</v>
      </c>
      <c r="G232" s="98" t="n">
        <v>0.005</v>
      </c>
      <c r="H232" s="98" t="n">
        <v>0.179</v>
      </c>
      <c r="I232" s="98" t="n">
        <v>0.0039</v>
      </c>
      <c r="J232" s="98" t="n">
        <v>0.049327</v>
      </c>
      <c r="K232" s="97" t="n">
        <v>20</v>
      </c>
      <c r="L232" s="99" t="inlineStr">
        <is>
          <t>20260828</t>
        </is>
      </c>
      <c r="M232" s="96" t="inlineStr">
        <is>
          <t>제외</t>
        </is>
      </c>
      <c r="N232" s="96" t="inlineStr">
        <is>
          <t>순자산 192억(기준 300억 미만), 60일 거래대금 2.0억(기준 5억 미만)</t>
        </is>
      </c>
      <c r="O232" s="96" t="inlineStr">
        <is>
          <t>Solactive US Natural Gas Infrastructure Index PR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IFERROR(INDEX($A$4:$A$580,MATCH(229,$X$4:$X$580,0)),"")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87395</v>
      </c>
      <c r="E233" s="97" t="n">
        <v>16342865000</v>
      </c>
      <c r="F233" s="97" t="n">
        <v>57386225</v>
      </c>
      <c r="G233" s="98" t="n">
        <v>0.00315</v>
      </c>
      <c r="H233" s="98" t="n">
        <v>0.1198</v>
      </c>
      <c r="I233" s="98" t="n">
        <v>0.0035</v>
      </c>
      <c r="J233" s="98" t="n">
        <v>0.047554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163억(기준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IFERROR(INDEX($A$4:$A$580,MATCH(230,$X$4:$X$580,0)),"")</f>
        <v/>
      </c>
    </row>
    <row r="234">
      <c r="A234" s="96" t="inlineStr">
        <is>
          <t>KIWOOM 코리아고배당</t>
        </is>
      </c>
      <c r="B234" s="96" t="inlineStr">
        <is>
          <t>104530</t>
        </is>
      </c>
      <c r="C234" s="96" t="inlineStr">
        <is>
          <t>키움투자자산운용</t>
        </is>
      </c>
      <c r="D234" s="97" t="n">
        <v>17265</v>
      </c>
      <c r="E234" s="97" t="n">
        <v>35393250000</v>
      </c>
      <c r="F234" s="97" t="n">
        <v>191561160</v>
      </c>
      <c r="G234" s="98" t="n">
        <v>0.0019</v>
      </c>
      <c r="H234" s="98" t="n">
        <v>0.3082</v>
      </c>
      <c r="I234" s="98" t="n">
        <v>0.004500000000000001</v>
      </c>
      <c r="J234" s="98" t="n">
        <v>0.047205</v>
      </c>
      <c r="K234" s="97" t="n">
        <v>30</v>
      </c>
      <c r="L234" s="99" t="inlineStr">
        <is>
          <t>20260914</t>
        </is>
      </c>
      <c r="M234" s="96" t="inlineStr">
        <is>
          <t>제외</t>
        </is>
      </c>
      <c r="N234" s="96" t="inlineStr">
        <is>
          <t>60일 거래대금 1.9억(기준 5억 미만)</t>
        </is>
      </c>
      <c r="O234" s="96" t="inlineStr">
        <is>
          <t>FnGuide Wealth 고배당20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월배당</t>
        </is>
      </c>
      <c r="S234" s="97" t="n">
        <v>12</v>
      </c>
      <c r="T234" s="98" t="n">
        <v>1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IFERROR(INDEX($A$4:$A$580,MATCH(231,$X$4:$X$580,0)),"")</f>
        <v/>
      </c>
    </row>
    <row r="235">
      <c r="A235" s="96" t="inlineStr">
        <is>
          <t>TIGER 코스피고배당</t>
        </is>
      </c>
      <c r="B235" s="96" t="inlineStr">
        <is>
          <t>210780</t>
        </is>
      </c>
      <c r="C235" s="96" t="inlineStr">
        <is>
          <t>미래에셋자산운용</t>
        </is>
      </c>
      <c r="D235" s="97" t="n">
        <v>23520</v>
      </c>
      <c r="E235" s="97" t="n">
        <v>77616000000</v>
      </c>
      <c r="F235" s="97" t="n">
        <v>418639095</v>
      </c>
      <c r="G235" s="98" t="n">
        <v>0.0029</v>
      </c>
      <c r="H235" s="98" t="n">
        <v>0.2865</v>
      </c>
      <c r="I235" s="98" t="n">
        <v>0.011</v>
      </c>
      <c r="J235" s="98" t="n">
        <v>0.046769</v>
      </c>
      <c r="K235" s="97" t="n">
        <v>17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4.2억(기준 5억 미만)</t>
        </is>
      </c>
      <c r="O235" s="96" t="inlineStr">
        <is>
          <t>코스피 고배당 50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4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IFERROR(INDEX($A$4:$A$580,MATCH(232,$X$4:$X$580,0)),"")</f>
        <v/>
      </c>
    </row>
    <row r="236">
      <c r="A236" s="96" t="inlineStr">
        <is>
          <t>KODEX iShares미국투자등급회사채액티브</t>
        </is>
      </c>
      <c r="B236" s="96" t="inlineStr">
        <is>
          <t>468630</t>
        </is>
      </c>
      <c r="C236" s="96" t="inlineStr">
        <is>
          <t>삼성자산운용(ETF)</t>
        </is>
      </c>
      <c r="D236" s="97" t="n">
        <v>10730</v>
      </c>
      <c r="E236" s="97" t="n">
        <v>30151300000</v>
      </c>
      <c r="F236" s="97" t="n">
        <v>472195954</v>
      </c>
      <c r="G236" s="98" t="n">
        <v>0.001</v>
      </c>
      <c r="H236" s="98" t="n">
        <v>0.1091</v>
      </c>
      <c r="I236" s="98" t="n">
        <v>0.004</v>
      </c>
      <c r="J236" s="98" t="n">
        <v>0.046412</v>
      </c>
      <c r="K236" s="97" t="n">
        <v>34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60일 거래대금 4.7억(기준 5억 미만)</t>
        </is>
      </c>
      <c r="O236" s="96" t="inlineStr">
        <is>
          <t>iBoxx USD Liquid IG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IFERROR(INDEX($A$4:$A$580,MATCH(233,$X$4:$X$580,0)),"")</f>
        <v/>
      </c>
    </row>
    <row r="237">
      <c r="A237" s="96" t="inlineStr">
        <is>
          <t>TIGER 글로벌멀티에셋TIF액티브</t>
        </is>
      </c>
      <c r="B237" s="96" t="inlineStr">
        <is>
          <t>440340</t>
        </is>
      </c>
      <c r="C237" s="96" t="inlineStr">
        <is>
          <t>미래에셋자산운용</t>
        </is>
      </c>
      <c r="D237" s="97" t="n">
        <v>11815</v>
      </c>
      <c r="E237" s="97" t="n">
        <v>26583750000</v>
      </c>
      <c r="F237" s="97" t="n">
        <v>144819635</v>
      </c>
      <c r="G237" s="98" t="n">
        <v>0.005500000000000001</v>
      </c>
      <c r="H237" s="98" t="n">
        <v>0.1062</v>
      </c>
      <c r="I237" s="98" t="n">
        <v>0.0038</v>
      </c>
      <c r="J237" s="98" t="n">
        <v>0.040457</v>
      </c>
      <c r="K237" s="97" t="n">
        <v>48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266억(기준 300억 미만), 60일 거래대금 1.4억(기준 5억 미만)</t>
        </is>
      </c>
      <c r="O237" s="96" t="inlineStr">
        <is>
          <t>Indxx Multi Asset Income Index</t>
        </is>
      </c>
      <c r="P237" s="96" t="inlineStr">
        <is>
          <t>일반</t>
        </is>
      </c>
      <c r="Q237" s="96" t="inlineStr">
        <is>
          <t>멀티에셋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IFERROR(INDEX($A$4:$A$580,MATCH(234,$X$4:$X$580,0)),"")</f>
        <v/>
      </c>
    </row>
    <row r="238">
      <c r="A238" s="96" t="inlineStr">
        <is>
          <t>RISE 글로벌리얼티인컴</t>
        </is>
      </c>
      <c r="B238" s="96" t="inlineStr">
        <is>
          <t>475380</t>
        </is>
      </c>
      <c r="C238" s="96" t="inlineStr">
        <is>
          <t>KB자산운용</t>
        </is>
      </c>
      <c r="D238" s="97" t="n">
        <v>10055</v>
      </c>
      <c r="E238" s="97" t="n">
        <v>26645750000</v>
      </c>
      <c r="F238" s="97" t="n">
        <v>80866835</v>
      </c>
      <c r="G238" s="98" t="n">
        <v>0.0001</v>
      </c>
      <c r="H238" s="98" t="n">
        <v>0.1418</v>
      </c>
      <c r="I238" s="98" t="n">
        <v>0.003</v>
      </c>
      <c r="J238" s="98" t="n">
        <v>0.039781</v>
      </c>
      <c r="K238" s="97" t="n">
        <v>30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순자산 266억(기준 300억 미만), 60일 거래대금 0.8억(기준 5억 미만)</t>
        </is>
      </c>
      <c r="O238" s="96" t="inlineStr">
        <is>
          <t>Solactive Global Realty Income Index PR</t>
        </is>
      </c>
      <c r="P238" s="96" t="inlineStr">
        <is>
          <t>일반</t>
        </is>
      </c>
      <c r="Q238" s="96" t="inlineStr">
        <is>
          <t>부동산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IFERROR(INDEX($A$4:$A$580,MATCH(235,$X$4:$X$580,0)),"")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24095</v>
      </c>
      <c r="E239" s="97" t="n">
        <v>12047500000</v>
      </c>
      <c r="F239" s="97" t="n">
        <v>47371656</v>
      </c>
      <c r="G239" s="98" t="n">
        <v>0.0038</v>
      </c>
      <c r="H239" s="98" t="n">
        <v>0.4263</v>
      </c>
      <c r="I239" s="98" t="n">
        <v>0.0039</v>
      </c>
      <c r="J239" s="98" t="n">
        <v>0.039469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120억(기준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IFERROR(INDEX($A$4:$A$580,MATCH(236,$X$4:$X$580,0)),"")</f>
        <v/>
      </c>
    </row>
    <row r="240">
      <c r="A240" s="96" t="inlineStr">
        <is>
          <t>TIGER 유로스탁스배당30</t>
        </is>
      </c>
      <c r="B240" s="96" t="inlineStr">
        <is>
          <t>245350</t>
        </is>
      </c>
      <c r="C240" s="96" t="inlineStr">
        <is>
          <t>미래에셋자산운용</t>
        </is>
      </c>
      <c r="D240" s="97" t="n">
        <v>19515</v>
      </c>
      <c r="E240" s="97" t="n">
        <v>31224000000</v>
      </c>
      <c r="F240" s="97" t="n">
        <v>96042196</v>
      </c>
      <c r="G240" s="98" t="n">
        <v>0.0035</v>
      </c>
      <c r="H240" s="98" t="n">
        <v>0.1304</v>
      </c>
      <c r="I240" s="98" t="n">
        <v>0.0257</v>
      </c>
      <c r="J240" s="98" t="n">
        <v>0.038944</v>
      </c>
      <c r="K240" s="97" t="n">
        <v>20</v>
      </c>
      <c r="L240" s="99" t="inlineStr">
        <is>
          <t>20260730</t>
        </is>
      </c>
      <c r="M240" s="96" t="inlineStr">
        <is>
          <t>제외</t>
        </is>
      </c>
      <c r="N240" s="96" t="inlineStr">
        <is>
          <t>60일 거래대금 1.0억(기준 5억 미만)</t>
        </is>
      </c>
      <c r="O240" s="96" t="inlineStr">
        <is>
          <t>ESTXSD30 EUR P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분기배당</t>
        </is>
      </c>
      <c r="S240" s="97" t="n">
        <v>4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IFERROR(INDEX($A$4:$A$580,MATCH(237,$X$4:$X$580,0)),"")</f>
        <v/>
      </c>
    </row>
    <row r="241">
      <c r="A241" s="96" t="inlineStr">
        <is>
          <t>KIWOOM 한국고배당&amp;미국AI테크</t>
        </is>
      </c>
      <c r="B241" s="96" t="inlineStr">
        <is>
          <t>0097L0</t>
        </is>
      </c>
      <c r="C241" s="96" t="inlineStr">
        <is>
          <t>키움투자자산운용</t>
        </is>
      </c>
      <c r="D241" s="97" t="n">
        <v>12430</v>
      </c>
      <c r="E241" s="97" t="n">
        <v>24238500000</v>
      </c>
      <c r="F241" s="97" t="n">
        <v>115801710</v>
      </c>
      <c r="G241" s="98" t="n">
        <v>0.004500000000000001</v>
      </c>
      <c r="H241" s="98" t="n">
        <v>0.2608</v>
      </c>
      <c r="I241" s="98" t="n">
        <v>0.0043</v>
      </c>
      <c r="J241" s="98" t="n">
        <v>0.038214</v>
      </c>
      <c r="K241" s="97" t="n">
        <v>12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순자산 242억(기준 300억 미만), 60일 거래대금 1.2억(기준 5억 미만)</t>
        </is>
      </c>
      <c r="O241" s="96" t="inlineStr">
        <is>
          <t>Akros 미국AI테크Top10&amp;한국고배당 3070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월배당</t>
        </is>
      </c>
      <c r="S241" s="97" t="n">
        <v>11</v>
      </c>
      <c r="T241" s="98" t="n">
        <v>1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IFERROR(INDEX($A$4:$A$580,MATCH(238,$X$4:$X$580,0)),"")</f>
        <v/>
      </c>
    </row>
    <row r="242">
      <c r="A242" s="96" t="inlineStr">
        <is>
          <t>ACE 미국10년국채액티브(H)</t>
        </is>
      </c>
      <c r="B242" s="96" t="inlineStr">
        <is>
          <t>0085N0</t>
        </is>
      </c>
      <c r="C242" s="96" t="inlineStr">
        <is>
          <t>한국투신운용(ETF)</t>
        </is>
      </c>
      <c r="D242" s="97" t="n">
        <v>9610</v>
      </c>
      <c r="E242" s="97" t="n">
        <v>34596000000</v>
      </c>
      <c r="F242" s="97" t="n">
        <v>289262467</v>
      </c>
      <c r="G242" s="98" t="n">
        <v>0.0015</v>
      </c>
      <c r="H242" s="98" t="n">
        <v>0.04389999999999999</v>
      </c>
      <c r="I242" s="98" t="n">
        <v>0.0033</v>
      </c>
      <c r="J242" s="98" t="n">
        <v>0.038085</v>
      </c>
      <c r="K242" s="97" t="n">
        <v>13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60일 거래대금 2.9억(기준 5억 미만)</t>
        </is>
      </c>
      <c r="O242" s="96" t="inlineStr">
        <is>
          <t>ICE U.S.Treasury 7-10 Year Bond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IFERROR(INDEX($A$4:$A$580,MATCH(239,$X$4:$X$580,0)),"")</f>
        <v/>
      </c>
    </row>
    <row r="243">
      <c r="A243" s="96" t="inlineStr">
        <is>
          <t>PLUS 미국단기회사채(AAA~A)</t>
        </is>
      </c>
      <c r="B243" s="96" t="inlineStr">
        <is>
          <t>332610</t>
        </is>
      </c>
      <c r="C243" s="96" t="inlineStr">
        <is>
          <t>한화자산운용</t>
        </is>
      </c>
      <c r="D243" s="97" t="n">
        <v>125455</v>
      </c>
      <c r="E243" s="97" t="n">
        <v>12043680000</v>
      </c>
      <c r="F243" s="97" t="n">
        <v>3964635904</v>
      </c>
      <c r="G243" s="98" t="n">
        <v>0.00315</v>
      </c>
      <c r="H243" s="98" t="n">
        <v>0.1039</v>
      </c>
      <c r="I243" s="98" t="n">
        <v>0.003</v>
      </c>
      <c r="J243" s="98" t="n">
        <v>0.037862</v>
      </c>
      <c r="K243" s="97" t="n">
        <v>18</v>
      </c>
      <c r="L243" s="99" t="inlineStr">
        <is>
          <t>20260828</t>
        </is>
      </c>
      <c r="M243" s="96" t="inlineStr">
        <is>
          <t>제외</t>
        </is>
      </c>
      <c r="N243" s="96" t="inlineStr">
        <is>
          <t>순자산 120억(기준 300억 미만)</t>
        </is>
      </c>
      <c r="O243" s="96" t="inlineStr">
        <is>
          <t>ICE BOFAML 1-3 YEAR AAA-A US CORPORATE INDEX</t>
        </is>
      </c>
      <c r="P243" s="96" t="inlineStr">
        <is>
          <t>일반</t>
        </is>
      </c>
      <c r="Q243" s="96" t="inlineStr">
        <is>
          <t>채권</t>
        </is>
      </c>
      <c r="R243" s="96" t="inlineStr">
        <is>
          <t>월배당</t>
        </is>
      </c>
      <c r="S243" s="97" t="n">
        <v>11</v>
      </c>
      <c r="T243" s="98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IFERROR(INDEX($A$4:$A$580,MATCH(240,$X$4:$X$580,0)),"")</f>
        <v/>
      </c>
    </row>
    <row r="244">
      <c r="A244" s="96" t="inlineStr">
        <is>
          <t>TIGER 증권</t>
        </is>
      </c>
      <c r="B244" s="96" t="inlineStr">
        <is>
          <t>157500</t>
        </is>
      </c>
      <c r="C244" s="96" t="inlineStr">
        <is>
          <t>미래에셋자산운용</t>
        </is>
      </c>
      <c r="D244" s="97" t="n">
        <v>11880</v>
      </c>
      <c r="E244" s="97" t="n">
        <v>211226400000</v>
      </c>
      <c r="F244" s="97" t="n">
        <v>10693918222</v>
      </c>
      <c r="G244" s="98" t="n">
        <v>0.004</v>
      </c>
      <c r="H244" s="98" t="n">
        <v>0.636</v>
      </c>
      <c r="I244" s="98" t="n">
        <v>0.0364</v>
      </c>
      <c r="J244" s="98" t="n">
        <v>0.03729</v>
      </c>
      <c r="K244" s="97" t="n">
        <v>7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63.6%(1년 기준, 기준 35% 초과)</t>
        </is>
      </c>
      <c r="O244" s="96" t="inlineStr">
        <is>
          <t>FnGuide 증권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1</v>
      </c>
      <c r="T244" s="98" t="n">
        <v>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IFERROR(INDEX($A$4:$A$580,MATCH(241,$X$4:$X$580,0)),"")</f>
        <v/>
      </c>
    </row>
    <row r="245">
      <c r="A245" s="96" t="inlineStr">
        <is>
          <t>파워 종합채권(AA-이상)액티브</t>
        </is>
      </c>
      <c r="B245" s="96" t="inlineStr">
        <is>
          <t>498180</t>
        </is>
      </c>
      <c r="C245" s="96" t="inlineStr">
        <is>
          <t>교보악사자산운용</t>
        </is>
      </c>
      <c r="D245" s="97" t="n">
        <v>92795</v>
      </c>
      <c r="E245" s="97" t="n">
        <v>139842065000</v>
      </c>
      <c r="F245" s="97" t="n">
        <v>469437</v>
      </c>
      <c r="G245" s="98" t="n">
        <v>0.00036</v>
      </c>
      <c r="H245" s="98" t="n">
        <v>0.0526</v>
      </c>
      <c r="I245" s="98" t="n">
        <v>0.0332</v>
      </c>
      <c r="J245" s="98" t="n">
        <v>0.036144</v>
      </c>
      <c r="K245" s="97" t="n">
        <v>1</v>
      </c>
      <c r="L245" s="99" t="inlineStr">
        <is>
          <t>20251127</t>
        </is>
      </c>
      <c r="M245" s="96" t="inlineStr">
        <is>
          <t>제외</t>
        </is>
      </c>
      <c r="N245" s="96" t="inlineStr">
        <is>
          <t>60일 거래대금 0.0억(기준 5억 미만)</t>
        </is>
      </c>
      <c r="O245" s="96" t="inlineStr">
        <is>
          <t>KIS 한국종합채권지수(AA-이상, 총수익)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연배당</t>
        </is>
      </c>
      <c r="S245" s="97" t="n">
        <v>1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IFERROR(INDEX($A$4:$A$580,MATCH(242,$X$4:$X$580,0)),"")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16340</v>
      </c>
      <c r="E246" s="97" t="n">
        <v>46569000000</v>
      </c>
      <c r="F246" s="97" t="n">
        <v>302070600</v>
      </c>
      <c r="G246" s="98" t="n">
        <v>0.006999999999999999</v>
      </c>
      <c r="H246" s="98" t="n">
        <v>0.2398</v>
      </c>
      <c r="I246" s="98" t="n">
        <v>0.0019</v>
      </c>
      <c r="J246" s="98" t="n">
        <v>0.036047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 s="98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IFERROR(INDEX($A$4:$A$580,MATCH(243,$X$4:$X$580,0)),"")</f>
        <v/>
      </c>
    </row>
    <row r="247">
      <c r="A247" s="96" t="inlineStr">
        <is>
          <t>RISE 코리아금융고배당</t>
        </is>
      </c>
      <c r="B247" s="96" t="inlineStr">
        <is>
          <t>498860</t>
        </is>
      </c>
      <c r="C247" s="96" t="inlineStr">
        <is>
          <t>KB자산운용</t>
        </is>
      </c>
      <c r="D247" s="97" t="n">
        <v>16560</v>
      </c>
      <c r="E247" s="97" t="n">
        <v>33120000000</v>
      </c>
      <c r="F247" s="97" t="n">
        <v>434450978</v>
      </c>
      <c r="G247" s="98" t="n">
        <v>0.001</v>
      </c>
      <c r="H247" s="98" t="n">
        <v>0.4208</v>
      </c>
      <c r="I247" s="98" t="n">
        <v>0.0024</v>
      </c>
      <c r="J247" s="98" t="n">
        <v>0.03587</v>
      </c>
      <c r="K247" s="97" t="n">
        <v>21</v>
      </c>
      <c r="L247" s="99" t="inlineStr">
        <is>
          <t>20260914</t>
        </is>
      </c>
      <c r="M247" s="96" t="inlineStr">
        <is>
          <t>제외</t>
        </is>
      </c>
      <c r="N247" s="96" t="inlineStr">
        <is>
          <t>60일 거래대금 4.3억(기준 5억 미만), 변동성 42.1%(1년 기준, 기준 35% 초과)</t>
        </is>
      </c>
      <c r="O247" s="96" t="inlineStr">
        <is>
          <t>iSelect 코리아 금융 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12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IFERROR(INDEX($A$4:$A$580,MATCH(244,$X$4:$X$580,0)),"")</f>
        <v/>
      </c>
    </row>
    <row r="248">
      <c r="A248" s="96" t="inlineStr">
        <is>
          <t>KIWOOM 26-09회사채(AA-이상)액티브</t>
        </is>
      </c>
      <c r="B248" s="96" t="inlineStr">
        <is>
          <t>464240</t>
        </is>
      </c>
      <c r="C248" s="96" t="inlineStr">
        <is>
          <t>키움투자자산운용</t>
        </is>
      </c>
      <c r="D248" s="97" t="n">
        <v>52025</v>
      </c>
      <c r="E248" s="97" t="n">
        <v>145670000000</v>
      </c>
      <c r="F248" s="97" t="n">
        <v>225306477</v>
      </c>
      <c r="G248" s="98" t="n">
        <v>0.0007000000000000001</v>
      </c>
      <c r="H248" s="98" t="n">
        <v>0.0174</v>
      </c>
      <c r="I248" s="98" t="n">
        <v>0.008199999999999999</v>
      </c>
      <c r="J248" s="98" t="n">
        <v>0.035137</v>
      </c>
      <c r="K248" s="97" t="n">
        <v>11</v>
      </c>
      <c r="L248" s="99" t="inlineStr">
        <is>
          <t>20260908</t>
        </is>
      </c>
      <c r="M248" s="96" t="inlineStr">
        <is>
          <t>제외</t>
        </is>
      </c>
      <c r="N248" s="96" t="inlineStr">
        <is>
          <t>60일 거래대금 2.3억(기준 5억 미만)</t>
        </is>
      </c>
      <c r="O248" s="96" t="inlineStr">
        <is>
          <t>KIS 2609 만기형 크레딧 종합채권 지수(AA-이상)</t>
        </is>
      </c>
      <c r="P248" s="96" t="inlineStr">
        <is>
          <t>일반</t>
        </is>
      </c>
      <c r="Q248" s="96" t="inlineStr">
        <is>
          <t>채권</t>
        </is>
      </c>
      <c r="R248" s="96" t="inlineStr">
        <is>
          <t>분기배당</t>
        </is>
      </c>
      <c r="S248" s="97" t="n">
        <v>4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IFERROR(INDEX($A$4:$A$580,MATCH(245,$X$4:$X$580,0)),"")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8830</v>
      </c>
      <c r="E249" s="97" t="n">
        <v>13245000000</v>
      </c>
      <c r="F249" s="97" t="n">
        <v>92140917</v>
      </c>
      <c r="G249" s="98" t="n">
        <v>0.001</v>
      </c>
      <c r="H249" s="98" t="n">
        <v>0.1576</v>
      </c>
      <c r="I249" s="98" t="n">
        <v>0.0028</v>
      </c>
      <c r="J249" s="98" t="n">
        <v>0.034881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IFERROR(INDEX($A$4:$A$580,MATCH(246,$X$4:$X$580,0)),"")</f>
        <v/>
      </c>
    </row>
    <row r="250">
      <c r="A250" s="96" t="inlineStr">
        <is>
          <t>SOL 금융지주플러스고배당</t>
        </is>
      </c>
      <c r="B250" s="96" t="inlineStr">
        <is>
          <t>484880</t>
        </is>
      </c>
      <c r="C250" s="96" t="inlineStr">
        <is>
          <t>신한자산운용</t>
        </is>
      </c>
      <c r="D250" s="97" t="n">
        <v>23390</v>
      </c>
      <c r="E250" s="97" t="n">
        <v>391782500000</v>
      </c>
      <c r="F250" s="97" t="n">
        <v>15773354723</v>
      </c>
      <c r="G250" s="98" t="n">
        <v>0.003</v>
      </c>
      <c r="H250" s="98" t="n">
        <v>0.3607</v>
      </c>
      <c r="I250" s="98" t="n">
        <v>0.0038</v>
      </c>
      <c r="J250" s="98" t="n">
        <v>0.034587</v>
      </c>
      <c r="K250" s="97" t="n">
        <v>26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변동성 36.1%(1년 기준, 기준 35% 초과)</t>
        </is>
      </c>
      <c r="O250" s="96" t="inlineStr">
        <is>
          <t>FnGuide 금융지주플러스고배당 지수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IFERROR(INDEX($A$4:$A$580,MATCH(247,$X$4:$X$580,0)),"")</f>
        <v/>
      </c>
    </row>
    <row r="251">
      <c r="A251" s="96" t="inlineStr">
        <is>
          <t>ACE 미국부동산리츠(합성 H)</t>
        </is>
      </c>
      <c r="B251" s="96" t="inlineStr">
        <is>
          <t>181480</t>
        </is>
      </c>
      <c r="C251" s="96" t="inlineStr">
        <is>
          <t>한국투신운용(ETF)</t>
        </is>
      </c>
      <c r="D251" s="97" t="n">
        <v>82685</v>
      </c>
      <c r="E251" s="97" t="n">
        <v>9922200000</v>
      </c>
      <c r="F251" s="97" t="n">
        <v>85838687</v>
      </c>
      <c r="G251" s="98" t="n">
        <v>0.003</v>
      </c>
      <c r="H251" s="98" t="n">
        <v>0.1411</v>
      </c>
      <c r="I251" s="98" t="n">
        <v>0.0025</v>
      </c>
      <c r="J251" s="98" t="n">
        <v>0.034565</v>
      </c>
      <c r="K251" s="97" t="n">
        <v>25</v>
      </c>
      <c r="L251" s="99" t="inlineStr">
        <is>
          <t>20260828</t>
        </is>
      </c>
      <c r="M251" s="96" t="inlineStr">
        <is>
          <t>제외</t>
        </is>
      </c>
      <c r="N251" s="96" t="inlineStr">
        <is>
          <t>순자산 99억(기준 300억 미만), 60일 거래대금 0.9억(기준 5억 미만)</t>
        </is>
      </c>
      <c r="O251" s="96" t="inlineStr">
        <is>
          <t>DowJones US Real Estate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11</v>
      </c>
      <c r="T251" s="98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IFERROR(INDEX($A$4:$A$580,MATCH(248,$X$4:$X$580,0)),"")</f>
        <v/>
      </c>
    </row>
    <row r="252">
      <c r="A252" s="96" t="inlineStr">
        <is>
          <t>TIGER 리츠부동산인프라10채권혼합액티브</t>
        </is>
      </c>
      <c r="B252" s="96" t="inlineStr">
        <is>
          <t>0086C0</t>
        </is>
      </c>
      <c r="C252" s="96" t="inlineStr">
        <is>
          <t>미래에셋자산운용</t>
        </is>
      </c>
      <c r="D252" s="97" t="n">
        <v>9755</v>
      </c>
      <c r="E252" s="97" t="n">
        <v>17071250000</v>
      </c>
      <c r="F252" s="97" t="n">
        <v>95331848</v>
      </c>
      <c r="G252" s="98" t="n">
        <v>0.0015</v>
      </c>
      <c r="H252" s="98" t="n">
        <v>0.0764</v>
      </c>
      <c r="I252" s="98" t="n">
        <v>0.0029</v>
      </c>
      <c r="J252" s="98" t="n">
        <v>0.034444</v>
      </c>
      <c r="K252" s="97" t="n">
        <v>13</v>
      </c>
      <c r="L252" s="99" t="inlineStr">
        <is>
          <t>20260914</t>
        </is>
      </c>
      <c r="M252" s="96" t="inlineStr">
        <is>
          <t>제외</t>
        </is>
      </c>
      <c r="N252" s="96" t="inlineStr">
        <is>
          <t>순자산 171억(기준 300억 미만), 60일 거래대금 1.0억(기준 5억 미만)</t>
        </is>
      </c>
      <c r="O252" s="96" t="inlineStr">
        <is>
          <t>KEDI 리츠부동산인프라TOP10 채권혼합 지수</t>
        </is>
      </c>
      <c r="P252" s="96" t="inlineStr">
        <is>
          <t>일반</t>
        </is>
      </c>
      <c r="Q252" s="96" t="inlineStr">
        <is>
          <t>멀티에셋</t>
        </is>
      </c>
      <c r="R252" s="96" t="inlineStr">
        <is>
          <t>월배당</t>
        </is>
      </c>
      <c r="S252" s="97" t="n">
        <v>12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IFERROR(INDEX($A$4:$A$580,MATCH(249,$X$4:$X$580,0)),"")</f>
        <v/>
      </c>
    </row>
    <row r="253">
      <c r="A253" s="96" t="inlineStr">
        <is>
          <t>KODEX 미국부동산리츠(H)</t>
        </is>
      </c>
      <c r="B253" s="96" t="inlineStr">
        <is>
          <t>352560</t>
        </is>
      </c>
      <c r="C253" s="96" t="inlineStr">
        <is>
          <t>삼성자산운용(ETF)</t>
        </is>
      </c>
      <c r="D253" s="97" t="n">
        <v>11860</v>
      </c>
      <c r="E253" s="97" t="n">
        <v>31429000000</v>
      </c>
      <c r="F253" s="97" t="n">
        <v>432580713</v>
      </c>
      <c r="G253" s="98" t="n">
        <v>0.0009</v>
      </c>
      <c r="H253" s="98" t="n">
        <v>0.1371</v>
      </c>
      <c r="I253" s="98" t="n">
        <v>0.0021</v>
      </c>
      <c r="J253" s="98" t="n">
        <v>0.034401</v>
      </c>
      <c r="K253" s="97" t="n">
        <v>47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4.3억(기준 5억 미만)</t>
        </is>
      </c>
      <c r="O253" s="96" t="inlineStr">
        <is>
          <t>Dow Jones U.S. Real Estate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10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IFERROR(INDEX($A$4:$A$580,MATCH(250,$X$4:$X$580,0)),"")</f>
        <v/>
      </c>
    </row>
    <row r="254">
      <c r="A254" s="96" t="inlineStr">
        <is>
          <t>TIGER 미국MSCI리츠(합성 H)</t>
        </is>
      </c>
      <c r="B254" s="96" t="inlineStr">
        <is>
          <t>182480</t>
        </is>
      </c>
      <c r="C254" s="96" t="inlineStr">
        <is>
          <t>미래에셋자산운용</t>
        </is>
      </c>
      <c r="D254" s="97" t="n">
        <v>13050</v>
      </c>
      <c r="E254" s="97" t="n">
        <v>114840000000</v>
      </c>
      <c r="F254" s="97" t="n">
        <v>252568663</v>
      </c>
      <c r="G254" s="98" t="n">
        <v>0.0024</v>
      </c>
      <c r="H254" s="98" t="n">
        <v>0.1395</v>
      </c>
      <c r="I254" s="98" t="n">
        <v>0.0014</v>
      </c>
      <c r="J254" s="98" t="n">
        <v>0.034023</v>
      </c>
      <c r="K254" s="97" t="n">
        <v>53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60일 거래대금 2.5억(기준 5억 미만)</t>
        </is>
      </c>
      <c r="O254" s="96" t="inlineStr">
        <is>
          <t>MSCI US REIT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IFERROR(INDEX($A$4:$A$580,MATCH(251,$X$4:$X$580,0)),"")</f>
        <v/>
      </c>
    </row>
    <row r="255">
      <c r="A255" s="96" t="inlineStr">
        <is>
          <t>SOL 국고채10년</t>
        </is>
      </c>
      <c r="B255" s="96" t="inlineStr">
        <is>
          <t>438570</t>
        </is>
      </c>
      <c r="C255" s="96" t="inlineStr">
        <is>
          <t>신한자산운용</t>
        </is>
      </c>
      <c r="D255" s="97" t="n">
        <v>97095</v>
      </c>
      <c r="E255" s="97" t="n">
        <v>124669980000</v>
      </c>
      <c r="F255" s="97" t="n">
        <v>51038585</v>
      </c>
      <c r="G255" s="98" t="n">
        <v>0.0005</v>
      </c>
      <c r="H255" s="98" t="n">
        <v>0.07139999999999999</v>
      </c>
      <c r="I255" s="98" t="n">
        <v>0.031</v>
      </c>
      <c r="J255" s="98" t="n">
        <v>0.033781</v>
      </c>
      <c r="K255" s="97" t="n">
        <v>3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0.5억(기준 5억 미만)</t>
        </is>
      </c>
      <c r="O255" s="96" t="inlineStr">
        <is>
          <t>KAP 국고채10년지수(총수익)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IFERROR(INDEX($A$4:$A$580,MATCH(252,$X$4:$X$580,0)),"")</f>
        <v/>
      </c>
    </row>
    <row r="256">
      <c r="A256" s="96" t="inlineStr">
        <is>
          <t>HANARO 종합채권(AA-이상)액티브</t>
        </is>
      </c>
      <c r="B256" s="96" t="inlineStr">
        <is>
          <t>461500</t>
        </is>
      </c>
      <c r="C256" s="96" t="inlineStr">
        <is>
          <t>NH-Amundi자산운용</t>
        </is>
      </c>
      <c r="D256" s="97" t="n">
        <v>104795</v>
      </c>
      <c r="E256" s="97" t="n">
        <v>128688260000</v>
      </c>
      <c r="F256" s="97" t="n">
        <v>93170761</v>
      </c>
      <c r="G256" s="98" t="n">
        <v>0.0002</v>
      </c>
      <c r="H256" s="98" t="n">
        <v>0.0525</v>
      </c>
      <c r="I256" s="98" t="n">
        <v>0.0305</v>
      </c>
      <c r="J256" s="98" t="n">
        <v>0.033399</v>
      </c>
      <c r="K256" s="97" t="n">
        <v>1</v>
      </c>
      <c r="L256" s="99" t="inlineStr">
        <is>
          <t>20251030</t>
        </is>
      </c>
      <c r="M256" s="96" t="inlineStr">
        <is>
          <t>제외</t>
        </is>
      </c>
      <c r="N256" s="96" t="inlineStr">
        <is>
          <t>60일 거래대금 0.9억(기준 5억 미만)</t>
        </is>
      </c>
      <c r="O256" s="96" t="inlineStr">
        <is>
          <t>KAP 종합채권 총수익 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IFERROR(INDEX($A$4:$A$580,MATCH(253,$X$4:$X$580,0)),"")</f>
        <v/>
      </c>
    </row>
    <row r="257">
      <c r="A257" s="96" t="inlineStr">
        <is>
          <t>RISE 금융채액티브</t>
        </is>
      </c>
      <c r="B257" s="96" t="inlineStr">
        <is>
          <t>336160</t>
        </is>
      </c>
      <c r="C257" s="96" t="inlineStr">
        <is>
          <t>KB자산운용</t>
        </is>
      </c>
      <c r="D257" s="97" t="n">
        <v>99835</v>
      </c>
      <c r="E257" s="97" t="n">
        <v>46822615000</v>
      </c>
      <c r="F257" s="97" t="n">
        <v>27904480</v>
      </c>
      <c r="G257" s="98" t="n">
        <v>0.0007000000000000001</v>
      </c>
      <c r="H257" s="98" t="n">
        <v>0.0203</v>
      </c>
      <c r="I257" s="98" t="n">
        <v>0.002</v>
      </c>
      <c r="J257" s="98" t="n">
        <v>0.032393</v>
      </c>
      <c r="K257" s="97" t="n">
        <v>44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60일 거래대금 0.3억(기준 5억 미만)</t>
        </is>
      </c>
      <c r="O257" s="96" t="inlineStr">
        <is>
          <t>KIS 종합채권 금융채 2.5-3Y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IFERROR(INDEX($A$4:$A$580,MATCH(254,$X$4:$X$580,0)),"")</f>
        <v/>
      </c>
    </row>
    <row r="258">
      <c r="A258" s="96" t="inlineStr">
        <is>
          <t>KIWOOM 국고채30년액티브</t>
        </is>
      </c>
      <c r="B258" s="96" t="inlineStr">
        <is>
          <t>471460</t>
        </is>
      </c>
      <c r="C258" s="96" t="inlineStr">
        <is>
          <t>키움투자자산운용</t>
        </is>
      </c>
      <c r="D258" s="97" t="n">
        <v>45195</v>
      </c>
      <c r="E258" s="97" t="n">
        <v>20789700000</v>
      </c>
      <c r="F258" s="97" t="n">
        <v>86146006</v>
      </c>
      <c r="G258" s="98" t="n">
        <v>0.0003500000000000001</v>
      </c>
      <c r="H258" s="98" t="n">
        <v>0.1404</v>
      </c>
      <c r="I258" s="98" t="n">
        <v>0.0028</v>
      </c>
      <c r="J258" s="98" t="n">
        <v>0.031331</v>
      </c>
      <c r="K258" s="97" t="n">
        <v>25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순자산 208억(기준 300억 미만), 60일 거래대금 0.9억(기준 5억 미만)</t>
        </is>
      </c>
      <c r="O258" s="96" t="inlineStr">
        <is>
          <t>KIS-키움 국고채30년 지수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월배당</t>
        </is>
      </c>
      <c r="S258" s="97" t="n">
        <v>11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IFERROR(INDEX($A$4:$A$580,MATCH(255,$X$4:$X$580,0)),"")</f>
        <v/>
      </c>
    </row>
    <row r="259">
      <c r="A259" s="96" t="inlineStr">
        <is>
          <t>KIWOOM 종합채권(AA-이상)액티브</t>
        </is>
      </c>
      <c r="B259" s="96" t="inlineStr">
        <is>
          <t>454780</t>
        </is>
      </c>
      <c r="C259" s="96" t="inlineStr">
        <is>
          <t>키움투자자산운용</t>
        </is>
      </c>
      <c r="D259" s="97" t="n">
        <v>99405</v>
      </c>
      <c r="E259" s="97" t="n">
        <v>294636420000</v>
      </c>
      <c r="F259" s="97" t="n">
        <v>187882384</v>
      </c>
      <c r="G259" s="98" t="n">
        <v>0.00025</v>
      </c>
      <c r="H259" s="98" t="n">
        <v>0.0504</v>
      </c>
      <c r="I259" s="98" t="n">
        <v>0.0283</v>
      </c>
      <c r="J259" s="98" t="n">
        <v>0.030461</v>
      </c>
      <c r="K259" s="97" t="n">
        <v>2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1.9억(기준 5억 미만)</t>
        </is>
      </c>
      <c r="O259" s="96" t="inlineStr">
        <is>
          <t>KIS 종합 채권시장지수(AA-이상)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IFERROR(INDEX($A$4:$A$580,MATCH(256,$X$4:$X$580,0)),"")</f>
        <v/>
      </c>
    </row>
    <row r="260">
      <c r="A260" s="96" t="inlineStr">
        <is>
          <t>HK 26-12 회사채(AA-이상)액티브</t>
        </is>
      </c>
      <c r="B260" s="96" t="inlineStr">
        <is>
          <t>0000Y0</t>
        </is>
      </c>
      <c r="C260" s="96" t="inlineStr">
        <is>
          <t>흥국자산운용</t>
        </is>
      </c>
      <c r="D260" s="97" t="n">
        <v>101995</v>
      </c>
      <c r="E260" s="97" t="n">
        <v>123401850000</v>
      </c>
      <c r="F260" s="97" t="n">
        <v>6308615</v>
      </c>
      <c r="G260" s="98" t="n">
        <v>0.00065</v>
      </c>
      <c r="H260" s="98" t="n">
        <v>0.0306</v>
      </c>
      <c r="I260" s="98" t="n">
        <v>0.0301</v>
      </c>
      <c r="J260" s="98" t="n">
        <v>0.030394</v>
      </c>
      <c r="K260" s="97" t="n">
        <v>1</v>
      </c>
      <c r="L260" s="99" t="inlineStr">
        <is>
          <t>20251229</t>
        </is>
      </c>
      <c r="M260" s="96" t="inlineStr">
        <is>
          <t>제외</t>
        </is>
      </c>
      <c r="N260" s="96" t="inlineStr">
        <is>
          <t>60일 거래대금 0.1억(기준 5억 미만)</t>
        </is>
      </c>
      <c r="O260" s="96" t="inlineStr">
        <is>
          <t>KAP 26-12 크레딧 채권 총수익지수(AA-이상)</t>
        </is>
      </c>
      <c r="P260" s="96" t="inlineStr">
        <is>
          <t>일반</t>
        </is>
      </c>
      <c r="Q260" s="96" t="inlineStr">
        <is>
          <t>채권</t>
        </is>
      </c>
      <c r="R260" s="96" t="inlineStr">
        <is>
          <t>연배당</t>
        </is>
      </c>
      <c r="S260" s="97" t="n">
        <v>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IFERROR(INDEX($A$4:$A$580,MATCH(257,$X$4:$X$580,0)),"")</f>
        <v/>
      </c>
    </row>
    <row r="261">
      <c r="A261" s="96" t="inlineStr">
        <is>
          <t>HANARO K고배당</t>
        </is>
      </c>
      <c r="B261" s="96" t="inlineStr">
        <is>
          <t>322410</t>
        </is>
      </c>
      <c r="C261" s="96" t="inlineStr">
        <is>
          <t>NH-Amundi자산운용</t>
        </is>
      </c>
      <c r="D261" s="97" t="n">
        <v>22995</v>
      </c>
      <c r="E261" s="97" t="n">
        <v>40241250000</v>
      </c>
      <c r="F261" s="97" t="n">
        <v>169449559</v>
      </c>
      <c r="G261" s="98" t="n">
        <v>0.0007000000000000001</v>
      </c>
      <c r="H261" s="98" t="n">
        <v>0.2835</v>
      </c>
      <c r="I261" s="98" t="n">
        <v>0.003</v>
      </c>
      <c r="J261" s="98" t="n">
        <v>0.030093</v>
      </c>
      <c r="K261" s="97" t="n">
        <v>27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60일 거래대금 1.7억(기준 5억 미만)</t>
        </is>
      </c>
      <c r="O261" s="96" t="inlineStr">
        <is>
          <t>FnGuide K고배당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IFERROR(INDEX($A$4:$A$580,MATCH(258,$X$4:$X$580,0)),"")</f>
        <v/>
      </c>
    </row>
    <row r="262">
      <c r="A262" s="96" t="inlineStr">
        <is>
          <t>RISE 미국S&amp;P배당킹</t>
        </is>
      </c>
      <c r="B262" s="96" t="inlineStr">
        <is>
          <t>460660</t>
        </is>
      </c>
      <c r="C262" s="96" t="inlineStr">
        <is>
          <t>KB자산운용</t>
        </is>
      </c>
      <c r="D262" s="97" t="n">
        <v>11580</v>
      </c>
      <c r="E262" s="97" t="n">
        <v>17370000000</v>
      </c>
      <c r="F262" s="97" t="n">
        <v>96817850</v>
      </c>
      <c r="G262" s="98" t="n">
        <v>0.0001</v>
      </c>
      <c r="H262" s="98" t="n">
        <v>0.156</v>
      </c>
      <c r="I262" s="98" t="n">
        <v>0.0024</v>
      </c>
      <c r="J262" s="98" t="n">
        <v>0.029879</v>
      </c>
      <c r="K262" s="97" t="n">
        <v>38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순자산 174억(기준 300억 미만), 60일 거래대금 1.0억(기준 5억 미만)</t>
        </is>
      </c>
      <c r="O262" s="96" t="inlineStr">
        <is>
          <t>S&amp;P Dividend Monarchs Index (USD)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IFERROR(INDEX($A$4:$A$580,MATCH(259,$X$4:$X$580,0)),"")</f>
        <v/>
      </c>
    </row>
    <row r="263">
      <c r="A263" s="96" t="inlineStr">
        <is>
          <t>SOL 미국배당다우존스2호</t>
        </is>
      </c>
      <c r="B263" s="96" t="inlineStr">
        <is>
          <t>493420</t>
        </is>
      </c>
      <c r="C263" s="96" t="inlineStr">
        <is>
          <t>신한자산운용</t>
        </is>
      </c>
      <c r="D263" s="97" t="n">
        <v>12545</v>
      </c>
      <c r="E263" s="97" t="n">
        <v>26344500000</v>
      </c>
      <c r="F263" s="97" t="n">
        <v>138745165</v>
      </c>
      <c r="G263" s="98" t="n">
        <v>0.0001</v>
      </c>
      <c r="H263" s="98" t="n">
        <v>0.1406</v>
      </c>
      <c r="I263" s="98" t="n">
        <v>0.0037</v>
      </c>
      <c r="J263" s="98" t="n">
        <v>0.029653</v>
      </c>
      <c r="K263" s="97" t="n">
        <v>16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순자산 263억(기준 300억 미만), 60일 거래대금 1.4억(기준 5억 미만)</t>
        </is>
      </c>
      <c r="O263" s="96" t="inlineStr">
        <is>
          <t>Dow Jones U.S. Dividend 100 Total Return Index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월배당</t>
        </is>
      </c>
      <c r="S263" s="97" t="n">
        <v>12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IFERROR(INDEX($A$4:$A$580,MATCH(260,$X$4:$X$580,0)),"")</f>
        <v/>
      </c>
    </row>
    <row r="264">
      <c r="A264" s="96" t="inlineStr">
        <is>
          <t>KODEX 배당가치</t>
        </is>
      </c>
      <c r="B264" s="96" t="inlineStr">
        <is>
          <t>325020</t>
        </is>
      </c>
      <c r="C264" s="96" t="inlineStr">
        <is>
          <t>삼성자산운용(ETF)</t>
        </is>
      </c>
      <c r="D264" s="97" t="n">
        <v>29295</v>
      </c>
      <c r="E264" s="97" t="n">
        <v>90814500000</v>
      </c>
      <c r="F264" s="97" t="n">
        <v>1475364830</v>
      </c>
      <c r="G264" s="98" t="n">
        <v>0.003</v>
      </c>
      <c r="H264" s="98" t="n">
        <v>0.3758</v>
      </c>
      <c r="I264" s="98" t="n">
        <v>0.0059</v>
      </c>
      <c r="J264" s="98" t="n">
        <v>0.028674</v>
      </c>
      <c r="K264" s="97" t="n">
        <v>17</v>
      </c>
      <c r="L264" s="99" t="inlineStr">
        <is>
          <t>20260730</t>
        </is>
      </c>
      <c r="M264" s="96" t="inlineStr">
        <is>
          <t>제외</t>
        </is>
      </c>
      <c r="N264" s="96" t="inlineStr">
        <is>
          <t>변동성 37.6%(1년 기준, 기준 35% 초과)</t>
        </is>
      </c>
      <c r="O264" s="96" t="inlineStr">
        <is>
          <t>FnGuide SLV 배당가치 지수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분기배당</t>
        </is>
      </c>
      <c r="S264" s="97" t="n">
        <v>4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IFERROR(INDEX($A$4:$A$580,MATCH(261,$X$4:$X$580,0)),"")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20625</v>
      </c>
      <c r="E265" s="97" t="n">
        <v>33000000000</v>
      </c>
      <c r="F265" s="97" t="n">
        <v>210698148</v>
      </c>
      <c r="G265" s="98" t="n">
        <v>0.0012</v>
      </c>
      <c r="H265" s="98" t="n">
        <v>0.2214</v>
      </c>
      <c r="I265" s="98" t="n">
        <v>0.0124</v>
      </c>
      <c r="J265" s="98" t="n">
        <v>0.028412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IFERROR(INDEX($A$4:$A$580,MATCH(262,$X$4:$X$580,0)),"")</f>
        <v/>
      </c>
    </row>
    <row r="266">
      <c r="A266" s="96" t="inlineStr">
        <is>
          <t>KIWOOM 통안채1년</t>
        </is>
      </c>
      <c r="B266" s="96" t="inlineStr">
        <is>
          <t>122260</t>
        </is>
      </c>
      <c r="C266" s="96" t="inlineStr">
        <is>
          <t>키움투자자산운용</t>
        </is>
      </c>
      <c r="D266" s="97" t="n">
        <v>104220</v>
      </c>
      <c r="E266" s="97" t="n">
        <v>32308200000</v>
      </c>
      <c r="F266" s="97" t="n">
        <v>259770344</v>
      </c>
      <c r="G266" s="98" t="n">
        <v>0.0005</v>
      </c>
      <c r="H266" s="98" t="n">
        <v>0.0287</v>
      </c>
      <c r="I266" s="98" t="n">
        <v>0.0279</v>
      </c>
      <c r="J266" s="98" t="n">
        <v>0.028286</v>
      </c>
      <c r="K266" s="97" t="n">
        <v>5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2.6억(기준 5억 미만)</t>
        </is>
      </c>
      <c r="O266" s="96" t="inlineStr">
        <is>
          <t>MK MSB 지수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IFERROR(INDEX($A$4:$A$580,MATCH(263,$X$4:$X$580,0)),"")</f>
        <v/>
      </c>
    </row>
    <row r="267">
      <c r="A267" s="96" t="inlineStr">
        <is>
          <t>KODEX 증권</t>
        </is>
      </c>
      <c r="B267" s="96" t="inlineStr">
        <is>
          <t>102970</t>
        </is>
      </c>
      <c r="C267" s="96" t="inlineStr">
        <is>
          <t>삼성자산운용(ETF)</t>
        </is>
      </c>
      <c r="D267" s="97" t="n">
        <v>17465</v>
      </c>
      <c r="E267" s="97" t="n">
        <v>653191000000</v>
      </c>
      <c r="F267" s="97" t="n">
        <v>22148187103</v>
      </c>
      <c r="G267" s="98" t="n">
        <v>0.004500000000000001</v>
      </c>
      <c r="H267" s="98" t="n">
        <v>0.6317</v>
      </c>
      <c r="I267" s="98" t="n">
        <v>0.008699999999999999</v>
      </c>
      <c r="J267" s="98" t="n">
        <v>0.027999</v>
      </c>
      <c r="K267" s="97" t="n">
        <v>6</v>
      </c>
      <c r="L267" s="99" t="inlineStr">
        <is>
          <t>20260730</t>
        </is>
      </c>
      <c r="M267" s="96" t="inlineStr">
        <is>
          <t>제외</t>
        </is>
      </c>
      <c r="N267" s="96" t="inlineStr">
        <is>
          <t>변동성 63.2%(1년 기준, 기준 35% 초과)</t>
        </is>
      </c>
      <c r="O267" s="96" t="inlineStr">
        <is>
          <t>KRX 증권</t>
        </is>
      </c>
      <c r="P267" s="96" t="inlineStr">
        <is>
          <t>일반</t>
        </is>
      </c>
      <c r="Q267" s="96" t="inlineStr">
        <is>
          <t>주식</t>
        </is>
      </c>
      <c r="R267" s="96" t="inlineStr">
        <is>
          <t>연배당</t>
        </is>
      </c>
      <c r="S267" s="97" t="n">
        <v>2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IFERROR(INDEX($A$4:$A$580,MATCH(264,$X$4:$X$580,0)),"")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25850</v>
      </c>
      <c r="E268" s="97" t="n">
        <v>365777500000</v>
      </c>
      <c r="F268" s="97" t="n">
        <v>13012447425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0.027582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IFERROR(INDEX($A$4:$A$580,MATCH(265,$X$4:$X$580,0)),"")</f>
        <v/>
      </c>
    </row>
    <row r="269">
      <c r="A269" s="96" t="inlineStr">
        <is>
          <t>KIWOOM 머니마켓액티브</t>
        </is>
      </c>
      <c r="B269" s="96" t="inlineStr">
        <is>
          <t>476450</t>
        </is>
      </c>
      <c r="C269" s="96" t="inlineStr">
        <is>
          <t>키움투자자산운용</t>
        </is>
      </c>
      <c r="D269" s="97" t="n">
        <v>52855</v>
      </c>
      <c r="E269" s="97" t="n">
        <v>119769430000</v>
      </c>
      <c r="F269" s="97" t="n">
        <v>476248060</v>
      </c>
      <c r="G269" s="98" t="n">
        <v>0.0005</v>
      </c>
      <c r="H269" s="98" t="n">
        <v>0.0278</v>
      </c>
      <c r="I269" s="98" t="n">
        <v>0.0274</v>
      </c>
      <c r="J269" s="98" t="n">
        <v>0.027509</v>
      </c>
      <c r="K269" s="97" t="n">
        <v>1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4.8억(기준 5억 미만)</t>
        </is>
      </c>
      <c r="O269" s="96" t="inlineStr">
        <is>
          <t>KIS-키움 MMF지수</t>
        </is>
      </c>
      <c r="P269" s="96" t="inlineStr">
        <is>
          <t>일반</t>
        </is>
      </c>
      <c r="Q269" s="96" t="inlineStr">
        <is>
          <t>단기자금(파킹형)</t>
        </is>
      </c>
      <c r="R269" s="96" t="inlineStr">
        <is>
          <t>연배당</t>
        </is>
      </c>
      <c r="S269" s="97" t="n">
        <v>1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IFERROR(INDEX($A$4:$A$580,MATCH(266,$X$4:$X$580,0)),"")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47285</v>
      </c>
      <c r="E270" s="97" t="n">
        <v>36125740000</v>
      </c>
      <c r="F270" s="97" t="n">
        <v>309125775</v>
      </c>
      <c r="G270" s="98" t="n">
        <v>0.0015</v>
      </c>
      <c r="H270" s="98" t="n">
        <v>0.1308</v>
      </c>
      <c r="I270" s="98" t="n">
        <v>0.0019</v>
      </c>
      <c r="J270" s="98" t="n">
        <v>0.026753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IFERROR(INDEX($A$4:$A$580,MATCH(267,$X$4:$X$580,0)),"")</f>
        <v/>
      </c>
    </row>
    <row r="271">
      <c r="A271" s="96" t="inlineStr">
        <is>
          <t>KIWOOM 단기채권ESG액티브</t>
        </is>
      </c>
      <c r="B271" s="96" t="inlineStr">
        <is>
          <t>419890</t>
        </is>
      </c>
      <c r="C271" s="96" t="inlineStr">
        <is>
          <t>키움투자자산운용</t>
        </is>
      </c>
      <c r="D271" s="97" t="n">
        <v>107475</v>
      </c>
      <c r="E271" s="97" t="n">
        <v>62335500000</v>
      </c>
      <c r="F271" s="97" t="n">
        <v>80276040</v>
      </c>
      <c r="G271" s="98" t="n">
        <v>0.0015</v>
      </c>
      <c r="H271" s="98" t="n">
        <v>0.0273</v>
      </c>
      <c r="I271" s="98" t="n">
        <v>0.0262</v>
      </c>
      <c r="J271" s="98" t="n">
        <v>0.026648</v>
      </c>
      <c r="K271" s="97" t="n">
        <v>3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0.8억(기준 5억 미만)</t>
        </is>
      </c>
      <c r="O271" s="96" t="inlineStr">
        <is>
          <t>KIS ESG 9M~1.5Y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IFERROR(INDEX($A$4:$A$580,MATCH(268,$X$4:$X$580,0)),"")</f>
        <v/>
      </c>
    </row>
    <row r="272">
      <c r="A272" s="96" t="inlineStr">
        <is>
          <t>TIGER 배당성장</t>
        </is>
      </c>
      <c r="B272" s="96" t="inlineStr">
        <is>
          <t>211560</t>
        </is>
      </c>
      <c r="C272" s="96" t="inlineStr">
        <is>
          <t>미래에셋자산운용</t>
        </is>
      </c>
      <c r="D272" s="97" t="n">
        <v>35300</v>
      </c>
      <c r="E272" s="97" t="n">
        <v>70953000000</v>
      </c>
      <c r="F272" s="97" t="n">
        <v>393820667</v>
      </c>
      <c r="G272" s="98" t="n">
        <v>0.0015</v>
      </c>
      <c r="H272" s="98" t="n">
        <v>0.3448</v>
      </c>
      <c r="I272" s="98" t="n">
        <v>0.002</v>
      </c>
      <c r="J272" s="98" t="n">
        <v>0.025666</v>
      </c>
      <c r="K272" s="97" t="n">
        <v>16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60일 거래대금 3.9억(기준 5억 미만)</t>
        </is>
      </c>
      <c r="O272" s="96" t="inlineStr">
        <is>
          <t>코스피 배당성장 50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3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IFERROR(INDEX($A$4:$A$580,MATCH(269,$X$4:$X$580,0)),"")</f>
        <v/>
      </c>
    </row>
    <row r="273">
      <c r="A273" s="96" t="inlineStr">
        <is>
          <t>SOL 국고채3년</t>
        </is>
      </c>
      <c r="B273" s="96" t="inlineStr">
        <is>
          <t>438560</t>
        </is>
      </c>
      <c r="C273" s="96" t="inlineStr">
        <is>
          <t>신한자산운용</t>
        </is>
      </c>
      <c r="D273" s="97" t="n">
        <v>100005</v>
      </c>
      <c r="E273" s="97" t="n">
        <v>139906995000</v>
      </c>
      <c r="F273" s="97" t="n">
        <v>48624339</v>
      </c>
      <c r="G273" s="98" t="n">
        <v>0.0005</v>
      </c>
      <c r="H273" s="98" t="n">
        <v>0.0335</v>
      </c>
      <c r="I273" s="98" t="n">
        <v>0.0245</v>
      </c>
      <c r="J273" s="98" t="n">
        <v>0.025249</v>
      </c>
      <c r="K273" s="97" t="n">
        <v>3</v>
      </c>
      <c r="L273" s="99" t="inlineStr">
        <is>
          <t>20251229</t>
        </is>
      </c>
      <c r="M273" s="96" t="inlineStr">
        <is>
          <t>제외</t>
        </is>
      </c>
      <c r="N273" s="96" t="inlineStr">
        <is>
          <t>60일 거래대금 0.5억(기준 5억 미만)</t>
        </is>
      </c>
      <c r="O273" s="96" t="inlineStr">
        <is>
          <t>KAP 국고채3년지수(총수익)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연배당</t>
        </is>
      </c>
      <c r="S273" s="97" t="n">
        <v>1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IFERROR(INDEX($A$4:$A$580,MATCH(270,$X$4:$X$580,0)),"")</f>
        <v/>
      </c>
    </row>
    <row r="274">
      <c r="A274" s="96" t="inlineStr">
        <is>
          <t>KIWOOM 국고채3년</t>
        </is>
      </c>
      <c r="B274" s="96" t="inlineStr">
        <is>
          <t>114470</t>
        </is>
      </c>
      <c r="C274" s="96" t="inlineStr">
        <is>
          <t>키움투자자산운용</t>
        </is>
      </c>
      <c r="D274" s="97" t="n">
        <v>106980</v>
      </c>
      <c r="E274" s="97" t="n">
        <v>48141000000</v>
      </c>
      <c r="F274" s="97" t="n">
        <v>119298680</v>
      </c>
      <c r="G274" s="98" t="n">
        <v>0.0005</v>
      </c>
      <c r="H274" s="98" t="n">
        <v>0.0249</v>
      </c>
      <c r="I274" s="98" t="n">
        <v>0.0052</v>
      </c>
      <c r="J274" s="98" t="n">
        <v>0.024902</v>
      </c>
      <c r="K274" s="97" t="n">
        <v>20</v>
      </c>
      <c r="L274" s="99" t="inlineStr">
        <is>
          <t>20260908</t>
        </is>
      </c>
      <c r="M274" s="96" t="inlineStr">
        <is>
          <t>제외</t>
        </is>
      </c>
      <c r="N274" s="96" t="inlineStr">
        <is>
          <t>60일 거래대금 1.2억(기준 5억 미만)</t>
        </is>
      </c>
      <c r="O274" s="96" t="inlineStr">
        <is>
          <t>KTB Index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분기배당</t>
        </is>
      </c>
      <c r="S274" s="97" t="n">
        <v>4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IFERROR(INDEX($A$4:$A$580,MATCH(271,$X$4:$X$580,0)),"")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15495</v>
      </c>
      <c r="E275" s="97" t="n">
        <v>34089000000</v>
      </c>
      <c r="F275" s="97" t="n">
        <v>85462055</v>
      </c>
      <c r="G275" s="98" t="n">
        <v>0.0023</v>
      </c>
      <c r="H275" s="98" t="n">
        <v>0.1988</v>
      </c>
      <c r="I275" s="98" t="n">
        <v>0.0148</v>
      </c>
      <c r="J275" s="98" t="n">
        <v>0.024524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0.9억(기준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IFERROR(INDEX($A$4:$A$580,MATCH(272,$X$4:$X$580,0)),"")</f>
        <v/>
      </c>
    </row>
    <row r="276">
      <c r="A276" s="96" t="inlineStr">
        <is>
          <t>TIGER 200 금융</t>
        </is>
      </c>
      <c r="B276" s="96" t="inlineStr">
        <is>
          <t>139270</t>
        </is>
      </c>
      <c r="C276" s="96" t="inlineStr">
        <is>
          <t>미래에셋자산운용</t>
        </is>
      </c>
      <c r="D276" s="97" t="n">
        <v>17310</v>
      </c>
      <c r="E276" s="97" t="n">
        <v>31504200000</v>
      </c>
      <c r="F276" s="97" t="n">
        <v>741291810</v>
      </c>
      <c r="G276" s="98" t="n">
        <v>0.004</v>
      </c>
      <c r="H276" s="98" t="n">
        <v>0.361</v>
      </c>
      <c r="I276" s="98" t="n">
        <v>0.0038</v>
      </c>
      <c r="J276" s="98" t="n">
        <v>0.024148</v>
      </c>
      <c r="K276" s="97" t="n">
        <v>18</v>
      </c>
      <c r="L276" s="99" t="inlineStr">
        <is>
          <t>20260730</t>
        </is>
      </c>
      <c r="M276" s="96" t="inlineStr">
        <is>
          <t>제외</t>
        </is>
      </c>
      <c r="N276" s="96" t="inlineStr">
        <is>
          <t>변동성 36.1%(1년 기준, 기준 35% 초과)</t>
        </is>
      </c>
      <c r="O276" s="96" t="inlineStr">
        <is>
          <t>K200금융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분기배당</t>
        </is>
      </c>
      <c r="S276" s="97" t="n">
        <v>4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IFERROR(INDEX($A$4:$A$580,MATCH(273,$X$4:$X$580,0)),"")</f>
        <v/>
      </c>
    </row>
    <row r="277">
      <c r="A277" s="96" t="inlineStr">
        <is>
          <t>SOL 26-12 회사채(AA-이상)액티브</t>
        </is>
      </c>
      <c r="B277" s="96" t="inlineStr">
        <is>
          <t>488980</t>
        </is>
      </c>
      <c r="C277" s="96" t="inlineStr">
        <is>
          <t>신한자산운용</t>
        </is>
      </c>
      <c r="D277" s="97" t="n">
        <v>52195</v>
      </c>
      <c r="E277" s="97" t="n">
        <v>197714660000</v>
      </c>
      <c r="F277" s="97" t="n">
        <v>33021763</v>
      </c>
      <c r="G277" s="98" t="n">
        <v>0.0005</v>
      </c>
      <c r="H277" s="98" t="n">
        <v>0.0246</v>
      </c>
      <c r="I277" s="98" t="n">
        <v>0.024</v>
      </c>
      <c r="J277" s="98" t="n">
        <v>0.024044</v>
      </c>
      <c r="K277" s="97" t="n">
        <v>1</v>
      </c>
      <c r="L277" s="99" t="inlineStr">
        <is>
          <t>20251212</t>
        </is>
      </c>
      <c r="M277" s="96" t="inlineStr">
        <is>
          <t>제외</t>
        </is>
      </c>
      <c r="N277" s="96" t="inlineStr">
        <is>
          <t>60일 거래대금 0.3억(기준 5억 미만)</t>
        </is>
      </c>
      <c r="O277" s="96" t="inlineStr">
        <is>
          <t>KAP 26-12 크레딧 채권지수(AA-이상,총수익)</t>
        </is>
      </c>
      <c r="P277" s="96" t="inlineStr">
        <is>
          <t>일반</t>
        </is>
      </c>
      <c r="Q277" s="96" t="inlineStr">
        <is>
          <t>채권</t>
        </is>
      </c>
      <c r="R277" s="96" t="inlineStr">
        <is>
          <t>연배당</t>
        </is>
      </c>
      <c r="S277" s="97" t="n">
        <v>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IFERROR(INDEX($A$4:$A$580,MATCH(274,$X$4:$X$580,0)),"")</f>
        <v/>
      </c>
    </row>
    <row r="278">
      <c r="A278" s="96" t="inlineStr">
        <is>
          <t>ACE 중국본토CSI300</t>
        </is>
      </c>
      <c r="B278" s="96" t="inlineStr">
        <is>
          <t>168580</t>
        </is>
      </c>
      <c r="C278" s="96" t="inlineStr">
        <is>
          <t>한국투신운용(ETF)</t>
        </is>
      </c>
      <c r="D278" s="97" t="n">
        <v>33480</v>
      </c>
      <c r="E278" s="97" t="n">
        <v>104457600000</v>
      </c>
      <c r="F278" s="97" t="n">
        <v>144159238</v>
      </c>
      <c r="G278" s="98" t="n">
        <v>0.006999999999999999</v>
      </c>
      <c r="H278" s="98" t="n">
        <v>0.2161</v>
      </c>
      <c r="I278" s="98" t="n">
        <v>0.022</v>
      </c>
      <c r="J278" s="98" t="n">
        <v>0.023148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1.4억(기준 5억 미만)</t>
        </is>
      </c>
      <c r="O278" s="96" t="inlineStr">
        <is>
          <t>CSI 300 INDEX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IFERROR(INDEX($A$4:$A$580,MATCH(275,$X$4:$X$580,0)),"")</f>
        <v/>
      </c>
    </row>
    <row r="279">
      <c r="A279" s="96" t="inlineStr">
        <is>
          <t>KIWOOM 엔비디아미국30년국채혼합액티브(H)</t>
        </is>
      </c>
      <c r="B279" s="96" t="inlineStr">
        <is>
          <t>0015E0</t>
        </is>
      </c>
      <c r="C279" s="96" t="inlineStr">
        <is>
          <t>키움투자자산운용</t>
        </is>
      </c>
      <c r="D279" s="97" t="n">
        <v>10375</v>
      </c>
      <c r="E279" s="97" t="n">
        <v>5187500000</v>
      </c>
      <c r="F279" s="97" t="n">
        <v>32813394</v>
      </c>
      <c r="G279" s="98" t="n">
        <v>0.0019</v>
      </c>
      <c r="H279" s="98" t="n">
        <v>0.1077</v>
      </c>
      <c r="I279" s="98" t="n">
        <v>0.0019</v>
      </c>
      <c r="J279" s="98" t="n">
        <v>0.023133</v>
      </c>
      <c r="K279" s="97" t="n">
        <v>18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52억(기준 300억 미만), 60일 거래대금 0.3억(기준 5억 미만)</t>
        </is>
      </c>
      <c r="O279" s="96" t="inlineStr">
        <is>
          <t>Bloomberg BlendedNVDIAand USLong Treasury Bond Index</t>
        </is>
      </c>
      <c r="P279" s="96" t="inlineStr">
        <is>
          <t>일반</t>
        </is>
      </c>
      <c r="Q279" s="96" t="inlineStr">
        <is>
          <t>멀티에셋</t>
        </is>
      </c>
      <c r="R279" s="96" t="inlineStr">
        <is>
          <t>월배당</t>
        </is>
      </c>
      <c r="S279" s="97" t="n">
        <v>11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IFERROR(INDEX($A$4:$A$580,MATCH(276,$X$4:$X$580,0)),"")</f>
        <v/>
      </c>
    </row>
    <row r="280">
      <c r="A280" s="96" t="inlineStr">
        <is>
          <t>KIWOOM 팔란티어미국30년국채혼합액티브(H)</t>
        </is>
      </c>
      <c r="B280" s="96" t="inlineStr">
        <is>
          <t>0015F0</t>
        </is>
      </c>
      <c r="C280" s="96" t="inlineStr">
        <is>
          <t>키움투자자산운용</t>
        </is>
      </c>
      <c r="D280" s="97" t="n">
        <v>10385</v>
      </c>
      <c r="E280" s="97" t="n">
        <v>12462000000</v>
      </c>
      <c r="F280" s="97" t="n">
        <v>88893518</v>
      </c>
      <c r="G280" s="98" t="n">
        <v>0.0019</v>
      </c>
      <c r="H280" s="98" t="n">
        <v>0.1563</v>
      </c>
      <c r="I280" s="98" t="n">
        <v>0.0019</v>
      </c>
      <c r="J280" s="98" t="n">
        <v>0.02311</v>
      </c>
      <c r="K280" s="97" t="n">
        <v>18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125억(기준 300억 미만), 60일 거래대금 0.9억(기준 5억 미만)</t>
        </is>
      </c>
      <c r="O280" s="96" t="inlineStr">
        <is>
          <t>Bloomberg Blended PALANTIR and USLong Treasury Bond Index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월배당</t>
        </is>
      </c>
      <c r="S280" s="97" t="n">
        <v>11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IFERROR(INDEX($A$4:$A$580,MATCH(277,$X$4:$X$580,0)),"")</f>
        <v/>
      </c>
    </row>
    <row r="281">
      <c r="A281" s="96" t="inlineStr">
        <is>
          <t>TIGER 현대차그룹플러스</t>
        </is>
      </c>
      <c r="B281" s="96" t="inlineStr">
        <is>
          <t>138540</t>
        </is>
      </c>
      <c r="C281" s="96" t="inlineStr">
        <is>
          <t>미래에셋자산운용</t>
        </is>
      </c>
      <c r="D281" s="97" t="n">
        <v>48560</v>
      </c>
      <c r="E281" s="97" t="n">
        <v>631280000000</v>
      </c>
      <c r="F281" s="97" t="n">
        <v>16014486018</v>
      </c>
      <c r="G281" s="98" t="n">
        <v>0.0015</v>
      </c>
      <c r="H281" s="98" t="n">
        <v>0.5296999999999999</v>
      </c>
      <c r="I281" s="98" t="n">
        <v>0.0148</v>
      </c>
      <c r="J281" s="98" t="n">
        <v>0.022446</v>
      </c>
      <c r="K281" s="97" t="n">
        <v>9</v>
      </c>
      <c r="L281" s="99" t="inlineStr">
        <is>
          <t>20260429</t>
        </is>
      </c>
      <c r="M281" s="96" t="inlineStr">
        <is>
          <t>제외</t>
        </is>
      </c>
      <c r="N281" s="96" t="inlineStr">
        <is>
          <t>변동성 53.0%(1년 기준, 기준 35% 초과)</t>
        </is>
      </c>
      <c r="O281" s="96" t="inlineStr">
        <is>
          <t>FnGuide 현대차그룹+ FW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반기배당</t>
        </is>
      </c>
      <c r="S281" s="97" t="n">
        <v>2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IFERROR(INDEX($A$4:$A$580,MATCH(278,$X$4:$X$580,0)),"")</f>
        <v/>
      </c>
    </row>
    <row r="282">
      <c r="A282" s="96" t="inlineStr">
        <is>
          <t>RISE 2차전지TOP10인버스(합성)</t>
        </is>
      </c>
      <c r="B282" s="96" t="inlineStr">
        <is>
          <t>465350</t>
        </is>
      </c>
      <c r="C282" s="96" t="inlineStr">
        <is>
          <t>KB자산운용</t>
        </is>
      </c>
      <c r="D282" s="97" t="n">
        <v>16215</v>
      </c>
      <c r="E282" s="97" t="n">
        <v>32430000000</v>
      </c>
      <c r="F282" s="97" t="n">
        <v>2101892740</v>
      </c>
      <c r="G282" s="98" t="n">
        <v>0.0049</v>
      </c>
      <c r="H282" s="98" t="n">
        <v>0.6308</v>
      </c>
      <c r="I282" s="98" t="n">
        <v>0.0143</v>
      </c>
      <c r="J282" s="98" t="n">
        <v>0.022202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변동성 63.1%(1년 기준, 기준 35% 초과)</t>
        </is>
      </c>
      <c r="O282" s="96" t="inlineStr">
        <is>
          <t>iSelect 2차전지 Top10 지수</t>
        </is>
      </c>
      <c r="P282" s="96" t="inlineStr">
        <is>
          <t>일반</t>
        </is>
      </c>
      <c r="Q282" s="96" t="inlineStr">
        <is>
          <t>주식</t>
        </is>
      </c>
      <c r="R282" s="96" t="inlineStr">
        <is>
          <t>연배당</t>
        </is>
      </c>
      <c r="S282" s="97" t="n">
        <v>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IFERROR(INDEX($A$4:$A$580,MATCH(279,$X$4:$X$580,0)),"")</f>
        <v/>
      </c>
    </row>
    <row r="283">
      <c r="A283" s="96" t="inlineStr">
        <is>
          <t>ACE 미국30년국채선물레버리지(합성 H)</t>
        </is>
      </c>
      <c r="B283" s="96" t="inlineStr">
        <is>
          <t>452250</t>
        </is>
      </c>
      <c r="C283" s="96" t="inlineStr">
        <is>
          <t>한국투신운용(ETF)</t>
        </is>
      </c>
      <c r="D283" s="97" t="n">
        <v>4575</v>
      </c>
      <c r="E283" s="97" t="n">
        <v>35456250000</v>
      </c>
      <c r="F283" s="97" t="n">
        <v>100956356</v>
      </c>
      <c r="G283" s="98" t="n">
        <v>0.0025</v>
      </c>
      <c r="H283" s="98" t="n">
        <v>0.1737</v>
      </c>
      <c r="I283" s="98" t="n">
        <v>0.0183</v>
      </c>
      <c r="J283" s="98" t="n">
        <v>0.022077</v>
      </c>
      <c r="K283" s="97" t="n">
        <v>1</v>
      </c>
      <c r="L283" s="99" t="inlineStr">
        <is>
          <t>20251229</t>
        </is>
      </c>
      <c r="M283" s="96" t="inlineStr">
        <is>
          <t>제외</t>
        </is>
      </c>
      <c r="N283" s="96" t="inlineStr">
        <is>
          <t>60일 거래대금 1.0억(기준 5억 미만)</t>
        </is>
      </c>
      <c r="O283" s="96" t="inlineStr">
        <is>
          <t>S&amp;P Ultra T-Bond Futures Excess Return Index</t>
        </is>
      </c>
      <c r="P283" s="96" t="inlineStr">
        <is>
          <t>일반</t>
        </is>
      </c>
      <c r="Q283" s="96" t="inlineStr">
        <is>
          <t>채권</t>
        </is>
      </c>
      <c r="R283" s="96" t="inlineStr">
        <is>
          <t>연배당</t>
        </is>
      </c>
      <c r="S283" s="97" t="n">
        <v>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IFERROR(INDEX($A$4:$A$580,MATCH(280,$X$4:$X$580,0)),"")</f>
        <v/>
      </c>
    </row>
    <row r="284">
      <c r="A284" s="96" t="inlineStr">
        <is>
          <t>KODEX 미국S&amp;P500변동성확대시커버드콜</t>
        </is>
      </c>
      <c r="B284" s="96" t="inlineStr">
        <is>
          <t>0089C0</t>
        </is>
      </c>
      <c r="C284" s="96" t="inlineStr">
        <is>
          <t>삼성자산운용(ETF)</t>
        </is>
      </c>
      <c r="D284" s="97" t="n">
        <v>11295</v>
      </c>
      <c r="E284" s="97" t="n">
        <v>42921000000</v>
      </c>
      <c r="F284" s="97" t="n">
        <v>368906756</v>
      </c>
      <c r="G284" s="98" t="n">
        <v>0.0039</v>
      </c>
      <c r="H284" s="98" t="n">
        <v>0.14</v>
      </c>
      <c r="I284" s="98" t="n">
        <v>0.0009</v>
      </c>
      <c r="J284" s="98" t="n">
        <v>0.022045</v>
      </c>
      <c r="K284" s="97" t="n">
        <v>12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60일 거래대금 3.7억(기준 5억 미만)</t>
        </is>
      </c>
      <c r="O284" s="96" t="inlineStr">
        <is>
          <t>Cboe S&amp;P 500 Volatility Contingent Daily Covered Call Index</t>
        </is>
      </c>
      <c r="P284" s="96" t="inlineStr">
        <is>
          <t>커버드콜</t>
        </is>
      </c>
      <c r="Q284" s="96" t="inlineStr">
        <is>
          <t>주식</t>
        </is>
      </c>
      <c r="R284" s="96" t="inlineStr">
        <is>
          <t>월배당</t>
        </is>
      </c>
      <c r="S284" s="97" t="n">
        <v>11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IFERROR(INDEX($A$4:$A$580,MATCH(281,$X$4:$X$580,0)),"")</f>
        <v/>
      </c>
    </row>
    <row r="285">
      <c r="A285" s="96" t="inlineStr">
        <is>
          <t>ACE 미국배당퀄리티채권혼합50</t>
        </is>
      </c>
      <c r="B285" s="96" t="inlineStr">
        <is>
          <t>0049K0</t>
        </is>
      </c>
      <c r="C285" s="96" t="inlineStr">
        <is>
          <t>한국투신운용(ETF)</t>
        </is>
      </c>
      <c r="D285" s="97" t="n">
        <v>11025</v>
      </c>
      <c r="E285" s="97" t="n">
        <v>27011250000</v>
      </c>
      <c r="F285" s="97" t="n">
        <v>183640063</v>
      </c>
      <c r="G285" s="98" t="n">
        <v>0.0015</v>
      </c>
      <c r="H285" s="98" t="n">
        <v>0.0668</v>
      </c>
      <c r="I285" s="98" t="n">
        <v>0.0018</v>
      </c>
      <c r="J285" s="98" t="n">
        <v>0.021859</v>
      </c>
      <c r="K285" s="97" t="n">
        <v>15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270억(기준 300억 미만), 60일 거래대금 1.8억(기준 5억 미만)</t>
        </is>
      </c>
      <c r="O285" s="96" t="inlineStr">
        <is>
          <t>Bloomberg WisdomTree U.S. Quality Dividend &amp; Short Term KRW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IFERROR(INDEX($A$4:$A$580,MATCH(282,$X$4:$X$580,0)),"")</f>
        <v/>
      </c>
    </row>
    <row r="286">
      <c r="A286" s="96" t="inlineStr">
        <is>
          <t>KODEX TRF5050</t>
        </is>
      </c>
      <c r="B286" s="96" t="inlineStr">
        <is>
          <t>329660</t>
        </is>
      </c>
      <c r="C286" s="96" t="inlineStr">
        <is>
          <t>삼성자산운용(ETF)</t>
        </is>
      </c>
      <c r="D286" s="97" t="n">
        <v>17665</v>
      </c>
      <c r="E286" s="97" t="n">
        <v>83025500000</v>
      </c>
      <c r="F286" s="97" t="n">
        <v>284833566</v>
      </c>
      <c r="G286" s="98" t="n">
        <v>0.0017</v>
      </c>
      <c r="H286" s="98" t="n">
        <v>0.0728</v>
      </c>
      <c r="I286" s="98" t="n">
        <v>0.0018</v>
      </c>
      <c r="J286" s="98" t="n">
        <v>0.021511</v>
      </c>
      <c r="K286" s="97" t="n">
        <v>14</v>
      </c>
      <c r="L286" s="99" t="inlineStr">
        <is>
          <t>20260914</t>
        </is>
      </c>
      <c r="M286" s="96" t="inlineStr">
        <is>
          <t>제외</t>
        </is>
      </c>
      <c r="N286" s="96" t="inlineStr">
        <is>
          <t>60일 거래대금 2.8억(기준 5억 미만)</t>
        </is>
      </c>
      <c r="O286" s="96" t="inlineStr">
        <is>
          <t>FnGuide TRF 5050 지수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12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IFERROR(INDEX($A$4:$A$580,MATCH(283,$X$4:$X$580,0)),"")</f>
        <v/>
      </c>
    </row>
    <row r="287">
      <c r="A287" s="96" t="inlineStr">
        <is>
          <t>ACE 테슬라밸류체인액티브</t>
        </is>
      </c>
      <c r="B287" s="96" t="inlineStr">
        <is>
          <t>457480</t>
        </is>
      </c>
      <c r="C287" s="96" t="inlineStr">
        <is>
          <t>한국투자신탁운용</t>
        </is>
      </c>
      <c r="D287" s="97" t="n">
        <v>18165</v>
      </c>
      <c r="E287" s="97" t="n">
        <v>752031000000</v>
      </c>
      <c r="F287" s="97" t="n">
        <v>11277157625</v>
      </c>
      <c r="G287" s="98" t="n">
        <v>0.0029</v>
      </c>
      <c r="H287" s="98" t="n">
        <v>0.385</v>
      </c>
      <c r="I287" s="98" t="n">
        <v>0.0157</v>
      </c>
      <c r="J287" s="98" t="n">
        <v>0.020094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38.5%(1년 기준, 기준 35% 초과)</t>
        </is>
      </c>
      <c r="O287" s="96" t="inlineStr">
        <is>
          <t>Bloomberg EV Supporters Plus Tesla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IFERROR(INDEX($A$4:$A$580,MATCH(284,$X$4:$X$580,0)),"")</f>
        <v/>
      </c>
    </row>
    <row r="288">
      <c r="A288" s="96" t="inlineStr">
        <is>
          <t>KoAct 코리아밸류업액티브</t>
        </is>
      </c>
      <c r="B288" s="96" t="inlineStr">
        <is>
          <t>495230</t>
        </is>
      </c>
      <c r="C288" s="96" t="inlineStr">
        <is>
          <t>삼성액티브자산(ETF)</t>
        </is>
      </c>
      <c r="D288" s="97" t="n">
        <v>30650</v>
      </c>
      <c r="E288" s="97" t="n">
        <v>242135000000</v>
      </c>
      <c r="F288" s="97" t="n">
        <v>3581747738</v>
      </c>
      <c r="G288" s="98" t="n">
        <v>0.005</v>
      </c>
      <c r="H288" s="98" t="n">
        <v>0.5506</v>
      </c>
      <c r="I288" s="98" t="n">
        <v>0.002</v>
      </c>
      <c r="J288" s="98" t="n">
        <v>0.019706</v>
      </c>
      <c r="K288" s="97" t="n">
        <v>21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변동성 55.1%(1년 기준, 기준 35% 초과)</t>
        </is>
      </c>
      <c r="O288" s="96" t="inlineStr">
        <is>
          <t>코리아 밸류업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IFERROR(INDEX($A$4:$A$580,MATCH(285,$X$4:$X$580,0)),"")</f>
        <v/>
      </c>
    </row>
    <row r="289">
      <c r="A289" s="96" t="inlineStr">
        <is>
          <t>KIWOOM 미국방어배당성장나스닥</t>
        </is>
      </c>
      <c r="B289" s="96" t="inlineStr">
        <is>
          <t>373790</t>
        </is>
      </c>
      <c r="C289" s="96" t="inlineStr">
        <is>
          <t>키움투자자산운용</t>
        </is>
      </c>
      <c r="D289" s="97" t="n">
        <v>15360</v>
      </c>
      <c r="E289" s="97" t="n">
        <v>4300800000</v>
      </c>
      <c r="F289" s="97" t="n">
        <v>11094861</v>
      </c>
      <c r="G289" s="98" t="n">
        <v>0.004</v>
      </c>
      <c r="H289" s="98" t="n">
        <v>0.1428</v>
      </c>
      <c r="I289" s="98" t="n">
        <v>0.0019</v>
      </c>
      <c r="J289" s="98" t="n">
        <v>0.019661</v>
      </c>
      <c r="K289" s="97" t="n">
        <v>33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순자산 43억(기준 300억 미만), 60일 거래대금 0.1억(기준 5억 미만)</t>
        </is>
      </c>
      <c r="O289" s="96" t="inlineStr">
        <is>
          <t>Nasdaq US Low Volatility Dividend Achievers Index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IFERROR(INDEX($A$4:$A$580,MATCH(286,$X$4:$X$580,0)),"")</f>
        <v/>
      </c>
    </row>
    <row r="290">
      <c r="A290" s="96" t="inlineStr">
        <is>
          <t>RISE 미국은행TOP10</t>
        </is>
      </c>
      <c r="B290" s="96" t="inlineStr">
        <is>
          <t>0013P0</t>
        </is>
      </c>
      <c r="C290" s="96" t="inlineStr">
        <is>
          <t>KB자산운용</t>
        </is>
      </c>
      <c r="D290" s="97" t="n">
        <v>12430</v>
      </c>
      <c r="E290" s="97" t="n">
        <v>13673000000</v>
      </c>
      <c r="F290" s="97" t="n">
        <v>298229285</v>
      </c>
      <c r="G290" s="98" t="n">
        <v>0.002</v>
      </c>
      <c r="H290" s="98" t="n">
        <v>0.2225</v>
      </c>
      <c r="I290" s="98" t="n">
        <v>0.0018</v>
      </c>
      <c r="J290" s="98" t="n">
        <v>0.019469</v>
      </c>
      <c r="K290" s="97" t="n">
        <v>17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137억(기준 300억 미만), 60일 거래대금 3.0억(기준 5억 미만)</t>
        </is>
      </c>
      <c r="O290" s="96" t="inlineStr">
        <is>
          <t>KEDI U.S. Bank TOP10 Index (Price Return)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월배당</t>
        </is>
      </c>
      <c r="S290" s="97" t="n">
        <v>11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IFERROR(INDEX($A$4:$A$580,MATCH(287,$X$4:$X$580,0)),"")</f>
        <v/>
      </c>
    </row>
    <row r="291">
      <c r="A291" s="96" t="inlineStr">
        <is>
          <t>RISE 고배당</t>
        </is>
      </c>
      <c r="B291" s="96" t="inlineStr">
        <is>
          <t>266160</t>
        </is>
      </c>
      <c r="C291" s="96" t="inlineStr">
        <is>
          <t>KB자산운용</t>
        </is>
      </c>
      <c r="D291" s="97" t="n">
        <v>32820</v>
      </c>
      <c r="E291" s="97" t="n">
        <v>208407000000</v>
      </c>
      <c r="F291" s="97" t="n">
        <v>1397770657</v>
      </c>
      <c r="G291" s="98" t="n">
        <v>0.002</v>
      </c>
      <c r="H291" s="98" t="n">
        <v>0.4803</v>
      </c>
      <c r="I291" s="98" t="n">
        <v>0.0028</v>
      </c>
      <c r="J291" s="98" t="n">
        <v>0.019043</v>
      </c>
      <c r="K291" s="97" t="n">
        <v>19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48.0%(1년 기준, 기준 35% 초과)</t>
        </is>
      </c>
      <c r="O291" s="96" t="inlineStr">
        <is>
          <t>FnGuide 고배당포커스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IFERROR(INDEX($A$4:$A$580,MATCH(288,$X$4:$X$580,0)),"")</f>
        <v/>
      </c>
    </row>
    <row r="292">
      <c r="A292" s="96" t="inlineStr">
        <is>
          <t>KODEX 철강</t>
        </is>
      </c>
      <c r="B292" s="96" t="inlineStr">
        <is>
          <t>117680</t>
        </is>
      </c>
      <c r="C292" s="96" t="inlineStr">
        <is>
          <t>삼성자산운용(ETF)</t>
        </is>
      </c>
      <c r="D292" s="97" t="n">
        <v>12705</v>
      </c>
      <c r="E292" s="97" t="n">
        <v>31127250000</v>
      </c>
      <c r="F292" s="97" t="n">
        <v>748513544</v>
      </c>
      <c r="G292" s="98" t="n">
        <v>0.004500000000000001</v>
      </c>
      <c r="H292" s="98" t="n">
        <v>0.4845</v>
      </c>
      <c r="I292" s="98" t="n">
        <v>0.0071</v>
      </c>
      <c r="J292" s="98" t="n">
        <v>0.01889</v>
      </c>
      <c r="K292" s="97" t="n">
        <v>8</v>
      </c>
      <c r="L292" s="99" t="inlineStr">
        <is>
          <t>20260730</t>
        </is>
      </c>
      <c r="M292" s="96" t="inlineStr">
        <is>
          <t>제외</t>
        </is>
      </c>
      <c r="N292" s="96" t="inlineStr">
        <is>
          <t>변동성 48.5%(1년 기준, 기준 35% 초과)</t>
        </is>
      </c>
      <c r="O292" s="96" t="inlineStr">
        <is>
          <t>KRX 철강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분기배당</t>
        </is>
      </c>
      <c r="S292" s="97" t="n">
        <v>4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IFERROR(INDEX($A$4:$A$580,MATCH(289,$X$4:$X$580,0)),"")</f>
        <v/>
      </c>
    </row>
    <row r="293">
      <c r="A293" s="96" t="inlineStr">
        <is>
          <t>KODEX TRF7030</t>
        </is>
      </c>
      <c r="B293" s="96" t="inlineStr">
        <is>
          <t>329670</t>
        </is>
      </c>
      <c r="C293" s="96" t="inlineStr">
        <is>
          <t>삼성자산운용(ETF)</t>
        </is>
      </c>
      <c r="D293" s="97" t="n">
        <v>21760</v>
      </c>
      <c r="E293" s="97" t="n">
        <v>87040000000</v>
      </c>
      <c r="F293" s="97" t="n">
        <v>348694273</v>
      </c>
      <c r="G293" s="98" t="n">
        <v>0.001</v>
      </c>
      <c r="H293" s="98" t="n">
        <v>0.1026</v>
      </c>
      <c r="I293" s="98" t="n">
        <v>0.0015</v>
      </c>
      <c r="J293" s="98" t="n">
        <v>0.01852</v>
      </c>
      <c r="K293" s="97" t="n">
        <v>14</v>
      </c>
      <c r="L293" s="99" t="inlineStr">
        <is>
          <t>20260914</t>
        </is>
      </c>
      <c r="M293" s="96" t="inlineStr">
        <is>
          <t>제외</t>
        </is>
      </c>
      <c r="N293" s="96" t="inlineStr">
        <is>
          <t>60일 거래대금 3.5억(기준 5억 미만)</t>
        </is>
      </c>
      <c r="O293" s="96" t="inlineStr">
        <is>
          <t>FnGuide TRF 7030 지수</t>
        </is>
      </c>
      <c r="P293" s="96" t="inlineStr">
        <is>
          <t>일반</t>
        </is>
      </c>
      <c r="Q293" s="96" t="inlineStr">
        <is>
          <t>멀티에셋</t>
        </is>
      </c>
      <c r="R293" s="96" t="inlineStr">
        <is>
          <t>월배당</t>
        </is>
      </c>
      <c r="S293" s="97" t="n">
        <v>12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IFERROR(INDEX($A$4:$A$580,MATCH(290,$X$4:$X$580,0)),"")</f>
        <v/>
      </c>
    </row>
    <row r="294">
      <c r="A294" s="96" t="inlineStr">
        <is>
          <t>RISE 글로벌주식분산액티브</t>
        </is>
      </c>
      <c r="B294" s="96" t="inlineStr">
        <is>
          <t>459750</t>
        </is>
      </c>
      <c r="C294" s="96" t="inlineStr">
        <is>
          <t>KB자산운용</t>
        </is>
      </c>
      <c r="D294" s="97" t="n">
        <v>17550</v>
      </c>
      <c r="E294" s="97" t="n">
        <v>30712500000</v>
      </c>
      <c r="F294" s="97" t="n">
        <v>170213412</v>
      </c>
      <c r="G294" s="98" t="n">
        <v>0.002</v>
      </c>
      <c r="H294" s="98" t="n">
        <v>0.142</v>
      </c>
      <c r="I294" s="98" t="n">
        <v>0.005</v>
      </c>
      <c r="J294" s="98" t="n">
        <v>0.018291</v>
      </c>
      <c r="K294" s="97" t="n">
        <v>2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1.7억(기준 5억 미만)</t>
        </is>
      </c>
      <c r="O294" s="96" t="inlineStr">
        <is>
          <t>Bloomberg Global Equity Market Weighted Price Return Index</t>
        </is>
      </c>
      <c r="P294" s="96" t="inlineStr">
        <is>
          <t>일반</t>
        </is>
      </c>
      <c r="Q294" s="96" t="inlineStr">
        <is>
          <t>주식</t>
        </is>
      </c>
      <c r="R294" s="96" t="inlineStr">
        <is>
          <t>반기배당</t>
        </is>
      </c>
      <c r="S294" s="97" t="n">
        <v>2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IFERROR(INDEX($A$4:$A$580,MATCH(291,$X$4:$X$580,0)),"")</f>
        <v/>
      </c>
    </row>
    <row r="295">
      <c r="A295" s="96" t="inlineStr">
        <is>
          <t>RISE 단기채권알파액티브</t>
        </is>
      </c>
      <c r="B295" s="96" t="inlineStr">
        <is>
          <t>385550</t>
        </is>
      </c>
      <c r="C295" s="96" t="inlineStr">
        <is>
          <t>KB자산운용</t>
        </is>
      </c>
      <c r="D295" s="97" t="n">
        <v>114265</v>
      </c>
      <c r="E295" s="97" t="n">
        <v>373303755000</v>
      </c>
      <c r="F295" s="97" t="n">
        <v>411012004</v>
      </c>
      <c r="G295" s="98" t="n">
        <v>0.0005</v>
      </c>
      <c r="H295" s="98" t="n">
        <v>0.0185</v>
      </c>
      <c r="I295" s="98" t="n">
        <v>0.018</v>
      </c>
      <c r="J295" s="98" t="n">
        <v>0.017958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4.1억(기준 5억 미만)</t>
        </is>
      </c>
      <c r="O295" s="96" t="inlineStr">
        <is>
          <t>KIS 단기종합채권 지수(AA-이상)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IFERROR(INDEX($A$4:$A$580,MATCH(292,$X$4:$X$580,0)),"")</f>
        <v/>
      </c>
    </row>
    <row r="296">
      <c r="A296" s="96" t="inlineStr">
        <is>
          <t>KODEX 26-12 회사채(AA-이상)액티브</t>
        </is>
      </c>
      <c r="B296" s="96" t="inlineStr">
        <is>
          <t>473290</t>
        </is>
      </c>
      <c r="C296" s="96" t="inlineStr">
        <is>
          <t>삼성자산운용(ETF)</t>
        </is>
      </c>
      <c r="D296" s="97" t="n">
        <v>10890</v>
      </c>
      <c r="E296" s="97" t="n">
        <v>392584500000</v>
      </c>
      <c r="F296" s="97" t="n">
        <v>489384967</v>
      </c>
      <c r="G296" s="98" t="n">
        <v>0.0009</v>
      </c>
      <c r="H296" s="98" t="n">
        <v>0.0185</v>
      </c>
      <c r="I296" s="98" t="n">
        <v>0.0179</v>
      </c>
      <c r="J296" s="98" t="n">
        <v>0.017906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4.9억(기준 5억 미만)</t>
        </is>
      </c>
      <c r="O296" s="96" t="inlineStr">
        <is>
          <t>KAP 26-12 회사채 총수익 지수(AA- 이상)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IFERROR(INDEX($A$4:$A$580,MATCH(293,$X$4:$X$580,0)),"")</f>
        <v/>
      </c>
    </row>
    <row r="297">
      <c r="A297" s="96" t="inlineStr">
        <is>
          <t>TIGER 우선주</t>
        </is>
      </c>
      <c r="B297" s="96" t="inlineStr">
        <is>
          <t>261140</t>
        </is>
      </c>
      <c r="C297" s="96" t="inlineStr">
        <is>
          <t>미래에셋자산운용</t>
        </is>
      </c>
      <c r="D297" s="97" t="n">
        <v>23875</v>
      </c>
      <c r="E297" s="97" t="n">
        <v>30560000000</v>
      </c>
      <c r="F297" s="97" t="n">
        <v>431936741</v>
      </c>
      <c r="G297" s="98" t="n">
        <v>0.0029</v>
      </c>
      <c r="H297" s="98" t="n">
        <v>0.4787</v>
      </c>
      <c r="I297" s="98" t="n">
        <v>0.0024</v>
      </c>
      <c r="J297" s="98" t="n">
        <v>0.017801</v>
      </c>
      <c r="K297" s="97" t="n">
        <v>16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4.3억(기준 5억 미만), 변동성 47.9%(1년 기준, 기준 35% 초과)</t>
        </is>
      </c>
      <c r="O297" s="96" t="inlineStr">
        <is>
          <t>코스피 우선주 지수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분기배당</t>
        </is>
      </c>
      <c r="S297" s="97" t="n">
        <v>3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IFERROR(INDEX($A$4:$A$580,MATCH(294,$X$4:$X$580,0)),"")</f>
        <v/>
      </c>
    </row>
    <row r="298">
      <c r="A298" s="96" t="inlineStr">
        <is>
          <t>KODEX TDF2030액티브 적격</t>
        </is>
      </c>
      <c r="B298" s="96" t="inlineStr">
        <is>
          <t>433970</t>
        </is>
      </c>
      <c r="C298" s="96" t="inlineStr">
        <is>
          <t>삼성자산운용(ETF)</t>
        </is>
      </c>
      <c r="D298" s="97" t="n">
        <v>13820</v>
      </c>
      <c r="E298" s="97" t="n">
        <v>93976000000</v>
      </c>
      <c r="F298" s="97" t="n">
        <v>380093504</v>
      </c>
      <c r="G298" s="98" t="n">
        <v>0.002</v>
      </c>
      <c r="H298" s="98" t="n">
        <v>0.0759</v>
      </c>
      <c r="I298" s="98" t="n">
        <v>0.004699999999999999</v>
      </c>
      <c r="J298" s="98" t="n">
        <v>0.0178</v>
      </c>
      <c r="K298" s="97" t="n">
        <v>11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60일 거래대금 3.8억(기준 5억 미만)</t>
        </is>
      </c>
      <c r="O298" s="96" t="inlineStr">
        <is>
          <t>Samsung Korea Target Date 2030 Index</t>
        </is>
      </c>
      <c r="P298" s="96" t="inlineStr">
        <is>
          <t>일반</t>
        </is>
      </c>
      <c r="Q298" s="96" t="inlineStr">
        <is>
          <t>멀티에셋</t>
        </is>
      </c>
      <c r="R298" s="96" t="inlineStr">
        <is>
          <t>분기배당</t>
        </is>
      </c>
      <c r="S298" s="97" t="n">
        <v>4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IFERROR(INDEX($A$4:$A$580,MATCH(295,$X$4:$X$580,0)),"")</f>
        <v/>
      </c>
    </row>
    <row r="299">
      <c r="A299" s="96" t="inlineStr">
        <is>
          <t>KODEX 장기종합채권(AA-이상)액티브</t>
        </is>
      </c>
      <c r="B299" s="96" t="inlineStr">
        <is>
          <t>363570</t>
        </is>
      </c>
      <c r="C299" s="96" t="inlineStr">
        <is>
          <t>삼성자산운용(ETF)</t>
        </is>
      </c>
      <c r="D299" s="97" t="n">
        <v>85910</v>
      </c>
      <c r="E299" s="97" t="n">
        <v>233073830000</v>
      </c>
      <c r="F299" s="97" t="n">
        <v>161092983</v>
      </c>
      <c r="G299" s="98" t="n">
        <v>0.00045</v>
      </c>
      <c r="H299" s="98" t="n">
        <v>0.08220000000000001</v>
      </c>
      <c r="I299" s="98" t="n">
        <v>0.0151</v>
      </c>
      <c r="J299" s="98" t="n">
        <v>0.017099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1.6억(기준 5억 미만)</t>
        </is>
      </c>
      <c r="O299" s="96" t="inlineStr">
        <is>
          <t>KAP 한국장기종합채권지수(AA- 이상,총수익)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IFERROR(INDEX($A$4:$A$580,MATCH(296,$X$4:$X$580,0)),"")</f>
        <v/>
      </c>
    </row>
    <row r="300">
      <c r="A300" s="96" t="inlineStr">
        <is>
          <t>KODEX ESG종합채권(A-이상)액티브</t>
        </is>
      </c>
      <c r="B300" s="96" t="inlineStr">
        <is>
          <t>439860</t>
        </is>
      </c>
      <c r="C300" s="96" t="inlineStr">
        <is>
          <t>삼성자산운용(ETF)</t>
        </is>
      </c>
      <c r="D300" s="97" t="n">
        <v>113380</v>
      </c>
      <c r="E300" s="97" t="n">
        <v>370072320000</v>
      </c>
      <c r="F300" s="97" t="n">
        <v>60205790</v>
      </c>
      <c r="G300" s="98" t="n">
        <v>0.0007000000000000001</v>
      </c>
      <c r="H300" s="98" t="n">
        <v>0.0248</v>
      </c>
      <c r="I300" s="98" t="n">
        <v>0.0168</v>
      </c>
      <c r="J300" s="98" t="n">
        <v>0.017075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0.6억(기준 5억 미만)</t>
        </is>
      </c>
      <c r="O300" s="96" t="inlineStr">
        <is>
          <t>KAP ESG 종합채권지수(A- 이상, 총수익)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 s="98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IFERROR(INDEX($A$4:$A$580,MATCH(297,$X$4:$X$580,0)),"")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23300</v>
      </c>
      <c r="E301" s="97" t="n">
        <v>184070000000</v>
      </c>
      <c r="F301" s="97" t="n">
        <v>15562042016</v>
      </c>
      <c r="G301" s="98" t="n">
        <v>0.004500000000000001</v>
      </c>
      <c r="H301" s="98" t="n">
        <v>0.578</v>
      </c>
      <c r="I301" s="98" t="n">
        <v>0.0155</v>
      </c>
      <c r="J301" s="98" t="n">
        <v>0.016824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IFERROR(INDEX($A$4:$A$580,MATCH(298,$X$4:$X$580,0)),"")</f>
        <v/>
      </c>
    </row>
    <row r="302">
      <c r="A302" s="96" t="inlineStr">
        <is>
          <t>KODEX 보험</t>
        </is>
      </c>
      <c r="B302" s="96" t="inlineStr">
        <is>
          <t>140700</t>
        </is>
      </c>
      <c r="C302" s="96" t="inlineStr">
        <is>
          <t>삼성자산운용(ETF)</t>
        </is>
      </c>
      <c r="D302" s="97" t="n">
        <v>21195</v>
      </c>
      <c r="E302" s="97" t="n">
        <v>63585000000</v>
      </c>
      <c r="F302" s="97" t="n">
        <v>2929937941</v>
      </c>
      <c r="G302" s="98" t="n">
        <v>0.004500000000000001</v>
      </c>
      <c r="H302" s="98" t="n">
        <v>0.4093</v>
      </c>
      <c r="I302" s="98" t="n">
        <v>0.0014</v>
      </c>
      <c r="J302" s="98" t="n">
        <v>0.016608</v>
      </c>
      <c r="K302" s="97" t="n">
        <v>6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40.9%(1년 기준, 기준 35% 초과)</t>
        </is>
      </c>
      <c r="O302" s="96" t="inlineStr">
        <is>
          <t>KRX 보험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연배당</t>
        </is>
      </c>
      <c r="S302" s="97" t="n">
        <v>2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IFERROR(INDEX($A$4:$A$580,MATCH(299,$X$4:$X$580,0)),"")</f>
        <v/>
      </c>
    </row>
    <row r="303">
      <c r="A303" s="96" t="inlineStr">
        <is>
          <t>TIGER 글로벌비만치료제TOP2Plus</t>
        </is>
      </c>
      <c r="B303" s="96" t="inlineStr">
        <is>
          <t>476690</t>
        </is>
      </c>
      <c r="C303" s="96" t="inlineStr">
        <is>
          <t>미래에셋자산운용</t>
        </is>
      </c>
      <c r="D303" s="97" t="n">
        <v>10180</v>
      </c>
      <c r="E303" s="97" t="n">
        <v>30540000000</v>
      </c>
      <c r="F303" s="97" t="n">
        <v>221975133</v>
      </c>
      <c r="G303" s="98" t="n">
        <v>0.004500000000000001</v>
      </c>
      <c r="H303" s="98" t="n">
        <v>0.2428</v>
      </c>
      <c r="I303" s="98" t="n">
        <v>0.001</v>
      </c>
      <c r="J303" s="98" t="n">
        <v>0.01611</v>
      </c>
      <c r="K303" s="97" t="n">
        <v>30</v>
      </c>
      <c r="L303" s="99" t="inlineStr">
        <is>
          <t>20260828</t>
        </is>
      </c>
      <c r="M303" s="96" t="inlineStr">
        <is>
          <t>제외</t>
        </is>
      </c>
      <c r="N303" s="96" t="inlineStr">
        <is>
          <t>60일 거래대금 2.2억(기준 5억 미만)</t>
        </is>
      </c>
      <c r="O303" s="96" t="inlineStr">
        <is>
          <t>Indxx Global Obesity Treatment Top 2 Plus Index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월배당</t>
        </is>
      </c>
      <c r="S303" s="97" t="n">
        <v>11</v>
      </c>
      <c r="T303" s="98" t="n">
        <v>1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IFERROR(INDEX($A$4:$A$580,MATCH(300,$X$4:$X$580,0)),"")</f>
        <v/>
      </c>
    </row>
    <row r="304">
      <c r="A304" s="96" t="inlineStr">
        <is>
          <t>TIGER 중국소비테마</t>
        </is>
      </c>
      <c r="B304" s="96" t="inlineStr">
        <is>
          <t>150460</t>
        </is>
      </c>
      <c r="C304" s="96" t="inlineStr">
        <is>
          <t>미래에셋자산운용</t>
        </is>
      </c>
      <c r="D304" s="97" t="n">
        <v>7440</v>
      </c>
      <c r="E304" s="97" t="n">
        <v>54907200000</v>
      </c>
      <c r="F304" s="97" t="n">
        <v>214158155</v>
      </c>
      <c r="G304" s="98" t="n">
        <v>0.005</v>
      </c>
      <c r="H304" s="98" t="n">
        <v>0.3001</v>
      </c>
      <c r="I304" s="98" t="n">
        <v>0.0121</v>
      </c>
      <c r="J304" s="98" t="n">
        <v>0.015457</v>
      </c>
      <c r="K304" s="97" t="n">
        <v>7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60일 거래대금 2.1억(기준 5억 미만)</t>
        </is>
      </c>
      <c r="O304" s="96" t="inlineStr">
        <is>
          <t>FnGuide 중국내수테마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반기배당</t>
        </is>
      </c>
      <c r="S304" s="97" t="n">
        <v>2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IFERROR(INDEX($A$4:$A$580,MATCH(301,$X$4:$X$580,0)),"")</f>
        <v/>
      </c>
    </row>
    <row r="305">
      <c r="A305" s="96" t="inlineStr">
        <is>
          <t>KODEX 27-12 회사채(AA-이상)액티브</t>
        </is>
      </c>
      <c r="B305" s="96" t="inlineStr">
        <is>
          <t>0007F0</t>
        </is>
      </c>
      <c r="C305" s="96" t="inlineStr">
        <is>
          <t>삼성자산운용(ETF)</t>
        </is>
      </c>
      <c r="D305" s="97" t="n">
        <v>10180</v>
      </c>
      <c r="E305" s="97" t="n">
        <v>649484000000</v>
      </c>
      <c r="F305" s="97" t="n">
        <v>380325155</v>
      </c>
      <c r="G305" s="98" t="n">
        <v>0.0009</v>
      </c>
      <c r="H305" s="98" t="n">
        <v>0.0188</v>
      </c>
      <c r="I305" s="98" t="n">
        <v>0.0154</v>
      </c>
      <c r="J305" s="98" t="n">
        <v>0.015422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3.8억(기준 5억 미만)</t>
        </is>
      </c>
      <c r="O305" s="96" t="inlineStr">
        <is>
          <t>KAP 27-12 회사채 총수익 지수(AA-이상)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IFERROR(INDEX($A$4:$A$580,MATCH(302,$X$4:$X$580,0)),"")</f>
        <v/>
      </c>
    </row>
    <row r="306">
      <c r="A306" s="96" t="inlineStr">
        <is>
          <t>ACE 11월만기자동연장회사채AA-이상액티브</t>
        </is>
      </c>
      <c r="B306" s="96" t="inlineStr">
        <is>
          <t>473440</t>
        </is>
      </c>
      <c r="C306" s="96" t="inlineStr">
        <is>
          <t>한국투신운용(ETF)</t>
        </is>
      </c>
      <c r="D306" s="97" t="n">
        <v>10850</v>
      </c>
      <c r="E306" s="97" t="n">
        <v>94395000000</v>
      </c>
      <c r="F306" s="97" t="n">
        <v>29464531</v>
      </c>
      <c r="G306" s="98" t="n">
        <v>0.0005</v>
      </c>
      <c r="H306" s="98" t="n">
        <v>0.0158</v>
      </c>
      <c r="I306" s="98" t="n">
        <v>0.0155</v>
      </c>
      <c r="J306" s="98" t="n">
        <v>0.015392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 11월 만기자동연장회사채 (AA-이상) 총수익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IFERROR(INDEX($A$4:$A$580,MATCH(303,$X$4:$X$580,0)),"")</f>
        <v/>
      </c>
    </row>
    <row r="307">
      <c r="A307" s="96" t="inlineStr">
        <is>
          <t>KODEX 일본TOPIX100</t>
        </is>
      </c>
      <c r="B307" s="96" t="inlineStr">
        <is>
          <t>101280</t>
        </is>
      </c>
      <c r="C307" s="96" t="inlineStr">
        <is>
          <t>삼성자산운용(ETF)</t>
        </is>
      </c>
      <c r="D307" s="97" t="n">
        <v>30950</v>
      </c>
      <c r="E307" s="97" t="n">
        <v>53234000000</v>
      </c>
      <c r="F307" s="97" t="n">
        <v>363104671</v>
      </c>
      <c r="G307" s="98" t="n">
        <v>0.0019</v>
      </c>
      <c r="H307" s="98" t="n">
        <v>0.2476</v>
      </c>
      <c r="I307" s="98" t="n">
        <v>0.0017</v>
      </c>
      <c r="J307" s="98" t="n">
        <v>0.015347</v>
      </c>
      <c r="K307" s="97" t="n">
        <v>10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60일 거래대금 3.6억(기준 5억 미만)</t>
        </is>
      </c>
      <c r="O307" s="96" t="inlineStr">
        <is>
          <t>TOPIX 100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4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IFERROR(INDEX($A$4:$A$580,MATCH(304,$X$4:$X$580,0)),"")</f>
        <v/>
      </c>
    </row>
    <row r="308">
      <c r="A308" s="96" t="inlineStr">
        <is>
          <t>TIGER 미국캐시카우100</t>
        </is>
      </c>
      <c r="B308" s="96" t="inlineStr">
        <is>
          <t>465670</t>
        </is>
      </c>
      <c r="C308" s="96" t="inlineStr">
        <is>
          <t>미래에셋자산운용</t>
        </is>
      </c>
      <c r="D308" s="97" t="n">
        <v>16695</v>
      </c>
      <c r="E308" s="97" t="n">
        <v>22538250000</v>
      </c>
      <c r="F308" s="97" t="n">
        <v>315844814</v>
      </c>
      <c r="G308" s="98" t="n">
        <v>0.0025</v>
      </c>
      <c r="H308" s="98" t="n">
        <v>0.172</v>
      </c>
      <c r="I308" s="98" t="n">
        <v>0.001</v>
      </c>
      <c r="J308" s="98" t="n">
        <v>0.014855</v>
      </c>
      <c r="K308" s="97" t="n">
        <v>35</v>
      </c>
      <c r="L308" s="99" t="inlineStr">
        <is>
          <t>20260828</t>
        </is>
      </c>
      <c r="M308" s="96" t="inlineStr">
        <is>
          <t>제외</t>
        </is>
      </c>
      <c r="N308" s="96" t="inlineStr">
        <is>
          <t>순자산 225억(기준 300억 미만), 60일 거래대금 3.2억(기준 5억 미만)</t>
        </is>
      </c>
      <c r="O308" s="96" t="inlineStr">
        <is>
          <t>Global X U.S. Cash Flow Kings 100 Index PR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월배당</t>
        </is>
      </c>
      <c r="S308" s="97" t="n">
        <v>11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IFERROR(INDEX($A$4:$A$580,MATCH(305,$X$4:$X$580,0)),"")</f>
        <v/>
      </c>
    </row>
    <row r="309">
      <c r="A309" s="96" t="inlineStr">
        <is>
          <t>RISE 코스피</t>
        </is>
      </c>
      <c r="B309" s="96" t="inlineStr">
        <is>
          <t>302450</t>
        </is>
      </c>
      <c r="C309" s="96" t="inlineStr">
        <is>
          <t>KB자산운용</t>
        </is>
      </c>
      <c r="D309" s="97" t="n">
        <v>69410</v>
      </c>
      <c r="E309" s="97" t="n">
        <v>388696000000</v>
      </c>
      <c r="F309" s="97" t="n">
        <v>4596118633</v>
      </c>
      <c r="G309" s="98" t="n">
        <v>0.0002</v>
      </c>
      <c r="H309" s="98" t="n">
        <v>0.539</v>
      </c>
      <c r="I309" s="98" t="n">
        <v>0.001</v>
      </c>
      <c r="J309" s="98" t="n">
        <v>0.014811</v>
      </c>
      <c r="K309" s="97" t="n">
        <v>11</v>
      </c>
      <c r="L309" s="99" t="inlineStr">
        <is>
          <t>20260730</t>
        </is>
      </c>
      <c r="M309" s="96" t="inlineStr">
        <is>
          <t>제외</t>
        </is>
      </c>
      <c r="N309" s="96" t="inlineStr">
        <is>
          <t>변동성 53.9%(1년 기준, 기준 35% 초과)</t>
        </is>
      </c>
      <c r="O309" s="96" t="inlineStr">
        <is>
          <t>코스피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분기배당</t>
        </is>
      </c>
      <c r="S309" s="97" t="n">
        <v>4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IFERROR(INDEX($A$4:$A$580,MATCH(306,$X$4:$X$580,0)),"")</f>
        <v/>
      </c>
    </row>
    <row r="310">
      <c r="A310" s="96" t="inlineStr">
        <is>
          <t>1Q 현대차그룹채권(A+이상)&amp;국고통안</t>
        </is>
      </c>
      <c r="B310" s="96" t="inlineStr">
        <is>
          <t>492500</t>
        </is>
      </c>
      <c r="C310" s="96" t="inlineStr">
        <is>
          <t>하나자산운용</t>
        </is>
      </c>
      <c r="D310" s="97" t="n">
        <v>51330</v>
      </c>
      <c r="E310" s="97" t="n">
        <v>67858260000</v>
      </c>
      <c r="F310" s="97" t="n">
        <v>31359745</v>
      </c>
      <c r="G310" s="98" t="n">
        <v>0.001</v>
      </c>
      <c r="H310" s="98" t="n">
        <v>0.0179</v>
      </c>
      <c r="I310" s="98" t="n">
        <v>0.0146</v>
      </c>
      <c r="J310" s="98" t="n">
        <v>0.014748</v>
      </c>
      <c r="K310" s="97" t="n">
        <v>1</v>
      </c>
      <c r="L310" s="99" t="inlineStr">
        <is>
          <t>20251229</t>
        </is>
      </c>
      <c r="M310" s="96" t="inlineStr">
        <is>
          <t>제외</t>
        </is>
      </c>
      <c r="N310" s="96" t="inlineStr">
        <is>
          <t>60일 거래대금 0.3억(기준 5억 미만)</t>
        </is>
      </c>
      <c r="O310" s="96" t="inlineStr">
        <is>
          <t>KIS-하나 현대자동차그룹 채권(A+이상)&amp;국고통안 총수익지수</t>
        </is>
      </c>
      <c r="P310" s="96" t="inlineStr">
        <is>
          <t>일반</t>
        </is>
      </c>
      <c r="Q310" s="96" t="inlineStr">
        <is>
          <t>채권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IFERROR(INDEX($A$4:$A$580,MATCH(307,$X$4:$X$580,0)),"")</f>
        <v/>
      </c>
    </row>
    <row r="311">
      <c r="A311" s="96" t="inlineStr">
        <is>
          <t>ACE 단기채권알파액티브</t>
        </is>
      </c>
      <c r="B311" s="96" t="inlineStr">
        <is>
          <t>440640</t>
        </is>
      </c>
      <c r="C311" s="96" t="inlineStr">
        <is>
          <t>한국투신운용(ETF)</t>
        </is>
      </c>
      <c r="D311" s="97" t="n">
        <v>112800</v>
      </c>
      <c r="E311" s="97" t="n">
        <v>59558400000</v>
      </c>
      <c r="F311" s="97" t="n">
        <v>300230783</v>
      </c>
      <c r="G311" s="98" t="n">
        <v>0.0015</v>
      </c>
      <c r="H311" s="98" t="n">
        <v>0.015</v>
      </c>
      <c r="I311" s="98" t="n">
        <v>0.0146</v>
      </c>
      <c r="J311" s="98" t="n">
        <v>0.014495</v>
      </c>
      <c r="K311" s="97" t="n">
        <v>1</v>
      </c>
      <c r="L311" s="99" t="inlineStr">
        <is>
          <t>20251127</t>
        </is>
      </c>
      <c r="M311" s="96" t="inlineStr">
        <is>
          <t>제외</t>
        </is>
      </c>
      <c r="N311" s="96" t="inlineStr">
        <is>
          <t>60일 거래대금 3.0억(기준 5억 미만)</t>
        </is>
      </c>
      <c r="O311" s="96" t="inlineStr">
        <is>
          <t>KIS 단기채권알파 AA-이상 지수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IFERROR(INDEX($A$4:$A$580,MATCH(308,$X$4:$X$580,0)),"")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12220</v>
      </c>
      <c r="E312" s="97" t="n">
        <v>39104000000</v>
      </c>
      <c r="F312" s="97" t="n">
        <v>154213112</v>
      </c>
      <c r="G312" s="98" t="n">
        <v>0.004</v>
      </c>
      <c r="H312" s="98" t="n">
        <v>0.2783</v>
      </c>
      <c r="I312" s="98" t="n">
        <v>0.001</v>
      </c>
      <c r="J312" s="98" t="n">
        <v>0.014484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3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IFERROR(INDEX($A$4:$A$580,MATCH(309,$X$4:$X$580,0)),"")</f>
        <v/>
      </c>
    </row>
    <row r="313">
      <c r="A313" s="96" t="inlineStr">
        <is>
          <t>HANARO e커머스</t>
        </is>
      </c>
      <c r="B313" s="96" t="inlineStr">
        <is>
          <t>322400</t>
        </is>
      </c>
      <c r="C313" s="96" t="inlineStr">
        <is>
          <t>NH-Amundi자산운용</t>
        </is>
      </c>
      <c r="D313" s="97" t="n">
        <v>9735</v>
      </c>
      <c r="E313" s="97" t="n">
        <v>32125500000</v>
      </c>
      <c r="F313" s="97" t="n">
        <v>54947891</v>
      </c>
      <c r="G313" s="98" t="n">
        <v>0.004500000000000001</v>
      </c>
      <c r="H313" s="98" t="n">
        <v>0.3502</v>
      </c>
      <c r="I313" s="98" t="n">
        <v>0.0114</v>
      </c>
      <c r="J313" s="98" t="n">
        <v>0.014381</v>
      </c>
      <c r="K313" s="97" t="n">
        <v>6</v>
      </c>
      <c r="L313" s="99" t="inlineStr">
        <is>
          <t>20260429</t>
        </is>
      </c>
      <c r="M313" s="96" t="inlineStr">
        <is>
          <t>제외</t>
        </is>
      </c>
      <c r="N313" s="96" t="inlineStr">
        <is>
          <t>60일 거래대금 0.5억(기준 5억 미만), 변동성 35.0%(1년 기준, 기준 35% 초과)</t>
        </is>
      </c>
      <c r="O313" s="96" t="inlineStr">
        <is>
          <t>FnGuide E커머스 지수</t>
        </is>
      </c>
      <c r="P313" s="96" t="inlineStr">
        <is>
          <t>일반</t>
        </is>
      </c>
      <c r="Q313" s="96" t="inlineStr">
        <is>
          <t>주식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IFERROR(INDEX($A$4:$A$580,MATCH(310,$X$4:$X$580,0)),"")</f>
        <v/>
      </c>
    </row>
    <row r="314">
      <c r="A314" s="96" t="inlineStr">
        <is>
          <t>ACE 미국배당퀄리티</t>
        </is>
      </c>
      <c r="B314" s="96" t="inlineStr">
        <is>
          <t>0046Y0</t>
        </is>
      </c>
      <c r="C314" s="96" t="inlineStr">
        <is>
          <t>한국투신운용(ETF)</t>
        </is>
      </c>
      <c r="D314" s="97" t="n">
        <v>12380</v>
      </c>
      <c r="E314" s="97" t="n">
        <v>53234000000</v>
      </c>
      <c r="F314" s="97" t="n">
        <v>188909544</v>
      </c>
      <c r="G314" s="98" t="n">
        <v>0.0015</v>
      </c>
      <c r="H314" s="98" t="n">
        <v>0.1295</v>
      </c>
      <c r="I314" s="98" t="n">
        <v>0.001</v>
      </c>
      <c r="J314" s="98" t="n">
        <v>0.014136</v>
      </c>
      <c r="K314" s="97" t="n">
        <v>15</v>
      </c>
      <c r="L314" s="99" t="inlineStr">
        <is>
          <t>20260828</t>
        </is>
      </c>
      <c r="M314" s="96" t="inlineStr">
        <is>
          <t>제외</t>
        </is>
      </c>
      <c r="N314" s="96" t="inlineStr">
        <is>
          <t>60일 거래대금 1.9억(기준 5억 미만)</t>
        </is>
      </c>
      <c r="O314" s="96" t="inlineStr">
        <is>
          <t>Wisdom Tree U.S. Quality Dividend Growth Index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월배당</t>
        </is>
      </c>
      <c r="S314" s="97" t="n">
        <v>11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IFERROR(INDEX($A$4:$A$580,MATCH(311,$X$4:$X$580,0)),"")</f>
        <v/>
      </c>
    </row>
    <row r="315">
      <c r="A315" s="96" t="inlineStr">
        <is>
          <t>WON 대한민국국고채액티브</t>
        </is>
      </c>
      <c r="B315" s="96" t="inlineStr">
        <is>
          <t>426150</t>
        </is>
      </c>
      <c r="C315" s="96" t="inlineStr">
        <is>
          <t>우리자산운용</t>
        </is>
      </c>
      <c r="D315" s="97" t="n">
        <v>50805</v>
      </c>
      <c r="E315" s="97" t="n">
        <v>30584610000</v>
      </c>
      <c r="F315" s="97" t="n">
        <v>27340757</v>
      </c>
      <c r="G315" s="98" t="n">
        <v>0.0007000000000000001</v>
      </c>
      <c r="H315" s="98" t="n">
        <v>0.0687</v>
      </c>
      <c r="I315" s="98" t="n">
        <v>0.0128</v>
      </c>
      <c r="J315" s="98" t="n">
        <v>0.014113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0.3억(기준 5억 미만)</t>
        </is>
      </c>
      <c r="O315" s="96" t="inlineStr">
        <is>
          <t>KAP 한국 국고채 총수익 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IFERROR(INDEX($A$4:$A$580,MATCH(312,$X$4:$X$580,0)),"")</f>
        <v/>
      </c>
    </row>
    <row r="316">
      <c r="A316" s="96" t="inlineStr">
        <is>
          <t>KODEX 미국10년국채선물</t>
        </is>
      </c>
      <c r="B316" s="96" t="inlineStr">
        <is>
          <t>308620</t>
        </is>
      </c>
      <c r="C316" s="96" t="inlineStr">
        <is>
          <t>삼성자산운용(ETF)</t>
        </is>
      </c>
      <c r="D316" s="97" t="n">
        <v>11350</v>
      </c>
      <c r="E316" s="97" t="n">
        <v>94205000000</v>
      </c>
      <c r="F316" s="97" t="n">
        <v>439487989</v>
      </c>
      <c r="G316" s="98" t="n">
        <v>0.0009</v>
      </c>
      <c r="H316" s="98" t="n">
        <v>0.1067</v>
      </c>
      <c r="I316" s="98" t="n">
        <v>0.0129</v>
      </c>
      <c r="J316" s="98" t="n">
        <v>0.014097</v>
      </c>
      <c r="K316" s="97" t="n">
        <v>1</v>
      </c>
      <c r="L316" s="99" t="inlineStr">
        <is>
          <t>20251229</t>
        </is>
      </c>
      <c r="M316" s="96" t="inlineStr">
        <is>
          <t>제외</t>
        </is>
      </c>
      <c r="N316" s="96" t="inlineStr">
        <is>
          <t>60일 거래대금 4.4억(기준 5억 미만)</t>
        </is>
      </c>
      <c r="O316" s="96" t="inlineStr">
        <is>
          <t>S&amp;P 10-Year U.S. Treasury Note Futures KRW ER</t>
        </is>
      </c>
      <c r="P316" s="96" t="inlineStr">
        <is>
          <t>일반</t>
        </is>
      </c>
      <c r="Q316" s="96" t="inlineStr">
        <is>
          <t>채권</t>
        </is>
      </c>
      <c r="R316" s="96" t="inlineStr">
        <is>
          <t>연배당</t>
        </is>
      </c>
      <c r="S316" s="97" t="n">
        <v>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IFERROR(INDEX($A$4:$A$580,MATCH(313,$X$4:$X$580,0)),"")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11215</v>
      </c>
      <c r="E317" s="97" t="n">
        <v>8972000000</v>
      </c>
      <c r="F317" s="97" t="n">
        <v>56824885</v>
      </c>
      <c r="G317" s="98" t="n">
        <v>0.0049</v>
      </c>
      <c r="H317" s="98" t="n">
        <v>0.1354</v>
      </c>
      <c r="I317" s="98" t="n">
        <v>0.0012</v>
      </c>
      <c r="J317" s="98" t="n">
        <v>0.014088</v>
      </c>
      <c r="K317" s="97" t="n">
        <v>13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IFERROR(INDEX($A$4:$A$580,MATCH(314,$X$4:$X$580,0)),"")</f>
        <v/>
      </c>
    </row>
    <row r="318">
      <c r="A318" s="96" t="inlineStr">
        <is>
          <t>WON 전단채플러스액티브</t>
        </is>
      </c>
      <c r="B318" s="96" t="inlineStr">
        <is>
          <t>496020</t>
        </is>
      </c>
      <c r="C318" s="96" t="inlineStr">
        <is>
          <t>우리자산운용</t>
        </is>
      </c>
      <c r="D318" s="97" t="n">
        <v>52550</v>
      </c>
      <c r="E318" s="97" t="n">
        <v>492498600000</v>
      </c>
      <c r="F318" s="97" t="n">
        <v>225966583</v>
      </c>
      <c r="G318" s="98" t="n">
        <v>0.0005</v>
      </c>
      <c r="H318" s="98" t="n">
        <v>0.0143</v>
      </c>
      <c r="I318" s="98" t="n">
        <v>0.0142</v>
      </c>
      <c r="J318" s="98" t="n">
        <v>0.014006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2.3억(기준 5억 미만)</t>
        </is>
      </c>
      <c r="O318" s="96" t="inlineStr">
        <is>
          <t>KIS 전단채플러스 TR 지수</t>
        </is>
      </c>
      <c r="P318" s="96" t="inlineStr">
        <is>
          <t>일반</t>
        </is>
      </c>
      <c r="Q318" s="96" t="inlineStr">
        <is>
          <t>단기자금(파킹형)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IFERROR(INDEX($A$4:$A$580,MATCH(315,$X$4:$X$580,0)),"")</f>
        <v/>
      </c>
    </row>
    <row r="319">
      <c r="A319" s="96" t="inlineStr">
        <is>
          <t>RISE 글로벌테크놀로지(합성 H)</t>
        </is>
      </c>
      <c r="B319" s="96" t="inlineStr">
        <is>
          <t>276650</t>
        </is>
      </c>
      <c r="C319" s="96" t="inlineStr">
        <is>
          <t>KB자산운용</t>
        </is>
      </c>
      <c r="D319" s="97" t="n">
        <v>45995</v>
      </c>
      <c r="E319" s="97" t="n">
        <v>34496250000</v>
      </c>
      <c r="F319" s="97" t="n">
        <v>58130116</v>
      </c>
      <c r="G319" s="98" t="n">
        <v>0.004</v>
      </c>
      <c r="H319" s="98" t="n">
        <v>0.2236</v>
      </c>
      <c r="I319" s="98" t="n">
        <v>0.0164</v>
      </c>
      <c r="J319" s="98" t="n">
        <v>0.014002</v>
      </c>
      <c r="K319" s="97" t="n">
        <v>1</v>
      </c>
      <c r="L319" s="99" t="inlineStr">
        <is>
          <t>20251229</t>
        </is>
      </c>
      <c r="M319" s="96" t="inlineStr">
        <is>
          <t>제외</t>
        </is>
      </c>
      <c r="N319" s="96" t="inlineStr">
        <is>
          <t>60일 거래대금 0.6억(기준 5억 미만)</t>
        </is>
      </c>
      <c r="O319" s="96" t="inlineStr">
        <is>
          <t>S&amp;P Global 1200 Information Technology and Interactive Media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IFERROR(INDEX($A$4:$A$580,MATCH(316,$X$4:$X$580,0)),"")</f>
        <v/>
      </c>
    </row>
    <row r="320">
      <c r="A320" s="96" t="inlineStr">
        <is>
          <t>PLUS 종합채권(AA-이상)액티브</t>
        </is>
      </c>
      <c r="B320" s="96" t="inlineStr">
        <is>
          <t>451000</t>
        </is>
      </c>
      <c r="C320" s="96" t="inlineStr">
        <is>
          <t>한화자산운용</t>
        </is>
      </c>
      <c r="D320" s="97" t="n">
        <v>106920</v>
      </c>
      <c r="E320" s="97" t="n">
        <v>554717845000</v>
      </c>
      <c r="F320" s="97" t="n">
        <v>37526341</v>
      </c>
      <c r="G320" s="98" t="n">
        <v>0.00045</v>
      </c>
      <c r="H320" s="98" t="n">
        <v>0.0429</v>
      </c>
      <c r="I320" s="98" t="n">
        <v>0.013</v>
      </c>
      <c r="J320" s="98" t="n">
        <v>0.013702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0.4억(기준 5억 미만)</t>
        </is>
      </c>
      <c r="O320" s="96" t="inlineStr">
        <is>
          <t>KAP 종합채권지수(AA-이상, 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IFERROR(INDEX($A$4:$A$580,MATCH(317,$X$4:$X$580,0)),"")</f>
        <v/>
      </c>
    </row>
    <row r="321">
      <c r="A321" s="96" t="inlineStr">
        <is>
          <t>RISE 국고채10년액티브</t>
        </is>
      </c>
      <c r="B321" s="96" t="inlineStr">
        <is>
          <t>481430</t>
        </is>
      </c>
      <c r="C321" s="96" t="inlineStr">
        <is>
          <t>KB자산운용</t>
        </is>
      </c>
      <c r="D321" s="97" t="n">
        <v>97015</v>
      </c>
      <c r="E321" s="97" t="n">
        <v>75089610000</v>
      </c>
      <c r="F321" s="97" t="n">
        <v>308834931</v>
      </c>
      <c r="G321" s="98" t="n">
        <v>0.00012</v>
      </c>
      <c r="H321" s="98" t="n">
        <v>0.06509999999999999</v>
      </c>
      <c r="I321" s="98" t="n">
        <v>0.0127</v>
      </c>
      <c r="J321" s="98" t="n">
        <v>0.013616</v>
      </c>
      <c r="K321" s="97" t="n">
        <v>1</v>
      </c>
      <c r="L321" s="99" t="inlineStr">
        <is>
          <t>20251212</t>
        </is>
      </c>
      <c r="M321" s="96" t="inlineStr">
        <is>
          <t>제외</t>
        </is>
      </c>
      <c r="N321" s="96" t="inlineStr">
        <is>
          <t>60일 거래대금 3.1억(기준 5억 미만)</t>
        </is>
      </c>
      <c r="O321" s="96" t="inlineStr">
        <is>
          <t>KAP 국고채 10년 지수(총수익)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IFERROR(INDEX($A$4:$A$580,MATCH(318,$X$4:$X$580,0)),"")</f>
        <v/>
      </c>
    </row>
    <row r="322">
      <c r="A322" s="96" t="inlineStr">
        <is>
          <t>PLUS 국고채10년액티브</t>
        </is>
      </c>
      <c r="B322" s="96" t="inlineStr">
        <is>
          <t>461460</t>
        </is>
      </c>
      <c r="C322" s="96" t="inlineStr">
        <is>
          <t>한화자산운용</t>
        </is>
      </c>
      <c r="D322" s="97" t="n">
        <v>50630</v>
      </c>
      <c r="E322" s="97" t="n">
        <v>82121860000</v>
      </c>
      <c r="F322" s="97" t="n">
        <v>184479602</v>
      </c>
      <c r="G322" s="98" t="n">
        <v>0.00045</v>
      </c>
      <c r="H322" s="98" t="n">
        <v>0.0646</v>
      </c>
      <c r="I322" s="98" t="n">
        <v>0.0126</v>
      </c>
      <c r="J322" s="98" t="n">
        <v>0.013451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1.8억(기준 5억 미만)</t>
        </is>
      </c>
      <c r="O322" s="96" t="inlineStr">
        <is>
          <t>KAP 국고채 10년 동일가중 지수(총수익)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IFERROR(INDEX($A$4:$A$580,MATCH(319,$X$4:$X$580,0)),"")</f>
        <v/>
      </c>
    </row>
    <row r="323">
      <c r="A323" s="96" t="inlineStr">
        <is>
          <t>ACE 코스피</t>
        </is>
      </c>
      <c r="B323" s="96" t="inlineStr">
        <is>
          <t>305050</t>
        </is>
      </c>
      <c r="C323" s="96" t="inlineStr">
        <is>
          <t>한국투신운용(ETF)</t>
        </is>
      </c>
      <c r="D323" s="97" t="n">
        <v>69960</v>
      </c>
      <c r="E323" s="97" t="n">
        <v>45474000000</v>
      </c>
      <c r="F323" s="97" t="n">
        <v>488806794</v>
      </c>
      <c r="G323" s="98" t="n">
        <v>0.0002</v>
      </c>
      <c r="H323" s="98" t="n">
        <v>0.5386</v>
      </c>
      <c r="I323" s="98" t="n">
        <v>0.0135</v>
      </c>
      <c r="J323" s="98" t="n">
        <v>0.013436</v>
      </c>
      <c r="K323" s="97" t="n">
        <v>5</v>
      </c>
      <c r="L323" s="99" t="inlineStr">
        <is>
          <t>20260429</t>
        </is>
      </c>
      <c r="M323" s="96" t="inlineStr">
        <is>
          <t>제외</t>
        </is>
      </c>
      <c r="N323" s="96" t="inlineStr">
        <is>
          <t>60일 거래대금 4.9억(기준 5억 미만), 변동성 53.9%(1년 기준, 기준 35% 초과)</t>
        </is>
      </c>
      <c r="O323" s="96" t="inlineStr">
        <is>
          <t>코스피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IFERROR(INDEX($A$4:$A$580,MATCH(320,$X$4:$X$580,0)),"")</f>
        <v/>
      </c>
    </row>
    <row r="324">
      <c r="A324" s="96" t="inlineStr">
        <is>
          <t>KODEX 미국S&amp;P500금융</t>
        </is>
      </c>
      <c r="B324" s="96" t="inlineStr">
        <is>
          <t>453650</t>
        </is>
      </c>
      <c r="C324" s="96" t="inlineStr">
        <is>
          <t>삼성자산운용(ETF)</t>
        </is>
      </c>
      <c r="D324" s="97" t="n">
        <v>18960</v>
      </c>
      <c r="E324" s="97" t="n">
        <v>47400000000</v>
      </c>
      <c r="F324" s="97" t="n">
        <v>457110896</v>
      </c>
      <c r="G324" s="98" t="n">
        <v>0.0025</v>
      </c>
      <c r="H324" s="98" t="n">
        <v>0.1668</v>
      </c>
      <c r="I324" s="98" t="n">
        <v>0.0031</v>
      </c>
      <c r="J324" s="98" t="n">
        <v>0.013397</v>
      </c>
      <c r="K324" s="97" t="n">
        <v>13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4.6억(기준 5억 미만)</t>
        </is>
      </c>
      <c r="O324" s="96" t="inlineStr">
        <is>
          <t>S&amp;P Select Sector Financials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4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IFERROR(INDEX($A$4:$A$580,MATCH(321,$X$4:$X$580,0)),"")</f>
        <v/>
      </c>
    </row>
    <row r="325">
      <c r="A325" s="96" t="inlineStr">
        <is>
          <t>PLUS 단기채권액티브</t>
        </is>
      </c>
      <c r="B325" s="96" t="inlineStr">
        <is>
          <t>278620</t>
        </is>
      </c>
      <c r="C325" s="96" t="inlineStr">
        <is>
          <t>한화자산운용</t>
        </is>
      </c>
      <c r="D325" s="97" t="n">
        <v>119120</v>
      </c>
      <c r="E325" s="97" t="n">
        <v>66707200000</v>
      </c>
      <c r="F325" s="97" t="n">
        <v>170084749</v>
      </c>
      <c r="G325" s="98" t="n">
        <v>0.0007000000000000001</v>
      </c>
      <c r="H325" s="98" t="n">
        <v>0.0147</v>
      </c>
      <c r="I325" s="98" t="n">
        <v>0.0134</v>
      </c>
      <c r="J325" s="98" t="n">
        <v>0.01339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1.7억(기준 5억 미만)</t>
        </is>
      </c>
      <c r="O325" s="96" t="inlineStr">
        <is>
          <t>KAP 투자적격 크레딧 채권 1년 지수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IFERROR(INDEX($A$4:$A$580,MATCH(322,$X$4:$X$580,0)),"")</f>
        <v/>
      </c>
    </row>
    <row r="326">
      <c r="A326" s="96" t="inlineStr">
        <is>
          <t>TIGER 지주회사</t>
        </is>
      </c>
      <c r="B326" s="96" t="inlineStr">
        <is>
          <t>307520</t>
        </is>
      </c>
      <c r="C326" s="96" t="inlineStr">
        <is>
          <t>미래에셋자산운용</t>
        </is>
      </c>
      <c r="D326" s="97" t="n">
        <v>22185</v>
      </c>
      <c r="E326" s="97" t="n">
        <v>272875500000</v>
      </c>
      <c r="F326" s="97" t="n">
        <v>14489785605</v>
      </c>
      <c r="G326" s="98" t="n">
        <v>0.005</v>
      </c>
      <c r="H326" s="98" t="n">
        <v>0.4683</v>
      </c>
      <c r="I326" s="98" t="n">
        <v>0.0035</v>
      </c>
      <c r="J326" s="98" t="n">
        <v>0.013162</v>
      </c>
      <c r="K326" s="97" t="n">
        <v>12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46.8%(1년 기준, 기준 35% 초과)</t>
        </is>
      </c>
      <c r="O326" s="96" t="inlineStr">
        <is>
          <t>FnGuide 지주회사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3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IFERROR(INDEX($A$4:$A$580,MATCH(323,$X$4:$X$580,0)),"")</f>
        <v/>
      </c>
    </row>
    <row r="327">
      <c r="A327" s="96" t="inlineStr">
        <is>
          <t>TIGER 미국방산TOP10</t>
        </is>
      </c>
      <c r="B327" s="96" t="inlineStr">
        <is>
          <t>494840</t>
        </is>
      </c>
      <c r="C327" s="96" t="inlineStr">
        <is>
          <t>미래에셋자산운용</t>
        </is>
      </c>
      <c r="D327" s="97" t="n">
        <v>12420</v>
      </c>
      <c r="E327" s="97" t="n">
        <v>40986000000</v>
      </c>
      <c r="F327" s="97" t="n">
        <v>412969707</v>
      </c>
      <c r="G327" s="98" t="n">
        <v>0.004500000000000001</v>
      </c>
      <c r="H327" s="98" t="n">
        <v>0.2402</v>
      </c>
      <c r="I327" s="98" t="n">
        <v>0.003</v>
      </c>
      <c r="J327" s="98" t="n">
        <v>0.012721</v>
      </c>
      <c r="K327" s="97" t="n">
        <v>7</v>
      </c>
      <c r="L327" s="99" t="inlineStr">
        <is>
          <t>20260730</t>
        </is>
      </c>
      <c r="M327" s="96" t="inlineStr">
        <is>
          <t>제외</t>
        </is>
      </c>
      <c r="N327" s="96" t="inlineStr">
        <is>
          <t>60일 거래대금 4.1억(기준 5억 미만)</t>
        </is>
      </c>
      <c r="O327" s="96" t="inlineStr">
        <is>
          <t>Mirae Asset US Defense Top 10 Index (Price Return)</t>
        </is>
      </c>
      <c r="P327" s="96" t="inlineStr">
        <is>
          <t>일반</t>
        </is>
      </c>
      <c r="Q327" s="96" t="inlineStr">
        <is>
          <t>주식</t>
        </is>
      </c>
      <c r="R327" s="96" t="inlineStr">
        <is>
          <t>분기배당</t>
        </is>
      </c>
      <c r="S327" s="97" t="n">
        <v>4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IFERROR(INDEX($A$4:$A$580,MATCH(324,$X$4:$X$580,0)),"")</f>
        <v/>
      </c>
    </row>
    <row r="328">
      <c r="A328" s="96" t="inlineStr">
        <is>
          <t>아이엠에셋 200</t>
        </is>
      </c>
      <c r="B328" s="96" t="inlineStr">
        <is>
          <t>0007N0</t>
        </is>
      </c>
      <c r="C328" s="96" t="inlineStr">
        <is>
          <t>iM에셋자산운용</t>
        </is>
      </c>
      <c r="D328" s="97" t="n">
        <v>106980</v>
      </c>
      <c r="E328" s="97" t="n">
        <v>90933000000</v>
      </c>
      <c r="F328" s="97" t="n">
        <v>287043142</v>
      </c>
      <c r="G328" s="98" t="n">
        <v>0.0005</v>
      </c>
      <c r="H328" s="98" t="n">
        <v>0.5834</v>
      </c>
      <c r="I328" s="98" t="n">
        <v>0.0017</v>
      </c>
      <c r="J328" s="98" t="n">
        <v>0.012619</v>
      </c>
      <c r="K328" s="97" t="n">
        <v>2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60일 거래대금 2.9억(기준 5억 미만), 변동성 58.3%(1년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2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IFERROR(INDEX($A$4:$A$580,MATCH(325,$X$4:$X$580,0)),"")</f>
        <v/>
      </c>
    </row>
    <row r="329">
      <c r="A329" s="96" t="inlineStr">
        <is>
          <t>ACE 2월만기자동연장회사채AA-이상액티브</t>
        </is>
      </c>
      <c r="B329" s="96" t="inlineStr">
        <is>
          <t>475260</t>
        </is>
      </c>
      <c r="C329" s="96" t="inlineStr">
        <is>
          <t>한국투신운용(ETF)</t>
        </is>
      </c>
      <c r="D329" s="97" t="n">
        <v>10765</v>
      </c>
      <c r="E329" s="97" t="n">
        <v>50703150000</v>
      </c>
      <c r="F329" s="97" t="n">
        <v>5720425</v>
      </c>
      <c r="G329" s="98" t="n">
        <v>0.0005</v>
      </c>
      <c r="H329" s="98" t="n">
        <v>0.013</v>
      </c>
      <c r="I329" s="98" t="n">
        <v>0.0127</v>
      </c>
      <c r="J329" s="98" t="n">
        <v>0.012541</v>
      </c>
      <c r="K329" s="97" t="n">
        <v>1</v>
      </c>
      <c r="L329" s="99" t="inlineStr">
        <is>
          <t>20251127</t>
        </is>
      </c>
      <c r="M329" s="96" t="inlineStr">
        <is>
          <t>제외</t>
        </is>
      </c>
      <c r="N329" s="96" t="inlineStr">
        <is>
          <t>60일 거래대금 0.1억(기준 5억 미만)</t>
        </is>
      </c>
      <c r="O329" s="96" t="inlineStr">
        <is>
          <t>KAP 2월 만기자동연장 회사채(AA-이상) 총수익지수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IFERROR(INDEX($A$4:$A$580,MATCH(326,$X$4:$X$580,0)),"")</f>
        <v/>
      </c>
    </row>
    <row r="330">
      <c r="A330" s="96" t="inlineStr">
        <is>
          <t>1Q 200액티브</t>
        </is>
      </c>
      <c r="B330" s="96" t="inlineStr">
        <is>
          <t>451060</t>
        </is>
      </c>
      <c r="C330" s="96" t="inlineStr">
        <is>
          <t>하나자산운용</t>
        </is>
      </c>
      <c r="D330" s="97" t="n">
        <v>34040</v>
      </c>
      <c r="E330" s="97" t="n">
        <v>428904000000</v>
      </c>
      <c r="F330" s="97" t="n">
        <v>4965501629</v>
      </c>
      <c r="G330" s="98" t="n">
        <v>0.0001</v>
      </c>
      <c r="H330" s="98" t="n">
        <v>0.5892000000000001</v>
      </c>
      <c r="I330" s="98" t="n">
        <v>0.0011</v>
      </c>
      <c r="J330" s="98" t="n">
        <v>0.012485</v>
      </c>
      <c r="K330" s="97" t="n">
        <v>4</v>
      </c>
      <c r="L330" s="99" t="inlineStr">
        <is>
          <t>20260730</t>
        </is>
      </c>
      <c r="M330" s="96" t="inlineStr">
        <is>
          <t>제외</t>
        </is>
      </c>
      <c r="N330" s="96" t="inlineStr">
        <is>
          <t>변동성 58.9%(1년 기준, 기준 35% 초과)</t>
        </is>
      </c>
      <c r="O330" s="96" t="inlineStr">
        <is>
          <t>KOSPI 200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분기배당</t>
        </is>
      </c>
      <c r="S330" s="97" t="n">
        <v>4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IFERROR(INDEX($A$4:$A$580,MATCH(327,$X$4:$X$580,0)),"")</f>
        <v/>
      </c>
    </row>
    <row r="331">
      <c r="A331" s="96" t="inlineStr">
        <is>
          <t>ACE 라이프자산주주가치액티브</t>
        </is>
      </c>
      <c r="B331" s="96" t="inlineStr">
        <is>
          <t>494330</t>
        </is>
      </c>
      <c r="C331" s="96" t="inlineStr">
        <is>
          <t>한국투신운용(ETF)</t>
        </is>
      </c>
      <c r="D331" s="97" t="n">
        <v>32570</v>
      </c>
      <c r="E331" s="97" t="n">
        <v>182392000000</v>
      </c>
      <c r="F331" s="97" t="n">
        <v>1859662175</v>
      </c>
      <c r="G331" s="98" t="n">
        <v>0.005</v>
      </c>
      <c r="H331" s="98" t="n">
        <v>0.4379999999999999</v>
      </c>
      <c r="I331" s="98" t="n">
        <v>0.0035</v>
      </c>
      <c r="J331" s="98" t="n">
        <v>0.012281</v>
      </c>
      <c r="K331" s="97" t="n">
        <v>6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변동성 43.8%(1년 기준, 기준 35% 초과)</t>
        </is>
      </c>
      <c r="O331" s="96" t="inlineStr">
        <is>
          <t>FnGuide 기업가치 지수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IFERROR(INDEX($A$4:$A$580,MATCH(328,$X$4:$X$580,0)),"")</f>
        <v/>
      </c>
    </row>
    <row r="332">
      <c r="A332" s="96" t="inlineStr">
        <is>
          <t>1Q 중단기회사채(A-이상)액티브</t>
        </is>
      </c>
      <c r="B332" s="96" t="inlineStr">
        <is>
          <t>0052T0</t>
        </is>
      </c>
      <c r="C332" s="96" t="inlineStr">
        <is>
          <t>하나자산운용</t>
        </is>
      </c>
      <c r="D332" s="97" t="n">
        <v>50700</v>
      </c>
      <c r="E332" s="97" t="n">
        <v>90753000000</v>
      </c>
      <c r="F332" s="97" t="n">
        <v>441457610</v>
      </c>
      <c r="G332" s="98" t="n">
        <v>0.0005</v>
      </c>
      <c r="H332" s="98" t="n">
        <v>0.0158</v>
      </c>
      <c r="I332" s="98" t="n">
        <v>0.0123</v>
      </c>
      <c r="J332" s="98" t="n">
        <v>0.012229</v>
      </c>
      <c r="K332" s="97" t="n">
        <v>1</v>
      </c>
      <c r="L332" s="99" t="inlineStr">
        <is>
          <t>20251113</t>
        </is>
      </c>
      <c r="M332" s="96" t="inlineStr">
        <is>
          <t>제외</t>
        </is>
      </c>
      <c r="N332" s="96" t="inlineStr">
        <is>
          <t>60일 거래대금 4.4억(기준 5억 미만)</t>
        </is>
      </c>
      <c r="O332" s="96" t="inlineStr">
        <is>
          <t>KEDI 중단기크레딧플러스채권(AAA~A-) 지수(총수익)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IFERROR(INDEX($A$4:$A$580,MATCH(329,$X$4:$X$580,0)),"")</f>
        <v/>
      </c>
    </row>
    <row r="333">
      <c r="A333" s="96" t="inlineStr">
        <is>
          <t>WON 종합채권(AA-이상)액티브</t>
        </is>
      </c>
      <c r="B333" s="96" t="inlineStr">
        <is>
          <t>488720</t>
        </is>
      </c>
      <c r="C333" s="96" t="inlineStr">
        <is>
          <t>우리자산운용</t>
        </is>
      </c>
      <c r="D333" s="97" t="n">
        <v>48420</v>
      </c>
      <c r="E333" s="97" t="n">
        <v>158623920000</v>
      </c>
      <c r="F333" s="97" t="n">
        <v>195254566</v>
      </c>
      <c r="G333" s="98" t="n">
        <v>0.00045</v>
      </c>
      <c r="H333" s="98" t="n">
        <v>0.0425</v>
      </c>
      <c r="I333" s="98" t="n">
        <v>0.0116</v>
      </c>
      <c r="J333" s="98" t="n">
        <v>0.012185</v>
      </c>
      <c r="K333" s="97" t="n">
        <v>1</v>
      </c>
      <c r="L333" s="99" t="inlineStr">
        <is>
          <t>20251229</t>
        </is>
      </c>
      <c r="M333" s="96" t="inlineStr">
        <is>
          <t>제외</t>
        </is>
      </c>
      <c r="N333" s="96" t="inlineStr">
        <is>
          <t>60일 거래대금 2.0억(기준 5억 미만)</t>
        </is>
      </c>
      <c r="O333" s="96" t="inlineStr">
        <is>
          <t>KIS 종합채권시장 총수익지수(AA-이상)</t>
        </is>
      </c>
      <c r="P333" s="96" t="inlineStr">
        <is>
          <t>일반</t>
        </is>
      </c>
      <c r="Q333" s="96" t="inlineStr">
        <is>
          <t>채권</t>
        </is>
      </c>
      <c r="R333" s="96" t="inlineStr">
        <is>
          <t>연배당</t>
        </is>
      </c>
      <c r="S333" s="97" t="n">
        <v>1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IFERROR(INDEX($A$4:$A$580,MATCH(330,$X$4:$X$580,0)),"")</f>
        <v/>
      </c>
    </row>
    <row r="334">
      <c r="A334" s="96" t="inlineStr">
        <is>
          <t>RISE 단기특수은행채액티브</t>
        </is>
      </c>
      <c r="B334" s="96" t="inlineStr">
        <is>
          <t>0061Z0</t>
        </is>
      </c>
      <c r="C334" s="96" t="inlineStr">
        <is>
          <t>KB자산운용</t>
        </is>
      </c>
      <c r="D334" s="97" t="n">
        <v>51065</v>
      </c>
      <c r="E334" s="97" t="n">
        <v>723284660000</v>
      </c>
      <c r="F334" s="97" t="n">
        <v>365634578</v>
      </c>
      <c r="G334" s="98" t="n">
        <v>0.0001</v>
      </c>
      <c r="H334" s="98" t="n">
        <v>0.0123</v>
      </c>
      <c r="I334" s="98" t="n">
        <v>0.0121</v>
      </c>
      <c r="J334" s="98" t="n">
        <v>0.011985</v>
      </c>
      <c r="K334" s="97" t="n">
        <v>1</v>
      </c>
      <c r="L334" s="99" t="inlineStr">
        <is>
          <t>20251212</t>
        </is>
      </c>
      <c r="M334" s="96" t="inlineStr">
        <is>
          <t>제외</t>
        </is>
      </c>
      <c r="N334" s="96" t="inlineStr">
        <is>
          <t>60일 거래대금 3.7억(기준 5억 미만)</t>
        </is>
      </c>
      <c r="O334" s="96" t="inlineStr">
        <is>
          <t>KAP 단기 특수은행채 지수</t>
        </is>
      </c>
      <c r="P334" s="96" t="inlineStr">
        <is>
          <t>일반</t>
        </is>
      </c>
      <c r="Q334" s="96" t="inlineStr">
        <is>
          <t>단기자금(파킹형)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IFERROR(INDEX($A$4:$A$580,MATCH(331,$X$4:$X$580,0)),"")</f>
        <v/>
      </c>
    </row>
    <row r="335">
      <c r="A335" s="96" t="inlineStr">
        <is>
          <t>ACE 8월만기자동연장회사채AA-이상액티브</t>
        </is>
      </c>
      <c r="B335" s="96" t="inlineStr">
        <is>
          <t>475280</t>
        </is>
      </c>
      <c r="C335" s="96" t="inlineStr">
        <is>
          <t>한국투신운용(ETF)</t>
        </is>
      </c>
      <c r="D335" s="97" t="n">
        <v>10750</v>
      </c>
      <c r="E335" s="97" t="n">
        <v>101265000000</v>
      </c>
      <c r="F335" s="97" t="n">
        <v>7841123</v>
      </c>
      <c r="G335" s="98" t="n">
        <v>0.0005</v>
      </c>
      <c r="H335" s="98" t="n">
        <v>0.0124</v>
      </c>
      <c r="I335" s="98" t="n">
        <v>0.0121</v>
      </c>
      <c r="J335" s="98" t="n">
        <v>0.011907</v>
      </c>
      <c r="K335" s="97" t="n">
        <v>1</v>
      </c>
      <c r="L335" s="99" t="inlineStr">
        <is>
          <t>20251127</t>
        </is>
      </c>
      <c r="M335" s="96" t="inlineStr">
        <is>
          <t>제외</t>
        </is>
      </c>
      <c r="N335" s="96" t="inlineStr">
        <is>
          <t>60일 거래대금 0.1억(기준 5억 미만)</t>
        </is>
      </c>
      <c r="O335" s="96" t="inlineStr">
        <is>
          <t>KAP 8월 만기자동연장 회사채(AA-이상) 총수익지수</t>
        </is>
      </c>
      <c r="P335" s="96" t="inlineStr">
        <is>
          <t>일반</t>
        </is>
      </c>
      <c r="Q335" s="96" t="inlineStr">
        <is>
          <t>채권</t>
        </is>
      </c>
      <c r="R335" s="96" t="inlineStr">
        <is>
          <t>연배당</t>
        </is>
      </c>
      <c r="S335" s="97" t="n">
        <v>1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IFERROR(INDEX($A$4:$A$580,MATCH(332,$X$4:$X$580,0)),"")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30230</v>
      </c>
      <c r="E336" s="97" t="n">
        <v>111246400000</v>
      </c>
      <c r="F336" s="97" t="n">
        <v>288724350</v>
      </c>
      <c r="G336" s="98" t="n">
        <v>0.004</v>
      </c>
      <c r="H336" s="98" t="n">
        <v>0.1595</v>
      </c>
      <c r="I336" s="98" t="n">
        <v>0.0031</v>
      </c>
      <c r="J336" s="98" t="n">
        <v>0.011843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2.9억(기준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IFERROR(INDEX($A$4:$A$580,MATCH(333,$X$4:$X$580,0)),"")</f>
        <v/>
      </c>
    </row>
    <row r="337">
      <c r="A337" s="96" t="inlineStr">
        <is>
          <t>ACE 포스코그룹포커스</t>
        </is>
      </c>
      <c r="B337" s="96" t="inlineStr">
        <is>
          <t>469170</t>
        </is>
      </c>
      <c r="C337" s="96" t="inlineStr">
        <is>
          <t>한국투신운용(ETF)</t>
        </is>
      </c>
      <c r="D337" s="97" t="n">
        <v>6005</v>
      </c>
      <c r="E337" s="97" t="n">
        <v>122502000000</v>
      </c>
      <c r="F337" s="97" t="n">
        <v>4889685205</v>
      </c>
      <c r="G337" s="98" t="n">
        <v>0.003</v>
      </c>
      <c r="H337" s="98" t="n">
        <v>0.5185</v>
      </c>
      <c r="I337" s="98" t="n">
        <v>0.0017</v>
      </c>
      <c r="J337" s="98" t="n">
        <v>0.011823</v>
      </c>
      <c r="K337" s="97" t="n">
        <v>10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51.9%(1년 기준, 기준 35% 초과)</t>
        </is>
      </c>
      <c r="O337" s="96" t="inlineStr">
        <is>
          <t>FnGuide 포스코그룹 포커스 지수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4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IFERROR(INDEX($A$4:$A$580,MATCH(334,$X$4:$X$580,0)),"")</f>
        <v/>
      </c>
    </row>
    <row r="338">
      <c r="A338" s="96" t="inlineStr">
        <is>
          <t>TIGER LG그룹플러스</t>
        </is>
      </c>
      <c r="B338" s="96" t="inlineStr">
        <is>
          <t>138530</t>
        </is>
      </c>
      <c r="C338" s="96" t="inlineStr">
        <is>
          <t>미래에셋자산운용</t>
        </is>
      </c>
      <c r="D338" s="97" t="n">
        <v>12085</v>
      </c>
      <c r="E338" s="97" t="n">
        <v>78310800000</v>
      </c>
      <c r="F338" s="97" t="n">
        <v>2429788760</v>
      </c>
      <c r="G338" s="98" t="n">
        <v>0.0015</v>
      </c>
      <c r="H338" s="98" t="n">
        <v>0.467</v>
      </c>
      <c r="I338" s="98" t="n">
        <v>0.0091</v>
      </c>
      <c r="J338" s="98" t="n">
        <v>0.011585</v>
      </c>
      <c r="K338" s="97" t="n">
        <v>9</v>
      </c>
      <c r="L338" s="99" t="inlineStr">
        <is>
          <t>20260429</t>
        </is>
      </c>
      <c r="M338" s="96" t="inlineStr">
        <is>
          <t>제외</t>
        </is>
      </c>
      <c r="N338" s="96" t="inlineStr">
        <is>
          <t>변동성 46.7%(1년 기준, 기준 35% 초과)</t>
        </is>
      </c>
      <c r="O338" s="96" t="inlineStr">
        <is>
          <t>FnGuide LG그룹+ FW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반기배당</t>
        </is>
      </c>
      <c r="S338" s="97" t="n">
        <v>2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IFERROR(INDEX($A$4:$A$580,MATCH(335,$X$4:$X$580,0)),"")</f>
        <v/>
      </c>
    </row>
    <row r="339">
      <c r="A339" s="96" t="inlineStr">
        <is>
          <t>KODEX 코리아밸류업</t>
        </is>
      </c>
      <c r="B339" s="96" t="inlineStr">
        <is>
          <t>495850</t>
        </is>
      </c>
      <c r="C339" s="96" t="inlineStr">
        <is>
          <t>삼성자산운용(ETF)</t>
        </is>
      </c>
      <c r="D339" s="97" t="n">
        <v>31530</v>
      </c>
      <c r="E339" s="97" t="n">
        <v>654247500000</v>
      </c>
      <c r="F339" s="97" t="n">
        <v>10335099501</v>
      </c>
      <c r="G339" s="98" t="n">
        <v>8.000000000000001e-05</v>
      </c>
      <c r="H339" s="98" t="n">
        <v>0.5247999999999999</v>
      </c>
      <c r="I339" s="98" t="n">
        <v>0.0012</v>
      </c>
      <c r="J339" s="98" t="n">
        <v>0.011545</v>
      </c>
      <c r="K339" s="97" t="n">
        <v>21</v>
      </c>
      <c r="L339" s="99" t="inlineStr">
        <is>
          <t>20260828</t>
        </is>
      </c>
      <c r="M339" s="96" t="inlineStr">
        <is>
          <t>제외</t>
        </is>
      </c>
      <c r="N339" s="96" t="inlineStr">
        <is>
          <t>변동성 52.5%(1년 기준, 기준 35% 초과)</t>
        </is>
      </c>
      <c r="O339" s="96" t="inlineStr">
        <is>
          <t>코리아 밸류업 지수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월배당</t>
        </is>
      </c>
      <c r="S339" s="97" t="n">
        <v>11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IFERROR(INDEX($A$4:$A$580,MATCH(336,$X$4:$X$580,0)),"")</f>
        <v/>
      </c>
    </row>
    <row r="340">
      <c r="A340" s="96" t="inlineStr">
        <is>
          <t>RISE 중국본토대형주CSI100</t>
        </is>
      </c>
      <c r="B340" s="96" t="inlineStr">
        <is>
          <t>174360</t>
        </is>
      </c>
      <c r="C340" s="96" t="inlineStr">
        <is>
          <t>KB자산운용</t>
        </is>
      </c>
      <c r="D340" s="97" t="n">
        <v>22560</v>
      </c>
      <c r="E340" s="97" t="n">
        <v>31584000000</v>
      </c>
      <c r="F340" s="97" t="n">
        <v>110731292</v>
      </c>
      <c r="G340" s="98" t="n">
        <v>0.006500000000000001</v>
      </c>
      <c r="H340" s="98" t="n">
        <v>0.2323</v>
      </c>
      <c r="I340" s="98" t="n">
        <v>0.0109</v>
      </c>
      <c r="J340" s="98" t="n">
        <v>0.011525</v>
      </c>
      <c r="K340" s="97" t="n">
        <v>1</v>
      </c>
      <c r="L340" s="99" t="inlineStr">
        <is>
          <t>20251229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CSI 100 INDEX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IFERROR(INDEX($A$4:$A$580,MATCH(337,$X$4:$X$580,0)),"")</f>
        <v/>
      </c>
    </row>
    <row r="341">
      <c r="A341" s="96" t="inlineStr">
        <is>
          <t>ACE 5월만기자동연장회사채AA-이상액티브</t>
        </is>
      </c>
      <c r="B341" s="96" t="inlineStr">
        <is>
          <t>475270</t>
        </is>
      </c>
      <c r="C341" s="96" t="inlineStr">
        <is>
          <t>한국투신운용(ETF)</t>
        </is>
      </c>
      <c r="D341" s="97" t="n">
        <v>10745</v>
      </c>
      <c r="E341" s="97" t="n">
        <v>44699200000</v>
      </c>
      <c r="F341" s="97" t="n">
        <v>6219935</v>
      </c>
      <c r="G341" s="98" t="n">
        <v>0.0005</v>
      </c>
      <c r="H341" s="98" t="n">
        <v>0.0119</v>
      </c>
      <c r="I341" s="98" t="n">
        <v>0.0116</v>
      </c>
      <c r="J341" s="98" t="n">
        <v>0.011447</v>
      </c>
      <c r="K341" s="97" t="n">
        <v>1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KIS 5월 만기자동연장회사채(AA-이상) 총수익 지수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IFERROR(INDEX($A$4:$A$580,MATCH(338,$X$4:$X$580,0)),"")</f>
        <v/>
      </c>
    </row>
    <row r="342">
      <c r="A342" s="96" t="inlineStr">
        <is>
          <t>1Q 종합채권(AA-이상)액티브</t>
        </is>
      </c>
      <c r="B342" s="96" t="inlineStr">
        <is>
          <t>0017Y0</t>
        </is>
      </c>
      <c r="C342" s="96" t="inlineStr">
        <is>
          <t>하나자산운용</t>
        </is>
      </c>
      <c r="D342" s="97" t="n">
        <v>93505</v>
      </c>
      <c r="E342" s="97" t="n">
        <v>81255845000</v>
      </c>
      <c r="F342" s="97" t="n">
        <v>106603397</v>
      </c>
      <c r="G342" s="98" t="n">
        <v>0.00025</v>
      </c>
      <c r="H342" s="98" t="n">
        <v>0.0443</v>
      </c>
      <c r="I342" s="98" t="n">
        <v>0.0107</v>
      </c>
      <c r="J342" s="98" t="n">
        <v>0.01139</v>
      </c>
      <c r="K342" s="97" t="n">
        <v>1</v>
      </c>
      <c r="L342" s="99" t="inlineStr">
        <is>
          <t>20251113</t>
        </is>
      </c>
      <c r="M342" s="96" t="inlineStr">
        <is>
          <t>제외</t>
        </is>
      </c>
      <c r="N342" s="96" t="inlineStr">
        <is>
          <t>60일 거래대금 1.1억(기준 5억 미만)</t>
        </is>
      </c>
      <c r="O342" s="96" t="inlineStr">
        <is>
          <t>KIS 종합채권형 지수(AA-이상)</t>
        </is>
      </c>
      <c r="P342" s="96" t="inlineStr">
        <is>
          <t>일반</t>
        </is>
      </c>
      <c r="Q342" s="96" t="inlineStr">
        <is>
          <t>채권</t>
        </is>
      </c>
      <c r="R342" s="96" t="inlineStr">
        <is>
          <t>연배당</t>
        </is>
      </c>
      <c r="S342" s="97" t="n">
        <v>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IFERROR(INDEX($A$4:$A$580,MATCH(339,$X$4:$X$580,0)),"")</f>
        <v/>
      </c>
    </row>
    <row r="343">
      <c r="A343" s="96" t="inlineStr">
        <is>
          <t>ACE 중장기국공채액티브</t>
        </is>
      </c>
      <c r="B343" s="96" t="inlineStr">
        <is>
          <t>272910</t>
        </is>
      </c>
      <c r="C343" s="96" t="inlineStr">
        <is>
          <t>한국투신운용(ETF)</t>
        </is>
      </c>
      <c r="D343" s="97" t="n">
        <v>105575</v>
      </c>
      <c r="E343" s="97" t="n">
        <v>73691350000</v>
      </c>
      <c r="F343" s="97" t="n">
        <v>7411251</v>
      </c>
      <c r="G343" s="98" t="n">
        <v>0.0008</v>
      </c>
      <c r="H343" s="98" t="n">
        <v>0.0297</v>
      </c>
      <c r="I343" s="98" t="n">
        <v>0.0111</v>
      </c>
      <c r="J343" s="98" t="n">
        <v>0.011385</v>
      </c>
      <c r="K343" s="97" t="n">
        <v>2</v>
      </c>
      <c r="L343" s="99" t="inlineStr">
        <is>
          <t>20251127</t>
        </is>
      </c>
      <c r="M343" s="96" t="inlineStr">
        <is>
          <t>제외</t>
        </is>
      </c>
      <c r="N343" s="96" t="inlineStr">
        <is>
          <t>60일 거래대금 0.1억(기준 5억 미만)</t>
        </is>
      </c>
      <c r="O343" s="96" t="inlineStr">
        <is>
          <t>KIS 종합채권 국공채 1-10Y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IFERROR(INDEX($A$4:$A$580,MATCH(340,$X$4:$X$580,0)),"")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31355</v>
      </c>
      <c r="E344" s="97" t="n">
        <v>134826500000</v>
      </c>
      <c r="F344" s="97" t="n">
        <v>609452156</v>
      </c>
      <c r="G344" s="98" t="n">
        <v>0.0002</v>
      </c>
      <c r="H344" s="98" t="n">
        <v>0.5251</v>
      </c>
      <c r="I344" s="98" t="n">
        <v>0.0012</v>
      </c>
      <c r="J344" s="98" t="n">
        <v>0.011258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IFERROR(INDEX($A$4:$A$580,MATCH(341,$X$4:$X$580,0)),"")</f>
        <v/>
      </c>
    </row>
    <row r="345">
      <c r="A345" s="96" t="inlineStr">
        <is>
          <t>RISE 종합채권(A-이상)액티브</t>
        </is>
      </c>
      <c r="B345" s="96" t="inlineStr">
        <is>
          <t>385540</t>
        </is>
      </c>
      <c r="C345" s="96" t="inlineStr">
        <is>
          <t>KB자산운용</t>
        </is>
      </c>
      <c r="D345" s="97" t="n">
        <v>102740</v>
      </c>
      <c r="E345" s="97" t="n">
        <v>2182711300000</v>
      </c>
      <c r="F345" s="97" t="n">
        <v>472260265</v>
      </c>
      <c r="G345" s="98" t="n">
        <v>0.00012</v>
      </c>
      <c r="H345" s="98" t="n">
        <v>0.0418</v>
      </c>
      <c r="I345" s="98" t="n">
        <v>0.0106</v>
      </c>
      <c r="J345" s="98" t="n">
        <v>0.011164</v>
      </c>
      <c r="K345" s="97" t="n">
        <v>1</v>
      </c>
      <c r="L345" s="99" t="inlineStr">
        <is>
          <t>20251212</t>
        </is>
      </c>
      <c r="M345" s="96" t="inlineStr">
        <is>
          <t>제외</t>
        </is>
      </c>
      <c r="N345" s="96" t="inlineStr">
        <is>
          <t>60일 거래대금 4.7억(기준 5억 미만)</t>
        </is>
      </c>
      <c r="O345" s="96" t="inlineStr">
        <is>
          <t>KIS 종합채권 지수(A-이상)</t>
        </is>
      </c>
      <c r="P345" s="96" t="inlineStr">
        <is>
          <t>일반</t>
        </is>
      </c>
      <c r="Q345" s="96" t="inlineStr">
        <is>
          <t>채권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IFERROR(INDEX($A$4:$A$580,MATCH(342,$X$4:$X$580,0)),"")</f>
        <v/>
      </c>
    </row>
    <row r="346">
      <c r="A346" s="96" t="inlineStr">
        <is>
          <t>ACE 미국빅테크TOP7 Plus레버리지(합성)</t>
        </is>
      </c>
      <c r="B346" s="96" t="inlineStr">
        <is>
          <t>465610</t>
        </is>
      </c>
      <c r="C346" s="96" t="inlineStr">
        <is>
          <t>한국투신운용(ETF)</t>
        </is>
      </c>
      <c r="D346" s="97" t="n">
        <v>42175</v>
      </c>
      <c r="E346" s="97" t="n">
        <v>101220000000</v>
      </c>
      <c r="F346" s="97" t="n">
        <v>573581706</v>
      </c>
      <c r="G346" s="98" t="n">
        <v>0.006</v>
      </c>
      <c r="H346" s="98" t="n">
        <v>0.4234000000000001</v>
      </c>
      <c r="I346" s="98" t="n">
        <v>0.0116</v>
      </c>
      <c r="J346" s="98" t="n">
        <v>0.011144</v>
      </c>
      <c r="K346" s="97" t="n">
        <v>1</v>
      </c>
      <c r="L346" s="99" t="inlineStr">
        <is>
          <t>20251229</t>
        </is>
      </c>
      <c r="M346" s="96" t="inlineStr">
        <is>
          <t>제외</t>
        </is>
      </c>
      <c r="N346" s="96" t="inlineStr">
        <is>
          <t>변동성 42.3%(1년 기준, 기준 35% 초과)</t>
        </is>
      </c>
      <c r="O346" s="96" t="inlineStr">
        <is>
          <t>Solactive US Big Tech Top 7 Plus Index PR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연배당</t>
        </is>
      </c>
      <c r="S346" s="97" t="n">
        <v>1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IFERROR(INDEX($A$4:$A$580,MATCH(343,$X$4:$X$580,0)),"")</f>
        <v/>
      </c>
    </row>
    <row r="347">
      <c r="A347" s="96" t="inlineStr">
        <is>
          <t>TIGER 모멘텀</t>
        </is>
      </c>
      <c r="B347" s="96" t="inlineStr">
        <is>
          <t>147970</t>
        </is>
      </c>
      <c r="C347" s="96" t="inlineStr">
        <is>
          <t>미래에셋자산운용</t>
        </is>
      </c>
      <c r="D347" s="97" t="n">
        <v>79135</v>
      </c>
      <c r="E347" s="97" t="n">
        <v>36402100000</v>
      </c>
      <c r="F347" s="97" t="n">
        <v>451589515</v>
      </c>
      <c r="G347" s="98" t="n">
        <v>0.0029</v>
      </c>
      <c r="H347" s="98" t="n">
        <v>0.4901</v>
      </c>
      <c r="I347" s="98" t="n">
        <v>0.008399999999999999</v>
      </c>
      <c r="J347" s="98" t="n">
        <v>0.010994</v>
      </c>
      <c r="K347" s="97" t="n">
        <v>9</v>
      </c>
      <c r="L347" s="99" t="inlineStr">
        <is>
          <t>20260429</t>
        </is>
      </c>
      <c r="M347" s="96" t="inlineStr">
        <is>
          <t>제외</t>
        </is>
      </c>
      <c r="N347" s="96" t="inlineStr">
        <is>
          <t>60일 거래대금 4.5억(기준 5억 미만), 변동성 49.0%(1년 기준, 기준 35% 초과)</t>
        </is>
      </c>
      <c r="O347" s="96" t="inlineStr">
        <is>
          <t>FnGuide 모멘텀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반기배당</t>
        </is>
      </c>
      <c r="S347" s="97" t="n">
        <v>2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IFERROR(INDEX($A$4:$A$580,MATCH(344,$X$4:$X$580,0)),"")</f>
        <v/>
      </c>
    </row>
    <row r="348">
      <c r="A348" s="96" t="inlineStr">
        <is>
          <t>WON 국공채머니마켓액티브</t>
        </is>
      </c>
      <c r="B348" s="96" t="inlineStr">
        <is>
          <t>458030</t>
        </is>
      </c>
      <c r="C348" s="96" t="inlineStr">
        <is>
          <t>우리자산운용</t>
        </is>
      </c>
      <c r="D348" s="97" t="n">
        <v>55110</v>
      </c>
      <c r="E348" s="97" t="n">
        <v>103937460000</v>
      </c>
      <c r="F348" s="97" t="n">
        <v>47349351</v>
      </c>
      <c r="G348" s="98" t="n">
        <v>0.00065</v>
      </c>
      <c r="H348" s="98" t="n">
        <v>0.0111</v>
      </c>
      <c r="I348" s="98" t="n">
        <v>0.0111</v>
      </c>
      <c r="J348" s="98" t="n">
        <v>0.01096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60일 거래대금 0.5억(기준 5억 미만)</t>
        </is>
      </c>
      <c r="O348" s="96" t="inlineStr">
        <is>
          <t>KAP 국공채 머니마켓 총수익 지수</t>
        </is>
      </c>
      <c r="P348" s="96" t="inlineStr">
        <is>
          <t>일반</t>
        </is>
      </c>
      <c r="Q348" s="96" t="inlineStr">
        <is>
          <t>단기자금(파킹형)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IFERROR(INDEX($A$4:$A$580,MATCH(345,$X$4:$X$580,0)),"")</f>
        <v/>
      </c>
    </row>
    <row r="349">
      <c r="A349" s="96" t="inlineStr">
        <is>
          <t>RISE 코리아밸류업</t>
        </is>
      </c>
      <c r="B349" s="96" t="inlineStr">
        <is>
          <t>495050</t>
        </is>
      </c>
      <c r="C349" s="96" t="inlineStr">
        <is>
          <t>KB자산운용</t>
        </is>
      </c>
      <c r="D349" s="97" t="n">
        <v>31755</v>
      </c>
      <c r="E349" s="97" t="n">
        <v>938360250000</v>
      </c>
      <c r="F349" s="97" t="n">
        <v>14897318975</v>
      </c>
      <c r="G349" s="98" t="n">
        <v>8.000000000000001e-05</v>
      </c>
      <c r="H349" s="98" t="n">
        <v>0.5252</v>
      </c>
      <c r="I349" s="98" t="n">
        <v>0.0011</v>
      </c>
      <c r="J349" s="98" t="n">
        <v>0.010959</v>
      </c>
      <c r="K349" s="97" t="n">
        <v>19</v>
      </c>
      <c r="L349" s="99" t="inlineStr">
        <is>
          <t>20260914</t>
        </is>
      </c>
      <c r="M349" s="96" t="inlineStr">
        <is>
          <t>제외</t>
        </is>
      </c>
      <c r="N349" s="96" t="inlineStr">
        <is>
          <t>변동성 52.5%(1년 기준, 기준 35% 초과)</t>
        </is>
      </c>
      <c r="O349" s="96" t="inlineStr">
        <is>
          <t>코리아 밸류업 지수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IFERROR(INDEX($A$4:$A$580,MATCH(346,$X$4:$X$580,0)),"")</f>
        <v/>
      </c>
    </row>
    <row r="350">
      <c r="A350" s="96" t="inlineStr">
        <is>
          <t>RISE TDF2040액티브 적격</t>
        </is>
      </c>
      <c r="B350" s="96" t="inlineStr">
        <is>
          <t>442560</t>
        </is>
      </c>
      <c r="C350" s="96" t="inlineStr">
        <is>
          <t>KB자산운용</t>
        </is>
      </c>
      <c r="D350" s="97" t="n">
        <v>16235</v>
      </c>
      <c r="E350" s="97" t="n">
        <v>54387250000</v>
      </c>
      <c r="F350" s="97" t="n">
        <v>324297264</v>
      </c>
      <c r="G350" s="98" t="n">
        <v>0.0001</v>
      </c>
      <c r="H350" s="98" t="n">
        <v>0.1189</v>
      </c>
      <c r="I350" s="98" t="n">
        <v>0.0033</v>
      </c>
      <c r="J350" s="98" t="n">
        <v>0.010902</v>
      </c>
      <c r="K350" s="97" t="n">
        <v>2</v>
      </c>
      <c r="L350" s="99" t="inlineStr">
        <is>
          <t>20260730</t>
        </is>
      </c>
      <c r="M350" s="96" t="inlineStr">
        <is>
          <t>제외</t>
        </is>
      </c>
      <c r="N350" s="96" t="inlineStr">
        <is>
          <t>60일 거래대금 3.2억(기준 5억 미만)</t>
        </is>
      </c>
      <c r="O350" s="96" t="inlineStr">
        <is>
          <t>iSelect Tactical Asset Allocation TDF 2040 PR Index</t>
        </is>
      </c>
      <c r="P350" s="96" t="inlineStr">
        <is>
          <t>일반</t>
        </is>
      </c>
      <c r="Q350" s="96" t="inlineStr">
        <is>
          <t>멀티에셋</t>
        </is>
      </c>
      <c r="R350" s="96" t="inlineStr">
        <is>
          <t>반기배당</t>
        </is>
      </c>
      <c r="S350" s="97" t="n">
        <v>2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IFERROR(INDEX($A$4:$A$580,MATCH(347,$X$4:$X$580,0)),"")</f>
        <v/>
      </c>
    </row>
    <row r="351">
      <c r="A351" s="96" t="inlineStr">
        <is>
          <t>SOL 미국S&amp;P500엔화노출(H)</t>
        </is>
      </c>
      <c r="B351" s="96" t="inlineStr">
        <is>
          <t>499150</t>
        </is>
      </c>
      <c r="C351" s="96" t="inlineStr">
        <is>
          <t>신한자산운용</t>
        </is>
      </c>
      <c r="D351" s="97" t="n">
        <v>10930</v>
      </c>
      <c r="E351" s="97" t="n">
        <v>5465000000</v>
      </c>
      <c r="F351" s="97" t="n">
        <v>22341056</v>
      </c>
      <c r="G351" s="98" t="n">
        <v>0.0015</v>
      </c>
      <c r="H351" s="98" t="n">
        <v>0.153</v>
      </c>
      <c r="I351" s="98" t="n">
        <v>0.0009</v>
      </c>
      <c r="J351" s="98" t="n">
        <v>0.010887</v>
      </c>
      <c r="K351" s="97" t="n">
        <v>20</v>
      </c>
      <c r="L351" s="99" t="inlineStr">
        <is>
          <t>20260828</t>
        </is>
      </c>
      <c r="M351" s="96" t="inlineStr">
        <is>
          <t>제외</t>
        </is>
      </c>
      <c r="N351" s="96" t="inlineStr">
        <is>
          <t>순자산 55억(기준 300억 미만), 60일 거래대금 0.2억(기준 5억 미만)</t>
        </is>
      </c>
      <c r="O351" s="96" t="inlineStr">
        <is>
          <t>S&amp;P 500 YEN Hdg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월배당</t>
        </is>
      </c>
      <c r="S351" s="97" t="n">
        <v>11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IFERROR(INDEX($A$4:$A$580,MATCH(348,$X$4:$X$580,0)),"")</f>
        <v/>
      </c>
    </row>
    <row r="352">
      <c r="A352" s="96" t="inlineStr">
        <is>
          <t>PLUS 글로벌희토류&amp;전략자원생산기업</t>
        </is>
      </c>
      <c r="B352" s="96" t="inlineStr">
        <is>
          <t>415920</t>
        </is>
      </c>
      <c r="C352" s="96" t="inlineStr">
        <is>
          <t>한화자산운용</t>
        </is>
      </c>
      <c r="D352" s="97" t="n">
        <v>6440</v>
      </c>
      <c r="E352" s="97" t="n">
        <v>30268000000</v>
      </c>
      <c r="F352" s="97" t="n">
        <v>336600503</v>
      </c>
      <c r="G352" s="98" t="n">
        <v>0.005</v>
      </c>
      <c r="H352" s="98" t="n">
        <v>0.4299</v>
      </c>
      <c r="I352" s="98" t="n">
        <v>0.006999999999999999</v>
      </c>
      <c r="J352" s="98" t="n">
        <v>0.01087</v>
      </c>
      <c r="K352" s="97" t="n">
        <v>2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3.4억(기준 5억 미만), 변동성 43.0%(1년 기준, 기준 35% 초과)</t>
        </is>
      </c>
      <c r="O352" s="96" t="inlineStr">
        <is>
          <t>MVIS Global Rare Earth/Strategic Metals Index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IFERROR(INDEX($A$4:$A$580,MATCH(349,$X$4:$X$580,0)),"")</f>
        <v/>
      </c>
    </row>
    <row r="353">
      <c r="A353" s="96" t="inlineStr">
        <is>
          <t>TIGER 27-04회사채(A+이상)액티브</t>
        </is>
      </c>
      <c r="B353" s="96" t="inlineStr">
        <is>
          <t>480260</t>
        </is>
      </c>
      <c r="C353" s="96" t="inlineStr">
        <is>
          <t>미래에셋자산운용</t>
        </is>
      </c>
      <c r="D353" s="97" t="n">
        <v>53855</v>
      </c>
      <c r="E353" s="97" t="n">
        <v>397126770000</v>
      </c>
      <c r="F353" s="97" t="n">
        <v>435316018</v>
      </c>
      <c r="G353" s="98" t="n">
        <v>0.001</v>
      </c>
      <c r="H353" s="98" t="n">
        <v>0.0127</v>
      </c>
      <c r="I353" s="98" t="n">
        <v>0.0108</v>
      </c>
      <c r="J353" s="98" t="n">
        <v>0.010788</v>
      </c>
      <c r="K353" s="97" t="n">
        <v>1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4.4억(기준 5억 미만)</t>
        </is>
      </c>
      <c r="O353" s="96" t="inlineStr">
        <is>
          <t>KIS 회사채 2704만기형 지수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IFERROR(INDEX($A$4:$A$580,MATCH(350,$X$4:$X$580,0)),"")</f>
        <v/>
      </c>
    </row>
    <row r="354">
      <c r="A354" s="96" t="inlineStr">
        <is>
          <t>TIGER 골드선물(H)</t>
        </is>
      </c>
      <c r="B354" s="96" t="inlineStr">
        <is>
          <t>319640</t>
        </is>
      </c>
      <c r="C354" s="96" t="inlineStr">
        <is>
          <t>미래에셋자산운용</t>
        </is>
      </c>
      <c r="D354" s="97" t="n">
        <v>25300</v>
      </c>
      <c r="E354" s="97" t="n">
        <v>116380000000</v>
      </c>
      <c r="F354" s="97" t="n">
        <v>470957495</v>
      </c>
      <c r="G354" s="98" t="n">
        <v>0.0039</v>
      </c>
      <c r="H354" s="98" t="n">
        <v>0.2884</v>
      </c>
      <c r="I354" s="98" t="n">
        <v>0.0098</v>
      </c>
      <c r="J354" s="98" t="n">
        <v>0.010751</v>
      </c>
      <c r="K354" s="97" t="n">
        <v>1</v>
      </c>
      <c r="L354" s="99" t="inlineStr">
        <is>
          <t>20251229</t>
        </is>
      </c>
      <c r="M354" s="96" t="inlineStr">
        <is>
          <t>제외</t>
        </is>
      </c>
      <c r="N354" s="96" t="inlineStr">
        <is>
          <t>60일 거래대금 4.7억(기준 5억 미만)</t>
        </is>
      </c>
      <c r="O354" s="96" t="inlineStr">
        <is>
          <t>S&amp;P GSCI Gold Index TR CME</t>
        </is>
      </c>
      <c r="P354" s="96" t="inlineStr">
        <is>
          <t>일반</t>
        </is>
      </c>
      <c r="Q354" s="96" t="inlineStr">
        <is>
          <t>원자재</t>
        </is>
      </c>
      <c r="R354" s="96" t="inlineStr">
        <is>
          <t>연배당</t>
        </is>
      </c>
      <c r="S354" s="97" t="n">
        <v>1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IFERROR(INDEX($A$4:$A$580,MATCH(351,$X$4:$X$580,0)),"")</f>
        <v/>
      </c>
    </row>
    <row r="355">
      <c r="A355" s="96" t="inlineStr">
        <is>
          <t>PLUS 글로벌방산</t>
        </is>
      </c>
      <c r="B355" s="96" t="inlineStr">
        <is>
          <t>496770</t>
        </is>
      </c>
      <c r="C355" s="96" t="inlineStr">
        <is>
          <t>한화자산운용</t>
        </is>
      </c>
      <c r="D355" s="97" t="n">
        <v>16750</v>
      </c>
      <c r="E355" s="97" t="n">
        <v>30150000000</v>
      </c>
      <c r="F355" s="97" t="n">
        <v>220626224</v>
      </c>
      <c r="G355" s="98" t="n">
        <v>0.004500000000000001</v>
      </c>
      <c r="H355" s="98" t="n">
        <v>0.2483</v>
      </c>
      <c r="I355" s="98" t="n">
        <v>0.0098</v>
      </c>
      <c r="J355" s="98" t="n">
        <v>0.010746</v>
      </c>
      <c r="K355" s="97" t="n">
        <v>2</v>
      </c>
      <c r="L355" s="99" t="inlineStr">
        <is>
          <t>20260429</t>
        </is>
      </c>
      <c r="M355" s="96" t="inlineStr">
        <is>
          <t>제외</t>
        </is>
      </c>
      <c r="N355" s="96" t="inlineStr">
        <is>
          <t>60일 거래대금 2.2억(기준 5억 미만)</t>
        </is>
      </c>
      <c r="O355" s="96" t="inlineStr">
        <is>
          <t>Solactive Global Defense Index PR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IFERROR(INDEX($A$4:$A$580,MATCH(352,$X$4:$X$580,0)),"")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11160</v>
      </c>
      <c r="E356" s="97" t="n">
        <v>33480000000</v>
      </c>
      <c r="F356" s="97" t="n">
        <v>433227479</v>
      </c>
      <c r="G356" s="98" t="n">
        <v>0.0015</v>
      </c>
      <c r="H356" s="98" t="n">
        <v>0.1301</v>
      </c>
      <c r="I356" s="98" t="n">
        <v>0.0009</v>
      </c>
      <c r="J356" s="98" t="n">
        <v>0.010573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IFERROR(INDEX($A$4:$A$580,MATCH(353,$X$4:$X$580,0)),"")</f>
        <v/>
      </c>
    </row>
    <row r="357">
      <c r="A357" s="96" t="inlineStr">
        <is>
          <t>HK 200</t>
        </is>
      </c>
      <c r="B357" s="96" t="inlineStr">
        <is>
          <t>491700</t>
        </is>
      </c>
      <c r="C357" s="96" t="inlineStr">
        <is>
          <t>흥국자산운용</t>
        </is>
      </c>
      <c r="D357" s="97" t="n">
        <v>107280</v>
      </c>
      <c r="E357" s="97" t="n">
        <v>64368000000</v>
      </c>
      <c r="F357" s="97" t="n">
        <v>288115118</v>
      </c>
      <c r="G357" s="98" t="n">
        <v>0.0005</v>
      </c>
      <c r="H357" s="98" t="n">
        <v>0.5844</v>
      </c>
      <c r="I357" s="98" t="n">
        <v>0.0067</v>
      </c>
      <c r="J357" s="98" t="n">
        <v>0.010468</v>
      </c>
      <c r="K357" s="97" t="n">
        <v>3</v>
      </c>
      <c r="L357" s="99" t="inlineStr">
        <is>
          <t>20260429</t>
        </is>
      </c>
      <c r="M357" s="96" t="inlineStr">
        <is>
          <t>제외</t>
        </is>
      </c>
      <c r="N357" s="96" t="inlineStr">
        <is>
          <t>60일 거래대금 2.9억(기준 5억 미만), 변동성 58.4%(1년 기준, 기준 35% 초과)</t>
        </is>
      </c>
      <c r="O357" s="96" t="inlineStr">
        <is>
          <t>KOSPI 200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반기배당</t>
        </is>
      </c>
      <c r="S357" s="97" t="n">
        <v>2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IFERROR(INDEX($A$4:$A$580,MATCH(354,$X$4:$X$580,0)),"")</f>
        <v/>
      </c>
    </row>
    <row r="358">
      <c r="A358" s="96" t="inlineStr">
        <is>
          <t>TIGER 중장기국채</t>
        </is>
      </c>
      <c r="B358" s="96" t="inlineStr">
        <is>
          <t>302190</t>
        </is>
      </c>
      <c r="C358" s="96" t="inlineStr">
        <is>
          <t>미래에셋자산운용</t>
        </is>
      </c>
      <c r="D358" s="97" t="n">
        <v>49665</v>
      </c>
      <c r="E358" s="97" t="n">
        <v>191706900000</v>
      </c>
      <c r="F358" s="97" t="n">
        <v>335134131</v>
      </c>
      <c r="G358" s="98" t="n">
        <v>0.0015</v>
      </c>
      <c r="H358" s="98" t="n">
        <v>0.0428</v>
      </c>
      <c r="I358" s="98" t="n">
        <v>0.009899999999999999</v>
      </c>
      <c r="J358" s="98" t="n">
        <v>0.010369</v>
      </c>
      <c r="K358" s="97" t="n">
        <v>5</v>
      </c>
      <c r="L358" s="99" t="inlineStr">
        <is>
          <t>20251127</t>
        </is>
      </c>
      <c r="M358" s="96" t="inlineStr">
        <is>
          <t>제외</t>
        </is>
      </c>
      <c r="N358" s="96" t="inlineStr">
        <is>
          <t>60일 거래대금 3.4억(기준 5억 미만)</t>
        </is>
      </c>
      <c r="O358" s="96" t="inlineStr">
        <is>
          <t>KIS 3Y10Y KTB</t>
        </is>
      </c>
      <c r="P358" s="96" t="inlineStr">
        <is>
          <t>일반</t>
        </is>
      </c>
      <c r="Q358" s="96" t="inlineStr">
        <is>
          <t>채권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IFERROR(INDEX($A$4:$A$580,MATCH(355,$X$4:$X$580,0)),"")</f>
        <v/>
      </c>
    </row>
    <row r="359">
      <c r="A359" s="96" t="inlineStr">
        <is>
          <t>KODEX 삼성그룹밸류</t>
        </is>
      </c>
      <c r="B359" s="96" t="inlineStr">
        <is>
          <t>213610</t>
        </is>
      </c>
      <c r="C359" s="96" t="inlineStr">
        <is>
          <t>삼성자산운용(ETF)</t>
        </is>
      </c>
      <c r="D359" s="97" t="n">
        <v>21800</v>
      </c>
      <c r="E359" s="97" t="n">
        <v>259420000000</v>
      </c>
      <c r="F359" s="97" t="n">
        <v>604011965</v>
      </c>
      <c r="G359" s="98" t="n">
        <v>0.0009</v>
      </c>
      <c r="H359" s="98" t="n">
        <v>0.4593</v>
      </c>
      <c r="I359" s="98" t="n">
        <v>0.0002</v>
      </c>
      <c r="J359" s="98" t="n">
        <v>0.010275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변동성 45.9%(1년 기준, 기준 35% 초과)</t>
        </is>
      </c>
      <c r="O359" s="96" t="inlineStr">
        <is>
          <t>WISE 삼성그룹밸류인덱스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연배당</t>
        </is>
      </c>
      <c r="S359" s="97" t="n">
        <v>2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IFERROR(INDEX($A$4:$A$580,MATCH(356,$X$4:$X$580,0)),"")</f>
        <v/>
      </c>
    </row>
    <row r="360">
      <c r="A360" s="96" t="inlineStr">
        <is>
          <t>TIGER 미국S&amp;P500선물(H)</t>
        </is>
      </c>
      <c r="B360" s="96" t="inlineStr">
        <is>
          <t>143850</t>
        </is>
      </c>
      <c r="C360" s="96" t="inlineStr">
        <is>
          <t>미래에셋자산운용</t>
        </is>
      </c>
      <c r="D360" s="97" t="n">
        <v>76500</v>
      </c>
      <c r="E360" s="97" t="n">
        <v>89887500000</v>
      </c>
      <c r="F360" s="97" t="n">
        <v>297782727</v>
      </c>
      <c r="G360" s="98" t="n">
        <v>0.003</v>
      </c>
      <c r="H360" s="98" t="n">
        <v>0.1269</v>
      </c>
      <c r="I360" s="98" t="n">
        <v>0.0109</v>
      </c>
      <c r="J360" s="98" t="n">
        <v>0.010261</v>
      </c>
      <c r="K360" s="97" t="n">
        <v>1</v>
      </c>
      <c r="L360" s="99" t="inlineStr">
        <is>
          <t>20251229</t>
        </is>
      </c>
      <c r="M360" s="96" t="inlineStr">
        <is>
          <t>제외</t>
        </is>
      </c>
      <c r="N360" s="96" t="inlineStr">
        <is>
          <t>60일 거래대금 3.0억(기준 5억 미만)</t>
        </is>
      </c>
      <c r="O360" s="96" t="inlineStr">
        <is>
          <t>S&amp;P 500 Futures Index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IFERROR(INDEX($A$4:$A$580,MATCH(357,$X$4:$X$580,0)),"")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17980</v>
      </c>
      <c r="E361" s="97" t="n">
        <v>82708000000</v>
      </c>
      <c r="F361" s="97" t="n">
        <v>464585277</v>
      </c>
      <c r="G361" s="98" t="n">
        <v>4.7e-05</v>
      </c>
      <c r="H361" s="98" t="n">
        <v>0.1304</v>
      </c>
      <c r="I361" s="98" t="n">
        <v>0.0008</v>
      </c>
      <c r="J361" s="98" t="n">
        <v>0.010178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IFERROR(INDEX($A$4:$A$580,MATCH(358,$X$4:$X$580,0)),"")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31500</v>
      </c>
      <c r="E362" s="97" t="n">
        <v>77175000000</v>
      </c>
      <c r="F362" s="97" t="n">
        <v>89718672</v>
      </c>
      <c r="G362" s="98" t="n">
        <v>8.000000000000001e-05</v>
      </c>
      <c r="H362" s="98" t="n">
        <v>0.5236</v>
      </c>
      <c r="I362" s="98" t="n">
        <v>0.0031</v>
      </c>
      <c r="J362" s="98" t="n">
        <v>0.010159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0.9억(기준 5억 미만), 변동성 52.4%(1년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IFERROR(INDEX($A$4:$A$580,MATCH(359,$X$4:$X$580,0)),"")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31230</v>
      </c>
      <c r="E363" s="97" t="n">
        <v>84321000000</v>
      </c>
      <c r="F363" s="97" t="n">
        <v>190157473</v>
      </c>
      <c r="G363" s="98" t="n">
        <v>8.999999999999999e-05</v>
      </c>
      <c r="H363" s="98" t="n">
        <v>0.5236999999999999</v>
      </c>
      <c r="I363" s="98" t="n">
        <v>0.0014</v>
      </c>
      <c r="J363" s="98" t="n">
        <v>0.010086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1.9억(기준 5억 미만), 변동성 52.4%(1년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IFERROR(INDEX($A$4:$A$580,MATCH(360,$X$4:$X$580,0)),"")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106295</v>
      </c>
      <c r="E364" s="97" t="n">
        <v>754694500000</v>
      </c>
      <c r="F364" s="97" t="n">
        <v>20472964270</v>
      </c>
      <c r="G364" s="98" t="n">
        <v>0.0005</v>
      </c>
      <c r="H364" s="98" t="n">
        <v>0.5832000000000001</v>
      </c>
      <c r="I364" s="98" t="n">
        <v>0.0015</v>
      </c>
      <c r="J364" s="98" t="n">
        <v>0.010066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IFERROR(INDEX($A$4:$A$580,MATCH(361,$X$4:$X$580,0)),"")</f>
        <v/>
      </c>
    </row>
    <row r="365">
      <c r="A365" s="96" t="inlineStr">
        <is>
          <t>TIGER 미국나스닥100레버리지(합성)</t>
        </is>
      </c>
      <c r="B365" s="96" t="inlineStr">
        <is>
          <t>418660</t>
        </is>
      </c>
      <c r="C365" s="96" t="inlineStr">
        <is>
          <t>미래에셋자산운용</t>
        </is>
      </c>
      <c r="D365" s="97" t="n">
        <v>39060</v>
      </c>
      <c r="E365" s="97" t="n">
        <v>675738000000</v>
      </c>
      <c r="F365" s="97" t="n">
        <v>12938373505</v>
      </c>
      <c r="G365" s="98" t="n">
        <v>0.0025</v>
      </c>
      <c r="H365" s="98" t="n">
        <v>0.4122999999999999</v>
      </c>
      <c r="I365" s="98" t="n">
        <v>0.0107</v>
      </c>
      <c r="J365" s="98" t="n">
        <v>0.009729</v>
      </c>
      <c r="K365" s="97" t="n">
        <v>1</v>
      </c>
      <c r="L365" s="99" t="inlineStr">
        <is>
          <t>20251229</t>
        </is>
      </c>
      <c r="M365" s="96" t="inlineStr">
        <is>
          <t>제외</t>
        </is>
      </c>
      <c r="N365" s="96" t="inlineStr">
        <is>
          <t>변동성 41.2%(1년 기준, 기준 35% 초과)</t>
        </is>
      </c>
      <c r="O365" s="96" t="inlineStr">
        <is>
          <t>나스닥 100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IFERROR(INDEX($A$4:$A$580,MATCH(362,$X$4:$X$580,0)),"")</f>
        <v/>
      </c>
    </row>
    <row r="366">
      <c r="A366" s="96" t="inlineStr">
        <is>
          <t>KIWOOM 미국S&amp;P500(H)</t>
        </is>
      </c>
      <c r="B366" s="96" t="inlineStr">
        <is>
          <t>449780</t>
        </is>
      </c>
      <c r="C366" s="96" t="inlineStr">
        <is>
          <t>키움투자자산운용</t>
        </is>
      </c>
      <c r="D366" s="97" t="n">
        <v>18470</v>
      </c>
      <c r="E366" s="97" t="n">
        <v>33246000000</v>
      </c>
      <c r="F366" s="97" t="n">
        <v>166381768</v>
      </c>
      <c r="G366" s="98" t="n">
        <v>0.0004</v>
      </c>
      <c r="H366" s="98" t="n">
        <v>0.1288</v>
      </c>
      <c r="I366" s="98" t="n">
        <v>0.0024</v>
      </c>
      <c r="J366" s="98" t="n">
        <v>0.009691</v>
      </c>
      <c r="K366" s="97" t="n">
        <v>7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1.7억(기준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4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IFERROR(INDEX($A$4:$A$580,MATCH(363,$X$4:$X$580,0)),"")</f>
        <v/>
      </c>
    </row>
    <row r="367">
      <c r="A367" s="96" t="inlineStr">
        <is>
          <t>TIGER 차이나CSI300레버리지(합성)</t>
        </is>
      </c>
      <c r="B367" s="96" t="inlineStr">
        <is>
          <t>204480</t>
        </is>
      </c>
      <c r="C367" s="96" t="inlineStr">
        <is>
          <t>미래에셋자산운용</t>
        </is>
      </c>
      <c r="D367" s="97" t="n">
        <v>22950</v>
      </c>
      <c r="E367" s="97" t="n">
        <v>85374000000</v>
      </c>
      <c r="F367" s="97" t="n">
        <v>129911473</v>
      </c>
      <c r="G367" s="98" t="n">
        <v>0.0058</v>
      </c>
      <c r="H367" s="98" t="n">
        <v>0.4545</v>
      </c>
      <c r="I367" s="98" t="n">
        <v>0.008100000000000001</v>
      </c>
      <c r="J367" s="98" t="n">
        <v>0.009586000000000001</v>
      </c>
      <c r="K367" s="97" t="n">
        <v>1</v>
      </c>
      <c r="L367" s="99" t="inlineStr">
        <is>
          <t>20251229</t>
        </is>
      </c>
      <c r="M367" s="96" t="inlineStr">
        <is>
          <t>제외</t>
        </is>
      </c>
      <c r="N367" s="96" t="inlineStr">
        <is>
          <t>60일 거래대금 1.3억(기준 5억 미만), 변동성 45.5%(1년 기준, 기준 35% 초과)</t>
        </is>
      </c>
      <c r="O367" s="96" t="inlineStr">
        <is>
          <t>CSI 300 INDEX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IFERROR(INDEX($A$4:$A$580,MATCH(364,$X$4:$X$580,0)),"")</f>
        <v/>
      </c>
    </row>
    <row r="368">
      <c r="A368" s="96" t="inlineStr">
        <is>
          <t>ACE 삼성그룹섹터가중</t>
        </is>
      </c>
      <c r="B368" s="96" t="inlineStr">
        <is>
          <t>108450</t>
        </is>
      </c>
      <c r="C368" s="96" t="inlineStr">
        <is>
          <t>한국투신운용(ETF)</t>
        </is>
      </c>
      <c r="D368" s="97" t="n">
        <v>38800</v>
      </c>
      <c r="E368" s="97" t="n">
        <v>77600000000</v>
      </c>
      <c r="F368" s="97" t="n">
        <v>765142694</v>
      </c>
      <c r="G368" s="98" t="n">
        <v>0.0015</v>
      </c>
      <c r="H368" s="98" t="n">
        <v>0.4834000000000001</v>
      </c>
      <c r="I368" s="98" t="n">
        <v>0.009899999999999999</v>
      </c>
      <c r="J368" s="98" t="n">
        <v>0.009535999999999999</v>
      </c>
      <c r="K368" s="97" t="n">
        <v>5</v>
      </c>
      <c r="L368" s="99" t="inlineStr">
        <is>
          <t>20260429</t>
        </is>
      </c>
      <c r="M368" s="96" t="inlineStr">
        <is>
          <t>제외</t>
        </is>
      </c>
      <c r="N368" s="96" t="inlineStr">
        <is>
          <t>변동성 48.3%(1년 기준, 기준 35% 초과)</t>
        </is>
      </c>
      <c r="O368" s="96" t="inlineStr">
        <is>
          <t>FnGuide SAMs SW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IFERROR(INDEX($A$4:$A$580,MATCH(365,$X$4:$X$580,0)),"")</f>
        <v/>
      </c>
    </row>
    <row r="369">
      <c r="A369" s="96" t="inlineStr">
        <is>
          <t>KIWOOM 코리아밸류업</t>
        </is>
      </c>
      <c r="B369" s="96" t="inlineStr">
        <is>
          <t>496090</t>
        </is>
      </c>
      <c r="C369" s="96" t="inlineStr">
        <is>
          <t>키움투자자산운용</t>
        </is>
      </c>
      <c r="D369" s="97" t="n">
        <v>31490</v>
      </c>
      <c r="E369" s="97" t="n">
        <v>103917000000</v>
      </c>
      <c r="F369" s="97" t="n">
        <v>101194779</v>
      </c>
      <c r="G369" s="98" t="n">
        <v>8.999999999999999e-05</v>
      </c>
      <c r="H369" s="98" t="n">
        <v>0.5243</v>
      </c>
      <c r="I369" s="98" t="n">
        <v>0.0018</v>
      </c>
      <c r="J369" s="98" t="n">
        <v>0.009527000000000001</v>
      </c>
      <c r="K369" s="97" t="n">
        <v>6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60일 거래대금 1.0억(기준 5억 미만), 변동성 52.4%(1년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4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IFERROR(INDEX($A$4:$A$580,MATCH(366,$X$4:$X$580,0)),"")</f>
        <v/>
      </c>
    </row>
    <row r="370">
      <c r="A370" s="96" t="inlineStr">
        <is>
          <t>TIGER 코리아밸류업</t>
        </is>
      </c>
      <c r="B370" s="96" t="inlineStr">
        <is>
          <t>496080</t>
        </is>
      </c>
      <c r="C370" s="96" t="inlineStr">
        <is>
          <t>미래에셋자산운용</t>
        </is>
      </c>
      <c r="D370" s="97" t="n">
        <v>31635</v>
      </c>
      <c r="E370" s="97" t="n">
        <v>495087750000</v>
      </c>
      <c r="F370" s="97" t="n">
        <v>12454450295</v>
      </c>
      <c r="G370" s="98" t="n">
        <v>8.000000000000001e-05</v>
      </c>
      <c r="H370" s="98" t="n">
        <v>0.5228</v>
      </c>
      <c r="I370" s="98" t="n">
        <v>0.0009</v>
      </c>
      <c r="J370" s="98" t="n">
        <v>0.009483</v>
      </c>
      <c r="K370" s="97" t="n">
        <v>20</v>
      </c>
      <c r="L370" s="99" t="inlineStr">
        <is>
          <t>20260828</t>
        </is>
      </c>
      <c r="M370" s="96" t="inlineStr">
        <is>
          <t>제외</t>
        </is>
      </c>
      <c r="N370" s="96" t="inlineStr">
        <is>
          <t>변동성 52.3%(1년 기준, 기준 35% 초과)</t>
        </is>
      </c>
      <c r="O370" s="96" t="inlineStr">
        <is>
          <t>코리아 밸류업 지수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월배당</t>
        </is>
      </c>
      <c r="S370" s="97" t="n">
        <v>11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IFERROR(INDEX($A$4:$A$580,MATCH(367,$X$4:$X$580,0)),"")</f>
        <v/>
      </c>
    </row>
    <row r="371">
      <c r="A371" s="96" t="inlineStr">
        <is>
          <t>FOCUS AI코리아액티브</t>
        </is>
      </c>
      <c r="B371" s="96" t="inlineStr">
        <is>
          <t>448570</t>
        </is>
      </c>
      <c r="C371" s="96" t="inlineStr">
        <is>
          <t>브이아이자산운용</t>
        </is>
      </c>
      <c r="D371" s="97" t="n">
        <v>29525</v>
      </c>
      <c r="E371" s="97" t="n">
        <v>39858750000</v>
      </c>
      <c r="F371" s="97" t="n">
        <v>17240337</v>
      </c>
      <c r="G371" s="98" t="n">
        <v>0.00455</v>
      </c>
      <c r="H371" s="98" t="n">
        <v>0.459</v>
      </c>
      <c r="I371" s="98" t="n">
        <v>0.0097</v>
      </c>
      <c r="J371" s="98" t="n">
        <v>0.009483</v>
      </c>
      <c r="K371" s="97" t="n">
        <v>4</v>
      </c>
      <c r="L371" s="99" t="inlineStr">
        <is>
          <t>20260429</t>
        </is>
      </c>
      <c r="M371" s="96" t="inlineStr">
        <is>
          <t>제외</t>
        </is>
      </c>
      <c r="N371" s="96" t="inlineStr">
        <is>
          <t>60일 거래대금 0.2억(기준 5억 미만), 변동성 45.9%(1년 기준, 기준 35% 초과)</t>
        </is>
      </c>
      <c r="O371" s="96" t="inlineStr">
        <is>
          <t>코스피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연배당</t>
        </is>
      </c>
      <c r="S371" s="97" t="n">
        <v>1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IFERROR(INDEX($A$4:$A$580,MATCH(368,$X$4:$X$580,0)),"")</f>
        <v/>
      </c>
    </row>
    <row r="372">
      <c r="A372" s="96" t="inlineStr">
        <is>
          <t>RISE 200</t>
        </is>
      </c>
      <c r="B372" s="96" t="inlineStr">
        <is>
          <t>148020</t>
        </is>
      </c>
      <c r="C372" s="96" t="inlineStr">
        <is>
          <t>KB자산운용</t>
        </is>
      </c>
      <c r="D372" s="97" t="n">
        <v>107185</v>
      </c>
      <c r="E372" s="97" t="n">
        <v>4335633250000</v>
      </c>
      <c r="F372" s="97" t="n">
        <v>138347189189</v>
      </c>
      <c r="G372" s="98" t="n">
        <v>0.00017</v>
      </c>
      <c r="H372" s="98" t="n">
        <v>0.5844</v>
      </c>
      <c r="I372" s="98" t="n">
        <v>0.0013</v>
      </c>
      <c r="J372" s="98" t="n">
        <v>0.009423000000000001</v>
      </c>
      <c r="K372" s="97" t="n">
        <v>20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변동성 58.4%(1년 기준, 기준 35% 초과)</t>
        </is>
      </c>
      <c r="O372" s="96" t="inlineStr">
        <is>
          <t>KOSPI 200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4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IFERROR(INDEX($A$4:$A$580,MATCH(369,$X$4:$X$580,0)),"")</f>
        <v/>
      </c>
    </row>
    <row r="373">
      <c r="A373" s="96" t="inlineStr">
        <is>
          <t>마이티 다이나믹퀀트액티브</t>
        </is>
      </c>
      <c r="B373" s="96" t="inlineStr">
        <is>
          <t>442260</t>
        </is>
      </c>
      <c r="C373" s="96" t="inlineStr">
        <is>
          <t>DB자산운용</t>
        </is>
      </c>
      <c r="D373" s="97" t="n">
        <v>37180</v>
      </c>
      <c r="E373" s="97" t="n">
        <v>46103200000</v>
      </c>
      <c r="F373" s="97" t="n">
        <v>250408746</v>
      </c>
      <c r="G373" s="98" t="n">
        <v>0.00295</v>
      </c>
      <c r="H373" s="98" t="n">
        <v>0.5969</v>
      </c>
      <c r="I373" s="98" t="n">
        <v>0.009899999999999999</v>
      </c>
      <c r="J373" s="98" t="n">
        <v>0.009414</v>
      </c>
      <c r="K373" s="97" t="n">
        <v>4</v>
      </c>
      <c r="L373" s="99" t="inlineStr">
        <is>
          <t>20260429</t>
        </is>
      </c>
      <c r="M373" s="96" t="inlineStr">
        <is>
          <t>제외</t>
        </is>
      </c>
      <c r="N373" s="96" t="inlineStr">
        <is>
          <t>60일 거래대금 2.5억(기준 5억 미만), 변동성 59.7%(1년 기준, 기준 35% 초과)</t>
        </is>
      </c>
      <c r="O373" s="96" t="inlineStr">
        <is>
          <t>KOSPI 200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IFERROR(INDEX($A$4:$A$580,MATCH(370,$X$4:$X$580,0)),"")</f>
        <v/>
      </c>
    </row>
    <row r="374">
      <c r="A374" s="96" t="inlineStr">
        <is>
          <t>PLUS 미국S&amp;P500</t>
        </is>
      </c>
      <c r="B374" s="96" t="inlineStr">
        <is>
          <t>429760</t>
        </is>
      </c>
      <c r="C374" s="96" t="inlineStr">
        <is>
          <t>한화자산운용</t>
        </is>
      </c>
      <c r="D374" s="97" t="n">
        <v>19405</v>
      </c>
      <c r="E374" s="97" t="n">
        <v>44631500000</v>
      </c>
      <c r="F374" s="97" t="n">
        <v>184280440</v>
      </c>
      <c r="G374" s="98" t="n">
        <v>6.2e-05</v>
      </c>
      <c r="H374" s="98" t="n">
        <v>0.145</v>
      </c>
      <c r="I374" s="98" t="n">
        <v>0.002</v>
      </c>
      <c r="J374" s="98" t="n">
        <v>0.009379</v>
      </c>
      <c r="K374" s="97" t="n">
        <v>11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1.8억(기준 5억 미만)</t>
        </is>
      </c>
      <c r="O374" s="96" t="inlineStr">
        <is>
          <t>S&amp;P 500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4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IFERROR(INDEX($A$4:$A$580,MATCH(371,$X$4:$X$580,0)),"")</f>
        <v/>
      </c>
    </row>
    <row r="375">
      <c r="A375" s="96" t="inlineStr">
        <is>
          <t>TIGER 글로벌자율주행&amp;전기차SOLACTIVE</t>
        </is>
      </c>
      <c r="B375" s="96" t="inlineStr">
        <is>
          <t>394660</t>
        </is>
      </c>
      <c r="C375" s="96" t="inlineStr">
        <is>
          <t>미래에셋자산운용</t>
        </is>
      </c>
      <c r="D375" s="97" t="n">
        <v>15135</v>
      </c>
      <c r="E375" s="97" t="n">
        <v>99285600000</v>
      </c>
      <c r="F375" s="97" t="n">
        <v>151849066</v>
      </c>
      <c r="G375" s="98" t="n">
        <v>0.0049</v>
      </c>
      <c r="H375" s="98" t="n">
        <v>0.2726</v>
      </c>
      <c r="I375" s="98" t="n">
        <v>0.009599999999999999</v>
      </c>
      <c r="J375" s="98" t="n">
        <v>0.009316</v>
      </c>
      <c r="K375" s="97" t="n">
        <v>1</v>
      </c>
      <c r="L375" s="99" t="inlineStr">
        <is>
          <t>20251229</t>
        </is>
      </c>
      <c r="M375" s="96" t="inlineStr">
        <is>
          <t>제외</t>
        </is>
      </c>
      <c r="N375" s="96" t="inlineStr">
        <is>
          <t>60일 거래대금 1.5억(기준 5억 미만)</t>
        </is>
      </c>
      <c r="O375" s="96" t="inlineStr">
        <is>
          <t>Solactive Autonomous &amp; Electric Vehicles Index PR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IFERROR(INDEX($A$4:$A$580,MATCH(372,$X$4:$X$580,0)),"")</f>
        <v/>
      </c>
    </row>
    <row r="376">
      <c r="A376" s="96" t="inlineStr">
        <is>
          <t>KODEX KRX300</t>
        </is>
      </c>
      <c r="B376" s="96" t="inlineStr">
        <is>
          <t>292190</t>
        </is>
      </c>
      <c r="C376" s="96" t="inlineStr">
        <is>
          <t>삼성자산운용(ETF)</t>
        </is>
      </c>
      <c r="D376" s="97" t="n">
        <v>46880</v>
      </c>
      <c r="E376" s="97" t="n">
        <v>70320000000</v>
      </c>
      <c r="F376" s="97" t="n">
        <v>1448519644</v>
      </c>
      <c r="G376" s="98" t="n">
        <v>0.0005</v>
      </c>
      <c r="H376" s="98" t="n">
        <v>0.573</v>
      </c>
      <c r="I376" s="98" t="n">
        <v>0.0024</v>
      </c>
      <c r="J376" s="98" t="n">
        <v>0.009214999999999999</v>
      </c>
      <c r="K376" s="97" t="n">
        <v>6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변동성 57.3%(1년 기준, 기준 35% 초과)</t>
        </is>
      </c>
      <c r="O376" s="96" t="inlineStr">
        <is>
          <t>KRX300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2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IFERROR(INDEX($A$4:$A$580,MATCH(373,$X$4:$X$580,0)),"")</f>
        <v/>
      </c>
    </row>
    <row r="377">
      <c r="A377" s="96" t="inlineStr">
        <is>
          <t>ACE 200</t>
        </is>
      </c>
      <c r="B377" s="96" t="inlineStr">
        <is>
          <t>105190</t>
        </is>
      </c>
      <c r="C377" s="96" t="inlineStr">
        <is>
          <t>한국투신운용(ETF)</t>
        </is>
      </c>
      <c r="D377" s="97" t="n">
        <v>106585</v>
      </c>
      <c r="E377" s="97" t="n">
        <v>1641409000000</v>
      </c>
      <c r="F377" s="97" t="n">
        <v>42806309286</v>
      </c>
      <c r="G377" s="98" t="n">
        <v>0.00017</v>
      </c>
      <c r="H377" s="98" t="n">
        <v>0.5849</v>
      </c>
      <c r="I377" s="98" t="n">
        <v>0.0017</v>
      </c>
      <c r="J377" s="98" t="n">
        <v>0.009101</v>
      </c>
      <c r="K377" s="97" t="n">
        <v>9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변동성 58.5%(1년 기준, 기준 35% 초과)</t>
        </is>
      </c>
      <c r="O377" s="96" t="inlineStr">
        <is>
          <t>KOSPI 200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4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IFERROR(INDEX($A$4:$A$580,MATCH(374,$X$4:$X$580,0)),"")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20580</v>
      </c>
      <c r="E378" s="97" t="n">
        <v>117306000000</v>
      </c>
      <c r="F378" s="97" t="n">
        <v>374192908</v>
      </c>
      <c r="G378" s="98" t="n">
        <v>0.0015</v>
      </c>
      <c r="H378" s="98" t="n">
        <v>0.148</v>
      </c>
      <c r="I378" s="98" t="n">
        <v>0.0022</v>
      </c>
      <c r="J378" s="98" t="n">
        <v>0.009038000000000001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IFERROR(INDEX($A$4:$A$580,MATCH(375,$X$4:$X$580,0)),"")</f>
        <v/>
      </c>
    </row>
    <row r="379">
      <c r="A379" s="96" t="inlineStr">
        <is>
          <t>KODEX 가치주</t>
        </is>
      </c>
      <c r="B379" s="96" t="inlineStr">
        <is>
          <t>275290</t>
        </is>
      </c>
      <c r="C379" s="96" t="inlineStr">
        <is>
          <t>삼성자산운용(ETF)</t>
        </is>
      </c>
      <c r="D379" s="97" t="n">
        <v>33900</v>
      </c>
      <c r="E379" s="97" t="n">
        <v>30510000000</v>
      </c>
      <c r="F379" s="97" t="n">
        <v>182872462</v>
      </c>
      <c r="G379" s="98" t="n">
        <v>0.003</v>
      </c>
      <c r="H379" s="98" t="n">
        <v>0.5545</v>
      </c>
      <c r="I379" s="98" t="n">
        <v>0.0031</v>
      </c>
      <c r="J379" s="98" t="n">
        <v>0.008997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60일 거래대금 1.8억(기준 5억 미만), 변동성 55.5%(1년 기준, 기준 35% 초과)</t>
        </is>
      </c>
      <c r="O379" s="96" t="inlineStr">
        <is>
          <t>MSCI Korea IMI Enhanced Value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IFERROR(INDEX($A$4:$A$580,MATCH(376,$X$4:$X$580,0)),"")</f>
        <v/>
      </c>
    </row>
    <row r="380">
      <c r="A380" s="96" t="inlineStr">
        <is>
          <t>PLUS 200</t>
        </is>
      </c>
      <c r="B380" s="96" t="inlineStr">
        <is>
          <t>152100</t>
        </is>
      </c>
      <c r="C380" s="96" t="inlineStr">
        <is>
          <t>한화자산운용</t>
        </is>
      </c>
      <c r="D380" s="97" t="n">
        <v>107900</v>
      </c>
      <c r="E380" s="97" t="n">
        <v>1451255000000</v>
      </c>
      <c r="F380" s="97" t="n">
        <v>42305730557</v>
      </c>
      <c r="G380" s="98" t="n">
        <v>0.00017</v>
      </c>
      <c r="H380" s="98" t="n">
        <v>0.5849</v>
      </c>
      <c r="I380" s="98" t="n">
        <v>0.0017</v>
      </c>
      <c r="J380" s="98" t="n">
        <v>0.00899</v>
      </c>
      <c r="K380" s="97" t="n">
        <v>14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IFERROR(INDEX($A$4:$A$580,MATCH(377,$X$4:$X$580,0)),"")</f>
        <v/>
      </c>
    </row>
    <row r="381">
      <c r="A381" s="96" t="inlineStr">
        <is>
          <t>파워 200</t>
        </is>
      </c>
      <c r="B381" s="96" t="inlineStr">
        <is>
          <t>152870</t>
        </is>
      </c>
      <c r="C381" s="96" t="inlineStr">
        <is>
          <t>교보악사자산운용</t>
        </is>
      </c>
      <c r="D381" s="97" t="n">
        <v>107315</v>
      </c>
      <c r="E381" s="97" t="n">
        <v>150241000000</v>
      </c>
      <c r="F381" s="97" t="n">
        <v>1338473196</v>
      </c>
      <c r="G381" s="98" t="n">
        <v>0.00145</v>
      </c>
      <c r="H381" s="98" t="n">
        <v>0.584</v>
      </c>
      <c r="I381" s="98" t="n">
        <v>0.001</v>
      </c>
      <c r="J381" s="98" t="n">
        <v>0.008983</v>
      </c>
      <c r="K381" s="97" t="n">
        <v>14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58.4%(1년 기준, 기준 35% 초과)</t>
        </is>
      </c>
      <c r="O381" s="96" t="inlineStr">
        <is>
          <t>KOSPI 200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분기배당</t>
        </is>
      </c>
      <c r="S381" s="97" t="n">
        <v>3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IFERROR(INDEX($A$4:$A$580,MATCH(378,$X$4:$X$580,0)),"")</f>
        <v/>
      </c>
    </row>
    <row r="382">
      <c r="A382" s="96" t="inlineStr">
        <is>
          <t>KODEX 코스피</t>
        </is>
      </c>
      <c r="B382" s="96" t="inlineStr">
        <is>
          <t>226490</t>
        </is>
      </c>
      <c r="C382" s="96" t="inlineStr">
        <is>
          <t>삼성자산운용(ETF)</t>
        </is>
      </c>
      <c r="D382" s="97" t="n">
        <v>69000</v>
      </c>
      <c r="E382" s="97" t="n">
        <v>1407600000000</v>
      </c>
      <c r="F382" s="97" t="n">
        <v>41102874544</v>
      </c>
      <c r="G382" s="98" t="n">
        <v>0.0015</v>
      </c>
      <c r="H382" s="98" t="n">
        <v>0.5393</v>
      </c>
      <c r="I382" s="98" t="n">
        <v>0.0026</v>
      </c>
      <c r="J382" s="98" t="n">
        <v>0.008971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53.9%(1년 기준, 기준 35% 초과)</t>
        </is>
      </c>
      <c r="O382" s="96" t="inlineStr">
        <is>
          <t>코스피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IFERROR(INDEX($A$4:$A$580,MATCH(379,$X$4:$X$580,0)),"")</f>
        <v/>
      </c>
    </row>
    <row r="383">
      <c r="A383" s="96" t="inlineStr">
        <is>
          <t>KODEX 자율주행액티브</t>
        </is>
      </c>
      <c r="B383" s="96" t="inlineStr">
        <is>
          <t>385520</t>
        </is>
      </c>
      <c r="C383" s="96" t="inlineStr">
        <is>
          <t>삼성자산운용(ETF)</t>
        </is>
      </c>
      <c r="D383" s="97" t="n">
        <v>15295</v>
      </c>
      <c r="E383" s="97" t="n">
        <v>32884250000</v>
      </c>
      <c r="F383" s="97" t="n">
        <v>242879161</v>
      </c>
      <c r="G383" s="98" t="n">
        <v>0.005</v>
      </c>
      <c r="H383" s="98" t="n">
        <v>0.5182</v>
      </c>
      <c r="I383" s="98" t="n">
        <v>0.0075</v>
      </c>
      <c r="J383" s="98" t="n">
        <v>0.008892000000000001</v>
      </c>
      <c r="K383" s="97" t="n">
        <v>5</v>
      </c>
      <c r="L383" s="99" t="inlineStr">
        <is>
          <t>20260429</t>
        </is>
      </c>
      <c r="M383" s="96" t="inlineStr">
        <is>
          <t>제외</t>
        </is>
      </c>
      <c r="N383" s="96" t="inlineStr">
        <is>
          <t>60일 거래대금 2.4억(기준 5억 미만), 변동성 51.8%(1년 기준, 기준 35% 초과)</t>
        </is>
      </c>
      <c r="O383" s="96" t="inlineStr">
        <is>
          <t>FnGuide K-미래차 지수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연배당</t>
        </is>
      </c>
      <c r="S383" s="97" t="n">
        <v>1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IFERROR(INDEX($A$4:$A$580,MATCH(380,$X$4:$X$580,0)),"")</f>
        <v/>
      </c>
    </row>
    <row r="384">
      <c r="A384" s="96" t="inlineStr">
        <is>
          <t>TIGER 코스닥150바이오테크</t>
        </is>
      </c>
      <c r="B384" s="96" t="inlineStr">
        <is>
          <t>261070</t>
        </is>
      </c>
      <c r="C384" s="96" t="inlineStr">
        <is>
          <t>미래에셋자산운용</t>
        </is>
      </c>
      <c r="D384" s="97" t="n">
        <v>11255</v>
      </c>
      <c r="E384" s="97" t="n">
        <v>51998100000</v>
      </c>
      <c r="F384" s="97" t="n">
        <v>2948683312</v>
      </c>
      <c r="G384" s="98" t="n">
        <v>0.004</v>
      </c>
      <c r="H384" s="98" t="n">
        <v>0.5770000000000001</v>
      </c>
      <c r="I384" s="98" t="n">
        <v>0.0053</v>
      </c>
      <c r="J384" s="98" t="n">
        <v>0.008884999999999999</v>
      </c>
      <c r="K384" s="97" t="n">
        <v>5</v>
      </c>
      <c r="L384" s="99" t="inlineStr">
        <is>
          <t>20260429</t>
        </is>
      </c>
      <c r="M384" s="96" t="inlineStr">
        <is>
          <t>제외</t>
        </is>
      </c>
      <c r="N384" s="96" t="inlineStr">
        <is>
          <t>변동성 57.7%(1년 기준, 기준 35% 초과)</t>
        </is>
      </c>
      <c r="O384" s="96" t="inlineStr">
        <is>
          <t>코스닥 150 헬스케어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1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IFERROR(INDEX($A$4:$A$580,MATCH(381,$X$4:$X$580,0)),"")</f>
        <v/>
      </c>
    </row>
    <row r="385">
      <c r="A385" s="96" t="inlineStr">
        <is>
          <t>TIGER 200</t>
        </is>
      </c>
      <c r="B385" s="96" t="inlineStr">
        <is>
          <t>102110</t>
        </is>
      </c>
      <c r="C385" s="96" t="inlineStr">
        <is>
          <t>미래에셋자산운용</t>
        </is>
      </c>
      <c r="D385" s="97" t="n">
        <v>106520</v>
      </c>
      <c r="E385" s="97" t="n">
        <v>9821144000000</v>
      </c>
      <c r="F385" s="97" t="n">
        <v>856260337778</v>
      </c>
      <c r="G385" s="98" t="n">
        <v>0.0005</v>
      </c>
      <c r="H385" s="98" t="n">
        <v>0.5852000000000001</v>
      </c>
      <c r="I385" s="98" t="n">
        <v>0.0015</v>
      </c>
      <c r="J385" s="98" t="n">
        <v>0.008711999999999999</v>
      </c>
      <c r="K385" s="97" t="n">
        <v>20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IFERROR(INDEX($A$4:$A$580,MATCH(382,$X$4:$X$580,0)),"")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6940</v>
      </c>
      <c r="E386" s="97" t="n">
        <v>102712000000</v>
      </c>
      <c r="F386" s="97" t="n">
        <v>4303328093</v>
      </c>
      <c r="G386" s="98" t="n">
        <v>0.003</v>
      </c>
      <c r="H386" s="98" t="n">
        <v>0.4606</v>
      </c>
      <c r="I386" s="98" t="n">
        <v>0.0062</v>
      </c>
      <c r="J386" s="98" t="n">
        <v>0.008646000000000001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46.1%(1년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IFERROR(INDEX($A$4:$A$580,MATCH(383,$X$4:$X$580,0)),"")</f>
        <v/>
      </c>
    </row>
    <row r="387">
      <c r="A387" s="96" t="inlineStr">
        <is>
          <t>KODEX 200ESG</t>
        </is>
      </c>
      <c r="B387" s="96" t="inlineStr">
        <is>
          <t>337160</t>
        </is>
      </c>
      <c r="C387" s="96" t="inlineStr">
        <is>
          <t>삼성자산운용(ETF)</t>
        </is>
      </c>
      <c r="D387" s="97" t="n">
        <v>46815</v>
      </c>
      <c r="E387" s="97" t="n">
        <v>159171000000</v>
      </c>
      <c r="F387" s="97" t="n">
        <v>2751831211</v>
      </c>
      <c r="G387" s="98" t="n">
        <v>0.0009</v>
      </c>
      <c r="H387" s="98" t="n">
        <v>0.591</v>
      </c>
      <c r="I387" s="98" t="n">
        <v>0.002</v>
      </c>
      <c r="J387" s="98" t="n">
        <v>0.008607999999999999</v>
      </c>
      <c r="K387" s="97" t="n">
        <v>7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59.1%(1년 기준, 기준 35% 초과)</t>
        </is>
      </c>
      <c r="O387" s="96" t="inlineStr">
        <is>
          <t>코스피 200 ESG 지수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3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IFERROR(INDEX($A$4:$A$580,MATCH(384,$X$4:$X$580,0)),"")</f>
        <v/>
      </c>
    </row>
    <row r="388">
      <c r="A388" s="96" t="inlineStr">
        <is>
          <t>TIGER 인도빌리언컨슈머</t>
        </is>
      </c>
      <c r="B388" s="96" t="inlineStr">
        <is>
          <t>479730</t>
        </is>
      </c>
      <c r="C388" s="96" t="inlineStr">
        <is>
          <t>미래에셋자산운용</t>
        </is>
      </c>
      <c r="D388" s="97" t="n">
        <v>9650</v>
      </c>
      <c r="E388" s="97" t="n">
        <v>56935000000</v>
      </c>
      <c r="F388" s="97" t="n">
        <v>177778243</v>
      </c>
      <c r="G388" s="98" t="n">
        <v>0.0049</v>
      </c>
      <c r="H388" s="98" t="n">
        <v>0.1952</v>
      </c>
      <c r="I388" s="98" t="n">
        <v>0.0033</v>
      </c>
      <c r="J388" s="98" t="n">
        <v>0.008600999999999999</v>
      </c>
      <c r="K388" s="97" t="n">
        <v>9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60일 거래대금 1.8억(기준 5억 미만)</t>
        </is>
      </c>
      <c r="O388" s="96" t="inlineStr">
        <is>
          <t>Mirae Asset India Billion Consumer Index PR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IFERROR(INDEX($A$4:$A$580,MATCH(385,$X$4:$X$580,0)),"")</f>
        <v/>
      </c>
    </row>
    <row r="389">
      <c r="A389" s="96" t="inlineStr">
        <is>
          <t>TIGER 코리아TOP10</t>
        </is>
      </c>
      <c r="B389" s="96" t="inlineStr">
        <is>
          <t>292150</t>
        </is>
      </c>
      <c r="C389" s="96" t="inlineStr">
        <is>
          <t>미래에셋자산운용</t>
        </is>
      </c>
      <c r="D389" s="97" t="n">
        <v>37480</v>
      </c>
      <c r="E389" s="97" t="n">
        <v>1819654000000</v>
      </c>
      <c r="F389" s="97" t="n">
        <v>51246632012</v>
      </c>
      <c r="G389" s="98" t="n">
        <v>0.0015</v>
      </c>
      <c r="H389" s="98" t="n">
        <v>0.5936</v>
      </c>
      <c r="I389" s="98" t="n">
        <v>0.0027</v>
      </c>
      <c r="J389" s="98" t="n">
        <v>0.008591</v>
      </c>
      <c r="K389" s="97" t="n">
        <v>16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59.4%(1년 기준, 기준 35% 초과)</t>
        </is>
      </c>
      <c r="O389" s="96" t="inlineStr">
        <is>
          <t>FnGuide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IFERROR(INDEX($A$4:$A$580,MATCH(386,$X$4:$X$580,0)),"")</f>
        <v/>
      </c>
    </row>
    <row r="390">
      <c r="A390" s="96" t="inlineStr">
        <is>
          <t>TIGER 200 중공업</t>
        </is>
      </c>
      <c r="B390" s="96" t="inlineStr">
        <is>
          <t>139230</t>
        </is>
      </c>
      <c r="C390" s="96" t="inlineStr">
        <is>
          <t>미래에셋자산운용</t>
        </is>
      </c>
      <c r="D390" s="97" t="n">
        <v>13260</v>
      </c>
      <c r="E390" s="97" t="n">
        <v>258835200000</v>
      </c>
      <c r="F390" s="97" t="n">
        <v>3455750770</v>
      </c>
      <c r="G390" s="98" t="n">
        <v>0.004</v>
      </c>
      <c r="H390" s="98" t="n">
        <v>0.5297999999999999</v>
      </c>
      <c r="I390" s="98" t="n">
        <v>0.008</v>
      </c>
      <c r="J390" s="98" t="n">
        <v>0.008522</v>
      </c>
      <c r="K390" s="97" t="n">
        <v>6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53.0%(1년 기준, 기준 35% 초과)</t>
        </is>
      </c>
      <c r="O390" s="96" t="inlineStr">
        <is>
          <t>K200중공업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연배당</t>
        </is>
      </c>
      <c r="S390" s="97" t="n">
        <v>2</v>
      </c>
      <c r="T390" s="98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IFERROR(INDEX($A$4:$A$580,MATCH(387,$X$4:$X$580,0)),"")</f>
        <v/>
      </c>
    </row>
    <row r="391">
      <c r="A391" s="96" t="inlineStr">
        <is>
          <t>KODEX 200액티브</t>
        </is>
      </c>
      <c r="B391" s="96" t="inlineStr">
        <is>
          <t>494890</t>
        </is>
      </c>
      <c r="C391" s="96" t="inlineStr">
        <is>
          <t>삼성자산운용(ETF)</t>
        </is>
      </c>
      <c r="D391" s="97" t="n">
        <v>30625</v>
      </c>
      <c r="E391" s="97" t="n">
        <v>1032062500000</v>
      </c>
      <c r="F391" s="97" t="n">
        <v>18034192053</v>
      </c>
      <c r="G391" s="98" t="n">
        <v>0.0015</v>
      </c>
      <c r="H391" s="98" t="n">
        <v>0.5889</v>
      </c>
      <c r="I391" s="98" t="n">
        <v>0.0021</v>
      </c>
      <c r="J391" s="98" t="n">
        <v>0.008424000000000001</v>
      </c>
      <c r="K391" s="97" t="n">
        <v>6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58.9%(1년 기준, 기준 35% 초과)</t>
        </is>
      </c>
      <c r="O391" s="96" t="inlineStr">
        <is>
          <t>KOSPI 200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4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IFERROR(INDEX($A$4:$A$580,MATCH(388,$X$4:$X$580,0)),"")</f>
        <v/>
      </c>
    </row>
    <row r="392">
      <c r="A392" s="96" t="inlineStr">
        <is>
          <t>DAISHIN K200</t>
        </is>
      </c>
      <c r="B392" s="96" t="inlineStr">
        <is>
          <t>434960</t>
        </is>
      </c>
      <c r="C392" s="96" t="inlineStr">
        <is>
          <t>대신자산운용</t>
        </is>
      </c>
      <c r="D392" s="97" t="n">
        <v>107150</v>
      </c>
      <c r="E392" s="97" t="n">
        <v>64290000000</v>
      </c>
      <c r="F392" s="97" t="n">
        <v>347294483</v>
      </c>
      <c r="G392" s="98" t="n">
        <v>0.001</v>
      </c>
      <c r="H392" s="98" t="n">
        <v>0.5857</v>
      </c>
      <c r="I392" s="98" t="n">
        <v>0.0013</v>
      </c>
      <c r="J392" s="98" t="n">
        <v>0.008399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60일 거래대금 3.5억(기준 5억 미만), 변동성 58.6%(1년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IFERROR(INDEX($A$4:$A$580,MATCH(389,$X$4:$X$580,0)),"")</f>
        <v/>
      </c>
    </row>
    <row r="393">
      <c r="A393" s="96" t="inlineStr">
        <is>
          <t>IBK 200</t>
        </is>
      </c>
      <c r="B393" s="96" t="inlineStr">
        <is>
          <t>472840</t>
        </is>
      </c>
      <c r="C393" s="96" t="inlineStr">
        <is>
          <t>IBK자산운용</t>
        </is>
      </c>
      <c r="D393" s="97" t="n">
        <v>105615</v>
      </c>
      <c r="E393" s="97" t="n">
        <v>39605625000</v>
      </c>
      <c r="F393" s="97" t="n">
        <v>285600939</v>
      </c>
      <c r="G393" s="98" t="n">
        <v>0.0008</v>
      </c>
      <c r="H393" s="98" t="n">
        <v>0.584</v>
      </c>
      <c r="I393" s="98" t="n">
        <v>0.0013</v>
      </c>
      <c r="J393" s="98" t="n">
        <v>0.008397999999999999</v>
      </c>
      <c r="K393" s="97" t="n">
        <v>10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60일 거래대금 2.9억(기준 5억 미만), 변동성 58.4%(1년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IFERROR(INDEX($A$4:$A$580,MATCH(390,$X$4:$X$580,0)),"")</f>
        <v/>
      </c>
    </row>
    <row r="394">
      <c r="A394" s="96" t="inlineStr">
        <is>
          <t>RISE 200채권혼합50</t>
        </is>
      </c>
      <c r="B394" s="96" t="inlineStr">
        <is>
          <t>183700</t>
        </is>
      </c>
      <c r="C394" s="96" t="inlineStr">
        <is>
          <t>KB자산운용</t>
        </is>
      </c>
      <c r="D394" s="97" t="n">
        <v>95270</v>
      </c>
      <c r="E394" s="97" t="n">
        <v>40013400000</v>
      </c>
      <c r="F394" s="97" t="n">
        <v>490977317</v>
      </c>
      <c r="G394" s="98" t="n">
        <v>0.002</v>
      </c>
      <c r="H394" s="98" t="n">
        <v>0.2625</v>
      </c>
      <c r="I394" s="98" t="n">
        <v>0.0033</v>
      </c>
      <c r="J394" s="98" t="n">
        <v>0.008397</v>
      </c>
      <c r="K394" s="97" t="n">
        <v>10</v>
      </c>
      <c r="L394" s="99" t="inlineStr">
        <is>
          <t>20260608</t>
        </is>
      </c>
      <c r="M394" s="96" t="inlineStr">
        <is>
          <t>제외</t>
        </is>
      </c>
      <c r="N394" s="96" t="inlineStr">
        <is>
          <t>60일 거래대금 4.9억(기준 5억 미만)</t>
        </is>
      </c>
      <c r="O394" s="96" t="inlineStr">
        <is>
          <t>코스피 200 KTB 혼합지수</t>
        </is>
      </c>
      <c r="P394" s="96" t="inlineStr">
        <is>
          <t>일반</t>
        </is>
      </c>
      <c r="Q394" s="96" t="inlineStr">
        <is>
          <t>멀티에셋</t>
        </is>
      </c>
      <c r="R394" s="96" t="inlineStr">
        <is>
          <t>반기배당</t>
        </is>
      </c>
      <c r="S394" s="97" t="n">
        <v>2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IFERROR(INDEX($A$4:$A$580,MATCH(391,$X$4:$X$580,0)),"")</f>
        <v/>
      </c>
    </row>
    <row r="395">
      <c r="A395" s="96" t="inlineStr">
        <is>
          <t>TIGER 차이나휴머노이드로봇</t>
        </is>
      </c>
      <c r="B395" s="96" t="inlineStr">
        <is>
          <t>0053L0</t>
        </is>
      </c>
      <c r="C395" s="96" t="inlineStr">
        <is>
          <t>미래에셋자산운용</t>
        </is>
      </c>
      <c r="D395" s="97" t="n">
        <v>9060</v>
      </c>
      <c r="E395" s="97" t="n">
        <v>243714000000</v>
      </c>
      <c r="F395" s="97" t="n">
        <v>5370299687</v>
      </c>
      <c r="G395" s="98" t="n">
        <v>0.0049</v>
      </c>
      <c r="H395" s="98" t="n">
        <v>0.3779</v>
      </c>
      <c r="I395" s="98" t="n">
        <v>0.0037</v>
      </c>
      <c r="J395" s="98" t="n">
        <v>0.008389000000000001</v>
      </c>
      <c r="K395" s="97" t="n">
        <v>5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37.8%(1년 기준, 기준 35% 초과)</t>
        </is>
      </c>
      <c r="O395" s="96" t="inlineStr">
        <is>
          <t>Mirae Asset China Humanoid Robot Index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IFERROR(INDEX($A$4:$A$580,MATCH(392,$X$4:$X$580,0)),"")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24210</v>
      </c>
      <c r="E396" s="97" t="n">
        <v>43578000000</v>
      </c>
      <c r="F396" s="97" t="n">
        <v>27952753</v>
      </c>
      <c r="G396" s="98" t="n">
        <v>0.0009</v>
      </c>
      <c r="H396" s="98" t="n">
        <v>0.5414</v>
      </c>
      <c r="I396" s="98" t="n">
        <v>0.0023</v>
      </c>
      <c r="J396" s="98" t="n">
        <v>0.008385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IFERROR(INDEX($A$4:$A$580,MATCH(393,$X$4:$X$580,0)),"")</f>
        <v/>
      </c>
    </row>
    <row r="397">
      <c r="A397" s="96" t="inlineStr">
        <is>
          <t>HANARO 200</t>
        </is>
      </c>
      <c r="B397" s="96" t="inlineStr">
        <is>
          <t>293180</t>
        </is>
      </c>
      <c r="C397" s="96" t="inlineStr">
        <is>
          <t>NH-Amundi자산운용</t>
        </is>
      </c>
      <c r="D397" s="97" t="n">
        <v>106565</v>
      </c>
      <c r="E397" s="97" t="n">
        <v>420931750000</v>
      </c>
      <c r="F397" s="97" t="n">
        <v>8747241044</v>
      </c>
      <c r="G397" s="98" t="n">
        <v>0.00036</v>
      </c>
      <c r="H397" s="98" t="n">
        <v>0.5839</v>
      </c>
      <c r="I397" s="98" t="n">
        <v>0.002</v>
      </c>
      <c r="J397" s="98" t="n">
        <v>0.008352</v>
      </c>
      <c r="K397" s="97" t="n">
        <v>20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58.4%(1년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IFERROR(INDEX($A$4:$A$580,MATCH(394,$X$4:$X$580,0)),"")</f>
        <v/>
      </c>
    </row>
    <row r="398">
      <c r="A398" s="96" t="inlineStr">
        <is>
          <t>TIGER 조선TOP10</t>
        </is>
      </c>
      <c r="B398" s="96" t="inlineStr">
        <is>
          <t>494670</t>
        </is>
      </c>
      <c r="C398" s="96" t="inlineStr">
        <is>
          <t>미래에셋자산운용</t>
        </is>
      </c>
      <c r="D398" s="97" t="n">
        <v>22250</v>
      </c>
      <c r="E398" s="97" t="n">
        <v>568487500000</v>
      </c>
      <c r="F398" s="97" t="n">
        <v>19911694424</v>
      </c>
      <c r="G398" s="98" t="n">
        <v>0.0035</v>
      </c>
      <c r="H398" s="98" t="n">
        <v>0.5432</v>
      </c>
      <c r="I398" s="98" t="n">
        <v>0.004</v>
      </c>
      <c r="J398" s="98" t="n">
        <v>0.008314999999999999</v>
      </c>
      <c r="K398" s="97" t="n">
        <v>3</v>
      </c>
      <c r="L398" s="99" t="inlineStr">
        <is>
          <t>20260429</t>
        </is>
      </c>
      <c r="M398" s="96" t="inlineStr">
        <is>
          <t>제외</t>
        </is>
      </c>
      <c r="N398" s="96" t="inlineStr">
        <is>
          <t>변동성 54.3%(1년 기준, 기준 35% 초과)</t>
        </is>
      </c>
      <c r="O398" s="96" t="inlineStr">
        <is>
          <t>iSelect 조선 TOP10 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반기배당</t>
        </is>
      </c>
      <c r="S398" s="97" t="n">
        <v>2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IFERROR(INDEX($A$4:$A$580,MATCH(395,$X$4:$X$580,0)),"")</f>
        <v/>
      </c>
    </row>
    <row r="399">
      <c r="A399" s="96" t="inlineStr">
        <is>
          <t>KODEX 코스피100</t>
        </is>
      </c>
      <c r="B399" s="96" t="inlineStr">
        <is>
          <t>237350</t>
        </is>
      </c>
      <c r="C399" s="96" t="inlineStr">
        <is>
          <t>삼성자산운용(ETF)</t>
        </is>
      </c>
      <c r="D399" s="97" t="n">
        <v>84855</v>
      </c>
      <c r="E399" s="97" t="n">
        <v>920676750000</v>
      </c>
      <c r="F399" s="97" t="n">
        <v>36374932280</v>
      </c>
      <c r="G399" s="98" t="n">
        <v>0.0015</v>
      </c>
      <c r="H399" s="98" t="n">
        <v>0.5942000000000001</v>
      </c>
      <c r="I399" s="98" t="n">
        <v>0.0019</v>
      </c>
      <c r="J399" s="98" t="n">
        <v>0.008273000000000001</v>
      </c>
      <c r="K399" s="97" t="n">
        <v>6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변동성 59.4%(1년 기준, 기준 35% 초과)</t>
        </is>
      </c>
      <c r="O399" s="96" t="inlineStr">
        <is>
          <t>KOSPI 100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2</v>
      </c>
      <c r="T399" s="98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IFERROR(INDEX($A$4:$A$580,MATCH(396,$X$4:$X$580,0)),"")</f>
        <v/>
      </c>
    </row>
    <row r="400">
      <c r="A400" s="96" t="inlineStr">
        <is>
          <t>ACE MSCI인도네시아(합성)</t>
        </is>
      </c>
      <c r="B400" s="96" t="inlineStr">
        <is>
          <t>256440</t>
        </is>
      </c>
      <c r="C400" s="96" t="inlineStr">
        <is>
          <t>한국투신운용(ETF)</t>
        </is>
      </c>
      <c r="D400" s="97" t="n">
        <v>5195</v>
      </c>
      <c r="E400" s="97" t="n">
        <v>31689500000</v>
      </c>
      <c r="F400" s="97" t="n">
        <v>345376725</v>
      </c>
      <c r="G400" s="98" t="n">
        <v>0.006999999999999999</v>
      </c>
      <c r="H400" s="98" t="n">
        <v>0.3119</v>
      </c>
      <c r="I400" s="98" t="n">
        <v>0.0048</v>
      </c>
      <c r="J400" s="98" t="n">
        <v>0.008085</v>
      </c>
      <c r="K400" s="97" t="n">
        <v>1</v>
      </c>
      <c r="L400" s="99" t="inlineStr">
        <is>
          <t>20251229</t>
        </is>
      </c>
      <c r="M400" s="96" t="inlineStr">
        <is>
          <t>제외</t>
        </is>
      </c>
      <c r="N400" s="96" t="inlineStr">
        <is>
          <t>60일 거래대금 3.5억(기준 5억 미만)</t>
        </is>
      </c>
      <c r="O400" s="96" t="inlineStr">
        <is>
          <t>MSCI Indonesia Index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연배당</t>
        </is>
      </c>
      <c r="S400" s="97" t="n">
        <v>1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IFERROR(INDEX($A$4:$A$580,MATCH(397,$X$4:$X$580,0)),"")</f>
        <v/>
      </c>
    </row>
    <row r="401">
      <c r="A401" s="96" t="inlineStr">
        <is>
          <t>TIGER 200 건설</t>
        </is>
      </c>
      <c r="B401" s="96" t="inlineStr">
        <is>
          <t>139220</t>
        </is>
      </c>
      <c r="C401" s="96" t="inlineStr">
        <is>
          <t>미래에셋자산운용</t>
        </is>
      </c>
      <c r="D401" s="97" t="n">
        <v>8085</v>
      </c>
      <c r="E401" s="97" t="n">
        <v>136313100000</v>
      </c>
      <c r="F401" s="97" t="n">
        <v>6838773697</v>
      </c>
      <c r="G401" s="98" t="n">
        <v>0.004</v>
      </c>
      <c r="H401" s="98" t="n">
        <v>0.5986</v>
      </c>
      <c r="I401" s="98" t="n">
        <v>0.0062</v>
      </c>
      <c r="J401" s="98" t="n">
        <v>0.00804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59.9%(1년 기준, 기준 35% 초과)</t>
        </is>
      </c>
      <c r="O401" s="96" t="inlineStr">
        <is>
          <t>K200건설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IFERROR(INDEX($A$4:$A$580,MATCH(398,$X$4:$X$580,0)),"")</f>
        <v/>
      </c>
    </row>
    <row r="402">
      <c r="A402" s="96" t="inlineStr">
        <is>
          <t>파워 코스피100</t>
        </is>
      </c>
      <c r="B402" s="96" t="inlineStr">
        <is>
          <t>140950</t>
        </is>
      </c>
      <c r="C402" s="96" t="inlineStr">
        <is>
          <t>교보악사자산운용</t>
        </is>
      </c>
      <c r="D402" s="97" t="n">
        <v>83600</v>
      </c>
      <c r="E402" s="97" t="n">
        <v>46816000000</v>
      </c>
      <c r="F402" s="97" t="n">
        <v>215565485</v>
      </c>
      <c r="G402" s="98" t="n">
        <v>0.00155</v>
      </c>
      <c r="H402" s="98" t="n">
        <v>0.5942000000000001</v>
      </c>
      <c r="I402" s="98" t="n">
        <v>0.001</v>
      </c>
      <c r="J402" s="98" t="n">
        <v>0.008014</v>
      </c>
      <c r="K402" s="97" t="n">
        <v>14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2.2억(기준 5억 미만), 변동성 59.4%(1년 기준, 기준 35% 초과)</t>
        </is>
      </c>
      <c r="O402" s="96" t="inlineStr">
        <is>
          <t>KOSPI 100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IFERROR(INDEX($A$4:$A$580,MATCH(399,$X$4:$X$580,0)),"")</f>
        <v/>
      </c>
    </row>
    <row r="403">
      <c r="A403" s="96" t="inlineStr">
        <is>
          <t>KODEX 200</t>
        </is>
      </c>
      <c r="B403" s="96" t="inlineStr">
        <is>
          <t>069500</t>
        </is>
      </c>
      <c r="C403" s="96" t="inlineStr">
        <is>
          <t>삼성자산운용(ETF)</t>
        </is>
      </c>
      <c r="D403" s="97" t="n">
        <v>106280</v>
      </c>
      <c r="E403" s="97" t="n">
        <v>24646332000000</v>
      </c>
      <c r="F403" s="97" t="n">
        <v>2521145994404</v>
      </c>
      <c r="G403" s="98" t="n">
        <v>0.0015</v>
      </c>
      <c r="H403" s="98" t="n">
        <v>0.5844</v>
      </c>
      <c r="I403" s="98" t="n">
        <v>0.002</v>
      </c>
      <c r="J403" s="98" t="n">
        <v>0.007988</v>
      </c>
      <c r="K403" s="97" t="n">
        <v>20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변동성 58.4%(1년 기준, 기준 35% 초과)</t>
        </is>
      </c>
      <c r="O403" s="96" t="inlineStr">
        <is>
          <t>KOSPI 200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4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IFERROR(INDEX($A$4:$A$580,MATCH(400,$X$4:$X$580,0)),"")</f>
        <v/>
      </c>
    </row>
    <row r="404">
      <c r="A404" s="96" t="inlineStr">
        <is>
          <t>RISE 코스닥150선물레버리지</t>
        </is>
      </c>
      <c r="B404" s="96" t="inlineStr">
        <is>
          <t>278240</t>
        </is>
      </c>
      <c r="C404" s="96" t="inlineStr">
        <is>
          <t>KB자산운용</t>
        </is>
      </c>
      <c r="D404" s="97" t="n">
        <v>7530</v>
      </c>
      <c r="E404" s="97" t="n">
        <v>53387700000</v>
      </c>
      <c r="F404" s="97" t="n">
        <v>1197405556</v>
      </c>
      <c r="G404" s="98" t="n">
        <v>0.0032</v>
      </c>
      <c r="H404" s="98" t="n">
        <v>1.1343</v>
      </c>
      <c r="I404" s="98" t="n">
        <v>0.0046</v>
      </c>
      <c r="J404" s="98" t="n">
        <v>0.007967999999999999</v>
      </c>
      <c r="K404" s="97" t="n">
        <v>1</v>
      </c>
      <c r="L404" s="99" t="inlineStr">
        <is>
          <t>20251229</t>
        </is>
      </c>
      <c r="M404" s="96" t="inlineStr">
        <is>
          <t>제외</t>
        </is>
      </c>
      <c r="N404" s="96" t="inlineStr">
        <is>
          <t>변동성 113.4%(1년 기준, 기준 35% 초과)</t>
        </is>
      </c>
      <c r="O404" s="96" t="inlineStr">
        <is>
          <t>코스닥150선물지수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IFERROR(INDEX($A$4:$A$580,MATCH(401,$X$4:$X$580,0)),"")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18230</v>
      </c>
      <c r="E405" s="97" t="n">
        <v>65810300000</v>
      </c>
      <c r="F405" s="97" t="n">
        <v>333106478</v>
      </c>
      <c r="G405" s="98" t="n">
        <v>0.002</v>
      </c>
      <c r="H405" s="98" t="n">
        <v>0.1221</v>
      </c>
      <c r="I405" s="98" t="n">
        <v>0.0021</v>
      </c>
      <c r="J405" s="98" t="n">
        <v>0.007953999999999999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IFERROR(INDEX($A$4:$A$580,MATCH(402,$X$4:$X$580,0)),"")</f>
        <v/>
      </c>
    </row>
    <row r="406">
      <c r="A406" s="96" t="inlineStr">
        <is>
          <t>TIGER 소프트웨어</t>
        </is>
      </c>
      <c r="B406" s="96" t="inlineStr">
        <is>
          <t>157490</t>
        </is>
      </c>
      <c r="C406" s="96" t="inlineStr">
        <is>
          <t>미래에셋자산운용</t>
        </is>
      </c>
      <c r="D406" s="97" t="n">
        <v>7865</v>
      </c>
      <c r="E406" s="97" t="n">
        <v>73144500000</v>
      </c>
      <c r="F406" s="97" t="n">
        <v>1687623853</v>
      </c>
      <c r="G406" s="98" t="n">
        <v>0.004</v>
      </c>
      <c r="H406" s="98" t="n">
        <v>0.4194</v>
      </c>
      <c r="I406" s="98" t="n">
        <v>0.006500000000000001</v>
      </c>
      <c r="J406" s="98" t="n">
        <v>0.007882999999999999</v>
      </c>
      <c r="K406" s="97" t="n">
        <v>5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41.9%(1년 기준, 기준 35% 초과)</t>
        </is>
      </c>
      <c r="O406" s="96" t="inlineStr">
        <is>
          <t>FnGuide 소프트웨어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 s="98" t="n">
        <v>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IFERROR(INDEX($A$4:$A$580,MATCH(403,$X$4:$X$580,0)),"")</f>
        <v/>
      </c>
    </row>
    <row r="407">
      <c r="A407" s="96" t="inlineStr">
        <is>
          <t>KODEX MSCI Korea</t>
        </is>
      </c>
      <c r="B407" s="96" t="inlineStr">
        <is>
          <t>156080</t>
        </is>
      </c>
      <c r="C407" s="96" t="inlineStr">
        <is>
          <t>삼성자산운용(ETF)</t>
        </is>
      </c>
      <c r="D407" s="97" t="n">
        <v>50555</v>
      </c>
      <c r="E407" s="97" t="n">
        <v>30333000000</v>
      </c>
      <c r="F407" s="97" t="n">
        <v>289976894</v>
      </c>
      <c r="G407" s="98" t="n">
        <v>0.0009</v>
      </c>
      <c r="H407" s="98" t="n">
        <v>0.6051</v>
      </c>
      <c r="I407" s="98" t="n">
        <v>0.0019</v>
      </c>
      <c r="J407" s="98" t="n">
        <v>0.007873</v>
      </c>
      <c r="K407" s="97" t="n">
        <v>6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60일 거래대금 2.9억(기준 5억 미만), 변동성 60.5%(1년 기준, 기준 35% 초과)</t>
        </is>
      </c>
      <c r="O407" s="96" t="inlineStr">
        <is>
          <t>MSCI KOREA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IFERROR(INDEX($A$4:$A$580,MATCH(404,$X$4:$X$580,0)),"")</f>
        <v/>
      </c>
    </row>
    <row r="408">
      <c r="A408" s="96" t="inlineStr">
        <is>
          <t>KODEX 코스피대형주</t>
        </is>
      </c>
      <c r="B408" s="96" t="inlineStr">
        <is>
          <t>337140</t>
        </is>
      </c>
      <c r="C408" s="96" t="inlineStr">
        <is>
          <t>삼성자산운용(ETF)</t>
        </is>
      </c>
      <c r="D408" s="97" t="n">
        <v>35300</v>
      </c>
      <c r="E408" s="97" t="n">
        <v>77660000000</v>
      </c>
      <c r="F408" s="97" t="n">
        <v>1631709578</v>
      </c>
      <c r="G408" s="98" t="n">
        <v>0.0015</v>
      </c>
      <c r="H408" s="98" t="n">
        <v>0.5661999999999999</v>
      </c>
      <c r="I408" s="98" t="n">
        <v>0.002</v>
      </c>
      <c r="J408" s="98" t="n">
        <v>0.00779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56.6%(1년 기준, 기준 35% 초과)</t>
        </is>
      </c>
      <c r="O408" s="96" t="inlineStr">
        <is>
          <t>대형주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IFERROR(INDEX($A$4:$A$580,MATCH(405,$X$4:$X$580,0)),"")</f>
        <v/>
      </c>
    </row>
    <row r="409">
      <c r="A409" s="96" t="inlineStr">
        <is>
          <t>TIGER 코스피</t>
        </is>
      </c>
      <c r="B409" s="96" t="inlineStr">
        <is>
          <t>277630</t>
        </is>
      </c>
      <c r="C409" s="96" t="inlineStr">
        <is>
          <t>미래에셋자산운용</t>
        </is>
      </c>
      <c r="D409" s="97" t="n">
        <v>69920</v>
      </c>
      <c r="E409" s="97" t="n">
        <v>576840000000</v>
      </c>
      <c r="F409" s="97" t="n">
        <v>9937571539</v>
      </c>
      <c r="G409" s="98" t="n">
        <v>0.0015</v>
      </c>
      <c r="H409" s="98" t="n">
        <v>0.5378000000000001</v>
      </c>
      <c r="I409" s="98" t="n">
        <v>0.001</v>
      </c>
      <c r="J409" s="98" t="n">
        <v>0.007652</v>
      </c>
      <c r="K409" s="97" t="n">
        <v>15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53.8%(1년 기준, 기준 35% 초과)</t>
        </is>
      </c>
      <c r="O409" s="96" t="inlineStr">
        <is>
          <t>코스피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IFERROR(INDEX($A$4:$A$580,MATCH(406,$X$4:$X$580,0)),"")</f>
        <v/>
      </c>
    </row>
    <row r="410">
      <c r="A410" s="96" t="inlineStr">
        <is>
          <t>TIGER Fn신재생에너지</t>
        </is>
      </c>
      <c r="B410" s="96" t="inlineStr">
        <is>
          <t>377990</t>
        </is>
      </c>
      <c r="C410" s="96" t="inlineStr">
        <is>
          <t>미래에셋자산운용</t>
        </is>
      </c>
      <c r="D410" s="97" t="n">
        <v>23835</v>
      </c>
      <c r="E410" s="97" t="n">
        <v>117983250000</v>
      </c>
      <c r="F410" s="97" t="n">
        <v>3876392267</v>
      </c>
      <c r="G410" s="98" t="n">
        <v>0.005</v>
      </c>
      <c r="H410" s="98" t="n">
        <v>0.6475</v>
      </c>
      <c r="I410" s="98" t="n">
        <v>0.0101</v>
      </c>
      <c r="J410" s="98" t="n">
        <v>0.007552</v>
      </c>
      <c r="K410" s="97" t="n">
        <v>5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64.8%(1년 기준, 기준 35% 초과)</t>
        </is>
      </c>
      <c r="O410" s="96" t="inlineStr">
        <is>
          <t>FnGuide 신재생에너지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IFERROR(INDEX($A$4:$A$580,MATCH(407,$X$4:$X$580,0)),"")</f>
        <v/>
      </c>
    </row>
    <row r="411">
      <c r="A411" s="96" t="inlineStr">
        <is>
          <t>KODEX 미국S&amp;P500선물(H)</t>
        </is>
      </c>
      <c r="B411" s="96" t="inlineStr">
        <is>
          <t>219480</t>
        </is>
      </c>
      <c r="C411" s="96" t="inlineStr">
        <is>
          <t>삼성자산운용(ETF)</t>
        </is>
      </c>
      <c r="D411" s="97" t="n">
        <v>32770</v>
      </c>
      <c r="E411" s="97" t="n">
        <v>147465000000</v>
      </c>
      <c r="F411" s="97" t="n">
        <v>393386769</v>
      </c>
      <c r="G411" s="98" t="n">
        <v>0.0005</v>
      </c>
      <c r="H411" s="98" t="n">
        <v>0.1295</v>
      </c>
      <c r="I411" s="98" t="n">
        <v>0.008</v>
      </c>
      <c r="J411" s="98" t="n">
        <v>0.007476</v>
      </c>
      <c r="K411" s="97" t="n">
        <v>1</v>
      </c>
      <c r="L411" s="99" t="inlineStr">
        <is>
          <t>20251229</t>
        </is>
      </c>
      <c r="M411" s="96" t="inlineStr">
        <is>
          <t>제외</t>
        </is>
      </c>
      <c r="N411" s="96" t="inlineStr">
        <is>
          <t>60일 거래대금 3.9억(기준 5억 미만)</t>
        </is>
      </c>
      <c r="O411" s="96" t="inlineStr">
        <is>
          <t>S&amp;P 500 Futures Total Return Index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IFERROR(INDEX($A$4:$A$580,MATCH(408,$X$4:$X$580,0)),"")</f>
        <v/>
      </c>
    </row>
    <row r="412">
      <c r="A412" s="96" t="inlineStr">
        <is>
          <t>TIGER 글로벌혁신블루칩TOP10</t>
        </is>
      </c>
      <c r="B412" s="96" t="inlineStr">
        <is>
          <t>464930</t>
        </is>
      </c>
      <c r="C412" s="96" t="inlineStr">
        <is>
          <t>미래에셋자산운용</t>
        </is>
      </c>
      <c r="D412" s="97" t="n">
        <v>20250</v>
      </c>
      <c r="E412" s="97" t="n">
        <v>105300000000</v>
      </c>
      <c r="F412" s="97" t="n">
        <v>449922354</v>
      </c>
      <c r="G412" s="98" t="n">
        <v>0.0049</v>
      </c>
      <c r="H412" s="98" t="n">
        <v>0.1873</v>
      </c>
      <c r="I412" s="98" t="n">
        <v>0.0075</v>
      </c>
      <c r="J412" s="98" t="n">
        <v>0.007407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4.5억(기준 5억 미만)</t>
        </is>
      </c>
      <c r="O412" s="96" t="inlineStr">
        <is>
          <t>Mirae Asset Global Innovative Bluechip Top 10 Index PR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IFERROR(INDEX($A$4:$A$580,MATCH(409,$X$4:$X$580,0)),"")</f>
        <v/>
      </c>
    </row>
    <row r="413">
      <c r="A413" s="96" t="inlineStr">
        <is>
          <t>HANARO Fn조선해운</t>
        </is>
      </c>
      <c r="B413" s="96" t="inlineStr">
        <is>
          <t>441540</t>
        </is>
      </c>
      <c r="C413" s="96" t="inlineStr">
        <is>
          <t>NH-Amundi자산운용</t>
        </is>
      </c>
      <c r="D413" s="97" t="n">
        <v>27225</v>
      </c>
      <c r="E413" s="97" t="n">
        <v>73507500000</v>
      </c>
      <c r="F413" s="97" t="n">
        <v>623178618</v>
      </c>
      <c r="G413" s="98" t="n">
        <v>0.004500000000000001</v>
      </c>
      <c r="H413" s="98" t="n">
        <v>0.4778</v>
      </c>
      <c r="I413" s="98" t="n">
        <v>0.0053</v>
      </c>
      <c r="J413" s="98" t="n">
        <v>0.007346</v>
      </c>
      <c r="K413" s="97" t="n">
        <v>4</v>
      </c>
      <c r="L413" s="99" t="inlineStr">
        <is>
          <t>20260429</t>
        </is>
      </c>
      <c r="M413" s="96" t="inlineStr">
        <is>
          <t>제외</t>
        </is>
      </c>
      <c r="N413" s="96" t="inlineStr">
        <is>
          <t>변동성 47.8%(1년 기준, 기준 35% 초과)</t>
        </is>
      </c>
      <c r="O413" s="96" t="inlineStr">
        <is>
          <t>FnGuide 조선해운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IFERROR(INDEX($A$4:$A$580,MATCH(410,$X$4:$X$580,0)),"")</f>
        <v/>
      </c>
    </row>
    <row r="414">
      <c r="A414" s="96" t="inlineStr">
        <is>
          <t>KODEX 차이나휴머노이드로봇</t>
        </is>
      </c>
      <c r="B414" s="96" t="inlineStr">
        <is>
          <t>0048K0</t>
        </is>
      </c>
      <c r="C414" s="96" t="inlineStr">
        <is>
          <t>삼성자산운용(ETF)</t>
        </is>
      </c>
      <c r="D414" s="97" t="n">
        <v>7960</v>
      </c>
      <c r="E414" s="97" t="n">
        <v>143280000000</v>
      </c>
      <c r="F414" s="97" t="n">
        <v>7479749697</v>
      </c>
      <c r="G414" s="98" t="n">
        <v>0.004500000000000001</v>
      </c>
      <c r="H414" s="98" t="n">
        <v>0.4139</v>
      </c>
      <c r="I414" s="98" t="n">
        <v>0.0027</v>
      </c>
      <c r="J414" s="98" t="n">
        <v>0.007286</v>
      </c>
      <c r="K414" s="97" t="n">
        <v>5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41.4%(1년 기준, 기준 35% 초과)</t>
        </is>
      </c>
      <c r="O414" s="96" t="inlineStr">
        <is>
          <t>Solactive China humanoid Robotics Index (PR)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IFERROR(INDEX($A$4:$A$580,MATCH(411,$X$4:$X$580,0)),"")</f>
        <v/>
      </c>
    </row>
    <row r="415">
      <c r="A415" s="96" t="inlineStr">
        <is>
          <t>TIGER 인터넷TOP10</t>
        </is>
      </c>
      <c r="B415" s="96" t="inlineStr">
        <is>
          <t>365000</t>
        </is>
      </c>
      <c r="C415" s="96" t="inlineStr">
        <is>
          <t>미래에셋자산운용</t>
        </is>
      </c>
      <c r="D415" s="97" t="n">
        <v>3475</v>
      </c>
      <c r="E415" s="97" t="n">
        <v>35097500000</v>
      </c>
      <c r="F415" s="97" t="n">
        <v>856021349</v>
      </c>
      <c r="G415" s="98" t="n">
        <v>0.004</v>
      </c>
      <c r="H415" s="98" t="n">
        <v>0.4082</v>
      </c>
      <c r="I415" s="98" t="n">
        <v>0.0051</v>
      </c>
      <c r="J415" s="98" t="n">
        <v>0.007194000000000001</v>
      </c>
      <c r="K415" s="97" t="n">
        <v>5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40.8%(1년 기준, 기준 35% 초과)</t>
        </is>
      </c>
      <c r="O415" s="96" t="inlineStr">
        <is>
          <t>KRX 인터넷 TOP 10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IFERROR(INDEX($A$4:$A$580,MATCH(412,$X$4:$X$580,0)),"")</f>
        <v/>
      </c>
    </row>
    <row r="416">
      <c r="A416" s="96" t="inlineStr">
        <is>
          <t>TIGER 차이나바이오테크SOLACTIVE</t>
        </is>
      </c>
      <c r="B416" s="96" t="inlineStr">
        <is>
          <t>371470</t>
        </is>
      </c>
      <c r="C416" s="96" t="inlineStr">
        <is>
          <t>미래에셋자산운용</t>
        </is>
      </c>
      <c r="D416" s="97" t="n">
        <v>8410</v>
      </c>
      <c r="E416" s="97" t="n">
        <v>44404800000</v>
      </c>
      <c r="F416" s="97" t="n">
        <v>446782500</v>
      </c>
      <c r="G416" s="98" t="n">
        <v>0.0049</v>
      </c>
      <c r="H416" s="98" t="n">
        <v>0.3166</v>
      </c>
      <c r="I416" s="98" t="n">
        <v>0.006999999999999999</v>
      </c>
      <c r="J416" s="98" t="n">
        <v>0.007134000000000001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4.5억(기준 5억 미만)</t>
        </is>
      </c>
      <c r="O416" s="96" t="inlineStr">
        <is>
          <t>Solactive China Biotech Index PR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IFERROR(INDEX($A$4:$A$580,MATCH(413,$X$4:$X$580,0)),"")</f>
        <v/>
      </c>
    </row>
    <row r="417">
      <c r="A417" s="96" t="inlineStr">
        <is>
          <t>KODEX 미국나스닥100선물(H)</t>
        </is>
      </c>
      <c r="B417" s="96" t="inlineStr">
        <is>
          <t>304940</t>
        </is>
      </c>
      <c r="C417" s="96" t="inlineStr">
        <is>
          <t>삼성자산운용(ETF)</t>
        </is>
      </c>
      <c r="D417" s="97" t="n">
        <v>32015</v>
      </c>
      <c r="E417" s="97" t="n">
        <v>108851000000</v>
      </c>
      <c r="F417" s="97" t="n">
        <v>374078522</v>
      </c>
      <c r="G417" s="98" t="n">
        <v>0.0005</v>
      </c>
      <c r="H417" s="98" t="n">
        <v>0.1978</v>
      </c>
      <c r="I417" s="98" t="n">
        <v>0.007900000000000001</v>
      </c>
      <c r="J417" s="98" t="n">
        <v>0.007122000000000001</v>
      </c>
      <c r="K417" s="97" t="n">
        <v>1</v>
      </c>
      <c r="L417" s="99" t="inlineStr">
        <is>
          <t>20251229</t>
        </is>
      </c>
      <c r="M417" s="96" t="inlineStr">
        <is>
          <t>제외</t>
        </is>
      </c>
      <c r="N417" s="96" t="inlineStr">
        <is>
          <t>60일 거래대금 3.7억(기준 5억 미만)</t>
        </is>
      </c>
      <c r="O417" s="96" t="inlineStr">
        <is>
          <t>나스닥 100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IFERROR(INDEX($A$4:$A$580,MATCH(414,$X$4:$X$580,0)),"")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19550</v>
      </c>
      <c r="E418" s="97" t="n">
        <v>15640000000</v>
      </c>
      <c r="F418" s="97" t="n">
        <v>61922671</v>
      </c>
      <c r="G418" s="98" t="n">
        <v>0.00045</v>
      </c>
      <c r="H418" s="98" t="n">
        <v>0.145</v>
      </c>
      <c r="I418" s="98" t="n">
        <v>0.0005</v>
      </c>
      <c r="J418" s="98" t="n">
        <v>0.00711</v>
      </c>
      <c r="K418" s="97" t="n">
        <v>40</v>
      </c>
      <c r="L418" s="99" t="inlineStr">
        <is>
          <t>20260828</t>
        </is>
      </c>
      <c r="M418" s="96" t="inlineStr">
        <is>
          <t>제외</t>
        </is>
      </c>
      <c r="N418" s="96" t="inlineStr">
        <is>
          <t>순자산 156억(기준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 s="98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IFERROR(INDEX($A$4:$A$580,MATCH(415,$X$4:$X$580,0)),"")</f>
        <v/>
      </c>
    </row>
    <row r="419">
      <c r="A419" s="96" t="inlineStr">
        <is>
          <t>PLUS 코스피50</t>
        </is>
      </c>
      <c r="B419" s="96" t="inlineStr">
        <is>
          <t>122090</t>
        </is>
      </c>
      <c r="C419" s="96" t="inlineStr">
        <is>
          <t>한화자산운용</t>
        </is>
      </c>
      <c r="D419" s="97" t="n">
        <v>80100</v>
      </c>
      <c r="E419" s="97" t="n">
        <v>177822000000</v>
      </c>
      <c r="F419" s="97" t="n">
        <v>8084399065</v>
      </c>
      <c r="G419" s="98" t="n">
        <v>0.0033</v>
      </c>
      <c r="H419" s="98" t="n">
        <v>0.6162</v>
      </c>
      <c r="I419" s="98" t="n">
        <v>0.0013</v>
      </c>
      <c r="J419" s="98" t="n">
        <v>0.006866</v>
      </c>
      <c r="K419" s="97" t="n">
        <v>14</v>
      </c>
      <c r="L419" s="99" t="inlineStr">
        <is>
          <t>20260730</t>
        </is>
      </c>
      <c r="M419" s="96" t="inlineStr">
        <is>
          <t>제외</t>
        </is>
      </c>
      <c r="N419" s="96" t="inlineStr">
        <is>
          <t>변동성 61.6%(1년 기준, 기준 35% 초과)</t>
        </is>
      </c>
      <c r="O419" s="96" t="inlineStr">
        <is>
          <t>KOSPI 50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분기배당</t>
        </is>
      </c>
      <c r="S419" s="97" t="n">
        <v>4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IFERROR(INDEX($A$4:$A$580,MATCH(416,$X$4:$X$580,0)),"")</f>
        <v/>
      </c>
    </row>
    <row r="420">
      <c r="A420" s="96" t="inlineStr">
        <is>
          <t>PLUS 글로벌휴머노이드로봇액티브</t>
        </is>
      </c>
      <c r="B420" s="96" t="inlineStr">
        <is>
          <t>0035T0</t>
        </is>
      </c>
      <c r="C420" s="96" t="inlineStr">
        <is>
          <t>한화자산운용</t>
        </is>
      </c>
      <c r="D420" s="97" t="n">
        <v>19010</v>
      </c>
      <c r="E420" s="97" t="n">
        <v>92198500000</v>
      </c>
      <c r="F420" s="97" t="n">
        <v>744241733</v>
      </c>
      <c r="G420" s="98" t="n">
        <v>0.004500000000000001</v>
      </c>
      <c r="H420" s="98" t="n">
        <v>0.3535</v>
      </c>
      <c r="I420" s="98" t="n">
        <v>0.0018</v>
      </c>
      <c r="J420" s="98" t="n">
        <v>0.006785999999999999</v>
      </c>
      <c r="K420" s="97" t="n">
        <v>2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35.4%(1년 기준, 기준 35% 초과)</t>
        </is>
      </c>
      <c r="O420" s="96" t="inlineStr">
        <is>
          <t>iSelect Global Humanoid Robot Index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2</v>
      </c>
      <c r="T420" s="98" t="n">
        <v>1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IFERROR(INDEX($A$4:$A$580,MATCH(417,$X$4:$X$580,0)),"")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50295</v>
      </c>
      <c r="E421" s="97" t="n">
        <v>229445790000</v>
      </c>
      <c r="F421" s="97" t="n">
        <v>239975189</v>
      </c>
      <c r="G421" s="98" t="n">
        <v>0.0005</v>
      </c>
      <c r="H421" s="98" t="n">
        <v>0.0106</v>
      </c>
      <c r="I421" s="98" t="n">
        <v>0.0068</v>
      </c>
      <c r="J421" s="98" t="n">
        <v>0.00676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2.4억(기준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 s="98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IFERROR(INDEX($A$4:$A$580,MATCH(418,$X$4:$X$580,0)),"")</f>
        <v/>
      </c>
    </row>
    <row r="422">
      <c r="A422" s="96" t="inlineStr">
        <is>
          <t>TIGER 화장품</t>
        </is>
      </c>
      <c r="B422" s="96" t="inlineStr">
        <is>
          <t>228790</t>
        </is>
      </c>
      <c r="C422" s="96" t="inlineStr">
        <is>
          <t>미래에셋자산운용</t>
        </is>
      </c>
      <c r="D422" s="97" t="n">
        <v>4295</v>
      </c>
      <c r="E422" s="97" t="n">
        <v>249582450000</v>
      </c>
      <c r="F422" s="97" t="n">
        <v>28838509620</v>
      </c>
      <c r="G422" s="98" t="n">
        <v>0.005</v>
      </c>
      <c r="H422" s="98" t="n">
        <v>0.4041</v>
      </c>
      <c r="I422" s="98" t="n">
        <v>0.0048</v>
      </c>
      <c r="J422" s="98" t="n">
        <v>0.006752</v>
      </c>
      <c r="K422" s="97" t="n">
        <v>6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40.4%(1년 기준, 기준 35% 초과)</t>
        </is>
      </c>
      <c r="O422" s="96" t="inlineStr">
        <is>
          <t>WISE 화장품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반기배당</t>
        </is>
      </c>
      <c r="S422" s="97" t="n">
        <v>2</v>
      </c>
      <c r="T422" s="98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IFERROR(INDEX($A$4:$A$580,MATCH(419,$X$4:$X$580,0)),"")</f>
        <v/>
      </c>
    </row>
    <row r="423">
      <c r="A423" s="96" t="inlineStr">
        <is>
          <t>TIGER 바이오TOP10</t>
        </is>
      </c>
      <c r="B423" s="96" t="inlineStr">
        <is>
          <t>364970</t>
        </is>
      </c>
      <c r="C423" s="96" t="inlineStr">
        <is>
          <t>미래에셋자산운용</t>
        </is>
      </c>
      <c r="D423" s="97" t="n">
        <v>6720</v>
      </c>
      <c r="E423" s="97" t="n">
        <v>248640000000</v>
      </c>
      <c r="F423" s="97" t="n">
        <v>11549881362</v>
      </c>
      <c r="G423" s="98" t="n">
        <v>0.004</v>
      </c>
      <c r="H423" s="98" t="n">
        <v>0.4161</v>
      </c>
      <c r="I423" s="98" t="n">
        <v>0.005500000000000001</v>
      </c>
      <c r="J423" s="98" t="n">
        <v>0.006696</v>
      </c>
      <c r="K423" s="97" t="n">
        <v>5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41.6%(1년 기준, 기준 35% 초과)</t>
        </is>
      </c>
      <c r="O423" s="96" t="inlineStr">
        <is>
          <t>KRX 바이오 TOP 10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1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IFERROR(INDEX($A$4:$A$580,MATCH(420,$X$4:$X$580,0)),"")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109310</v>
      </c>
      <c r="E424" s="97" t="n">
        <v>125706500000</v>
      </c>
      <c r="F424" s="97" t="n">
        <v>3532839338</v>
      </c>
      <c r="G424" s="98" t="n">
        <v>0.0005</v>
      </c>
      <c r="H424" s="98" t="n">
        <v>0.5859000000000001</v>
      </c>
      <c r="I424" s="98" t="n">
        <v>0.0005999999999999999</v>
      </c>
      <c r="J424" s="98" t="n">
        <v>0.006678</v>
      </c>
      <c r="K424" s="97" t="n">
        <v>40</v>
      </c>
      <c r="L424" s="99" t="inlineStr">
        <is>
          <t>20260828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IFERROR(INDEX($A$4:$A$580,MATCH(421,$X$4:$X$580,0)),"")</f>
        <v/>
      </c>
    </row>
    <row r="425">
      <c r="A425" s="96" t="inlineStr">
        <is>
          <t>ACE 일본Nikkei225(H)</t>
        </is>
      </c>
      <c r="B425" s="96" t="inlineStr">
        <is>
          <t>238720</t>
        </is>
      </c>
      <c r="C425" s="96" t="inlineStr">
        <is>
          <t>한국투신운용(ETF)</t>
        </is>
      </c>
      <c r="D425" s="97" t="n">
        <v>46565</v>
      </c>
      <c r="E425" s="97" t="n">
        <v>41908500000</v>
      </c>
      <c r="F425" s="97" t="n">
        <v>221833241</v>
      </c>
      <c r="G425" s="98" t="n">
        <v>0.003</v>
      </c>
      <c r="H425" s="98" t="n">
        <v>0.3009</v>
      </c>
      <c r="I425" s="98" t="n">
        <v>0.008399999999999999</v>
      </c>
      <c r="J425" s="98" t="n">
        <v>0.006614</v>
      </c>
      <c r="K425" s="97" t="n">
        <v>1</v>
      </c>
      <c r="L425" s="99" t="inlineStr">
        <is>
          <t>20251229</t>
        </is>
      </c>
      <c r="M425" s="96" t="inlineStr">
        <is>
          <t>제외</t>
        </is>
      </c>
      <c r="N425" s="96" t="inlineStr">
        <is>
          <t>60일 거래대금 2.2억(기준 5억 미만)</t>
        </is>
      </c>
      <c r="O425" s="96" t="inlineStr">
        <is>
          <t>니케이225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1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IFERROR(INDEX($A$4:$A$580,MATCH(422,$X$4:$X$580,0)),"")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21560</v>
      </c>
      <c r="E426" s="97" t="n">
        <v>32340000000</v>
      </c>
      <c r="F426" s="97" t="n">
        <v>239785501</v>
      </c>
      <c r="G426" s="98" t="n">
        <v>0.0018</v>
      </c>
      <c r="H426" s="98" t="n">
        <v>0.3003</v>
      </c>
      <c r="I426" s="98" t="n">
        <v>0.0018</v>
      </c>
      <c r="J426" s="98" t="n">
        <v>0.006586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IFERROR(INDEX($A$4:$A$580,MATCH(423,$X$4:$X$580,0)),"")</f>
        <v/>
      </c>
    </row>
    <row r="427">
      <c r="A427" s="96" t="inlineStr">
        <is>
          <t>KIWOOM KRX100</t>
        </is>
      </c>
      <c r="B427" s="96" t="inlineStr">
        <is>
          <t>100910</t>
        </is>
      </c>
      <c r="C427" s="96" t="inlineStr">
        <is>
          <t>키움투자자산운용</t>
        </is>
      </c>
      <c r="D427" s="97" t="n">
        <v>16790</v>
      </c>
      <c r="E427" s="97" t="n">
        <v>45333000000</v>
      </c>
      <c r="F427" s="97" t="n">
        <v>923525851</v>
      </c>
      <c r="G427" s="98" t="n">
        <v>0.0023</v>
      </c>
      <c r="H427" s="98" t="n">
        <v>0.5893999999999999</v>
      </c>
      <c r="I427" s="98" t="n">
        <v>0.0011</v>
      </c>
      <c r="J427" s="98" t="n">
        <v>0.006552</v>
      </c>
      <c r="K427" s="97" t="n">
        <v>13</v>
      </c>
      <c r="L427" s="99" t="inlineStr">
        <is>
          <t>20260730</t>
        </is>
      </c>
      <c r="M427" s="96" t="inlineStr">
        <is>
          <t>제외</t>
        </is>
      </c>
      <c r="N427" s="96" t="inlineStr">
        <is>
          <t>변동성 58.9%(1년 기준, 기준 35% 초과)</t>
        </is>
      </c>
      <c r="O427" s="96" t="inlineStr">
        <is>
          <t>KRX100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분기배당</t>
        </is>
      </c>
      <c r="S427" s="97" t="n">
        <v>4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IFERROR(INDEX($A$4:$A$580,MATCH(424,$X$4:$X$580,0)),"")</f>
        <v/>
      </c>
    </row>
    <row r="428">
      <c r="A428" s="96" t="inlineStr">
        <is>
          <t>SOL 미국AI전력인프라</t>
        </is>
      </c>
      <c r="B428" s="96" t="inlineStr">
        <is>
          <t>486450</t>
        </is>
      </c>
      <c r="C428" s="96" t="inlineStr">
        <is>
          <t>신한자산운용</t>
        </is>
      </c>
      <c r="D428" s="97" t="n">
        <v>18750</v>
      </c>
      <c r="E428" s="97" t="n">
        <v>204375000000</v>
      </c>
      <c r="F428" s="97" t="n">
        <v>1203753855</v>
      </c>
      <c r="G428" s="98" t="n">
        <v>0.004500000000000001</v>
      </c>
      <c r="H428" s="98" t="n">
        <v>0.39</v>
      </c>
      <c r="I428" s="98" t="n">
        <v>0.0048</v>
      </c>
      <c r="J428" s="98" t="n">
        <v>0.0064</v>
      </c>
      <c r="K428" s="97" t="n">
        <v>2</v>
      </c>
      <c r="L428" s="99" t="inlineStr">
        <is>
          <t>20260429</t>
        </is>
      </c>
      <c r="M428" s="96" t="inlineStr">
        <is>
          <t>제외</t>
        </is>
      </c>
      <c r="N428" s="96" t="inlineStr">
        <is>
          <t>변동성 39.0%(1년 기준, 기준 35% 초과)</t>
        </is>
      </c>
      <c r="O428" s="96" t="inlineStr">
        <is>
          <t>KEDI US AI Electric Power Infrastructure Index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연배당</t>
        </is>
      </c>
      <c r="S428" s="97" t="n">
        <v>1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IFERROR(INDEX($A$4:$A$580,MATCH(425,$X$4:$X$580,0)),"")</f>
        <v/>
      </c>
    </row>
    <row r="429">
      <c r="A429" s="96" t="inlineStr">
        <is>
          <t>PLUS 200선물레버리지</t>
        </is>
      </c>
      <c r="B429" s="96" t="inlineStr">
        <is>
          <t>253150</t>
        </is>
      </c>
      <c r="C429" s="96" t="inlineStr">
        <is>
          <t>한화자산운용</t>
        </is>
      </c>
      <c r="D429" s="97" t="n">
        <v>190600</v>
      </c>
      <c r="E429" s="97" t="n">
        <v>47650000000</v>
      </c>
      <c r="F429" s="97" t="n">
        <v>19059499313</v>
      </c>
      <c r="G429" s="98" t="n">
        <v>0.0005999999999999999</v>
      </c>
      <c r="H429" s="98" t="n">
        <v>1.162</v>
      </c>
      <c r="I429" s="98" t="n">
        <v>0.0014</v>
      </c>
      <c r="J429" s="98" t="n">
        <v>0.006327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116.2%(1년 기준, 기준 35% 초과)</t>
        </is>
      </c>
      <c r="O429" s="96" t="inlineStr">
        <is>
          <t>KOSPI200선물지수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2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IFERROR(INDEX($A$4:$A$580,MATCH(426,$X$4:$X$580,0)),"")</f>
        <v/>
      </c>
    </row>
    <row r="430">
      <c r="A430" s="96" t="inlineStr">
        <is>
          <t>TIGER 코스피대형주</t>
        </is>
      </c>
      <c r="B430" s="96" t="inlineStr">
        <is>
          <t>277640</t>
        </is>
      </c>
      <c r="C430" s="96" t="inlineStr">
        <is>
          <t>미래에셋자산운용</t>
        </is>
      </c>
      <c r="D430" s="97" t="n">
        <v>36430</v>
      </c>
      <c r="E430" s="97" t="n">
        <v>61931000000</v>
      </c>
      <c r="F430" s="97" t="n">
        <v>1487607969</v>
      </c>
      <c r="G430" s="98" t="n">
        <v>0.0029</v>
      </c>
      <c r="H430" s="98" t="n">
        <v>0.5652</v>
      </c>
      <c r="I430" s="98" t="n">
        <v>0.0016</v>
      </c>
      <c r="J430" s="98" t="n">
        <v>0.006313</v>
      </c>
      <c r="K430" s="97" t="n">
        <v>16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56.5%(1년 기준, 기준 35% 초과)</t>
        </is>
      </c>
      <c r="O430" s="96" t="inlineStr">
        <is>
          <t>대형주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IFERROR(INDEX($A$4:$A$580,MATCH(427,$X$4:$X$580,0)),"")</f>
        <v/>
      </c>
    </row>
    <row r="431">
      <c r="A431" s="96" t="inlineStr">
        <is>
          <t>KODEX 미국나스닥100레버리지(합성 H)</t>
        </is>
      </c>
      <c r="B431" s="96" t="inlineStr">
        <is>
          <t>409820</t>
        </is>
      </c>
      <c r="C431" s="96" t="inlineStr">
        <is>
          <t>삼성자산운용(ETF)</t>
        </is>
      </c>
      <c r="D431" s="97" t="n">
        <v>19390</v>
      </c>
      <c r="E431" s="97" t="n">
        <v>245283500000</v>
      </c>
      <c r="F431" s="97" t="n">
        <v>2323718423</v>
      </c>
      <c r="G431" s="98" t="n">
        <v>0.003</v>
      </c>
      <c r="H431" s="98" t="n">
        <v>0.4046</v>
      </c>
      <c r="I431" s="98" t="n">
        <v>0.0075</v>
      </c>
      <c r="J431" s="98" t="n">
        <v>0.006292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변동성 40.5%(1년 기준, 기준 35% 초과)</t>
        </is>
      </c>
      <c r="O431" s="96" t="inlineStr">
        <is>
          <t>나스닥 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IFERROR(INDEX($A$4:$A$580,MATCH(428,$X$4:$X$580,0)),"")</f>
        <v/>
      </c>
    </row>
    <row r="432">
      <c r="A432" s="96" t="inlineStr">
        <is>
          <t>RISE 5대그룹주</t>
        </is>
      </c>
      <c r="B432" s="96" t="inlineStr">
        <is>
          <t>105780</t>
        </is>
      </c>
      <c r="C432" s="96" t="inlineStr">
        <is>
          <t>KB자산운용</t>
        </is>
      </c>
      <c r="D432" s="97" t="n">
        <v>16100</v>
      </c>
      <c r="E432" s="97" t="n">
        <v>32200000000</v>
      </c>
      <c r="F432" s="97" t="n">
        <v>179042413</v>
      </c>
      <c r="G432" s="98" t="n">
        <v>0.004</v>
      </c>
      <c r="H432" s="98" t="n">
        <v>0.5484</v>
      </c>
      <c r="I432" s="98" t="n">
        <v>0.0063</v>
      </c>
      <c r="J432" s="98" t="n">
        <v>0.006211</v>
      </c>
      <c r="K432" s="97" t="n">
        <v>8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60일 거래대금 1.8억(기준 5억 미만), 변동성 54.8%(1년 기준, 기준 35% 초과)</t>
        </is>
      </c>
      <c r="O432" s="96" t="inlineStr">
        <is>
          <t>FnGuide 5대그룹주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IFERROR(INDEX($A$4:$A$580,MATCH(429,$X$4:$X$580,0)),"")</f>
        <v/>
      </c>
    </row>
    <row r="433">
      <c r="A433" s="96" t="inlineStr">
        <is>
          <t>TIGER 글로벌4차산업혁신기술(합성 H)</t>
        </is>
      </c>
      <c r="B433" s="96" t="inlineStr">
        <is>
          <t>275980</t>
        </is>
      </c>
      <c r="C433" s="96" t="inlineStr">
        <is>
          <t>미래에셋자산운용</t>
        </is>
      </c>
      <c r="D433" s="97" t="n">
        <v>23045</v>
      </c>
      <c r="E433" s="97" t="n">
        <v>57612500000</v>
      </c>
      <c r="F433" s="97" t="n">
        <v>103264579</v>
      </c>
      <c r="G433" s="98" t="n">
        <v>0.004</v>
      </c>
      <c r="H433" s="98" t="n">
        <v>0.1808</v>
      </c>
      <c r="I433" s="98" t="n">
        <v>0.0066</v>
      </c>
      <c r="J433" s="98" t="n">
        <v>0.005945000000000001</v>
      </c>
      <c r="K433" s="97" t="n">
        <v>1</v>
      </c>
      <c r="L433" s="99" t="inlineStr">
        <is>
          <t>20251229</t>
        </is>
      </c>
      <c r="M433" s="96" t="inlineStr">
        <is>
          <t>제외</t>
        </is>
      </c>
      <c r="N433" s="96" t="inlineStr">
        <is>
          <t>60일 거래대금 1.0억(기준 5억 미만)</t>
        </is>
      </c>
      <c r="O433" s="96" t="inlineStr">
        <is>
          <t>Morningstar Exponential Technologies Equal Weighted Select P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IFERROR(INDEX($A$4:$A$580,MATCH(430,$X$4:$X$580,0)),"")</f>
        <v/>
      </c>
    </row>
    <row r="434">
      <c r="A434" s="96" t="inlineStr">
        <is>
          <t>TIGER 삼성그룹</t>
        </is>
      </c>
      <c r="B434" s="96" t="inlineStr">
        <is>
          <t>138520</t>
        </is>
      </c>
      <c r="C434" s="96" t="inlineStr">
        <is>
          <t>미래에셋자산운용</t>
        </is>
      </c>
      <c r="D434" s="97" t="n">
        <v>35700</v>
      </c>
      <c r="E434" s="97" t="n">
        <v>144228000000</v>
      </c>
      <c r="F434" s="97" t="n">
        <v>2414891452</v>
      </c>
      <c r="G434" s="98" t="n">
        <v>0.0015</v>
      </c>
      <c r="H434" s="98" t="n">
        <v>0.5206000000000001</v>
      </c>
      <c r="I434" s="98" t="n">
        <v>0.0058</v>
      </c>
      <c r="J434" s="98" t="n">
        <v>0.005742000000000001</v>
      </c>
      <c r="K434" s="97" t="n">
        <v>10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변동성 52.1%(1년 기준, 기준 35% 초과)</t>
        </is>
      </c>
      <c r="O434" s="96" t="inlineStr">
        <is>
          <t>FnGuide SAMs FW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반기배당</t>
        </is>
      </c>
      <c r="S434" s="97" t="n">
        <v>2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IFERROR(INDEX($A$4:$A$580,MATCH(431,$X$4:$X$580,0)),"")</f>
        <v/>
      </c>
    </row>
    <row r="435">
      <c r="A435" s="96" t="inlineStr">
        <is>
          <t>ACE ESG액티브</t>
        </is>
      </c>
      <c r="B435" s="96" t="inlineStr">
        <is>
          <t>385590</t>
        </is>
      </c>
      <c r="C435" s="96" t="inlineStr">
        <is>
          <t>한국투신운용(ETF)</t>
        </is>
      </c>
      <c r="D435" s="97" t="n">
        <v>23650</v>
      </c>
      <c r="E435" s="97" t="n">
        <v>54395000000</v>
      </c>
      <c r="F435" s="97" t="n">
        <v>32366353</v>
      </c>
      <c r="G435" s="98" t="n">
        <v>0.005</v>
      </c>
      <c r="H435" s="98" t="n">
        <v>0.5329999999999999</v>
      </c>
      <c r="I435" s="98" t="n">
        <v>0.0062</v>
      </c>
      <c r="J435" s="98" t="n">
        <v>0.005708</v>
      </c>
      <c r="K435" s="97" t="n">
        <v>5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60일 거래대금 0.3억(기준 5억 미만), 변동성 53.3%(1년 기준, 기준 35% 초과)</t>
        </is>
      </c>
      <c r="O435" s="96" t="inlineStr">
        <is>
          <t>MSCI Korea Country ESG Leaders Custom Capped Index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1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IFERROR(INDEX($A$4:$A$580,MATCH(432,$X$4:$X$580,0)),"")</f>
        <v/>
      </c>
    </row>
    <row r="436">
      <c r="A436" s="96" t="inlineStr">
        <is>
          <t>ACE 글로벌반도체TOP4 Plus</t>
        </is>
      </c>
      <c r="B436" s="96" t="inlineStr">
        <is>
          <t>446770</t>
        </is>
      </c>
      <c r="C436" s="96" t="inlineStr">
        <is>
          <t>한국투신운용(ETF)</t>
        </is>
      </c>
      <c r="D436" s="97" t="n">
        <v>75655</v>
      </c>
      <c r="E436" s="97" t="n">
        <v>1528231000000</v>
      </c>
      <c r="F436" s="97" t="n">
        <v>20325132606</v>
      </c>
      <c r="G436" s="98" t="n">
        <v>0.004500000000000001</v>
      </c>
      <c r="H436" s="98" t="n">
        <v>0.4118</v>
      </c>
      <c r="I436" s="98" t="n">
        <v>0.0018</v>
      </c>
      <c r="J436" s="98" t="n">
        <v>0.005631000000000001</v>
      </c>
      <c r="K436" s="97" t="n">
        <v>14</v>
      </c>
      <c r="L436" s="99" t="inlineStr">
        <is>
          <t>20260730</t>
        </is>
      </c>
      <c r="M436" s="96" t="inlineStr">
        <is>
          <t>제외</t>
        </is>
      </c>
      <c r="N436" s="96" t="inlineStr">
        <is>
          <t>변동성 41.2%(1년 기준, 기준 35% 초과)</t>
        </is>
      </c>
      <c r="O436" s="96" t="inlineStr">
        <is>
          <t>Solactive Global Semiconductor Top 4 Plus Index (PR) USD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분기배당</t>
        </is>
      </c>
      <c r="S436" s="97" t="n">
        <v>4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IFERROR(INDEX($A$4:$A$580,MATCH(433,$X$4:$X$580,0)),"")</f>
        <v/>
      </c>
    </row>
    <row r="437">
      <c r="A437" s="96" t="inlineStr">
        <is>
          <t>TIGER Fn메타버스</t>
        </is>
      </c>
      <c r="B437" s="96" t="inlineStr">
        <is>
          <t>400970</t>
        </is>
      </c>
      <c r="C437" s="96" t="inlineStr">
        <is>
          <t>미래에셋자산운용</t>
        </is>
      </c>
      <c r="D437" s="97" t="n">
        <v>7125</v>
      </c>
      <c r="E437" s="97" t="n">
        <v>35625000000</v>
      </c>
      <c r="F437" s="97" t="n">
        <v>123503786</v>
      </c>
      <c r="G437" s="98" t="n">
        <v>0.004500000000000001</v>
      </c>
      <c r="H437" s="98" t="n">
        <v>0.3862</v>
      </c>
      <c r="I437" s="98" t="n">
        <v>0.004500000000000001</v>
      </c>
      <c r="J437" s="98" t="n">
        <v>0.005614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1.2억(기준 5억 미만), 변동성 38.6%(1년 기준, 기준 35% 초과)</t>
        </is>
      </c>
      <c r="O437" s="96" t="inlineStr">
        <is>
          <t>FnGuide 메타버스테마 지수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IFERROR(INDEX($A$4:$A$580,MATCH(434,$X$4:$X$580,0)),"")</f>
        <v/>
      </c>
    </row>
    <row r="438">
      <c r="A438" s="96" t="inlineStr">
        <is>
          <t>PLUS 태양광&amp;ESS</t>
        </is>
      </c>
      <c r="B438" s="96" t="inlineStr">
        <is>
          <t>457990</t>
        </is>
      </c>
      <c r="C438" s="96" t="inlineStr">
        <is>
          <t>한화자산운용</t>
        </is>
      </c>
      <c r="D438" s="97" t="n">
        <v>33985</v>
      </c>
      <c r="E438" s="97" t="n">
        <v>130842250000</v>
      </c>
      <c r="F438" s="97" t="n">
        <v>13048480815</v>
      </c>
      <c r="G438" s="98" t="n">
        <v>0.004500000000000001</v>
      </c>
      <c r="H438" s="98" t="n">
        <v>0.6836</v>
      </c>
      <c r="I438" s="98" t="n">
        <v>0.0037</v>
      </c>
      <c r="J438" s="98" t="n">
        <v>0.005591</v>
      </c>
      <c r="K438" s="97" t="n">
        <v>3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68.4%(1년 기준, 기준 35% 초과)</t>
        </is>
      </c>
      <c r="O438" s="96" t="inlineStr">
        <is>
          <t>FnGuide 태양광 &amp; ESS 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IFERROR(INDEX($A$4:$A$580,MATCH(435,$X$4:$X$580,0)),"")</f>
        <v/>
      </c>
    </row>
    <row r="439">
      <c r="A439" s="96" t="inlineStr">
        <is>
          <t>ACE 레버리지</t>
        </is>
      </c>
      <c r="B439" s="96" t="inlineStr">
        <is>
          <t>152500</t>
        </is>
      </c>
      <c r="C439" s="96" t="inlineStr">
        <is>
          <t>한국투신운용(ETF)</t>
        </is>
      </c>
      <c r="D439" s="97" t="n">
        <v>42480</v>
      </c>
      <c r="E439" s="97" t="n">
        <v>46728000000</v>
      </c>
      <c r="F439" s="97" t="n">
        <v>2664261100</v>
      </c>
      <c r="G439" s="98" t="n">
        <v>0.003</v>
      </c>
      <c r="H439" s="98" t="n">
        <v>1.1674</v>
      </c>
      <c r="I439" s="98" t="n">
        <v>0.0127</v>
      </c>
      <c r="J439" s="98" t="n">
        <v>0.005556</v>
      </c>
      <c r="K439" s="97" t="n">
        <v>1</v>
      </c>
      <c r="L439" s="99" t="inlineStr">
        <is>
          <t>20251229</t>
        </is>
      </c>
      <c r="M439" s="96" t="inlineStr">
        <is>
          <t>제외</t>
        </is>
      </c>
      <c r="N439" s="96" t="inlineStr">
        <is>
          <t>변동성 116.7%(1년 기준, 기준 35% 초과)</t>
        </is>
      </c>
      <c r="O439" s="96" t="inlineStr">
        <is>
          <t>KOSPI 200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IFERROR(INDEX($A$4:$A$580,MATCH(436,$X$4:$X$580,0)),"")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13770</v>
      </c>
      <c r="E440" s="97" t="n">
        <v>32772600000</v>
      </c>
      <c r="F440" s="97" t="n">
        <v>760552879</v>
      </c>
      <c r="G440" s="98" t="n">
        <v>0.004500000000000001</v>
      </c>
      <c r="H440" s="98" t="n">
        <v>0.4697</v>
      </c>
      <c r="I440" s="98" t="n">
        <v>0.0031</v>
      </c>
      <c r="J440" s="98" t="n">
        <v>0.005519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IFERROR(INDEX($A$4:$A$580,MATCH(437,$X$4:$X$580,0)),"")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106520</v>
      </c>
      <c r="E441" s="97" t="n">
        <v>1033989640000</v>
      </c>
      <c r="F441" s="97" t="n">
        <v>381984091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IFERROR(INDEX($A$4:$A$580,MATCH(438,$X$4:$X$580,0)),"")</f>
        <v/>
      </c>
    </row>
    <row r="442">
      <c r="A442" s="96" t="inlineStr">
        <is>
          <t>KODEX 삼성그룹</t>
        </is>
      </c>
      <c r="B442" s="96" t="inlineStr">
        <is>
          <t>102780</t>
        </is>
      </c>
      <c r="C442" s="96" t="inlineStr">
        <is>
          <t>삼성자산운용(ETF)</t>
        </is>
      </c>
      <c r="D442" s="97" t="n">
        <v>25310</v>
      </c>
      <c r="E442" s="97" t="n">
        <v>3242211000000</v>
      </c>
      <c r="F442" s="97" t="n">
        <v>25843169088</v>
      </c>
      <c r="G442" s="98" t="n">
        <v>0.0025</v>
      </c>
      <c r="H442" s="98" t="n">
        <v>0.5367999999999999</v>
      </c>
      <c r="I442" s="98" t="n">
        <v>0.006</v>
      </c>
      <c r="J442" s="98" t="n">
        <v>0.005452</v>
      </c>
      <c r="K442" s="97" t="n">
        <v>5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53.7%(1년 기준, 기준 35% 초과)</t>
        </is>
      </c>
      <c r="O442" s="96" t="inlineStr">
        <is>
          <t>FnGuide 삼성그룹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IFERROR(INDEX($A$4:$A$580,MATCH(439,$X$4:$X$580,0)),"")</f>
        <v/>
      </c>
    </row>
    <row r="443">
      <c r="A443" s="96" t="inlineStr">
        <is>
          <t>KODEX 친환경조선해운액티브</t>
        </is>
      </c>
      <c r="B443" s="96" t="inlineStr">
        <is>
          <t>445150</t>
        </is>
      </c>
      <c r="C443" s="96" t="inlineStr">
        <is>
          <t>삼성자산운용(ETF)</t>
        </is>
      </c>
      <c r="D443" s="97" t="n">
        <v>28240</v>
      </c>
      <c r="E443" s="97" t="n">
        <v>52244000000</v>
      </c>
      <c r="F443" s="97" t="n">
        <v>336043122</v>
      </c>
      <c r="G443" s="98" t="n">
        <v>0.005</v>
      </c>
      <c r="H443" s="98" t="n">
        <v>0.4829</v>
      </c>
      <c r="I443" s="98" t="n">
        <v>0.0002</v>
      </c>
      <c r="J443" s="98" t="n">
        <v>0.00517</v>
      </c>
      <c r="K443" s="97" t="n">
        <v>5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60일 거래대금 3.4억(기준 5억 미만), 변동성 48.3%(1년 기준, 기준 35% 초과)</t>
        </is>
      </c>
      <c r="O443" s="96" t="inlineStr">
        <is>
          <t>FnGuide K-친환경 선박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IFERROR(INDEX($A$4:$A$580,MATCH(440,$X$4:$X$580,0)),"")</f>
        <v/>
      </c>
    </row>
    <row r="444">
      <c r="A444" s="96" t="inlineStr">
        <is>
          <t>SOL 화장품TOP3플러스</t>
        </is>
      </c>
      <c r="B444" s="96" t="inlineStr">
        <is>
          <t>0008T0</t>
        </is>
      </c>
      <c r="C444" s="96" t="inlineStr">
        <is>
          <t>신한자산운용</t>
        </is>
      </c>
      <c r="D444" s="97" t="n">
        <v>17640</v>
      </c>
      <c r="E444" s="97" t="n">
        <v>100548000000</v>
      </c>
      <c r="F444" s="97" t="n">
        <v>21536285623</v>
      </c>
      <c r="G444" s="98" t="n">
        <v>0.004500000000000001</v>
      </c>
      <c r="H444" s="98" t="n">
        <v>0.431</v>
      </c>
      <c r="I444" s="98" t="n">
        <v>0.0042</v>
      </c>
      <c r="J444" s="98" t="n">
        <v>0.005044999999999999</v>
      </c>
      <c r="K444" s="97" t="n">
        <v>2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43.1%(1년 기준, 기준 35% 초과)</t>
        </is>
      </c>
      <c r="O444" s="96" t="inlineStr">
        <is>
          <t>FnGuide 화장품 TOP3 플러스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IFERROR(INDEX($A$4:$A$580,MATCH(441,$X$4:$X$580,0)),"")</f>
        <v/>
      </c>
    </row>
    <row r="445">
      <c r="A445" s="96" t="inlineStr">
        <is>
          <t>KIWOOM 미국나스닥100(H)</t>
        </is>
      </c>
      <c r="B445" s="96" t="inlineStr">
        <is>
          <t>453080</t>
        </is>
      </c>
      <c r="C445" s="96" t="inlineStr">
        <is>
          <t>키움투자자산운용</t>
        </is>
      </c>
      <c r="D445" s="97" t="n">
        <v>22630</v>
      </c>
      <c r="E445" s="97" t="n">
        <v>88257000000</v>
      </c>
      <c r="F445" s="97" t="n">
        <v>350874064</v>
      </c>
      <c r="G445" s="98" t="n">
        <v>0.0004</v>
      </c>
      <c r="H445" s="98" t="n">
        <v>0.1932</v>
      </c>
      <c r="I445" s="98" t="n">
        <v>0.0014</v>
      </c>
      <c r="J445" s="98" t="n">
        <v>0.004905</v>
      </c>
      <c r="K445" s="97" t="n">
        <v>6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3.5억(기준 5억 미만)</t>
        </is>
      </c>
      <c r="O445" s="96" t="inlineStr">
        <is>
          <t>나스닥 100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IFERROR(INDEX($A$4:$A$580,MATCH(442,$X$4:$X$580,0)),"")</f>
        <v/>
      </c>
    </row>
    <row r="446">
      <c r="A446" s="96" t="inlineStr">
        <is>
          <t>TIGER BBIG</t>
        </is>
      </c>
      <c r="B446" s="96" t="inlineStr">
        <is>
          <t>364960</t>
        </is>
      </c>
      <c r="C446" s="96" t="inlineStr">
        <is>
          <t>미래에셋자산운용</t>
        </is>
      </c>
      <c r="D446" s="97" t="n">
        <v>6190</v>
      </c>
      <c r="E446" s="97" t="n">
        <v>73661000000</v>
      </c>
      <c r="F446" s="97" t="n">
        <v>206547543</v>
      </c>
      <c r="G446" s="98" t="n">
        <v>0.004</v>
      </c>
      <c r="H446" s="98" t="n">
        <v>0.3552</v>
      </c>
      <c r="I446" s="98" t="n">
        <v>0.0037</v>
      </c>
      <c r="J446" s="98" t="n">
        <v>0.004847000000000001</v>
      </c>
      <c r="K446" s="97" t="n">
        <v>5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60일 거래대금 2.1억(기준 5억 미만), 변동성 35.5%(1년 기준, 기준 35% 초과)</t>
        </is>
      </c>
      <c r="O446" s="96" t="inlineStr">
        <is>
          <t>KRX BBIG 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IFERROR(INDEX($A$4:$A$580,MATCH(443,$X$4:$X$580,0)),"")</f>
        <v/>
      </c>
    </row>
    <row r="447">
      <c r="A447" s="96" t="inlineStr">
        <is>
          <t>TIGER 200 헬스케어</t>
        </is>
      </c>
      <c r="B447" s="96" t="inlineStr">
        <is>
          <t>227540</t>
        </is>
      </c>
      <c r="C447" s="96" t="inlineStr">
        <is>
          <t>미래에셋자산운용</t>
        </is>
      </c>
      <c r="D447" s="97" t="n">
        <v>18620</v>
      </c>
      <c r="E447" s="97" t="n">
        <v>30909200000</v>
      </c>
      <c r="F447" s="97" t="n">
        <v>560875576</v>
      </c>
      <c r="G447" s="98" t="n">
        <v>0.004</v>
      </c>
      <c r="H447" s="98" t="n">
        <v>0.3838</v>
      </c>
      <c r="I447" s="98" t="n">
        <v>0.0042</v>
      </c>
      <c r="J447" s="98" t="n">
        <v>0.004834</v>
      </c>
      <c r="K447" s="97" t="n">
        <v>5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38.4%(1년 기준, 기준 35% 초과)</t>
        </is>
      </c>
      <c r="O447" s="96" t="inlineStr">
        <is>
          <t>K200헬스케어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 s="98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IFERROR(INDEX($A$4:$A$580,MATCH(444,$X$4:$X$580,0)),"")</f>
        <v/>
      </c>
    </row>
    <row r="448">
      <c r="A448" s="96" t="inlineStr">
        <is>
          <t>TIGER 미국필라델피아반도체레버리지(합성)</t>
        </is>
      </c>
      <c r="B448" s="96" t="inlineStr">
        <is>
          <t>423920</t>
        </is>
      </c>
      <c r="C448" s="96" t="inlineStr">
        <is>
          <t>미래에셋자산운용</t>
        </is>
      </c>
      <c r="D448" s="97" t="n">
        <v>75270</v>
      </c>
      <c r="E448" s="97" t="n">
        <v>510330600000</v>
      </c>
      <c r="F448" s="97" t="n">
        <v>13553316887</v>
      </c>
      <c r="G448" s="98" t="n">
        <v>0.0058</v>
      </c>
      <c r="H448" s="98" t="n">
        <v>0.9261</v>
      </c>
      <c r="I448" s="98" t="n">
        <v>0.0019</v>
      </c>
      <c r="J448" s="98" t="n">
        <v>0.00473</v>
      </c>
      <c r="K448" s="97" t="n">
        <v>9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변동성 92.6%(1년 기준, 기준 35% 초과)</t>
        </is>
      </c>
      <c r="O448" s="96" t="inlineStr">
        <is>
          <t>PHLX Semiconductor Sector Index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분기배당</t>
        </is>
      </c>
      <c r="S448" s="97" t="n">
        <v>4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IFERROR(INDEX($A$4:$A$580,MATCH(445,$X$4:$X$580,0)),"")</f>
        <v/>
      </c>
    </row>
    <row r="449">
      <c r="A449" s="96" t="inlineStr">
        <is>
          <t>KODEX 건설</t>
        </is>
      </c>
      <c r="B449" s="96" t="inlineStr">
        <is>
          <t>117700</t>
        </is>
      </c>
      <c r="C449" s="96" t="inlineStr">
        <is>
          <t>삼성자산운용(ETF)</t>
        </is>
      </c>
      <c r="D449" s="97" t="n">
        <v>7190</v>
      </c>
      <c r="E449" s="97" t="n">
        <v>222171000000</v>
      </c>
      <c r="F449" s="97" t="n">
        <v>14240280229</v>
      </c>
      <c r="G449" s="98" t="n">
        <v>0.004500000000000001</v>
      </c>
      <c r="H449" s="98" t="n">
        <v>0.589</v>
      </c>
      <c r="I449" s="98" t="n">
        <v>0.0037</v>
      </c>
      <c r="J449" s="98" t="n">
        <v>0.004729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58.9%(1년 기준, 기준 35% 초과)</t>
        </is>
      </c>
      <c r="O449" s="96" t="inlineStr">
        <is>
          <t>KRX 건설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2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IFERROR(INDEX($A$4:$A$580,MATCH(446,$X$4:$X$580,0)),"")</f>
        <v/>
      </c>
    </row>
    <row r="450">
      <c r="A450" s="96" t="inlineStr">
        <is>
          <t>KODEX 모멘텀주</t>
        </is>
      </c>
      <c r="B450" s="96" t="inlineStr">
        <is>
          <t>275280</t>
        </is>
      </c>
      <c r="C450" s="96" t="inlineStr">
        <is>
          <t>삼성자산운용(ETF)</t>
        </is>
      </c>
      <c r="D450" s="97" t="n">
        <v>41520</v>
      </c>
      <c r="E450" s="97" t="n">
        <v>37368000000</v>
      </c>
      <c r="F450" s="97" t="n">
        <v>739945052</v>
      </c>
      <c r="G450" s="98" t="n">
        <v>0.003</v>
      </c>
      <c r="H450" s="98" t="n">
        <v>0.6009</v>
      </c>
      <c r="I450" s="98" t="n">
        <v>0.0011</v>
      </c>
      <c r="J450" s="98" t="n">
        <v>0.004697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60.1%(1년 기준, 기준 35% 초과)</t>
        </is>
      </c>
      <c r="O450" s="96" t="inlineStr">
        <is>
          <t>MSCI Korea IMI Momentum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IFERROR(INDEX($A$4:$A$580,MATCH(447,$X$4:$X$580,0)),"")</f>
        <v/>
      </c>
    </row>
    <row r="451">
      <c r="A451" s="96" t="inlineStr">
        <is>
          <t>RISE 미국반도체NYSE</t>
        </is>
      </c>
      <c r="B451" s="96" t="inlineStr">
        <is>
          <t>469060</t>
        </is>
      </c>
      <c r="C451" s="96" t="inlineStr">
        <is>
          <t>KB자산운용</t>
        </is>
      </c>
      <c r="D451" s="97" t="n">
        <v>33565</v>
      </c>
      <c r="E451" s="97" t="n">
        <v>75521250000</v>
      </c>
      <c r="F451" s="97" t="n">
        <v>1753821677</v>
      </c>
      <c r="G451" s="98" t="n">
        <v>0.0001</v>
      </c>
      <c r="H451" s="98" t="n">
        <v>0.4633</v>
      </c>
      <c r="I451" s="98" t="n">
        <v>0.0013</v>
      </c>
      <c r="J451" s="98" t="n">
        <v>0.004677</v>
      </c>
      <c r="K451" s="97" t="n">
        <v>11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46.3%(1년 기준, 기준 35% 초과)</t>
        </is>
      </c>
      <c r="O451" s="96" t="inlineStr">
        <is>
          <t>NYSE Semiconductor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분기배당</t>
        </is>
      </c>
      <c r="S451" s="97" t="n">
        <v>4</v>
      </c>
      <c r="T451" s="98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IFERROR(INDEX($A$4:$A$580,MATCH(448,$X$4:$X$580,0)),"")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59890</v>
      </c>
      <c r="E452" s="97" t="n">
        <v>221593000000</v>
      </c>
      <c r="F452" s="97" t="n">
        <v>6981004681</v>
      </c>
      <c r="G452" s="98" t="n">
        <v>0.003</v>
      </c>
      <c r="H452" s="98" t="n">
        <v>0.6259</v>
      </c>
      <c r="I452" s="98" t="n">
        <v>0.0032</v>
      </c>
      <c r="J452" s="98" t="n">
        <v>0.004675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62.6%(1년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IFERROR(INDEX($A$4:$A$580,MATCH(449,$X$4:$X$580,0)),"")</f>
        <v/>
      </c>
    </row>
    <row r="453">
      <c r="A453" s="96" t="inlineStr">
        <is>
          <t>RISE 글로벌원자력</t>
        </is>
      </c>
      <c r="B453" s="96" t="inlineStr">
        <is>
          <t>442320</t>
        </is>
      </c>
      <c r="C453" s="96" t="inlineStr">
        <is>
          <t>KB자산운용</t>
        </is>
      </c>
      <c r="D453" s="97" t="n">
        <v>35085</v>
      </c>
      <c r="E453" s="97" t="n">
        <v>219632100000</v>
      </c>
      <c r="F453" s="97" t="n">
        <v>834580650</v>
      </c>
      <c r="G453" s="98" t="n">
        <v>0.004</v>
      </c>
      <c r="H453" s="98" t="n">
        <v>0.4319</v>
      </c>
      <c r="I453" s="98" t="n">
        <v>0.0026</v>
      </c>
      <c r="J453" s="98" t="n">
        <v>0.004674</v>
      </c>
      <c r="K453" s="97" t="n">
        <v>2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43.2%(1년 기준, 기준 35% 초과)</t>
        </is>
      </c>
      <c r="O453" s="96" t="inlineStr">
        <is>
          <t>iSelect Global Nuclear Power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반기배당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IFERROR(INDEX($A$4:$A$580,MATCH(450,$X$4:$X$580,0)),"")</f>
        <v/>
      </c>
    </row>
    <row r="454">
      <c r="A454" s="96" t="inlineStr">
        <is>
          <t>SOL 미국원자력SMR</t>
        </is>
      </c>
      <c r="B454" s="96" t="inlineStr">
        <is>
          <t>0051G0</t>
        </is>
      </c>
      <c r="C454" s="96" t="inlineStr">
        <is>
          <t>신한자산운용</t>
        </is>
      </c>
      <c r="D454" s="97" t="n">
        <v>12195</v>
      </c>
      <c r="E454" s="97" t="n">
        <v>149998500000</v>
      </c>
      <c r="F454" s="97" t="n">
        <v>886930192</v>
      </c>
      <c r="G454" s="98" t="n">
        <v>0.004500000000000001</v>
      </c>
      <c r="H454" s="98" t="n">
        <v>0.4772999999999999</v>
      </c>
      <c r="I454" s="98" t="n">
        <v>0.0017</v>
      </c>
      <c r="J454" s="98" t="n">
        <v>0.004674</v>
      </c>
      <c r="K454" s="97" t="n">
        <v>2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47.7%(1년 기준, 기준 35% 초과)</t>
        </is>
      </c>
      <c r="O454" s="96" t="inlineStr">
        <is>
          <t>KEDI U.S. Nuclear Power SMR Index (Price Return)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IFERROR(INDEX($A$4:$A$580,MATCH(451,$X$4:$X$580,0)),"")</f>
        <v/>
      </c>
    </row>
    <row r="455">
      <c r="A455" s="96" t="inlineStr">
        <is>
          <t>RISE 미국반도체NYSE(H)</t>
        </is>
      </c>
      <c r="B455" s="96" t="inlineStr">
        <is>
          <t>469050</t>
        </is>
      </c>
      <c r="C455" s="96" t="inlineStr">
        <is>
          <t>KB자산운용</t>
        </is>
      </c>
      <c r="D455" s="97" t="n">
        <v>30420</v>
      </c>
      <c r="E455" s="97" t="n">
        <v>33462000000</v>
      </c>
      <c r="F455" s="97" t="n">
        <v>1483500055</v>
      </c>
      <c r="G455" s="98" t="n">
        <v>0.0001</v>
      </c>
      <c r="H455" s="98" t="n">
        <v>0.4646</v>
      </c>
      <c r="I455" s="98" t="n">
        <v>0.0014</v>
      </c>
      <c r="J455" s="98" t="n">
        <v>0.004602</v>
      </c>
      <c r="K455" s="97" t="n">
        <v>11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46.5%(1년 기준, 기준 35% 초과)</t>
        </is>
      </c>
      <c r="O455" s="96" t="inlineStr">
        <is>
          <t>NYSE Semiconductor Index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분기배당</t>
        </is>
      </c>
      <c r="S455" s="97" t="n">
        <v>4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IFERROR(INDEX($A$4:$A$580,MATCH(452,$X$4:$X$580,0)),"")</f>
        <v/>
      </c>
    </row>
    <row r="456">
      <c r="A456" s="96" t="inlineStr">
        <is>
          <t>ACE 일본TOPIX레버리지(H)</t>
        </is>
      </c>
      <c r="B456" s="96" t="inlineStr">
        <is>
          <t>196030</t>
        </is>
      </c>
      <c r="C456" s="96" t="inlineStr">
        <is>
          <t>한국투신운용(ETF)</t>
        </is>
      </c>
      <c r="D456" s="97" t="n">
        <v>89580</v>
      </c>
      <c r="E456" s="97" t="n">
        <v>44790000000</v>
      </c>
      <c r="F456" s="97" t="n">
        <v>18295132</v>
      </c>
      <c r="G456" s="98" t="n">
        <v>0.005</v>
      </c>
      <c r="H456" s="98" t="n">
        <v>0.4248</v>
      </c>
      <c r="I456" s="98" t="n">
        <v>0.0063</v>
      </c>
      <c r="J456" s="98" t="n">
        <v>0.004532</v>
      </c>
      <c r="K456" s="97" t="n">
        <v>1</v>
      </c>
      <c r="L456" s="99" t="inlineStr">
        <is>
          <t>20251229</t>
        </is>
      </c>
      <c r="M456" s="96" t="inlineStr">
        <is>
          <t>제외</t>
        </is>
      </c>
      <c r="N456" s="96" t="inlineStr">
        <is>
          <t>60일 거래대금 0.2억(기준 5억 미만), 변동성 42.5%(1년 기준, 기준 35% 초과)</t>
        </is>
      </c>
      <c r="O456" s="96" t="inlineStr">
        <is>
          <t>TOPIX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IFERROR(INDEX($A$4:$A$580,MATCH(453,$X$4:$X$580,0)),"")</f>
        <v/>
      </c>
    </row>
    <row r="457">
      <c r="A457" s="96" t="inlineStr">
        <is>
          <t>RISE 2차전지액티브</t>
        </is>
      </c>
      <c r="B457" s="96" t="inlineStr">
        <is>
          <t>422420</t>
        </is>
      </c>
      <c r="C457" s="96" t="inlineStr">
        <is>
          <t>KB자산운용</t>
        </is>
      </c>
      <c r="D457" s="97" t="n">
        <v>6695</v>
      </c>
      <c r="E457" s="97" t="n">
        <v>218658700000</v>
      </c>
      <c r="F457" s="97" t="n">
        <v>1359625618</v>
      </c>
      <c r="G457" s="98" t="n">
        <v>0.0035</v>
      </c>
      <c r="H457" s="98" t="n">
        <v>0.6224000000000001</v>
      </c>
      <c r="I457" s="98" t="n">
        <v>0.003</v>
      </c>
      <c r="J457" s="98" t="n">
        <v>0.004481</v>
      </c>
      <c r="K457" s="97" t="n">
        <v>3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62.2%(1년 기준, 기준 35% 초과)</t>
        </is>
      </c>
      <c r="O457" s="96" t="inlineStr">
        <is>
          <t>iSelect 2차전지 지수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반기배당</t>
        </is>
      </c>
      <c r="S457" s="97" t="n">
        <v>2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IFERROR(INDEX($A$4:$A$580,MATCH(454,$X$4:$X$580,0)),"")</f>
        <v/>
      </c>
    </row>
    <row r="458">
      <c r="A458" s="96" t="inlineStr">
        <is>
          <t>HANARO 원자력iSelect</t>
        </is>
      </c>
      <c r="B458" s="96" t="inlineStr">
        <is>
          <t>434730</t>
        </is>
      </c>
      <c r="C458" s="96" t="inlineStr">
        <is>
          <t>NH-Amundi자산운용</t>
        </is>
      </c>
      <c r="D458" s="97" t="n">
        <v>59305</v>
      </c>
      <c r="E458" s="97" t="n">
        <v>696833750000</v>
      </c>
      <c r="F458" s="97" t="n">
        <v>16887162611</v>
      </c>
      <c r="G458" s="98" t="n">
        <v>0.004500000000000001</v>
      </c>
      <c r="H458" s="98" t="n">
        <v>0.6057</v>
      </c>
      <c r="I458" s="98" t="n">
        <v>0.003</v>
      </c>
      <c r="J458" s="98" t="n">
        <v>0.004468</v>
      </c>
      <c r="K458" s="97" t="n">
        <v>4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60.6%(1년 기준, 기준 35% 초과)</t>
        </is>
      </c>
      <c r="O458" s="96" t="inlineStr">
        <is>
          <t>iSelect 원자력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IFERROR(INDEX($A$4:$A$580,MATCH(455,$X$4:$X$580,0)),"")</f>
        <v/>
      </c>
    </row>
    <row r="459">
      <c r="A459" s="96" t="inlineStr">
        <is>
          <t>RISE 수소경제테마</t>
        </is>
      </c>
      <c r="B459" s="96" t="inlineStr">
        <is>
          <t>367770</t>
        </is>
      </c>
      <c r="C459" s="96" t="inlineStr">
        <is>
          <t>KB자산운용</t>
        </is>
      </c>
      <c r="D459" s="97" t="n">
        <v>22410</v>
      </c>
      <c r="E459" s="97" t="n">
        <v>115411500000</v>
      </c>
      <c r="F459" s="97" t="n">
        <v>2564556773</v>
      </c>
      <c r="G459" s="98" t="n">
        <v>0.004500000000000001</v>
      </c>
      <c r="H459" s="98" t="n">
        <v>0.4868</v>
      </c>
      <c r="I459" s="98" t="n">
        <v>0.0034</v>
      </c>
      <c r="J459" s="98" t="n">
        <v>0.004462</v>
      </c>
      <c r="K459" s="97" t="n">
        <v>5</v>
      </c>
      <c r="L459" s="99" t="inlineStr">
        <is>
          <t>20260429</t>
        </is>
      </c>
      <c r="M459" s="96" t="inlineStr">
        <is>
          <t>제외</t>
        </is>
      </c>
      <c r="N459" s="96" t="inlineStr">
        <is>
          <t>변동성 48.7%(1년 기준, 기준 35% 초과)</t>
        </is>
      </c>
      <c r="O459" s="96" t="inlineStr">
        <is>
          <t>FnGuide 수소 경제 테마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1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IFERROR(INDEX($A$4:$A$580,MATCH(456,$X$4:$X$580,0)),"")</f>
        <v/>
      </c>
    </row>
    <row r="460">
      <c r="A460" s="96" t="inlineStr">
        <is>
          <t>SOL 글로벌AI반도체탑픽액티브</t>
        </is>
      </c>
      <c r="B460" s="96" t="inlineStr">
        <is>
          <t>423170</t>
        </is>
      </c>
      <c r="C460" s="96" t="inlineStr">
        <is>
          <t>신한자산운용</t>
        </is>
      </c>
      <c r="D460" s="97" t="n">
        <v>56085</v>
      </c>
      <c r="E460" s="97" t="n">
        <v>250139100000</v>
      </c>
      <c r="F460" s="97" t="n">
        <v>5214546695</v>
      </c>
      <c r="G460" s="98" t="n">
        <v>0.005500000000000001</v>
      </c>
      <c r="H460" s="98" t="n">
        <v>0.4364</v>
      </c>
      <c r="I460" s="98" t="n">
        <v>0.005</v>
      </c>
      <c r="J460" s="98" t="n">
        <v>0.004458</v>
      </c>
      <c r="K460" s="97" t="n">
        <v>4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변동성 43.6%(1년 기준, 기준 35% 초과)</t>
        </is>
      </c>
      <c r="O460" s="96" t="inlineStr">
        <is>
          <t>S&amp;P Global Semiconductor Korea Tilted Index (KRW)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IFERROR(INDEX($A$4:$A$580,MATCH(457,$X$4:$X$580,0)),"")</f>
        <v/>
      </c>
    </row>
    <row r="461">
      <c r="A461" s="96" t="inlineStr">
        <is>
          <t>KODEX 미국반도체</t>
        </is>
      </c>
      <c r="B461" s="96" t="inlineStr">
        <is>
          <t>390390</t>
        </is>
      </c>
      <c r="C461" s="96" t="inlineStr">
        <is>
          <t>삼성자산운용(ETF)</t>
        </is>
      </c>
      <c r="D461" s="97" t="n">
        <v>51625</v>
      </c>
      <c r="E461" s="97" t="n">
        <v>1233837500000</v>
      </c>
      <c r="F461" s="97" t="n">
        <v>43435069348</v>
      </c>
      <c r="G461" s="98" t="n">
        <v>0.0009</v>
      </c>
      <c r="H461" s="98" t="n">
        <v>0.4034</v>
      </c>
      <c r="I461" s="98" t="n">
        <v>0.0011</v>
      </c>
      <c r="J461" s="98" t="n">
        <v>0.004378</v>
      </c>
      <c r="K461" s="97" t="n">
        <v>14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40.3%(1년 기준, 기준 35% 초과)</t>
        </is>
      </c>
      <c r="O461" s="96" t="inlineStr">
        <is>
          <t>MVIS US Listed Semiconductor 25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IFERROR(INDEX($A$4:$A$580,MATCH(458,$X$4:$X$580,0)),"")</f>
        <v/>
      </c>
    </row>
    <row r="462">
      <c r="A462" s="96" t="inlineStr">
        <is>
          <t>KODEX 우량주</t>
        </is>
      </c>
      <c r="B462" s="96" t="inlineStr">
        <is>
          <t>275300</t>
        </is>
      </c>
      <c r="C462" s="96" t="inlineStr">
        <is>
          <t>삼성자산운용(ETF)</t>
        </is>
      </c>
      <c r="D462" s="97" t="n">
        <v>28970</v>
      </c>
      <c r="E462" s="97" t="n">
        <v>49249000000</v>
      </c>
      <c r="F462" s="97" t="n">
        <v>318770423</v>
      </c>
      <c r="G462" s="98" t="n">
        <v>0.003</v>
      </c>
      <c r="H462" s="98" t="n">
        <v>0.584</v>
      </c>
      <c r="I462" s="98" t="n">
        <v>0.0008</v>
      </c>
      <c r="J462" s="98" t="n">
        <v>0.004349</v>
      </c>
      <c r="K462" s="97" t="n">
        <v>6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60일 거래대금 3.2억(기준 5억 미만), 변동성 58.4%(1년 기준, 기준 35% 초과)</t>
        </is>
      </c>
      <c r="O462" s="96" t="inlineStr">
        <is>
          <t>MSCI Korea IMI Quality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2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IFERROR(INDEX($A$4:$A$580,MATCH(459,$X$4:$X$580,0)),"")</f>
        <v/>
      </c>
    </row>
    <row r="463">
      <c r="A463" s="96" t="inlineStr">
        <is>
          <t>PLUS 미국양자컴퓨팅TOP10</t>
        </is>
      </c>
      <c r="B463" s="96" t="inlineStr">
        <is>
          <t>0023B0</t>
        </is>
      </c>
      <c r="C463" s="96" t="inlineStr">
        <is>
          <t>한화자산운용</t>
        </is>
      </c>
      <c r="D463" s="97" t="n">
        <v>15730</v>
      </c>
      <c r="E463" s="97" t="n">
        <v>33033000000</v>
      </c>
      <c r="F463" s="97" t="n">
        <v>448075173</v>
      </c>
      <c r="G463" s="98" t="n">
        <v>0.004500000000000001</v>
      </c>
      <c r="H463" s="98" t="n">
        <v>0.5674</v>
      </c>
      <c r="I463" s="98" t="n">
        <v>0.0005999999999999999</v>
      </c>
      <c r="J463" s="98" t="n">
        <v>0.004259</v>
      </c>
      <c r="K463" s="97" t="n">
        <v>2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60일 거래대금 4.5억(기준 5억 미만), 변동성 56.7%(1년 기준, 기준 35% 초과)</t>
        </is>
      </c>
      <c r="O463" s="96" t="inlineStr">
        <is>
          <t>iSelect U.S. Quantum Computing TOP10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2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IFERROR(INDEX($A$4:$A$580,MATCH(460,$X$4:$X$580,0)),"")</f>
        <v/>
      </c>
    </row>
    <row r="464">
      <c r="A464" s="96" t="inlineStr">
        <is>
          <t>TIGER 미국필라델피아반도체나스닥</t>
        </is>
      </c>
      <c r="B464" s="96" t="inlineStr">
        <is>
          <t>381180</t>
        </is>
      </c>
      <c r="C464" s="96" t="inlineStr">
        <is>
          <t>미래에셋자산운용</t>
        </is>
      </c>
      <c r="D464" s="97" t="n">
        <v>40750</v>
      </c>
      <c r="E464" s="97" t="n">
        <v>5537925000000</v>
      </c>
      <c r="F464" s="97" t="n">
        <v>111557971161</v>
      </c>
      <c r="G464" s="98" t="n">
        <v>0.0049</v>
      </c>
      <c r="H464" s="98" t="n">
        <v>0.4524</v>
      </c>
      <c r="I464" s="98" t="n">
        <v>0.0012</v>
      </c>
      <c r="J464" s="98" t="n">
        <v>0.004147000000000001</v>
      </c>
      <c r="K464" s="97" t="n">
        <v>18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45.2%(1년 기준, 기준 35% 초과)</t>
        </is>
      </c>
      <c r="O464" s="96" t="inlineStr">
        <is>
          <t>PHLX Semiconductor Sector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분기배당</t>
        </is>
      </c>
      <c r="S464" s="97" t="n">
        <v>4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IFERROR(INDEX($A$4:$A$580,MATCH(461,$X$4:$X$580,0)),"")</f>
        <v/>
      </c>
    </row>
    <row r="465">
      <c r="A465" s="96" t="inlineStr">
        <is>
          <t>TIGER 2차전지TOP10레버리지</t>
        </is>
      </c>
      <c r="B465" s="96" t="inlineStr">
        <is>
          <t>412570</t>
        </is>
      </c>
      <c r="C465" s="96" t="inlineStr">
        <is>
          <t>미래에셋자산운용</t>
        </is>
      </c>
      <c r="D465" s="97" t="n">
        <v>1220</v>
      </c>
      <c r="E465" s="97" t="n">
        <v>177998000000</v>
      </c>
      <c r="F465" s="97" t="n">
        <v>8647398873</v>
      </c>
      <c r="G465" s="98" t="n">
        <v>0.0029</v>
      </c>
      <c r="H465" s="98" t="n">
        <v>1.1853</v>
      </c>
      <c r="I465" s="98" t="n">
        <v>0.0038</v>
      </c>
      <c r="J465" s="98" t="n">
        <v>0.004098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118.5%(1년 기준, 기준 35% 초과)</t>
        </is>
      </c>
      <c r="O465" s="96" t="inlineStr">
        <is>
          <t>KRX 2차전지 TOP 10 지수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1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IFERROR(INDEX($A$4:$A$580,MATCH(462,$X$4:$X$580,0)),"")</f>
        <v/>
      </c>
    </row>
    <row r="466">
      <c r="A466" s="96" t="inlineStr">
        <is>
          <t>RISE 200선물레버리지</t>
        </is>
      </c>
      <c r="B466" s="96" t="inlineStr">
        <is>
          <t>252400</t>
        </is>
      </c>
      <c r="C466" s="96" t="inlineStr">
        <is>
          <t>KB자산운용</t>
        </is>
      </c>
      <c r="D466" s="97" t="n">
        <v>96040</v>
      </c>
      <c r="E466" s="97" t="n">
        <v>57624000000</v>
      </c>
      <c r="F466" s="97" t="n">
        <v>2420818279</v>
      </c>
      <c r="G466" s="98" t="n">
        <v>0.00022</v>
      </c>
      <c r="H466" s="98" t="n">
        <v>1.1574</v>
      </c>
      <c r="I466" s="98" t="n">
        <v>0.0091</v>
      </c>
      <c r="J466" s="98" t="n">
        <v>0.003957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변동성 115.7%(1년 기준, 기준 35% 초과)</t>
        </is>
      </c>
      <c r="O466" s="96" t="inlineStr">
        <is>
          <t>KOSPI200선물지수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1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IFERROR(INDEX($A$4:$A$580,MATCH(463,$X$4:$X$580,0)),"")</f>
        <v/>
      </c>
    </row>
    <row r="467">
      <c r="A467" s="96" t="inlineStr">
        <is>
          <t>KODEX 2차전지핵심소재10</t>
        </is>
      </c>
      <c r="B467" s="96" t="inlineStr">
        <is>
          <t>461950</t>
        </is>
      </c>
      <c r="C467" s="96" t="inlineStr">
        <is>
          <t>삼성자산운용(ETF)</t>
        </is>
      </c>
      <c r="D467" s="97" t="n">
        <v>4860</v>
      </c>
      <c r="E467" s="97" t="n">
        <v>174960000000</v>
      </c>
      <c r="F467" s="97" t="n">
        <v>5164061319</v>
      </c>
      <c r="G467" s="98" t="n">
        <v>0.0039</v>
      </c>
      <c r="H467" s="98" t="n">
        <v>0.6636</v>
      </c>
      <c r="I467" s="98" t="n">
        <v>0.0024</v>
      </c>
      <c r="J467" s="98" t="n">
        <v>0.003909</v>
      </c>
      <c r="K467" s="97" t="n">
        <v>4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변동성 66.4%(1년 기준, 기준 35% 초과)</t>
        </is>
      </c>
      <c r="O467" s="96" t="inlineStr">
        <is>
          <t>FnGuide 2차전지핵심소재10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IFERROR(INDEX($A$4:$A$580,MATCH(464,$X$4:$X$580,0)),"")</f>
        <v/>
      </c>
    </row>
    <row r="468">
      <c r="A468" s="96" t="inlineStr">
        <is>
          <t>KODEX 은선물(H)</t>
        </is>
      </c>
      <c r="B468" s="96" t="inlineStr">
        <is>
          <t>144600</t>
        </is>
      </c>
      <c r="C468" s="96" t="inlineStr">
        <is>
          <t>삼성자산운용(ETF)</t>
        </is>
      </c>
      <c r="D468" s="97" t="n">
        <v>10335</v>
      </c>
      <c r="E468" s="97" t="n">
        <v>756522000000</v>
      </c>
      <c r="F468" s="97" t="n">
        <v>7032553654</v>
      </c>
      <c r="G468" s="98" t="n">
        <v>0.0068</v>
      </c>
      <c r="H468" s="98" t="n">
        <v>0.6707</v>
      </c>
      <c r="I468" s="98" t="n">
        <v>0.0031</v>
      </c>
      <c r="J468" s="98" t="n">
        <v>0.00387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67.1%(1년 기준, 기준 35% 초과)</t>
        </is>
      </c>
      <c r="O468" s="96" t="inlineStr">
        <is>
          <t>S&amp;P GSCI Silver</t>
        </is>
      </c>
      <c r="P468" s="96" t="inlineStr">
        <is>
          <t>일반</t>
        </is>
      </c>
      <c r="Q468" s="96" t="inlineStr">
        <is>
          <t>원자재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IFERROR(INDEX($A$4:$A$580,MATCH(465,$X$4:$X$580,0)),"")</f>
        <v/>
      </c>
    </row>
    <row r="469">
      <c r="A469" s="96" t="inlineStr">
        <is>
          <t>HANARO 머니마켓액티브</t>
        </is>
      </c>
      <c r="B469" s="96" t="inlineStr">
        <is>
          <t>486830</t>
        </is>
      </c>
      <c r="C469" s="96" t="inlineStr">
        <is>
          <t>NH-Amundi자산운용</t>
        </is>
      </c>
      <c r="D469" s="97" t="n">
        <v>53360</v>
      </c>
      <c r="E469" s="97" t="n">
        <v>235637760000</v>
      </c>
      <c r="F469" s="97" t="n">
        <v>180097124</v>
      </c>
      <c r="G469" s="98" t="n">
        <v>0.0004</v>
      </c>
      <c r="H469" s="98" t="n">
        <v>0.004</v>
      </c>
      <c r="I469" s="98" t="n">
        <v>0.0038</v>
      </c>
      <c r="J469" s="98" t="n">
        <v>0.003748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60일 거래대금 1.8억(기준 5억 미만)</t>
        </is>
      </c>
      <c r="O469" s="96" t="inlineStr">
        <is>
          <t>KIS-NH-Amundi MMF지수</t>
        </is>
      </c>
      <c r="P469" s="96" t="inlineStr">
        <is>
          <t>일반</t>
        </is>
      </c>
      <c r="Q469" s="96" t="inlineStr">
        <is>
          <t>단기자금(파킹형)</t>
        </is>
      </c>
      <c r="R469" s="96" t="inlineStr">
        <is>
          <t>연배당</t>
        </is>
      </c>
      <c r="S469" s="97" t="n">
        <v>1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IFERROR(INDEX($A$4:$A$580,MATCH(466,$X$4:$X$580,0)),"")</f>
        <v/>
      </c>
    </row>
    <row r="470">
      <c r="A470" s="96" t="inlineStr">
        <is>
          <t>PLUS 미국나스닥테크</t>
        </is>
      </c>
      <c r="B470" s="96" t="inlineStr">
        <is>
          <t>287180</t>
        </is>
      </c>
      <c r="C470" s="96" t="inlineStr">
        <is>
          <t>한화자산운용</t>
        </is>
      </c>
      <c r="D470" s="97" t="n">
        <v>53380</v>
      </c>
      <c r="E470" s="97" t="n">
        <v>48042000000</v>
      </c>
      <c r="F470" s="97" t="n">
        <v>243703047</v>
      </c>
      <c r="G470" s="98" t="n">
        <v>0.005</v>
      </c>
      <c r="H470" s="98" t="n">
        <v>0.2977</v>
      </c>
      <c r="I470" s="98" t="n">
        <v>0.004099999999999999</v>
      </c>
      <c r="J470" s="98" t="n">
        <v>0.003747</v>
      </c>
      <c r="K470" s="97" t="n">
        <v>2</v>
      </c>
      <c r="L470" s="99" t="inlineStr">
        <is>
          <t>20260429</t>
        </is>
      </c>
      <c r="M470" s="96" t="inlineStr">
        <is>
          <t>제외</t>
        </is>
      </c>
      <c r="N470" s="96" t="inlineStr">
        <is>
          <t>60일 거래대금 2.4억(기준 5억 미만)</t>
        </is>
      </c>
      <c r="O470" s="96" t="inlineStr">
        <is>
          <t>NASDAQ-100 Technology Sector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연배당</t>
        </is>
      </c>
      <c r="S470" s="97" t="n">
        <v>1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IFERROR(INDEX($A$4:$A$580,MATCH(467,$X$4:$X$580,0)),"")</f>
        <v/>
      </c>
    </row>
    <row r="471">
      <c r="A471" s="96" t="inlineStr">
        <is>
          <t>TIGER 200선물레버리지</t>
        </is>
      </c>
      <c r="B471" s="96" t="inlineStr">
        <is>
          <t>267770</t>
        </is>
      </c>
      <c r="C471" s="96" t="inlineStr">
        <is>
          <t>미래에셋자산운용</t>
        </is>
      </c>
      <c r="D471" s="97" t="n">
        <v>79335</v>
      </c>
      <c r="E471" s="97" t="n">
        <v>190404000000</v>
      </c>
      <c r="F471" s="97" t="n">
        <v>10571697011</v>
      </c>
      <c r="G471" s="98" t="n">
        <v>0.00022</v>
      </c>
      <c r="H471" s="98" t="n">
        <v>1.1613</v>
      </c>
      <c r="I471" s="98" t="n">
        <v>0.008500000000000001</v>
      </c>
      <c r="J471" s="98" t="n">
        <v>0.003718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변동성 116.1%(1년 기준, 기준 35% 초과)</t>
        </is>
      </c>
      <c r="O471" s="96" t="inlineStr">
        <is>
          <t>KOSPI200선물지수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IFERROR(INDEX($A$4:$A$580,MATCH(468,$X$4:$X$580,0)),"")</f>
        <v/>
      </c>
    </row>
    <row r="472">
      <c r="A472" s="96" t="inlineStr">
        <is>
          <t>TIGER 반도체</t>
        </is>
      </c>
      <c r="B472" s="96" t="inlineStr">
        <is>
          <t>091230</t>
        </is>
      </c>
      <c r="C472" s="96" t="inlineStr">
        <is>
          <t>미래에셋자산운용</t>
        </is>
      </c>
      <c r="D472" s="97" t="n">
        <v>135000</v>
      </c>
      <c r="E472" s="97" t="n">
        <v>1385100000000</v>
      </c>
      <c r="F472" s="97" t="n">
        <v>63904299987</v>
      </c>
      <c r="G472" s="98" t="n">
        <v>0.0046</v>
      </c>
      <c r="H472" s="98" t="n">
        <v>0.7215</v>
      </c>
      <c r="I472" s="98" t="n">
        <v>0.0017</v>
      </c>
      <c r="J472" s="98" t="n">
        <v>0.003696</v>
      </c>
      <c r="K472" s="97" t="n">
        <v>11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변동성 72.2%(1년 기준, 기준 35% 초과)</t>
        </is>
      </c>
      <c r="O472" s="96" t="inlineStr">
        <is>
          <t>KRX 반도체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4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IFERROR(INDEX($A$4:$A$580,MATCH(469,$X$4:$X$580,0)),"")</f>
        <v/>
      </c>
    </row>
    <row r="473">
      <c r="A473" s="96" t="inlineStr">
        <is>
          <t>ACE 구글밸류체인액티브</t>
        </is>
      </c>
      <c r="B473" s="96" t="inlineStr">
        <is>
          <t>483340</t>
        </is>
      </c>
      <c r="C473" s="96" t="inlineStr">
        <is>
          <t>한국투신운용(ETF)</t>
        </is>
      </c>
      <c r="D473" s="97" t="n">
        <v>21515</v>
      </c>
      <c r="E473" s="97" t="n">
        <v>243119500000</v>
      </c>
      <c r="F473" s="97" t="n">
        <v>7738650962</v>
      </c>
      <c r="G473" s="98" t="n">
        <v>0.004500000000000001</v>
      </c>
      <c r="H473" s="98" t="n">
        <v>0.3791</v>
      </c>
      <c r="I473" s="98" t="n">
        <v>0.0051</v>
      </c>
      <c r="J473" s="98" t="n">
        <v>0.003672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37.9%(1년 기준, 기준 35% 초과)</t>
        </is>
      </c>
      <c r="O473" s="96" t="inlineStr">
        <is>
          <t>KEDI Global AI Cloud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IFERROR(INDEX($A$4:$A$580,MATCH(470,$X$4:$X$580,0)),"")</f>
        <v/>
      </c>
    </row>
    <row r="474">
      <c r="A474" s="96" t="inlineStr">
        <is>
          <t>TIGER 코스닥150 레버리지</t>
        </is>
      </c>
      <c r="B474" s="96" t="inlineStr">
        <is>
          <t>233160</t>
        </is>
      </c>
      <c r="C474" s="96" t="inlineStr">
        <is>
          <t>미래에셋자산운용</t>
        </is>
      </c>
      <c r="D474" s="97" t="n">
        <v>7355</v>
      </c>
      <c r="E474" s="97" t="n">
        <v>162545500000</v>
      </c>
      <c r="F474" s="97" t="n">
        <v>19718871014</v>
      </c>
      <c r="G474" s="98" t="n">
        <v>0.0032</v>
      </c>
      <c r="H474" s="98" t="n">
        <v>1.1205</v>
      </c>
      <c r="I474" s="98" t="n">
        <v>0.0021</v>
      </c>
      <c r="J474" s="98" t="n">
        <v>0.003671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112.1%(1년 기준, 기준 35% 초과)</t>
        </is>
      </c>
      <c r="O474" s="96" t="inlineStr">
        <is>
          <t>KOSDAQ 150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IFERROR(INDEX($A$4:$A$580,MATCH(471,$X$4:$X$580,0)),"")</f>
        <v/>
      </c>
    </row>
    <row r="475">
      <c r="A475" s="96" t="inlineStr">
        <is>
          <t>RISE ESG사회책임투자</t>
        </is>
      </c>
      <c r="B475" s="96" t="inlineStr">
        <is>
          <t>290130</t>
        </is>
      </c>
      <c r="C475" s="96" t="inlineStr">
        <is>
          <t>KB자산운용</t>
        </is>
      </c>
      <c r="D475" s="97" t="n">
        <v>46330</v>
      </c>
      <c r="E475" s="97" t="n">
        <v>657886000000</v>
      </c>
      <c r="F475" s="97" t="n">
        <v>23804717789</v>
      </c>
      <c r="G475" s="98" t="n">
        <v>0.003</v>
      </c>
      <c r="H475" s="98" t="n">
        <v>0.6229</v>
      </c>
      <c r="I475" s="98" t="n">
        <v>0.004099999999999999</v>
      </c>
      <c r="J475" s="98" t="n">
        <v>0.003669</v>
      </c>
      <c r="K475" s="97" t="n">
        <v>6</v>
      </c>
      <c r="L475" s="99" t="inlineStr">
        <is>
          <t>20260429</t>
        </is>
      </c>
      <c r="M475" s="96" t="inlineStr">
        <is>
          <t>제외</t>
        </is>
      </c>
      <c r="N475" s="96" t="inlineStr">
        <is>
          <t>변동성 62.3%(1년 기준, 기준 35% 초과)</t>
        </is>
      </c>
      <c r="O475" s="96" t="inlineStr">
        <is>
          <t>KRX 사회책임경영지수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IFERROR(INDEX($A$4:$A$580,MATCH(472,$X$4:$X$580,0)),"")</f>
        <v/>
      </c>
    </row>
    <row r="476">
      <c r="A476" s="96" t="inlineStr">
        <is>
          <t>PLUS 글로벌원자력밸류체인</t>
        </is>
      </c>
      <c r="B476" s="96" t="inlineStr">
        <is>
          <t>0007G0</t>
        </is>
      </c>
      <c r="C476" s="96" t="inlineStr">
        <is>
          <t>한화자산운용</t>
        </is>
      </c>
      <c r="D476" s="97" t="n">
        <v>12860</v>
      </c>
      <c r="E476" s="97" t="n">
        <v>39223000000</v>
      </c>
      <c r="F476" s="97" t="n">
        <v>105626346</v>
      </c>
      <c r="G476" s="98" t="n">
        <v>0.0039</v>
      </c>
      <c r="H476" s="98" t="n">
        <v>0.4557</v>
      </c>
      <c r="I476" s="98" t="n">
        <v>0.0003</v>
      </c>
      <c r="J476" s="98" t="n">
        <v>0.003655</v>
      </c>
      <c r="K476" s="97" t="n">
        <v>2</v>
      </c>
      <c r="L476" s="99" t="inlineStr">
        <is>
          <t>20260429</t>
        </is>
      </c>
      <c r="M476" s="96" t="inlineStr">
        <is>
          <t>제외</t>
        </is>
      </c>
      <c r="N476" s="96" t="inlineStr">
        <is>
          <t>60일 거래대금 1.1억(기준 5억 미만), 변동성 45.6%(1년 기준, 기준 35% 초과)</t>
        </is>
      </c>
      <c r="O476" s="96" t="inlineStr">
        <is>
          <t>Solactive Global Nuclear Energy Value Chain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2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IFERROR(INDEX($A$4:$A$580,MATCH(473,$X$4:$X$580,0)),"")</f>
        <v/>
      </c>
    </row>
    <row r="477">
      <c r="A477" s="96" t="inlineStr">
        <is>
          <t>TIGER 미국필라델피아AI반도체나스닥</t>
        </is>
      </c>
      <c r="B477" s="96" t="inlineStr">
        <is>
          <t>497570</t>
        </is>
      </c>
      <c r="C477" s="96" t="inlineStr">
        <is>
          <t>미래에셋자산운용</t>
        </is>
      </c>
      <c r="D477" s="97" t="n">
        <v>20775</v>
      </c>
      <c r="E477" s="97" t="n">
        <v>1037711250000</v>
      </c>
      <c r="F477" s="97" t="n">
        <v>18791056323</v>
      </c>
      <c r="G477" s="98" t="n">
        <v>0.0049</v>
      </c>
      <c r="H477" s="98" t="n">
        <v>0.4043</v>
      </c>
      <c r="I477" s="98" t="n">
        <v>0.0011</v>
      </c>
      <c r="J477" s="98" t="n">
        <v>0.00361</v>
      </c>
      <c r="K477" s="97" t="n">
        <v>7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40.4%(1년 기준, 기준 35% 초과)</t>
        </is>
      </c>
      <c r="O477" s="96" t="inlineStr">
        <is>
          <t>PHLX US AI Semiconductor Index (Price Return)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 s="98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IFERROR(INDEX($A$4:$A$580,MATCH(474,$X$4:$X$580,0)),"")</f>
        <v/>
      </c>
    </row>
    <row r="478">
      <c r="A478" s="96" t="inlineStr">
        <is>
          <t>ACE 코스닥150</t>
        </is>
      </c>
      <c r="B478" s="96" t="inlineStr">
        <is>
          <t>354500</t>
        </is>
      </c>
      <c r="C478" s="96" t="inlineStr">
        <is>
          <t>한국투신운용(ETF)</t>
        </is>
      </c>
      <c r="D478" s="97" t="n">
        <v>13925</v>
      </c>
      <c r="E478" s="97" t="n">
        <v>146212500000</v>
      </c>
      <c r="F478" s="97" t="n">
        <v>3494968930</v>
      </c>
      <c r="G478" s="98" t="n">
        <v>0.0002</v>
      </c>
      <c r="H478" s="98" t="n">
        <v>0.5478999999999999</v>
      </c>
      <c r="I478" s="98" t="n">
        <v>0.0024</v>
      </c>
      <c r="J478" s="98" t="n">
        <v>0.003591</v>
      </c>
      <c r="K478" s="97" t="n">
        <v>5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54.8%(1년 기준, 기준 35% 초과)</t>
        </is>
      </c>
      <c r="O478" s="96" t="inlineStr">
        <is>
          <t>KOSDAQ 150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IFERROR(INDEX($A$4:$A$580,MATCH(475,$X$4:$X$580,0)),"")</f>
        <v/>
      </c>
    </row>
    <row r="479">
      <c r="A479" s="96" t="inlineStr">
        <is>
          <t>SOL 2차전지소부장Fn</t>
        </is>
      </c>
      <c r="B479" s="96" t="inlineStr">
        <is>
          <t>455860</t>
        </is>
      </c>
      <c r="C479" s="96" t="inlineStr">
        <is>
          <t>신한자산운용</t>
        </is>
      </c>
      <c r="D479" s="97" t="n">
        <v>4455</v>
      </c>
      <c r="E479" s="97" t="n">
        <v>107811000000</v>
      </c>
      <c r="F479" s="97" t="n">
        <v>3418810725</v>
      </c>
      <c r="G479" s="98" t="n">
        <v>0.004500000000000001</v>
      </c>
      <c r="H479" s="98" t="n">
        <v>0.6322</v>
      </c>
      <c r="I479" s="98" t="n">
        <v>0.0021</v>
      </c>
      <c r="J479" s="98" t="n">
        <v>0.003591</v>
      </c>
      <c r="K479" s="97" t="n">
        <v>3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63.2%(1년 기준, 기준 35% 초과)</t>
        </is>
      </c>
      <c r="O479" s="96" t="inlineStr">
        <is>
          <t>FnGuide 2차전지 소부장 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IFERROR(INDEX($A$4:$A$580,MATCH(476,$X$4:$X$580,0)),"")</f>
        <v/>
      </c>
    </row>
    <row r="480">
      <c r="A480" s="96" t="inlineStr">
        <is>
          <t>TIGER 200 IT</t>
        </is>
      </c>
      <c r="B480" s="96" t="inlineStr">
        <is>
          <t>139260</t>
        </is>
      </c>
      <c r="C480" s="96" t="inlineStr">
        <is>
          <t>미래에셋자산운용</t>
        </is>
      </c>
      <c r="D480" s="97" t="n">
        <v>132095</v>
      </c>
      <c r="E480" s="97" t="n">
        <v>2578494400000</v>
      </c>
      <c r="F480" s="97" t="n">
        <v>142116454392</v>
      </c>
      <c r="G480" s="98" t="n">
        <v>0.004</v>
      </c>
      <c r="H480" s="98" t="n">
        <v>0.7212999999999999</v>
      </c>
      <c r="I480" s="98" t="n">
        <v>0.0013</v>
      </c>
      <c r="J480" s="98" t="n">
        <v>0.003558</v>
      </c>
      <c r="K480" s="97" t="n">
        <v>14</v>
      </c>
      <c r="L480" s="99" t="inlineStr">
        <is>
          <t>20260730</t>
        </is>
      </c>
      <c r="M480" s="96" t="inlineStr">
        <is>
          <t>제외</t>
        </is>
      </c>
      <c r="N480" s="96" t="inlineStr">
        <is>
          <t>변동성 72.1%(1년 기준, 기준 35% 초과)</t>
        </is>
      </c>
      <c r="O480" s="96" t="inlineStr">
        <is>
          <t>K200정보기술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분기배당</t>
        </is>
      </c>
      <c r="S480" s="97" t="n">
        <v>4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IFERROR(INDEX($A$4:$A$580,MATCH(477,$X$4:$X$580,0)),"")</f>
        <v/>
      </c>
    </row>
    <row r="481">
      <c r="A481" s="96" t="inlineStr">
        <is>
          <t>KIWOOM 글로벌AI반도체</t>
        </is>
      </c>
      <c r="B481" s="96" t="inlineStr">
        <is>
          <t>473490</t>
        </is>
      </c>
      <c r="C481" s="96" t="inlineStr">
        <is>
          <t>키움투자자산운용</t>
        </is>
      </c>
      <c r="D481" s="97" t="n">
        <v>29800</v>
      </c>
      <c r="E481" s="97" t="n">
        <v>44700000000</v>
      </c>
      <c r="F481" s="97" t="n">
        <v>564066038</v>
      </c>
      <c r="G481" s="98" t="n">
        <v>0.004</v>
      </c>
      <c r="H481" s="98" t="n">
        <v>0.4067</v>
      </c>
      <c r="I481" s="98" t="n">
        <v>0.0016</v>
      </c>
      <c r="J481" s="98" t="n">
        <v>0.00349</v>
      </c>
      <c r="K481" s="97" t="n">
        <v>7</v>
      </c>
      <c r="L481" s="99" t="inlineStr">
        <is>
          <t>20260730</t>
        </is>
      </c>
      <c r="M481" s="96" t="inlineStr">
        <is>
          <t>제외</t>
        </is>
      </c>
      <c r="N481" s="96" t="inlineStr">
        <is>
          <t>변동성 40.7%(1년 기준, 기준 35% 초과)</t>
        </is>
      </c>
      <c r="O481" s="96" t="inlineStr">
        <is>
          <t>Solactive Global AI Semiconductor Index PR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분기배당</t>
        </is>
      </c>
      <c r="S481" s="97" t="n">
        <v>4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IFERROR(INDEX($A$4:$A$580,MATCH(478,$X$4:$X$580,0)),"")</f>
        <v/>
      </c>
    </row>
    <row r="482">
      <c r="A482" s="96" t="inlineStr">
        <is>
          <t>KODEX 원자력SMR</t>
        </is>
      </c>
      <c r="B482" s="96" t="inlineStr">
        <is>
          <t>0098F0</t>
        </is>
      </c>
      <c r="C482" s="96" t="inlineStr">
        <is>
          <t>삼성자산운용(ETF)</t>
        </is>
      </c>
      <c r="D482" s="97" t="n">
        <v>16800</v>
      </c>
      <c r="E482" s="97" t="n">
        <v>296520000000</v>
      </c>
      <c r="F482" s="97" t="n">
        <v>14287373285</v>
      </c>
      <c r="G482" s="98" t="n">
        <v>0.004500000000000001</v>
      </c>
      <c r="H482" s="98" t="n">
        <v>0.6496999999999999</v>
      </c>
      <c r="I482" s="98" t="n">
        <v>0.0024</v>
      </c>
      <c r="J482" s="98" t="n">
        <v>0.003452</v>
      </c>
      <c r="K482" s="97" t="n">
        <v>1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65.0%(1년 기준, 기준 35% 초과)</t>
        </is>
      </c>
      <c r="O482" s="96" t="inlineStr">
        <is>
          <t>iSelect 원자력SMR 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IFERROR(INDEX($A$4:$A$580,MATCH(479,$X$4:$X$580,0)),"")</f>
        <v/>
      </c>
    </row>
    <row r="483">
      <c r="A483" s="96" t="inlineStr">
        <is>
          <t>TIGER TSMC파운드리밸류체인</t>
        </is>
      </c>
      <c r="B483" s="96" t="inlineStr">
        <is>
          <t>453950</t>
        </is>
      </c>
      <c r="C483" s="96" t="inlineStr">
        <is>
          <t>미래에셋자산운용</t>
        </is>
      </c>
      <c r="D483" s="97" t="n">
        <v>31100</v>
      </c>
      <c r="E483" s="97" t="n">
        <v>62200000000</v>
      </c>
      <c r="F483" s="97" t="n">
        <v>653314302</v>
      </c>
      <c r="G483" s="98" t="n">
        <v>0.0049</v>
      </c>
      <c r="H483" s="98" t="n">
        <v>0.3633</v>
      </c>
      <c r="I483" s="98" t="n">
        <v>0.0011</v>
      </c>
      <c r="J483" s="98" t="n">
        <v>0.003376</v>
      </c>
      <c r="K483" s="97" t="n">
        <v>3</v>
      </c>
      <c r="L483" s="99" t="inlineStr">
        <is>
          <t>20260429</t>
        </is>
      </c>
      <c r="M483" s="96" t="inlineStr">
        <is>
          <t>제외</t>
        </is>
      </c>
      <c r="N483" s="96" t="inlineStr">
        <is>
          <t>변동성 36.3%(1년 기준, 기준 35% 초과)</t>
        </is>
      </c>
      <c r="O483" s="96" t="inlineStr">
        <is>
          <t>FactSet TSMC Value Chain Index PR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반기배당</t>
        </is>
      </c>
      <c r="S483" s="97" t="n">
        <v>2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IFERROR(INDEX($A$4:$A$580,MATCH(480,$X$4:$X$580,0)),"")</f>
        <v/>
      </c>
    </row>
    <row r="484">
      <c r="A484" s="96" t="inlineStr">
        <is>
          <t>TIGER 글로벌온디바이스AI</t>
        </is>
      </c>
      <c r="B484" s="96" t="inlineStr">
        <is>
          <t>480310</t>
        </is>
      </c>
      <c r="C484" s="96" t="inlineStr">
        <is>
          <t>미래에셋자산운용</t>
        </is>
      </c>
      <c r="D484" s="97" t="n">
        <v>19920</v>
      </c>
      <c r="E484" s="97" t="n">
        <v>52788000000</v>
      </c>
      <c r="F484" s="97" t="n">
        <v>754105007</v>
      </c>
      <c r="G484" s="98" t="n">
        <v>0.0049</v>
      </c>
      <c r="H484" s="98" t="n">
        <v>0.3736</v>
      </c>
      <c r="I484" s="98" t="n">
        <v>0.0014</v>
      </c>
      <c r="J484" s="98" t="n">
        <v>0.003363</v>
      </c>
      <c r="K484" s="97" t="n">
        <v>8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37.4%(1년 기준, 기준 35% 초과)</t>
        </is>
      </c>
      <c r="O484" s="96" t="inlineStr">
        <is>
          <t>Mirae Asset Global On-Device AI Index PR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IFERROR(INDEX($A$4:$A$580,MATCH(481,$X$4:$X$580,0)),"")</f>
        <v/>
      </c>
    </row>
    <row r="485">
      <c r="A485" s="96" t="inlineStr">
        <is>
          <t>KODEX 메타버스액티브</t>
        </is>
      </c>
      <c r="B485" s="96" t="inlineStr">
        <is>
          <t>401470</t>
        </is>
      </c>
      <c r="C485" s="96" t="inlineStr">
        <is>
          <t>삼성자산운용(ETF)</t>
        </is>
      </c>
      <c r="D485" s="97" t="n">
        <v>9280</v>
      </c>
      <c r="E485" s="97" t="n">
        <v>54288000000</v>
      </c>
      <c r="F485" s="97" t="n">
        <v>135773334</v>
      </c>
      <c r="G485" s="98" t="n">
        <v>0.005</v>
      </c>
      <c r="H485" s="98" t="n">
        <v>0.3538</v>
      </c>
      <c r="I485" s="98" t="n">
        <v>0.0032</v>
      </c>
      <c r="J485" s="98" t="n">
        <v>0.003341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1.4억(기준 5억 미만), 변동성 35.4%(1년 기준, 기준 35% 초과)</t>
        </is>
      </c>
      <c r="O485" s="96" t="inlineStr">
        <is>
          <t>FnGuide K-메타버스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IFERROR(INDEX($A$4:$A$580,MATCH(482,$X$4:$X$580,0)),"")</f>
        <v/>
      </c>
    </row>
    <row r="486">
      <c r="A486" s="96" t="inlineStr">
        <is>
          <t>KIWOOM 미국양자컴퓨팅</t>
        </is>
      </c>
      <c r="B486" s="96" t="inlineStr">
        <is>
          <t>498270</t>
        </is>
      </c>
      <c r="C486" s="96" t="inlineStr">
        <is>
          <t>키움투자자산운용</t>
        </is>
      </c>
      <c r="D486" s="97" t="n">
        <v>14140</v>
      </c>
      <c r="E486" s="97" t="n">
        <v>212100000000</v>
      </c>
      <c r="F486" s="97" t="n">
        <v>998262100</v>
      </c>
      <c r="G486" s="98" t="n">
        <v>0.0049</v>
      </c>
      <c r="H486" s="98" t="n">
        <v>0.4724</v>
      </c>
      <c r="I486" s="98" t="n">
        <v>0.001</v>
      </c>
      <c r="J486" s="98" t="n">
        <v>0.003253</v>
      </c>
      <c r="K486" s="97" t="n">
        <v>5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47.2%(1년 기준, 기준 35% 초과)</t>
        </is>
      </c>
      <c r="O486" s="96" t="inlineStr">
        <is>
          <t>Solactive U.S. Quantum Computing Index PR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3</v>
      </c>
      <c r="T486" s="98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IFERROR(INDEX($A$4:$A$580,MATCH(483,$X$4:$X$580,0)),"")</f>
        <v/>
      </c>
    </row>
    <row r="487">
      <c r="A487" s="96" t="inlineStr">
        <is>
          <t>KODEX 차이나AI테크액티브</t>
        </is>
      </c>
      <c r="B487" s="96" t="inlineStr">
        <is>
          <t>428510</t>
        </is>
      </c>
      <c r="C487" s="96" t="inlineStr">
        <is>
          <t>삼성자산운용(ETF)</t>
        </is>
      </c>
      <c r="D487" s="97" t="n">
        <v>22985</v>
      </c>
      <c r="E487" s="97" t="n">
        <v>39074500000</v>
      </c>
      <c r="F487" s="97" t="n">
        <v>685632808</v>
      </c>
      <c r="G487" s="98" t="n">
        <v>0.005</v>
      </c>
      <c r="H487" s="98" t="n">
        <v>0.5007</v>
      </c>
      <c r="I487" s="98" t="n">
        <v>0.0019</v>
      </c>
      <c r="J487" s="98" t="n">
        <v>0.003132</v>
      </c>
      <c r="K487" s="97" t="n">
        <v>5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50.1%(1년 기준, 기준 35% 초과)</t>
        </is>
      </c>
      <c r="O487" s="96" t="inlineStr">
        <is>
          <t>Bloomberg Greater China Media &amp; Tech Index (USD)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IFERROR(INDEX($A$4:$A$580,MATCH(484,$X$4:$X$580,0)),"")</f>
        <v/>
      </c>
    </row>
    <row r="488">
      <c r="A488" s="96" t="inlineStr">
        <is>
          <t>TIGER 금은선물(H)</t>
        </is>
      </c>
      <c r="B488" s="96" t="inlineStr">
        <is>
          <t>139320</t>
        </is>
      </c>
      <c r="C488" s="96" t="inlineStr">
        <is>
          <t>미래에셋자산운용</t>
        </is>
      </c>
      <c r="D488" s="97" t="n">
        <v>17920</v>
      </c>
      <c r="E488" s="97" t="n">
        <v>40320000000</v>
      </c>
      <c r="F488" s="97" t="n">
        <v>225805654</v>
      </c>
      <c r="G488" s="98" t="n">
        <v>0.0069</v>
      </c>
      <c r="H488" s="98" t="n">
        <v>0.3229</v>
      </c>
      <c r="I488" s="98" t="n">
        <v>0.0028</v>
      </c>
      <c r="J488" s="98" t="n">
        <v>0.003125</v>
      </c>
      <c r="K488" s="97" t="n">
        <v>1</v>
      </c>
      <c r="L488" s="99" t="inlineStr">
        <is>
          <t>20251229</t>
        </is>
      </c>
      <c r="M488" s="96" t="inlineStr">
        <is>
          <t>제외</t>
        </is>
      </c>
      <c r="N488" s="96" t="inlineStr">
        <is>
          <t>60일 거래대금 2.3억(기준 5억 미만)</t>
        </is>
      </c>
      <c r="O488" s="96" t="inlineStr">
        <is>
          <t>S&amp;P GSCI Precious Metals</t>
        </is>
      </c>
      <c r="P488" s="96" t="inlineStr">
        <is>
          <t>일반</t>
        </is>
      </c>
      <c r="Q488" s="96" t="inlineStr">
        <is>
          <t>원자재</t>
        </is>
      </c>
      <c r="R488" s="96" t="inlineStr">
        <is>
          <t>연배당</t>
        </is>
      </c>
      <c r="S488" s="97" t="n">
        <v>1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IFERROR(INDEX($A$4:$A$580,MATCH(485,$X$4:$X$580,0)),"")</f>
        <v/>
      </c>
    </row>
    <row r="489">
      <c r="A489" s="96" t="inlineStr">
        <is>
          <t>KODEX 미국AI전력핵심인프라</t>
        </is>
      </c>
      <c r="B489" s="96" t="inlineStr">
        <is>
          <t>487230</t>
        </is>
      </c>
      <c r="C489" s="96" t="inlineStr">
        <is>
          <t>삼성자산운용(ETF)</t>
        </is>
      </c>
      <c r="D489" s="97" t="n">
        <v>19630</v>
      </c>
      <c r="E489" s="97" t="n">
        <v>1478139000000</v>
      </c>
      <c r="F489" s="97" t="n">
        <v>17393316766</v>
      </c>
      <c r="G489" s="98" t="n">
        <v>0.004500000000000001</v>
      </c>
      <c r="H489" s="98" t="n">
        <v>0.5057</v>
      </c>
      <c r="I489" s="98" t="n">
        <v>0.0008</v>
      </c>
      <c r="J489" s="98" t="n">
        <v>0.003057</v>
      </c>
      <c r="K489" s="97" t="n">
        <v>7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50.6%(1년 기준, 기준 35% 초과)</t>
        </is>
      </c>
      <c r="O489" s="96" t="inlineStr">
        <is>
          <t>iSelect U.S. AI Electric Core Infrastructure Index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4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IFERROR(INDEX($A$4:$A$580,MATCH(486,$X$4:$X$580,0)),"")</f>
        <v/>
      </c>
    </row>
    <row r="490">
      <c r="A490" s="96" t="inlineStr">
        <is>
          <t>RISE 메타버스</t>
        </is>
      </c>
      <c r="B490" s="96" t="inlineStr">
        <is>
          <t>401170</t>
        </is>
      </c>
      <c r="C490" s="96" t="inlineStr">
        <is>
          <t>KB자산운용</t>
        </is>
      </c>
      <c r="D490" s="97" t="n">
        <v>10275</v>
      </c>
      <c r="E490" s="97" t="n">
        <v>40278000000</v>
      </c>
      <c r="F490" s="97" t="n">
        <v>162595746</v>
      </c>
      <c r="G490" s="98" t="n">
        <v>0.004500000000000001</v>
      </c>
      <c r="H490" s="98" t="n">
        <v>0.4320000000000001</v>
      </c>
      <c r="I490" s="98" t="n">
        <v>0.0016</v>
      </c>
      <c r="J490" s="98" t="n">
        <v>0.003017</v>
      </c>
      <c r="K490" s="97" t="n">
        <v>4</v>
      </c>
      <c r="L490" s="99" t="inlineStr">
        <is>
          <t>20260429</t>
        </is>
      </c>
      <c r="M490" s="96" t="inlineStr">
        <is>
          <t>제외</t>
        </is>
      </c>
      <c r="N490" s="96" t="inlineStr">
        <is>
          <t>60일 거래대금 1.6억(기준 5억 미만), 변동성 43.2%(1년 기준, 기준 35% 초과)</t>
        </is>
      </c>
      <c r="O490" s="96" t="inlineStr">
        <is>
          <t>iSelect 메타버스 지수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연배당</t>
        </is>
      </c>
      <c r="S490" s="97" t="n">
        <v>2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IFERROR(INDEX($A$4:$A$580,MATCH(487,$X$4:$X$580,0)),"")</f>
        <v/>
      </c>
    </row>
    <row r="491">
      <c r="A491" s="96" t="inlineStr">
        <is>
          <t>TIGER 2차전지테마</t>
        </is>
      </c>
      <c r="B491" s="96" t="inlineStr">
        <is>
          <t>305540</t>
        </is>
      </c>
      <c r="C491" s="96" t="inlineStr">
        <is>
          <t>미래에셋자산운용</t>
        </is>
      </c>
      <c r="D491" s="97" t="n">
        <v>18625</v>
      </c>
      <c r="E491" s="97" t="n">
        <v>929387500000</v>
      </c>
      <c r="F491" s="97" t="n">
        <v>10749403103</v>
      </c>
      <c r="G491" s="98" t="n">
        <v>0.005</v>
      </c>
      <c r="H491" s="98" t="n">
        <v>0.5934</v>
      </c>
      <c r="I491" s="98" t="n">
        <v>0.0021</v>
      </c>
      <c r="J491" s="98" t="n">
        <v>0.002953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59.3%(1년 기준, 기준 35% 초과)</t>
        </is>
      </c>
      <c r="O491" s="96" t="inlineStr">
        <is>
          <t>WISE 2차전지 테마 지수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IFERROR(INDEX($A$4:$A$580,MATCH(488,$X$4:$X$580,0)),"")</f>
        <v/>
      </c>
    </row>
    <row r="492">
      <c r="A492" s="96" t="inlineStr">
        <is>
          <t>SOL 코리아메가테크액티브</t>
        </is>
      </c>
      <c r="B492" s="96" t="inlineStr">
        <is>
          <t>444200</t>
        </is>
      </c>
      <c r="C492" s="96" t="inlineStr">
        <is>
          <t>신한자산운용</t>
        </is>
      </c>
      <c r="D492" s="97" t="n">
        <v>44300</v>
      </c>
      <c r="E492" s="97" t="n">
        <v>491730000000</v>
      </c>
      <c r="F492" s="97" t="n">
        <v>11871422173</v>
      </c>
      <c r="G492" s="98" t="n">
        <v>0.005500000000000001</v>
      </c>
      <c r="H492" s="98" t="n">
        <v>0.5388000000000001</v>
      </c>
      <c r="I492" s="98" t="n">
        <v>0.0025</v>
      </c>
      <c r="J492" s="98" t="n">
        <v>0.002889</v>
      </c>
      <c r="K492" s="97" t="n">
        <v>4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변동성 53.9%(1년 기준, 기준 35% 초과)</t>
        </is>
      </c>
      <c r="O492" s="96" t="inlineStr">
        <is>
          <t>KEDI 메가테크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IFERROR(INDEX($A$4:$A$580,MATCH(489,$X$4:$X$580,0)),"")</f>
        <v/>
      </c>
    </row>
    <row r="493">
      <c r="A493" s="96" t="inlineStr">
        <is>
          <t>DAISHIN AI반도체&amp;인프라액티브</t>
        </is>
      </c>
      <c r="B493" s="96" t="inlineStr">
        <is>
          <t>486240</t>
        </is>
      </c>
      <c r="C493" s="96" t="inlineStr">
        <is>
          <t>대신자산운용</t>
        </is>
      </c>
      <c r="D493" s="97" t="n">
        <v>28390</v>
      </c>
      <c r="E493" s="97" t="n">
        <v>88009000000</v>
      </c>
      <c r="F493" s="97" t="n">
        <v>490341816</v>
      </c>
      <c r="G493" s="98" t="n">
        <v>0.0036</v>
      </c>
      <c r="H493" s="98" t="n">
        <v>0.6537000000000001</v>
      </c>
      <c r="I493" s="98" t="n">
        <v>0.0028</v>
      </c>
      <c r="J493" s="98" t="n">
        <v>0.002888</v>
      </c>
      <c r="K493" s="97" t="n">
        <v>2</v>
      </c>
      <c r="L493" s="99" t="inlineStr">
        <is>
          <t>20260429</t>
        </is>
      </c>
      <c r="M493" s="96" t="inlineStr">
        <is>
          <t>제외</t>
        </is>
      </c>
      <c r="N493" s="96" t="inlineStr">
        <is>
          <t>60일 거래대금 4.9억(기준 5억 미만), 변동성 65.4%(1년 기준, 기준 35% 초과)</t>
        </is>
      </c>
      <c r="O493" s="96" t="inlineStr">
        <is>
          <t>FnGuide AI반도체&amp;인프라 지수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1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IFERROR(INDEX($A$4:$A$580,MATCH(490,$X$4:$X$580,0)),"")</f>
        <v/>
      </c>
    </row>
    <row r="494">
      <c r="A494" s="96" t="inlineStr">
        <is>
          <t>TIGER 레버리지</t>
        </is>
      </c>
      <c r="B494" s="96" t="inlineStr">
        <is>
          <t>123320</t>
        </is>
      </c>
      <c r="C494" s="96" t="inlineStr">
        <is>
          <t>미래에셋자산운용</t>
        </is>
      </c>
      <c r="D494" s="97" t="n">
        <v>104330</v>
      </c>
      <c r="E494" s="97" t="n">
        <v>250392000000</v>
      </c>
      <c r="F494" s="97" t="n">
        <v>30778992875</v>
      </c>
      <c r="G494" s="98" t="n">
        <v>0.00022</v>
      </c>
      <c r="H494" s="98" t="n">
        <v>1.1631</v>
      </c>
      <c r="I494" s="98" t="n">
        <v>0.0067</v>
      </c>
      <c r="J494" s="98" t="n">
        <v>0.002875</v>
      </c>
      <c r="K494" s="97" t="n">
        <v>1</v>
      </c>
      <c r="L494" s="99" t="inlineStr">
        <is>
          <t>20251229</t>
        </is>
      </c>
      <c r="M494" s="96" t="inlineStr">
        <is>
          <t>제외</t>
        </is>
      </c>
      <c r="N494" s="96" t="inlineStr">
        <is>
          <t>변동성 116.3%(1년 기준, 기준 35% 초과)</t>
        </is>
      </c>
      <c r="O494" s="96" t="inlineStr">
        <is>
          <t>KOSPI 200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IFERROR(INDEX($A$4:$A$580,MATCH(491,$X$4:$X$580,0)),"")</f>
        <v/>
      </c>
    </row>
    <row r="495">
      <c r="A495" s="96" t="inlineStr">
        <is>
          <t>WON 미국S&amp;P500</t>
        </is>
      </c>
      <c r="B495" s="96" t="inlineStr">
        <is>
          <t>444490</t>
        </is>
      </c>
      <c r="C495" s="96" t="inlineStr">
        <is>
          <t>우리자산운용</t>
        </is>
      </c>
      <c r="D495" s="97" t="n">
        <v>19995</v>
      </c>
      <c r="E495" s="97" t="n">
        <v>87978000000</v>
      </c>
      <c r="F495" s="97" t="n">
        <v>409982251</v>
      </c>
      <c r="G495" s="98" t="n">
        <v>0.0005</v>
      </c>
      <c r="H495" s="98" t="n">
        <v>0.1461</v>
      </c>
      <c r="I495" s="98" t="n">
        <v>0.003</v>
      </c>
      <c r="J495" s="98" t="n">
        <v>0.002851</v>
      </c>
      <c r="K495" s="97" t="n">
        <v>1</v>
      </c>
      <c r="L495" s="99" t="inlineStr">
        <is>
          <t>20251030</t>
        </is>
      </c>
      <c r="M495" s="96" t="inlineStr">
        <is>
          <t>제외</t>
        </is>
      </c>
      <c r="N495" s="96" t="inlineStr">
        <is>
          <t>60일 거래대금 4.1억(기준 5억 미만)</t>
        </is>
      </c>
      <c r="O495" s="96" t="inlineStr">
        <is>
          <t>S&amp;P 500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IFERROR(INDEX($A$4:$A$580,MATCH(492,$X$4:$X$580,0)),"")</f>
        <v/>
      </c>
    </row>
    <row r="496">
      <c r="A496" s="96" t="inlineStr">
        <is>
          <t>TIGER 코스닥150</t>
        </is>
      </c>
      <c r="B496" s="96" t="inlineStr">
        <is>
          <t>232080</t>
        </is>
      </c>
      <c r="C496" s="96" t="inlineStr">
        <is>
          <t>미래에셋자산운용</t>
        </is>
      </c>
      <c r="D496" s="97" t="n">
        <v>14050</v>
      </c>
      <c r="E496" s="97" t="n">
        <v>1378586000000</v>
      </c>
      <c r="F496" s="97" t="n">
        <v>89344959054</v>
      </c>
      <c r="G496" s="98" t="n">
        <v>0.0019</v>
      </c>
      <c r="H496" s="98" t="n">
        <v>0.5478000000000001</v>
      </c>
      <c r="I496" s="98" t="n">
        <v>0.0019</v>
      </c>
      <c r="J496" s="98" t="n">
        <v>0.002847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54.8%(1년 기준, 기준 35% 초과)</t>
        </is>
      </c>
      <c r="O496" s="96" t="inlineStr">
        <is>
          <t>KOSDAQ 150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IFERROR(INDEX($A$4:$A$580,MATCH(493,$X$4:$X$580,0)),"")</f>
        <v/>
      </c>
    </row>
    <row r="497">
      <c r="A497" s="96" t="inlineStr">
        <is>
          <t>ACE 코리아AI테크핵심산업</t>
        </is>
      </c>
      <c r="B497" s="96" t="inlineStr">
        <is>
          <t>380340</t>
        </is>
      </c>
      <c r="C497" s="96" t="inlineStr">
        <is>
          <t>한국투신운용(ETF)</t>
        </is>
      </c>
      <c r="D497" s="97" t="n">
        <v>26385</v>
      </c>
      <c r="E497" s="97" t="n">
        <v>31662000000</v>
      </c>
      <c r="F497" s="97" t="n">
        <v>1453949613</v>
      </c>
      <c r="G497" s="98" t="n">
        <v>0.0035</v>
      </c>
      <c r="H497" s="98" t="n">
        <v>0.58</v>
      </c>
      <c r="I497" s="98" t="n">
        <v>0.0031</v>
      </c>
      <c r="J497" s="98" t="n">
        <v>0.002843</v>
      </c>
      <c r="K497" s="97" t="n">
        <v>5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58.0%(1년 기준, 기준 35% 초과)</t>
        </is>
      </c>
      <c r="O497" s="96" t="inlineStr">
        <is>
          <t>FnGuide 5G 플러스 지수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IFERROR(INDEX($A$4:$A$580,MATCH(494,$X$4:$X$580,0)),"")</f>
        <v/>
      </c>
    </row>
    <row r="498">
      <c r="A498" s="96" t="inlineStr">
        <is>
          <t>RISE 미국AI테크액티브</t>
        </is>
      </c>
      <c r="B498" s="96" t="inlineStr">
        <is>
          <t>495940</t>
        </is>
      </c>
      <c r="C498" s="96" t="inlineStr">
        <is>
          <t>KB자산운용</t>
        </is>
      </c>
      <c r="D498" s="97" t="n">
        <v>19135</v>
      </c>
      <c r="E498" s="97" t="n">
        <v>60275250000</v>
      </c>
      <c r="F498" s="97" t="n">
        <v>420777145</v>
      </c>
      <c r="G498" s="98" t="n">
        <v>0.005</v>
      </c>
      <c r="H498" s="98" t="n">
        <v>0.3835</v>
      </c>
      <c r="I498" s="98" t="n">
        <v>0.0013</v>
      </c>
      <c r="J498" s="98" t="n">
        <v>0.002822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4.2억(기준 5억 미만), 변동성 38.4%(1년 기준, 기준 35% 초과)</t>
        </is>
      </c>
      <c r="O498" s="96" t="inlineStr">
        <is>
          <t>Solactive US AI Tech Active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반기배당</t>
        </is>
      </c>
      <c r="S498" s="97" t="n">
        <v>2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IFERROR(INDEX($A$4:$A$580,MATCH(495,$X$4:$X$580,0)),"")</f>
        <v/>
      </c>
    </row>
    <row r="499">
      <c r="A499" s="96" t="inlineStr">
        <is>
          <t>1Q 미국메디컬AI</t>
        </is>
      </c>
      <c r="B499" s="96" t="inlineStr">
        <is>
          <t>0083S0</t>
        </is>
      </c>
      <c r="C499" s="96" t="inlineStr">
        <is>
          <t>하나자산운용</t>
        </is>
      </c>
      <c r="D499" s="97" t="n">
        <v>11025</v>
      </c>
      <c r="E499" s="97" t="n">
        <v>30870000000</v>
      </c>
      <c r="F499" s="97" t="n">
        <v>384633048</v>
      </c>
      <c r="G499" s="98" t="n">
        <v>0.0049</v>
      </c>
      <c r="H499" s="98" t="n">
        <v>0.3673</v>
      </c>
      <c r="I499" s="98" t="n">
        <v>0.002</v>
      </c>
      <c r="J499" s="98" t="n">
        <v>0.002812</v>
      </c>
      <c r="K499" s="97" t="n">
        <v>2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60일 거래대금 3.8억(기준 5억 미만), 변동성 36.7%(1년 기준, 기준 35% 초과)</t>
        </is>
      </c>
      <c r="O499" s="96" t="inlineStr">
        <is>
          <t>KEDI U.S. Medical AI Index PR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2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IFERROR(INDEX($A$4:$A$580,MATCH(496,$X$4:$X$580,0)),"")</f>
        <v/>
      </c>
    </row>
    <row r="500">
      <c r="A500" s="96" t="inlineStr">
        <is>
          <t>TIGER S&amp;P글로벌헬스케어(합성)</t>
        </is>
      </c>
      <c r="B500" s="96" t="inlineStr">
        <is>
          <t>248270</t>
        </is>
      </c>
      <c r="C500" s="96" t="inlineStr">
        <is>
          <t>미래에셋자산운용</t>
        </is>
      </c>
      <c r="D500" s="97" t="n">
        <v>26050</v>
      </c>
      <c r="E500" s="97" t="n">
        <v>30218000000</v>
      </c>
      <c r="F500" s="97" t="n">
        <v>195985937</v>
      </c>
      <c r="G500" s="98" t="n">
        <v>0.004</v>
      </c>
      <c r="H500" s="98" t="n">
        <v>0.1685</v>
      </c>
      <c r="I500" s="98" t="n">
        <v>0.0027</v>
      </c>
      <c r="J500" s="98" t="n">
        <v>0.002726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60일 거래대금 2.0억(기준 5억 미만)</t>
        </is>
      </c>
      <c r="O500" s="96" t="inlineStr">
        <is>
          <t>S&amp;P Global 1200 Health Care Index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IFERROR(INDEX($A$4:$A$580,MATCH(497,$X$4:$X$580,0)),"")</f>
        <v/>
      </c>
    </row>
    <row r="501">
      <c r="A501" s="96" t="inlineStr">
        <is>
          <t>TIGER 미국AI반도체팹리스</t>
        </is>
      </c>
      <c r="B501" s="96" t="inlineStr">
        <is>
          <t>491830</t>
        </is>
      </c>
      <c r="C501" s="96" t="inlineStr">
        <is>
          <t>미래에셋자산운용</t>
        </is>
      </c>
      <c r="D501" s="97" t="n">
        <v>21305</v>
      </c>
      <c r="E501" s="97" t="n">
        <v>37283750000</v>
      </c>
      <c r="F501" s="97" t="n">
        <v>1093713862</v>
      </c>
      <c r="G501" s="98" t="n">
        <v>0.0049</v>
      </c>
      <c r="H501" s="98" t="n">
        <v>0.4495</v>
      </c>
      <c r="I501" s="98" t="n">
        <v>0.0007000000000000001</v>
      </c>
      <c r="J501" s="98" t="n">
        <v>0.002722</v>
      </c>
      <c r="K501" s="97" t="n">
        <v>7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변동성 45.0%(1년 기준, 기준 35% 초과)</t>
        </is>
      </c>
      <c r="O501" s="96" t="inlineStr">
        <is>
          <t>Mirae Asset U.S. AI Fabless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분기배당</t>
        </is>
      </c>
      <c r="S501" s="97" t="n">
        <v>4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IFERROR(INDEX($A$4:$A$580,MATCH(498,$X$4:$X$580,0)),"")</f>
        <v/>
      </c>
    </row>
    <row r="502">
      <c r="A502" s="96" t="inlineStr">
        <is>
          <t>TIGER 차이나테크TOP10</t>
        </is>
      </c>
      <c r="B502" s="96" t="inlineStr">
        <is>
          <t>0047A0</t>
        </is>
      </c>
      <c r="C502" s="96" t="inlineStr">
        <is>
          <t>미래에셋자산운용</t>
        </is>
      </c>
      <c r="D502" s="97" t="n">
        <v>12510</v>
      </c>
      <c r="E502" s="97" t="n">
        <v>188901000000</v>
      </c>
      <c r="F502" s="97" t="n">
        <v>2175447085</v>
      </c>
      <c r="G502" s="98" t="n">
        <v>0.0049</v>
      </c>
      <c r="H502" s="98" t="n">
        <v>0.3647</v>
      </c>
      <c r="I502" s="98" t="n">
        <v>0.0022</v>
      </c>
      <c r="J502" s="98" t="n">
        <v>0.002398</v>
      </c>
      <c r="K502" s="97" t="n">
        <v>2</v>
      </c>
      <c r="L502" s="99" t="inlineStr">
        <is>
          <t>20251030</t>
        </is>
      </c>
      <c r="M502" s="96" t="inlineStr">
        <is>
          <t>제외</t>
        </is>
      </c>
      <c r="N502" s="96" t="inlineStr">
        <is>
          <t>변동성 36.5%(1년 기준, 기준 35% 초과)</t>
        </is>
      </c>
      <c r="O502" s="96" t="inlineStr">
        <is>
          <t>Mirae Asset China Tech Top 10 Index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IFERROR(INDEX($A$4:$A$580,MATCH(499,$X$4:$X$580,0)),"")</f>
        <v/>
      </c>
    </row>
    <row r="503">
      <c r="A503" s="96" t="inlineStr">
        <is>
          <t>KODEX 로봇액티브</t>
        </is>
      </c>
      <c r="B503" s="96" t="inlineStr">
        <is>
          <t>445290</t>
        </is>
      </c>
      <c r="C503" s="96" t="inlineStr">
        <is>
          <t>삼성자산운용(ETF)</t>
        </is>
      </c>
      <c r="D503" s="97" t="n">
        <v>30270</v>
      </c>
      <c r="E503" s="97" t="n">
        <v>1050369000000</v>
      </c>
      <c r="F503" s="97" t="n">
        <v>20650793156</v>
      </c>
      <c r="G503" s="98" t="n">
        <v>0.005</v>
      </c>
      <c r="H503" s="98" t="n">
        <v>0.584</v>
      </c>
      <c r="I503" s="98" t="n">
        <v>0.0005</v>
      </c>
      <c r="J503" s="98" t="n">
        <v>0.002379</v>
      </c>
      <c r="K503" s="97" t="n">
        <v>5</v>
      </c>
      <c r="L503" s="99" t="inlineStr">
        <is>
          <t>20260730</t>
        </is>
      </c>
      <c r="M503" s="96" t="inlineStr">
        <is>
          <t>제외</t>
        </is>
      </c>
      <c r="N503" s="96" t="inlineStr">
        <is>
          <t>변동성 58.4%(1년 기준, 기준 35% 초과)</t>
        </is>
      </c>
      <c r="O503" s="96" t="inlineStr">
        <is>
          <t>iSelect K-Robotics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2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IFERROR(INDEX($A$4:$A$580,MATCH(500,$X$4:$X$580,0)),"")</f>
        <v/>
      </c>
    </row>
    <row r="504">
      <c r="A504" s="96" t="inlineStr">
        <is>
          <t>RISE IT플러스</t>
        </is>
      </c>
      <c r="B504" s="96" t="inlineStr">
        <is>
          <t>326240</t>
        </is>
      </c>
      <c r="C504" s="96" t="inlineStr">
        <is>
          <t>KB자산운용</t>
        </is>
      </c>
      <c r="D504" s="97" t="n">
        <v>42065</v>
      </c>
      <c r="E504" s="97" t="n">
        <v>105162500000</v>
      </c>
      <c r="F504" s="97" t="n">
        <v>690387234</v>
      </c>
      <c r="G504" s="98" t="n">
        <v>0.004</v>
      </c>
      <c r="H504" s="98" t="n">
        <v>0.6034</v>
      </c>
      <c r="I504" s="98" t="n">
        <v>0.0024</v>
      </c>
      <c r="J504" s="98" t="n">
        <v>0.002377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60.3%(1년 기준, 기준 35% 초과)</t>
        </is>
      </c>
      <c r="O504" s="96" t="inlineStr">
        <is>
          <t>FnGuide IT플러스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IFERROR(INDEX($A$4:$A$580,MATCH(501,$X$4:$X$580,0)),"")</f>
        <v/>
      </c>
    </row>
    <row r="505">
      <c r="A505" s="96" t="inlineStr">
        <is>
          <t>HANARO 글로벌금채굴기업</t>
        </is>
      </c>
      <c r="B505" s="96" t="inlineStr">
        <is>
          <t>473640</t>
        </is>
      </c>
      <c r="C505" s="96" t="inlineStr">
        <is>
          <t>NH-Amundi자산운용</t>
        </is>
      </c>
      <c r="D505" s="97" t="n">
        <v>33685</v>
      </c>
      <c r="E505" s="97" t="n">
        <v>70738500000</v>
      </c>
      <c r="F505" s="97" t="n">
        <v>1196515478</v>
      </c>
      <c r="G505" s="98" t="n">
        <v>0.0015</v>
      </c>
      <c r="H505" s="98" t="n">
        <v>0.4455</v>
      </c>
      <c r="I505" s="98" t="n">
        <v>0.002</v>
      </c>
      <c r="J505" s="98" t="n">
        <v>0.002375</v>
      </c>
      <c r="K505" s="97" t="n">
        <v>2</v>
      </c>
      <c r="L505" s="99" t="inlineStr">
        <is>
          <t>20260129</t>
        </is>
      </c>
      <c r="M505" s="96" t="inlineStr">
        <is>
          <t>제외</t>
        </is>
      </c>
      <c r="N505" s="96" t="inlineStr">
        <is>
          <t>변동성 44.6%(1년 기준, 기준 35% 초과)</t>
        </is>
      </c>
      <c r="O505" s="96" t="inlineStr">
        <is>
          <t>NYSE Arca Gold Miners Index (Price Return)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IFERROR(INDEX($A$4:$A$580,MATCH(502,$X$4:$X$580,0)),"")</f>
        <v/>
      </c>
    </row>
    <row r="506">
      <c r="A506" s="96" t="inlineStr">
        <is>
          <t>ACE 엔비디아밸류체인액티브</t>
        </is>
      </c>
      <c r="B506" s="96" t="inlineStr">
        <is>
          <t>483320</t>
        </is>
      </c>
      <c r="C506" s="96" t="inlineStr">
        <is>
          <t>한국투신운용(ETF)</t>
        </is>
      </c>
      <c r="D506" s="97" t="n">
        <v>24035</v>
      </c>
      <c r="E506" s="97" t="n">
        <v>282411250000</v>
      </c>
      <c r="F506" s="97" t="n">
        <v>16622521013</v>
      </c>
      <c r="G506" s="98" t="n">
        <v>0.004500000000000001</v>
      </c>
      <c r="H506" s="98" t="n">
        <v>0.4525</v>
      </c>
      <c r="I506" s="98" t="n">
        <v>0.0038</v>
      </c>
      <c r="J506" s="98" t="n">
        <v>0.002372</v>
      </c>
      <c r="K506" s="97" t="n">
        <v>1</v>
      </c>
      <c r="L506" s="99" t="inlineStr">
        <is>
          <t>20251229</t>
        </is>
      </c>
      <c r="M506" s="96" t="inlineStr">
        <is>
          <t>제외</t>
        </is>
      </c>
      <c r="N506" s="96" t="inlineStr">
        <is>
          <t>변동성 45.2%(1년 기준, 기준 35% 초과)</t>
        </is>
      </c>
      <c r="O506" s="96" t="inlineStr">
        <is>
          <t>KEDI Global AI Semiconductor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IFERROR(INDEX($A$4:$A$580,MATCH(503,$X$4:$X$580,0)),"")</f>
        <v/>
      </c>
    </row>
    <row r="507">
      <c r="A507" s="96" t="inlineStr">
        <is>
          <t>PLUS 미국S&amp;P500(H)</t>
        </is>
      </c>
      <c r="B507" s="96" t="inlineStr">
        <is>
          <t>269540</t>
        </is>
      </c>
      <c r="C507" s="96" t="inlineStr">
        <is>
          <t>한화자산운용</t>
        </is>
      </c>
      <c r="D507" s="97" t="n">
        <v>29725</v>
      </c>
      <c r="E507" s="97" t="n">
        <v>89175000000</v>
      </c>
      <c r="F507" s="97" t="n">
        <v>312478657</v>
      </c>
      <c r="G507" s="98" t="n">
        <v>6.2e-05</v>
      </c>
      <c r="H507" s="98" t="n">
        <v>0.126</v>
      </c>
      <c r="I507" s="98" t="n">
        <v>0.0025</v>
      </c>
      <c r="J507" s="98" t="n">
        <v>0.002355</v>
      </c>
      <c r="K507" s="97" t="n">
        <v>4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60일 거래대금 3.1억(기준 5억 미만)</t>
        </is>
      </c>
      <c r="O507" s="96" t="inlineStr">
        <is>
          <t>S&amp;P 500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IFERROR(INDEX($A$4:$A$580,MATCH(504,$X$4:$X$580,0)),"")</f>
        <v/>
      </c>
    </row>
    <row r="508">
      <c r="A508" s="96" t="inlineStr">
        <is>
          <t>KODEX 미국AI소프트웨어TOP10</t>
        </is>
      </c>
      <c r="B508" s="96" t="inlineStr">
        <is>
          <t>0041D0</t>
        </is>
      </c>
      <c r="C508" s="96" t="inlineStr">
        <is>
          <t>삼성자산운용(ETF)</t>
        </is>
      </c>
      <c r="D508" s="97" t="n">
        <v>14070</v>
      </c>
      <c r="E508" s="97" t="n">
        <v>54873000000</v>
      </c>
      <c r="F508" s="97" t="n">
        <v>912364453</v>
      </c>
      <c r="G508" s="98" t="n">
        <v>0.004500000000000001</v>
      </c>
      <c r="H508" s="98" t="n">
        <v>0.3911</v>
      </c>
      <c r="I508" s="98" t="n">
        <v>0.001</v>
      </c>
      <c r="J508" s="98" t="n">
        <v>0.002345</v>
      </c>
      <c r="K508" s="97" t="n">
        <v>5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변동성 39.1%(1년 기준, 기준 35% 초과)</t>
        </is>
      </c>
      <c r="O508" s="96" t="inlineStr">
        <is>
          <t>iSelect US AI Software TOP10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분기배당</t>
        </is>
      </c>
      <c r="S508" s="97" t="n">
        <v>4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IFERROR(INDEX($A$4:$A$580,MATCH(505,$X$4:$X$580,0)),"")</f>
        <v/>
      </c>
    </row>
    <row r="509">
      <c r="A509" s="96" t="inlineStr">
        <is>
          <t>SOL 코스닥150</t>
        </is>
      </c>
      <c r="B509" s="96" t="inlineStr">
        <is>
          <t>450910</t>
        </is>
      </c>
      <c r="C509" s="96" t="inlineStr">
        <is>
          <t>신한자산운용</t>
        </is>
      </c>
      <c r="D509" s="97" t="n">
        <v>13510</v>
      </c>
      <c r="E509" s="97" t="n">
        <v>35126000000</v>
      </c>
      <c r="F509" s="97" t="n">
        <v>1025656808</v>
      </c>
      <c r="G509" s="98" t="n">
        <v>0.0015</v>
      </c>
      <c r="H509" s="98" t="n">
        <v>0.5475</v>
      </c>
      <c r="I509" s="98" t="n">
        <v>0.0015</v>
      </c>
      <c r="J509" s="98" t="n">
        <v>0.002221</v>
      </c>
      <c r="K509" s="97" t="n">
        <v>3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54.7%(1년 기준, 기준 35% 초과)</t>
        </is>
      </c>
      <c r="O509" s="96" t="inlineStr">
        <is>
          <t>KOSDAQ 150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IFERROR(INDEX($A$4:$A$580,MATCH(506,$X$4:$X$580,0)),"")</f>
        <v/>
      </c>
    </row>
    <row r="510">
      <c r="A510" s="96" t="inlineStr">
        <is>
          <t>KIWOOM 코스닥150</t>
        </is>
      </c>
      <c r="B510" s="96" t="inlineStr">
        <is>
          <t>316670</t>
        </is>
      </c>
      <c r="C510" s="96" t="inlineStr">
        <is>
          <t>키움투자자산운용</t>
        </is>
      </c>
      <c r="D510" s="97" t="n">
        <v>6915</v>
      </c>
      <c r="E510" s="97" t="n">
        <v>46053900000</v>
      </c>
      <c r="F510" s="97" t="n">
        <v>990541044</v>
      </c>
      <c r="G510" s="98" t="n">
        <v>0.0015</v>
      </c>
      <c r="H510" s="98" t="n">
        <v>0.5477000000000001</v>
      </c>
      <c r="I510" s="98" t="n">
        <v>0.0015</v>
      </c>
      <c r="J510" s="98" t="n">
        <v>0.002169</v>
      </c>
      <c r="K510" s="97" t="n">
        <v>5</v>
      </c>
      <c r="L510" s="99" t="inlineStr">
        <is>
          <t>20260429</t>
        </is>
      </c>
      <c r="M510" s="96" t="inlineStr">
        <is>
          <t>제외</t>
        </is>
      </c>
      <c r="N510" s="96" t="inlineStr">
        <is>
          <t>변동성 54.8%(1년 기준, 기준 35% 초과)</t>
        </is>
      </c>
      <c r="O510" s="96" t="inlineStr">
        <is>
          <t>KOSDAQ 150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IFERROR(INDEX($A$4:$A$580,MATCH(507,$X$4:$X$580,0)),"")</f>
        <v/>
      </c>
    </row>
    <row r="511">
      <c r="A511" s="96" t="inlineStr">
        <is>
          <t>TIGER 반도체TOP10</t>
        </is>
      </c>
      <c r="B511" s="96" t="inlineStr">
        <is>
          <t>396500</t>
        </is>
      </c>
      <c r="C511" s="96" t="inlineStr">
        <is>
          <t>미래에셋자산운용</t>
        </is>
      </c>
      <c r="D511" s="97" t="n">
        <v>35565</v>
      </c>
      <c r="E511" s="97" t="n">
        <v>9470959500000</v>
      </c>
      <c r="F511" s="97" t="n">
        <v>487275739887</v>
      </c>
      <c r="G511" s="98" t="n">
        <v>0.004500000000000001</v>
      </c>
      <c r="H511" s="98" t="n">
        <v>0.7575</v>
      </c>
      <c r="I511" s="98" t="n">
        <v>0.0015</v>
      </c>
      <c r="J511" s="98" t="n">
        <v>0.002109</v>
      </c>
      <c r="K511" s="97" t="n">
        <v>9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75.7%(1년 기준, 기준 35% 초과)</t>
        </is>
      </c>
      <c r="O511" s="96" t="inlineStr">
        <is>
          <t>FnGuide 반도체 TOP10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반기배당</t>
        </is>
      </c>
      <c r="S511" s="97" t="n">
        <v>2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IFERROR(INDEX($A$4:$A$580,MATCH(508,$X$4:$X$580,0)),"")</f>
        <v/>
      </c>
    </row>
    <row r="512">
      <c r="A512" s="96" t="inlineStr">
        <is>
          <t>IBK K-AI반도체코어테크</t>
        </is>
      </c>
      <c r="B512" s="96" t="inlineStr">
        <is>
          <t>0005G0</t>
        </is>
      </c>
      <c r="C512" s="96" t="inlineStr">
        <is>
          <t>IBK자산운용</t>
        </is>
      </c>
      <c r="D512" s="97" t="n">
        <v>50295</v>
      </c>
      <c r="E512" s="97" t="n">
        <v>173517750000</v>
      </c>
      <c r="F512" s="97" t="n">
        <v>2257356179</v>
      </c>
      <c r="G512" s="98" t="n">
        <v>0.0028</v>
      </c>
      <c r="H512" s="98" t="n">
        <v>0.6997</v>
      </c>
      <c r="I512" s="98" t="n">
        <v>0.0003</v>
      </c>
      <c r="J512" s="98" t="n">
        <v>0.002108</v>
      </c>
      <c r="K512" s="97" t="n">
        <v>6</v>
      </c>
      <c r="L512" s="99" t="inlineStr">
        <is>
          <t>20260730</t>
        </is>
      </c>
      <c r="M512" s="96" t="inlineStr">
        <is>
          <t>제외</t>
        </is>
      </c>
      <c r="N512" s="96" t="inlineStr">
        <is>
          <t>변동성 70.0%(1년 기준, 기준 35% 초과)</t>
        </is>
      </c>
      <c r="O512" s="96" t="inlineStr">
        <is>
          <t>FnGuide K-AI반도체 코어테크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분기배당</t>
        </is>
      </c>
      <c r="S512" s="97" t="n">
        <v>4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IFERROR(INDEX($A$4:$A$580,MATCH(509,$X$4:$X$580,0)),"")</f>
        <v/>
      </c>
    </row>
    <row r="513">
      <c r="A513" s="96" t="inlineStr">
        <is>
          <t>PLUS 우주항공</t>
        </is>
      </c>
      <c r="B513" s="96" t="inlineStr">
        <is>
          <t>421320</t>
        </is>
      </c>
      <c r="C513" s="96" t="inlineStr">
        <is>
          <t>한화자산운용</t>
        </is>
      </c>
      <c r="D513" s="97" t="n">
        <v>28610</v>
      </c>
      <c r="E513" s="97" t="n">
        <v>267503500000</v>
      </c>
      <c r="F513" s="97" t="n">
        <v>2798304051</v>
      </c>
      <c r="G513" s="98" t="n">
        <v>0.004500000000000001</v>
      </c>
      <c r="H513" s="98" t="n">
        <v>0.6456000000000001</v>
      </c>
      <c r="I513" s="98" t="n">
        <v>0.0012</v>
      </c>
      <c r="J513" s="98" t="n">
        <v>0.002097</v>
      </c>
      <c r="K513" s="97" t="n">
        <v>4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64.6%(1년 기준, 기준 35% 초과)</t>
        </is>
      </c>
      <c r="O513" s="96" t="inlineStr">
        <is>
          <t>iSelect 우주항공UAM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IFERROR(INDEX($A$4:$A$580,MATCH(510,$X$4:$X$580,0)),"")</f>
        <v/>
      </c>
    </row>
    <row r="514">
      <c r="A514" s="96" t="inlineStr">
        <is>
          <t>TIGER 2차전지소재Fn</t>
        </is>
      </c>
      <c r="B514" s="96" t="inlineStr">
        <is>
          <t>462010</t>
        </is>
      </c>
      <c r="C514" s="96" t="inlineStr">
        <is>
          <t>미래에셋자산운용</t>
        </is>
      </c>
      <c r="D514" s="97" t="n">
        <v>4770</v>
      </c>
      <c r="E514" s="97" t="n">
        <v>520407000000</v>
      </c>
      <c r="F514" s="97" t="n">
        <v>16639627580</v>
      </c>
      <c r="G514" s="98" t="n">
        <v>0.0039</v>
      </c>
      <c r="H514" s="98" t="n">
        <v>0.6717</v>
      </c>
      <c r="I514" s="98" t="n">
        <v>0.0013</v>
      </c>
      <c r="J514" s="98" t="n">
        <v>0.002096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67.2%(1년 기준, 기준 35% 초과)</t>
        </is>
      </c>
      <c r="O514" s="96" t="inlineStr">
        <is>
          <t>FnGuide 2차전지소재 지수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IFERROR(INDEX($A$4:$A$580,MATCH(511,$X$4:$X$580,0)),"")</f>
        <v/>
      </c>
    </row>
    <row r="515">
      <c r="A515" s="96" t="inlineStr">
        <is>
          <t>RISE 비메모리반도체액티브</t>
        </is>
      </c>
      <c r="B515" s="96" t="inlineStr">
        <is>
          <t>388420</t>
        </is>
      </c>
      <c r="C515" s="96" t="inlineStr">
        <is>
          <t>KB자산운용</t>
        </is>
      </c>
      <c r="D515" s="97" t="n">
        <v>26275</v>
      </c>
      <c r="E515" s="97" t="n">
        <v>231220000000</v>
      </c>
      <c r="F515" s="97" t="n">
        <v>8032187121</v>
      </c>
      <c r="G515" s="98" t="n">
        <v>0.005</v>
      </c>
      <c r="H515" s="98" t="n">
        <v>0.6938</v>
      </c>
      <c r="I515" s="98" t="n">
        <v>0.0026</v>
      </c>
      <c r="J515" s="98" t="n">
        <v>0.002093</v>
      </c>
      <c r="K515" s="97" t="n">
        <v>5</v>
      </c>
      <c r="L515" s="99" t="inlineStr">
        <is>
          <t>20260730</t>
        </is>
      </c>
      <c r="M515" s="96" t="inlineStr">
        <is>
          <t>제외</t>
        </is>
      </c>
      <c r="N515" s="96" t="inlineStr">
        <is>
          <t>변동성 69.4%(1년 기준, 기준 35% 초과)</t>
        </is>
      </c>
      <c r="O515" s="96" t="inlineStr">
        <is>
          <t>iSelect 비메모리 반도체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IFERROR(INDEX($A$4:$A$580,MATCH(512,$X$4:$X$580,0)),"")</f>
        <v/>
      </c>
    </row>
    <row r="516">
      <c r="A516" s="96" t="inlineStr">
        <is>
          <t>ACE AI반도체TOP3+</t>
        </is>
      </c>
      <c r="B516" s="96" t="inlineStr">
        <is>
          <t>469150</t>
        </is>
      </c>
      <c r="C516" s="96" t="inlineStr">
        <is>
          <t>한국투신운용(ETF)</t>
        </is>
      </c>
      <c r="D516" s="97" t="n">
        <v>58005</v>
      </c>
      <c r="E516" s="97" t="n">
        <v>1073092500000</v>
      </c>
      <c r="F516" s="97" t="n">
        <v>58810937535</v>
      </c>
      <c r="G516" s="98" t="n">
        <v>0.003</v>
      </c>
      <c r="H516" s="98" t="n">
        <v>0.7517</v>
      </c>
      <c r="I516" s="98" t="n">
        <v>0.002</v>
      </c>
      <c r="J516" s="98" t="n">
        <v>0.002069</v>
      </c>
      <c r="K516" s="97" t="n">
        <v>3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75.2%(1년 기준, 기준 35% 초과)</t>
        </is>
      </c>
      <c r="O516" s="96" t="inlineStr">
        <is>
          <t>FnGuide AI 반도체 TOP3+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IFERROR(INDEX($A$4:$A$580,MATCH(513,$X$4:$X$580,0)),"")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35130</v>
      </c>
      <c r="E517" s="97" t="n">
        <v>140520000000</v>
      </c>
      <c r="F517" s="97" t="n">
        <v>1342301918</v>
      </c>
      <c r="G517" s="98" t="n">
        <v>0.004</v>
      </c>
      <c r="H517" s="98" t="n">
        <v>0.4338</v>
      </c>
      <c r="I517" s="98" t="n">
        <v>0.0015</v>
      </c>
      <c r="J517" s="98" t="n">
        <v>0.00205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IFERROR(INDEX($A$4:$A$580,MATCH(514,$X$4:$X$580,0)),"")</f>
        <v/>
      </c>
    </row>
    <row r="518">
      <c r="A518" s="96" t="inlineStr">
        <is>
          <t>KODEX 코스닥150</t>
        </is>
      </c>
      <c r="B518" s="96" t="inlineStr">
        <is>
          <t>229200</t>
        </is>
      </c>
      <c r="C518" s="96" t="inlineStr">
        <is>
          <t>삼성자산운용(ETF)</t>
        </is>
      </c>
      <c r="D518" s="97" t="n">
        <v>13800</v>
      </c>
      <c r="E518" s="97" t="n">
        <v>4613340000000</v>
      </c>
      <c r="F518" s="97" t="n">
        <v>507426821033</v>
      </c>
      <c r="G518" s="98" t="n">
        <v>0.0025</v>
      </c>
      <c r="H518" s="98" t="n">
        <v>0.5478999999999999</v>
      </c>
      <c r="I518" s="98" t="n">
        <v>0.0014</v>
      </c>
      <c r="J518" s="98" t="n">
        <v>0.002029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54.8%(1년 기준, 기준 35% 초과)</t>
        </is>
      </c>
      <c r="O518" s="96" t="inlineStr">
        <is>
          <t>KOSDAQ 150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IFERROR(INDEX($A$4:$A$580,MATCH(515,$X$4:$X$580,0)),"")</f>
        <v/>
      </c>
    </row>
    <row r="519">
      <c r="A519" s="96" t="inlineStr">
        <is>
          <t>WON 미국우주항공방산</t>
        </is>
      </c>
      <c r="B519" s="96" t="inlineStr">
        <is>
          <t>440910</t>
        </is>
      </c>
      <c r="C519" s="96" t="inlineStr">
        <is>
          <t>우리자산운용</t>
        </is>
      </c>
      <c r="D519" s="97" t="n">
        <v>22910</v>
      </c>
      <c r="E519" s="97" t="n">
        <v>51547500000</v>
      </c>
      <c r="F519" s="97" t="n">
        <v>356167453</v>
      </c>
      <c r="G519" s="98" t="n">
        <v>0.0035</v>
      </c>
      <c r="H519" s="98" t="n">
        <v>0.3055</v>
      </c>
      <c r="I519" s="98" t="n">
        <v>0.0018</v>
      </c>
      <c r="J519" s="98" t="n">
        <v>0.001964</v>
      </c>
      <c r="K519" s="97" t="n">
        <v>1</v>
      </c>
      <c r="L519" s="99" t="inlineStr">
        <is>
          <t>20251030</t>
        </is>
      </c>
      <c r="M519" s="96" t="inlineStr">
        <is>
          <t>제외</t>
        </is>
      </c>
      <c r="N519" s="96" t="inlineStr">
        <is>
          <t>60일 거래대금 3.6억(기준 5억 미만)</t>
        </is>
      </c>
      <c r="O519" s="96" t="inlineStr">
        <is>
          <t>S&amp;P Aerospace &amp; Defense Select Industry Index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IFERROR(INDEX($A$4:$A$580,MATCH(516,$X$4:$X$580,0)),"")</f>
        <v/>
      </c>
    </row>
    <row r="520">
      <c r="A520" s="96" t="inlineStr">
        <is>
          <t>TIGER 코리아원자력</t>
        </is>
      </c>
      <c r="B520" s="96" t="inlineStr">
        <is>
          <t>0091P0</t>
        </is>
      </c>
      <c r="C520" s="96" t="inlineStr">
        <is>
          <t>미래에셋자산운용</t>
        </is>
      </c>
      <c r="D520" s="97" t="n">
        <v>18150</v>
      </c>
      <c r="E520" s="97" t="n">
        <v>645232500000</v>
      </c>
      <c r="F520" s="97" t="n">
        <v>35456503751</v>
      </c>
      <c r="G520" s="98" t="n">
        <v>0.005</v>
      </c>
      <c r="H520" s="98" t="n">
        <v>0.6825</v>
      </c>
      <c r="I520" s="98" t="n">
        <v>0.0013</v>
      </c>
      <c r="J520" s="98" t="n">
        <v>0.001928</v>
      </c>
      <c r="K520" s="97" t="n">
        <v>1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68.2%(1년 기준, 기준 35% 초과)</t>
        </is>
      </c>
      <c r="O520" s="96" t="inlineStr">
        <is>
          <t>iSelect 코리아 원자력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IFERROR(INDEX($A$4:$A$580,MATCH(517,$X$4:$X$580,0)),"")</f>
        <v/>
      </c>
    </row>
    <row r="521">
      <c r="A521" s="96" t="inlineStr">
        <is>
          <t>TIGER 차이나반도체FACTSET</t>
        </is>
      </c>
      <c r="B521" s="96" t="inlineStr">
        <is>
          <t>396520</t>
        </is>
      </c>
      <c r="C521" s="96" t="inlineStr">
        <is>
          <t>미래에셋자산운용</t>
        </is>
      </c>
      <c r="D521" s="97" t="n">
        <v>13185</v>
      </c>
      <c r="E521" s="97" t="n">
        <v>541112400000</v>
      </c>
      <c r="F521" s="97" t="n">
        <v>18818161582</v>
      </c>
      <c r="G521" s="98" t="n">
        <v>0.0049</v>
      </c>
      <c r="H521" s="98" t="n">
        <v>0.5225</v>
      </c>
      <c r="I521" s="98" t="n">
        <v>0.0025</v>
      </c>
      <c r="J521" s="98" t="n">
        <v>0.001896</v>
      </c>
      <c r="K521" s="97" t="n">
        <v>1</v>
      </c>
      <c r="L521" s="99" t="inlineStr">
        <is>
          <t>20251229</t>
        </is>
      </c>
      <c r="M521" s="96" t="inlineStr">
        <is>
          <t>제외</t>
        </is>
      </c>
      <c r="N521" s="96" t="inlineStr">
        <is>
          <t>변동성 52.3%(1년 기준, 기준 35% 초과)</t>
        </is>
      </c>
      <c r="O521" s="96" t="inlineStr">
        <is>
          <t>FactSet China Semiconductor Index PR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IFERROR(INDEX($A$4:$A$580,MATCH(518,$X$4:$X$580,0)),"")</f>
        <v/>
      </c>
    </row>
    <row r="522">
      <c r="A522" s="96" t="inlineStr">
        <is>
          <t>HANARO 전력설비투자</t>
        </is>
      </c>
      <c r="B522" s="96" t="inlineStr">
        <is>
          <t>491820</t>
        </is>
      </c>
      <c r="C522" s="96" t="inlineStr">
        <is>
          <t>NH-Amundi자산운용</t>
        </is>
      </c>
      <c r="D522" s="97" t="n">
        <v>42890</v>
      </c>
      <c r="E522" s="97" t="n">
        <v>156548500000</v>
      </c>
      <c r="F522" s="97" t="n">
        <v>7364460495</v>
      </c>
      <c r="G522" s="98" t="n">
        <v>0.0035</v>
      </c>
      <c r="H522" s="98" t="n">
        <v>0.7049</v>
      </c>
      <c r="I522" s="98" t="n">
        <v>0.0014</v>
      </c>
      <c r="J522" s="98" t="n">
        <v>0.001865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70.5%(1년 기준, 기준 35% 초과)</t>
        </is>
      </c>
      <c r="O522" s="96" t="inlineStr">
        <is>
          <t>iSelect 전력설비투자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IFERROR(INDEX($A$4:$A$580,MATCH(519,$X$4:$X$580,0)),"")</f>
        <v/>
      </c>
    </row>
    <row r="523">
      <c r="A523" s="96" t="inlineStr">
        <is>
          <t>HANARO CAPEX설비투자iSelect</t>
        </is>
      </c>
      <c r="B523" s="96" t="inlineStr">
        <is>
          <t>454320</t>
        </is>
      </c>
      <c r="C523" s="96" t="inlineStr">
        <is>
          <t>NH-Amundi자산운용</t>
        </is>
      </c>
      <c r="D523" s="97" t="n">
        <v>42910</v>
      </c>
      <c r="E523" s="97" t="n">
        <v>92256500000</v>
      </c>
      <c r="F523" s="97" t="n">
        <v>583714566</v>
      </c>
      <c r="G523" s="98" t="n">
        <v>0.004500000000000001</v>
      </c>
      <c r="H523" s="98" t="n">
        <v>0.5682</v>
      </c>
      <c r="I523" s="98" t="n">
        <v>0.0014</v>
      </c>
      <c r="J523" s="98" t="n">
        <v>0.001864</v>
      </c>
      <c r="K523" s="97" t="n">
        <v>3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56.8%(1년 기준, 기준 35% 초과)</t>
        </is>
      </c>
      <c r="O523" s="96" t="inlineStr">
        <is>
          <t>iSelect CAPEX 설비투자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IFERROR(INDEX($A$4:$A$580,MATCH(520,$X$4:$X$580,0)),"")</f>
        <v/>
      </c>
    </row>
    <row r="524">
      <c r="A524" s="96" t="inlineStr">
        <is>
          <t>SOL 조선TOP3플러스</t>
        </is>
      </c>
      <c r="B524" s="96" t="inlineStr">
        <is>
          <t>466920</t>
        </is>
      </c>
      <c r="C524" s="96" t="inlineStr">
        <is>
          <t>신한자산운용</t>
        </is>
      </c>
      <c r="D524" s="97" t="n">
        <v>28030</v>
      </c>
      <c r="E524" s="97" t="n">
        <v>1481385500000</v>
      </c>
      <c r="F524" s="97" t="n">
        <v>53033702833</v>
      </c>
      <c r="G524" s="98" t="n">
        <v>0.004500000000000001</v>
      </c>
      <c r="H524" s="98" t="n">
        <v>0.5474</v>
      </c>
      <c r="I524" s="98" t="n">
        <v>0.0012</v>
      </c>
      <c r="J524" s="98" t="n">
        <v>0.001855</v>
      </c>
      <c r="K524" s="97" t="n">
        <v>2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54.7%(1년 기준, 기준 35% 초과)</t>
        </is>
      </c>
      <c r="O524" s="96" t="inlineStr">
        <is>
          <t>FnGuide 조선 TOP3 플러스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IFERROR(INDEX($A$4:$A$580,MATCH(521,$X$4:$X$580,0)),"")</f>
        <v/>
      </c>
    </row>
    <row r="525">
      <c r="A525" s="96" t="inlineStr">
        <is>
          <t>SOL 한국원자력SMR</t>
        </is>
      </c>
      <c r="B525" s="96" t="inlineStr">
        <is>
          <t>0092B0</t>
        </is>
      </c>
      <c r="C525" s="96" t="inlineStr">
        <is>
          <t>신한자산운용</t>
        </is>
      </c>
      <c r="D525" s="97" t="n">
        <v>16530</v>
      </c>
      <c r="E525" s="97" t="n">
        <v>137199000000</v>
      </c>
      <c r="F525" s="97" t="n">
        <v>2813567412</v>
      </c>
      <c r="G525" s="98" t="n">
        <v>0.004500000000000001</v>
      </c>
      <c r="H525" s="98" t="n">
        <v>0.6445000000000001</v>
      </c>
      <c r="I525" s="98" t="n">
        <v>0.001</v>
      </c>
      <c r="J525" s="98" t="n">
        <v>0.001815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64.4%(1년 기준, 기준 35% 초과)</t>
        </is>
      </c>
      <c r="O525" s="96" t="inlineStr">
        <is>
          <t>FnGuide 한국원자력SMR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2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IFERROR(INDEX($A$4:$A$580,MATCH(522,$X$4:$X$580,0)),"")</f>
        <v/>
      </c>
    </row>
    <row r="526">
      <c r="A526" s="96" t="inlineStr">
        <is>
          <t>SOL 반도체전공정</t>
        </is>
      </c>
      <c r="B526" s="96" t="inlineStr">
        <is>
          <t>475300</t>
        </is>
      </c>
      <c r="C526" s="96" t="inlineStr">
        <is>
          <t>신한자산운용</t>
        </is>
      </c>
      <c r="D526" s="97" t="n">
        <v>22365</v>
      </c>
      <c r="E526" s="97" t="n">
        <v>292981500000</v>
      </c>
      <c r="F526" s="97" t="n">
        <v>60372260741</v>
      </c>
      <c r="G526" s="98" t="n">
        <v>0.004500000000000001</v>
      </c>
      <c r="H526" s="98" t="n">
        <v>0.7968000000000001</v>
      </c>
      <c r="I526" s="98" t="n">
        <v>0.0018</v>
      </c>
      <c r="J526" s="98" t="n">
        <v>0.001789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79.7%(1년 기준, 기준 35% 초과)</t>
        </is>
      </c>
      <c r="O526" s="96" t="inlineStr">
        <is>
          <t>FnGuide 반도체 전공정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IFERROR(INDEX($A$4:$A$580,MATCH(523,$X$4:$X$580,0)),"")</f>
        <v/>
      </c>
    </row>
    <row r="527">
      <c r="A527" s="96" t="inlineStr">
        <is>
          <t>KODEX 성장주</t>
        </is>
      </c>
      <c r="B527" s="96" t="inlineStr">
        <is>
          <t>325010</t>
        </is>
      </c>
      <c r="C527" s="96" t="inlineStr">
        <is>
          <t>삼성자산운용(ETF)</t>
        </is>
      </c>
      <c r="D527" s="97" t="n">
        <v>42285</v>
      </c>
      <c r="E527" s="97" t="n">
        <v>122626500000</v>
      </c>
      <c r="F527" s="97" t="n">
        <v>1641977880</v>
      </c>
      <c r="G527" s="98" t="n">
        <v>0.003</v>
      </c>
      <c r="H527" s="98" t="n">
        <v>0.5895</v>
      </c>
      <c r="I527" s="98" t="n">
        <v>0.0001</v>
      </c>
      <c r="J527" s="98" t="n">
        <v>0.00175</v>
      </c>
      <c r="K527" s="97" t="n">
        <v>6</v>
      </c>
      <c r="L527" s="99" t="inlineStr">
        <is>
          <t>20260730</t>
        </is>
      </c>
      <c r="M527" s="96" t="inlineStr">
        <is>
          <t>제외</t>
        </is>
      </c>
      <c r="N527" s="96" t="inlineStr">
        <is>
          <t>변동성 59.0%(1년 기준, 기준 35% 초과)</t>
        </is>
      </c>
      <c r="O527" s="96" t="inlineStr">
        <is>
          <t>FnGuide 성장 지수(PR)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2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IFERROR(INDEX($A$4:$A$580,MATCH(524,$X$4:$X$580,0)),"")</f>
        <v/>
      </c>
    </row>
    <row r="528">
      <c r="A528" s="96" t="inlineStr">
        <is>
          <t>PLUS 한화그룹주</t>
        </is>
      </c>
      <c r="B528" s="96" t="inlineStr">
        <is>
          <t>0000J0</t>
        </is>
      </c>
      <c r="C528" s="96" t="inlineStr">
        <is>
          <t>한화자산운용</t>
        </is>
      </c>
      <c r="D528" s="97" t="n">
        <v>28650</v>
      </c>
      <c r="E528" s="97" t="n">
        <v>114600000000</v>
      </c>
      <c r="F528" s="97" t="n">
        <v>4628716192</v>
      </c>
      <c r="G528" s="98" t="n">
        <v>0.0019</v>
      </c>
      <c r="H528" s="98" t="n">
        <v>0.5764</v>
      </c>
      <c r="I528" s="98" t="n">
        <v>0.0012</v>
      </c>
      <c r="J528" s="98" t="n">
        <v>0.001745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57.6%(1년 기준, 기준 35% 초과)</t>
        </is>
      </c>
      <c r="O528" s="96" t="inlineStr">
        <is>
          <t>FnGuide 한화그룹주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IFERROR(INDEX($A$4:$A$580,MATCH(525,$X$4:$X$580,0)),"")</f>
        <v/>
      </c>
    </row>
    <row r="529">
      <c r="A529" s="96" t="inlineStr">
        <is>
          <t>TIGER 글로벌AI사이버보안</t>
        </is>
      </c>
      <c r="B529" s="96" t="inlineStr">
        <is>
          <t>418670</t>
        </is>
      </c>
      <c r="C529" s="96" t="inlineStr">
        <is>
          <t>미래에셋자산운용</t>
        </is>
      </c>
      <c r="D529" s="97" t="n">
        <v>18910</v>
      </c>
      <c r="E529" s="97" t="n">
        <v>57486400000</v>
      </c>
      <c r="F529" s="97" t="n">
        <v>1565150187</v>
      </c>
      <c r="G529" s="98" t="n">
        <v>0.0049</v>
      </c>
      <c r="H529" s="98" t="n">
        <v>0.3783</v>
      </c>
      <c r="I529" s="98" t="n">
        <v>0.0024</v>
      </c>
      <c r="J529" s="98" t="n">
        <v>0.001745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변동성 37.8%(1년 기준, 기준 35% 초과)</t>
        </is>
      </c>
      <c r="O529" s="96" t="inlineStr">
        <is>
          <t>Indxx Cybersecurity Index PR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IFERROR(INDEX($A$4:$A$580,MATCH(526,$X$4:$X$580,0)),"")</f>
        <v/>
      </c>
    </row>
    <row r="530">
      <c r="A530" s="96" t="inlineStr">
        <is>
          <t>TIGER 유로스탁스50(합성 H)</t>
        </is>
      </c>
      <c r="B530" s="96" t="inlineStr">
        <is>
          <t>195930</t>
        </is>
      </c>
      <c r="C530" s="96" t="inlineStr">
        <is>
          <t>미래에셋자산운용</t>
        </is>
      </c>
      <c r="D530" s="97" t="n">
        <v>23015</v>
      </c>
      <c r="E530" s="97" t="n">
        <v>36824000000</v>
      </c>
      <c r="F530" s="97" t="n">
        <v>224552436</v>
      </c>
      <c r="G530" s="98" t="n">
        <v>0.0024</v>
      </c>
      <c r="H530" s="98" t="n">
        <v>0.154</v>
      </c>
      <c r="I530" s="98" t="n">
        <v>0.0019</v>
      </c>
      <c r="J530" s="98" t="n">
        <v>0.001738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60일 거래대금 2.2억(기준 5억 미만)</t>
        </is>
      </c>
      <c r="O530" s="96" t="inlineStr">
        <is>
          <t>EURO STOXX 50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IFERROR(INDEX($A$4:$A$580,MATCH(527,$X$4:$X$580,0)),"")</f>
        <v/>
      </c>
    </row>
    <row r="531">
      <c r="A531" s="96" t="inlineStr">
        <is>
          <t>SOL 조선TOP3플러스레버리지</t>
        </is>
      </c>
      <c r="B531" s="96" t="inlineStr">
        <is>
          <t>0080Y0</t>
        </is>
      </c>
      <c r="C531" s="96" t="inlineStr">
        <is>
          <t>신한자산운용</t>
        </is>
      </c>
      <c r="D531" s="97" t="n">
        <v>8760</v>
      </c>
      <c r="E531" s="97" t="n">
        <v>110376000000</v>
      </c>
      <c r="F531" s="97" t="n">
        <v>8014775677</v>
      </c>
      <c r="G531" s="98" t="n">
        <v>0.005</v>
      </c>
      <c r="H531" s="98" t="n">
        <v>1.0685</v>
      </c>
      <c r="I531" s="98" t="n">
        <v>0.0009</v>
      </c>
      <c r="J531" s="98" t="n">
        <v>0.001712</v>
      </c>
      <c r="K531" s="97" t="n">
        <v>1</v>
      </c>
      <c r="L531" s="99" t="inlineStr">
        <is>
          <t>20251229</t>
        </is>
      </c>
      <c r="M531" s="96" t="inlineStr">
        <is>
          <t>제외</t>
        </is>
      </c>
      <c r="N531" s="96" t="inlineStr">
        <is>
          <t>변동성 106.8%(1년 기준, 기준 35% 초과)</t>
        </is>
      </c>
      <c r="O531" s="96" t="inlineStr">
        <is>
          <t>FnGuide 조선 TOP3 플러스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IFERROR(INDEX($A$4:$A$580,MATCH(528,$X$4:$X$580,0)),"")</f>
        <v/>
      </c>
    </row>
    <row r="532">
      <c r="A532" s="96" t="inlineStr">
        <is>
          <t>TIGER 글로벌AI액티브</t>
        </is>
      </c>
      <c r="B532" s="96" t="inlineStr">
        <is>
          <t>466950</t>
        </is>
      </c>
      <c r="C532" s="96" t="inlineStr">
        <is>
          <t>미래에셋자산운용</t>
        </is>
      </c>
      <c r="D532" s="97" t="n">
        <v>29660</v>
      </c>
      <c r="E532" s="97" t="n">
        <v>554938600000</v>
      </c>
      <c r="F532" s="97" t="n">
        <v>9594040806</v>
      </c>
      <c r="G532" s="98" t="n">
        <v>0.007900000000000001</v>
      </c>
      <c r="H532" s="98" t="n">
        <v>0.4532</v>
      </c>
      <c r="I532" s="98" t="n">
        <v>0.0022</v>
      </c>
      <c r="J532" s="98" t="n">
        <v>0.001686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변동성 45.3%(1년 기준, 기준 35% 초과)</t>
        </is>
      </c>
      <c r="O532" s="96" t="inlineStr">
        <is>
          <t>Indxx Artificial Intelligence and Big Data Index PR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IFERROR(INDEX($A$4:$A$580,MATCH(529,$X$4:$X$580,0)),"")</f>
        <v/>
      </c>
    </row>
    <row r="533">
      <c r="A533" s="96" t="inlineStr">
        <is>
          <t>TIGER 미디어컨텐츠</t>
        </is>
      </c>
      <c r="B533" s="96" t="inlineStr">
        <is>
          <t>228810</t>
        </is>
      </c>
      <c r="C533" s="96" t="inlineStr">
        <is>
          <t>미래에셋자산운용</t>
        </is>
      </c>
      <c r="D533" s="97" t="n">
        <v>3080</v>
      </c>
      <c r="E533" s="97" t="n">
        <v>74844000000</v>
      </c>
      <c r="F533" s="97" t="n">
        <v>827412022</v>
      </c>
      <c r="G533" s="98" t="n">
        <v>0.005</v>
      </c>
      <c r="H533" s="98" t="n">
        <v>0.4056</v>
      </c>
      <c r="I533" s="98" t="n">
        <v>0.001</v>
      </c>
      <c r="J533" s="98" t="n">
        <v>0.001623</v>
      </c>
      <c r="K533" s="97" t="n">
        <v>5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40.6%(1년 기준, 기준 35% 초과)</t>
        </is>
      </c>
      <c r="O533" s="96" t="inlineStr">
        <is>
          <t>WISE 미디어컨텐츠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IFERROR(INDEX($A$4:$A$580,MATCH(530,$X$4:$X$580,0)),"")</f>
        <v/>
      </c>
    </row>
    <row r="534">
      <c r="A534" s="96" t="inlineStr">
        <is>
          <t>SOL 미국AI반도체칩메이커</t>
        </is>
      </c>
      <c r="B534" s="96" t="inlineStr">
        <is>
          <t>479620</t>
        </is>
      </c>
      <c r="C534" s="96" t="inlineStr">
        <is>
          <t>신한자산운용</t>
        </is>
      </c>
      <c r="D534" s="97" t="n">
        <v>24680</v>
      </c>
      <c r="E534" s="97" t="n">
        <v>86380000000</v>
      </c>
      <c r="F534" s="97" t="n">
        <v>1715296821</v>
      </c>
      <c r="G534" s="98" t="n">
        <v>0.004500000000000001</v>
      </c>
      <c r="H534" s="98" t="n">
        <v>0.4816</v>
      </c>
      <c r="I534" s="98" t="n">
        <v>0.0018</v>
      </c>
      <c r="J534" s="98" t="n">
        <v>0.001621</v>
      </c>
      <c r="K534" s="97" t="n">
        <v>2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48.2%(1년 기준, 기준 35% 초과)</t>
        </is>
      </c>
      <c r="O534" s="96" t="inlineStr">
        <is>
          <t>Solactive US AI Semiconductor Chip Makers Index PR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IFERROR(INDEX($A$4:$A$580,MATCH(531,$X$4:$X$580,0)),"")</f>
        <v/>
      </c>
    </row>
    <row r="535">
      <c r="A535" s="96" t="inlineStr">
        <is>
          <t>TIGER K방산&amp;우주</t>
        </is>
      </c>
      <c r="B535" s="96" t="inlineStr">
        <is>
          <t>463250</t>
        </is>
      </c>
      <c r="C535" s="96" t="inlineStr">
        <is>
          <t>미래에셋자산운용</t>
        </is>
      </c>
      <c r="D535" s="97" t="n">
        <v>34080</v>
      </c>
      <c r="E535" s="97" t="n">
        <v>511200000000</v>
      </c>
      <c r="F535" s="97" t="n">
        <v>22506814055</v>
      </c>
      <c r="G535" s="98" t="n">
        <v>0.004500000000000001</v>
      </c>
      <c r="H535" s="98" t="n">
        <v>0.6244</v>
      </c>
      <c r="I535" s="98" t="n">
        <v>0.0011</v>
      </c>
      <c r="J535" s="98" t="n">
        <v>0.001614</v>
      </c>
      <c r="K535" s="97" t="n">
        <v>3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62.4%(1년 기준, 기준 35% 초과)</t>
        </is>
      </c>
      <c r="O535" s="96" t="inlineStr">
        <is>
          <t>iSelect K방산&amp;우주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1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IFERROR(INDEX($A$4:$A$580,MATCH(532,$X$4:$X$580,0)),"")</f>
        <v/>
      </c>
    </row>
    <row r="536">
      <c r="A536" s="96" t="inlineStr">
        <is>
          <t>TIGER 200IT레버리지</t>
        </is>
      </c>
      <c r="B536" s="96" t="inlineStr">
        <is>
          <t>243880</t>
        </is>
      </c>
      <c r="C536" s="96" t="inlineStr">
        <is>
          <t>미래에셋자산운용</t>
        </is>
      </c>
      <c r="D536" s="97" t="n">
        <v>302875</v>
      </c>
      <c r="E536" s="97" t="n">
        <v>393737500000</v>
      </c>
      <c r="F536" s="97" t="n">
        <v>69407746432</v>
      </c>
      <c r="G536" s="98" t="n">
        <v>0.0069</v>
      </c>
      <c r="H536" s="98" t="n">
        <v>1.4215</v>
      </c>
      <c r="I536" s="98" t="n">
        <v>0.0051</v>
      </c>
      <c r="J536" s="98" t="n">
        <v>0.001496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변동성 142.1%(1년 기준, 기준 35% 초과)</t>
        </is>
      </c>
      <c r="O536" s="96" t="inlineStr">
        <is>
          <t>K200정보기술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IFERROR(INDEX($A$4:$A$580,MATCH(533,$X$4:$X$580,0)),"")</f>
        <v/>
      </c>
    </row>
    <row r="537">
      <c r="A537" s="96" t="inlineStr">
        <is>
          <t>TIGER 차이나과창판STAR50(합성)</t>
        </is>
      </c>
      <c r="B537" s="96" t="inlineStr">
        <is>
          <t>414780</t>
        </is>
      </c>
      <c r="C537" s="96" t="inlineStr">
        <is>
          <t>미래에셋자산운용</t>
        </is>
      </c>
      <c r="D537" s="97" t="n">
        <v>13615</v>
      </c>
      <c r="E537" s="97" t="n">
        <v>186525500000</v>
      </c>
      <c r="F537" s="97" t="n">
        <v>5058250282</v>
      </c>
      <c r="G537" s="98" t="n">
        <v>0.0009</v>
      </c>
      <c r="H537" s="98" t="n">
        <v>0.4529</v>
      </c>
      <c r="I537" s="98" t="n">
        <v>0.0018</v>
      </c>
      <c r="J537" s="98" t="n">
        <v>0.001469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45.3%(1년 기준, 기준 35% 초과)</t>
        </is>
      </c>
      <c r="O537" s="96" t="inlineStr">
        <is>
          <t>STAR50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IFERROR(INDEX($A$4:$A$580,MATCH(534,$X$4:$X$580,0)),"")</f>
        <v/>
      </c>
    </row>
    <row r="538">
      <c r="A538" s="96" t="inlineStr">
        <is>
          <t>PLUS K방산</t>
        </is>
      </c>
      <c r="B538" s="96" t="inlineStr">
        <is>
          <t>449450</t>
        </is>
      </c>
      <c r="C538" s="96" t="inlineStr">
        <is>
          <t>한화자산운용</t>
        </is>
      </c>
      <c r="D538" s="97" t="n">
        <v>52430</v>
      </c>
      <c r="E538" s="97" t="n">
        <v>1016617700000</v>
      </c>
      <c r="F538" s="97" t="n">
        <v>23796779783</v>
      </c>
      <c r="G538" s="98" t="n">
        <v>0.004500000000000001</v>
      </c>
      <c r="H538" s="98" t="n">
        <v>0.5997</v>
      </c>
      <c r="I538" s="98" t="n">
        <v>0.001</v>
      </c>
      <c r="J538" s="98" t="n">
        <v>0.00143</v>
      </c>
      <c r="K538" s="97" t="n">
        <v>3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60.0%(1년 기준, 기준 35% 초과)</t>
        </is>
      </c>
      <c r="O538" s="96" t="inlineStr">
        <is>
          <t>FnGuide K-방위산업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IFERROR(INDEX($A$4:$A$580,MATCH(535,$X$4:$X$580,0)),"")</f>
        <v/>
      </c>
    </row>
    <row r="539">
      <c r="A539" s="96" t="inlineStr">
        <is>
          <t>HANARO Fn K-반도체</t>
        </is>
      </c>
      <c r="B539" s="96" t="inlineStr">
        <is>
          <t>395270</t>
        </is>
      </c>
      <c r="C539" s="96" t="inlineStr">
        <is>
          <t>NH-Amundi자산운용</t>
        </is>
      </c>
      <c r="D539" s="97" t="n">
        <v>54985</v>
      </c>
      <c r="E539" s="97" t="n">
        <v>3442061000000</v>
      </c>
      <c r="F539" s="97" t="n">
        <v>156120091005</v>
      </c>
      <c r="G539" s="98" t="n">
        <v>0.004500000000000001</v>
      </c>
      <c r="H539" s="98" t="n">
        <v>0.743</v>
      </c>
      <c r="I539" s="98" t="n">
        <v>0.0016</v>
      </c>
      <c r="J539" s="98" t="n">
        <v>0.001364</v>
      </c>
      <c r="K539" s="97" t="n">
        <v>9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74.3%(1년 기준, 기준 35% 초과)</t>
        </is>
      </c>
      <c r="O539" s="96" t="inlineStr">
        <is>
          <t>FnGuide K-반도체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IFERROR(INDEX($A$4:$A$580,MATCH(536,$X$4:$X$580,0)),"")</f>
        <v/>
      </c>
    </row>
    <row r="540">
      <c r="A540" s="96" t="inlineStr">
        <is>
          <t>MIDAS 코스피액티브</t>
        </is>
      </c>
      <c r="B540" s="96" t="inlineStr">
        <is>
          <t>403790</t>
        </is>
      </c>
      <c r="C540" s="96" t="inlineStr">
        <is>
          <t>마이다스에셋자산운용</t>
        </is>
      </c>
      <c r="D540" s="97" t="n">
        <v>56425</v>
      </c>
      <c r="E540" s="97" t="n">
        <v>165043125000</v>
      </c>
      <c r="F540" s="97" t="n">
        <v>412668255</v>
      </c>
      <c r="G540" s="98" t="n">
        <v>0.0029</v>
      </c>
      <c r="H540" s="98" t="n">
        <v>0.5236999999999999</v>
      </c>
      <c r="I540" s="98" t="n">
        <v>0.0021</v>
      </c>
      <c r="J540" s="98" t="n">
        <v>0.001276</v>
      </c>
      <c r="K540" s="97" t="n">
        <v>1</v>
      </c>
      <c r="L540" s="99" t="inlineStr">
        <is>
          <t>20251229</t>
        </is>
      </c>
      <c r="M540" s="96" t="inlineStr">
        <is>
          <t>제외</t>
        </is>
      </c>
      <c r="N540" s="96" t="inlineStr">
        <is>
          <t>60일 거래대금 4.1억(기준 5억 미만), 변동성 52.4%(1년 기준, 기준 35% 초과)</t>
        </is>
      </c>
      <c r="O540" s="96" t="inlineStr">
        <is>
          <t>코스피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IFERROR(INDEX($A$4:$A$580,MATCH(537,$X$4:$X$580,0)),"")</f>
        <v/>
      </c>
    </row>
    <row r="541">
      <c r="A541" s="96" t="inlineStr">
        <is>
          <t>ACE 미국주식베스트셀러</t>
        </is>
      </c>
      <c r="B541" s="96" t="inlineStr">
        <is>
          <t>473590</t>
        </is>
      </c>
      <c r="C541" s="96" t="inlineStr">
        <is>
          <t>한국투신운용(ETF)</t>
        </is>
      </c>
      <c r="D541" s="97" t="n">
        <v>18850</v>
      </c>
      <c r="E541" s="97" t="n">
        <v>43355000000</v>
      </c>
      <c r="F541" s="97" t="n">
        <v>1080556878</v>
      </c>
      <c r="G541" s="98" t="n">
        <v>0.003</v>
      </c>
      <c r="H541" s="98" t="n">
        <v>0.4013</v>
      </c>
      <c r="I541" s="98" t="n">
        <v>0.0012</v>
      </c>
      <c r="J541" s="98" t="n">
        <v>0.001273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40.1%(1년 기준, 기준 35% 초과)</t>
        </is>
      </c>
      <c r="O541" s="96" t="inlineStr">
        <is>
          <t>FnGuide US Equity BestSeller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IFERROR(INDEX($A$4:$A$580,MATCH(538,$X$4:$X$580,0)),"")</f>
        <v/>
      </c>
    </row>
    <row r="542">
      <c r="A542" s="96" t="inlineStr">
        <is>
          <t>HANARO 글로벌생성형AI액티브</t>
        </is>
      </c>
      <c r="B542" s="96" t="inlineStr">
        <is>
          <t>461340</t>
        </is>
      </c>
      <c r="C542" s="96" t="inlineStr">
        <is>
          <t>NH-Amundi자산운용</t>
        </is>
      </c>
      <c r="D542" s="97" t="n">
        <v>42240</v>
      </c>
      <c r="E542" s="97" t="n">
        <v>46464000000</v>
      </c>
      <c r="F542" s="97" t="n">
        <v>158681151</v>
      </c>
      <c r="G542" s="98" t="n">
        <v>0.006</v>
      </c>
      <c r="H542" s="98" t="n">
        <v>0.4043</v>
      </c>
      <c r="I542" s="98" t="n">
        <v>0.0004</v>
      </c>
      <c r="J542" s="98" t="n">
        <v>0.001255</v>
      </c>
      <c r="K542" s="97" t="n">
        <v>5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60일 거래대금 1.6억(기준 5억 미만), 변동성 40.4%(1년 기준, 기준 35% 초과)</t>
        </is>
      </c>
      <c r="O542" s="96" t="inlineStr">
        <is>
          <t>Solactive United States Technology 100 Index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분기배당</t>
        </is>
      </c>
      <c r="S542" s="97" t="n">
        <v>3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IFERROR(INDEX($A$4:$A$580,MATCH(539,$X$4:$X$580,0)),"")</f>
        <v/>
      </c>
    </row>
    <row r="543">
      <c r="A543" s="96" t="inlineStr">
        <is>
          <t>KODEX AI전력핵심설비</t>
        </is>
      </c>
      <c r="B543" s="96" t="inlineStr">
        <is>
          <t>487240</t>
        </is>
      </c>
      <c r="C543" s="96" t="inlineStr">
        <is>
          <t>삼성자산운용(ETF)</t>
        </is>
      </c>
      <c r="D543" s="97" t="n">
        <v>35700</v>
      </c>
      <c r="E543" s="97" t="n">
        <v>3123750000000</v>
      </c>
      <c r="F543" s="97" t="n">
        <v>134350184932</v>
      </c>
      <c r="G543" s="98" t="n">
        <v>0.0039</v>
      </c>
      <c r="H543" s="98" t="n">
        <v>0.7089</v>
      </c>
      <c r="I543" s="98" t="n">
        <v>0.0002</v>
      </c>
      <c r="J543" s="98" t="n">
        <v>0.001232</v>
      </c>
      <c r="K543" s="97" t="n">
        <v>3</v>
      </c>
      <c r="L543" s="99" t="inlineStr">
        <is>
          <t>20260730</t>
        </is>
      </c>
      <c r="M543" s="96" t="inlineStr">
        <is>
          <t>제외</t>
        </is>
      </c>
      <c r="N543" s="96" t="inlineStr">
        <is>
          <t>변동성 70.9%(1년 기준, 기준 35% 초과)</t>
        </is>
      </c>
      <c r="O543" s="96" t="inlineStr">
        <is>
          <t>iSelect AI전력핵심설비 지수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IFERROR(INDEX($A$4:$A$580,MATCH(540,$X$4:$X$580,0)),"")</f>
        <v/>
      </c>
    </row>
    <row r="544">
      <c r="A544" s="96" t="inlineStr">
        <is>
          <t>KODEX 2차전지산업</t>
        </is>
      </c>
      <c r="B544" s="96" t="inlineStr">
        <is>
          <t>305720</t>
        </is>
      </c>
      <c r="C544" s="96" t="inlineStr">
        <is>
          <t>삼성자산운용(ETF)</t>
        </is>
      </c>
      <c r="D544" s="97" t="n">
        <v>14625</v>
      </c>
      <c r="E544" s="97" t="n">
        <v>1730137500000</v>
      </c>
      <c r="F544" s="97" t="n">
        <v>56395083053</v>
      </c>
      <c r="G544" s="98" t="n">
        <v>0.004500000000000001</v>
      </c>
      <c r="H544" s="98" t="n">
        <v>0.6062</v>
      </c>
      <c r="I544" s="98" t="n">
        <v>0.0008</v>
      </c>
      <c r="J544" s="98" t="n">
        <v>0.001231</v>
      </c>
      <c r="K544" s="97" t="n">
        <v>5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60.6%(1년 기준, 기준 35% 초과)</t>
        </is>
      </c>
      <c r="O544" s="96" t="inlineStr">
        <is>
          <t>FnGuide 2차전지 산업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IFERROR(INDEX($A$4:$A$580,MATCH(541,$X$4:$X$580,0)),"")</f>
        <v/>
      </c>
    </row>
    <row r="545">
      <c r="A545" s="96" t="inlineStr">
        <is>
          <t>KODEX 200롱코스닥150숏선물</t>
        </is>
      </c>
      <c r="B545" s="96" t="inlineStr">
        <is>
          <t>360140</t>
        </is>
      </c>
      <c r="C545" s="96" t="inlineStr">
        <is>
          <t>삼성자산운용(ETF)</t>
        </is>
      </c>
      <c r="D545" s="97" t="n">
        <v>22385</v>
      </c>
      <c r="E545" s="97" t="n">
        <v>49247000000</v>
      </c>
      <c r="F545" s="97" t="n">
        <v>2759788205</v>
      </c>
      <c r="G545" s="98" t="n">
        <v>0.0064</v>
      </c>
      <c r="H545" s="98" t="n">
        <v>0.4855</v>
      </c>
      <c r="I545" s="98" t="n">
        <v>0.0022</v>
      </c>
      <c r="J545" s="98" t="n">
        <v>0.001206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변동성 48.6%(1년 기준, 기준 35% 초과)</t>
        </is>
      </c>
      <c r="O545" s="96" t="inlineStr">
        <is>
          <t>코스피200 롱 코스닥150 숏 선물지수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IFERROR(INDEX($A$4:$A$580,MATCH(542,$X$4:$X$580,0)),"")</f>
        <v/>
      </c>
    </row>
    <row r="546">
      <c r="A546" s="96" t="inlineStr">
        <is>
          <t>KODEX AI반도체핵심장비</t>
        </is>
      </c>
      <c r="B546" s="96" t="inlineStr">
        <is>
          <t>471990</t>
        </is>
      </c>
      <c r="C546" s="96" t="inlineStr">
        <is>
          <t>삼성자산운용(ETF)</t>
        </is>
      </c>
      <c r="D546" s="97" t="n">
        <v>24920</v>
      </c>
      <c r="E546" s="97" t="n">
        <v>412426000000</v>
      </c>
      <c r="F546" s="97" t="n">
        <v>45856777015</v>
      </c>
      <c r="G546" s="98" t="n">
        <v>0.0039</v>
      </c>
      <c r="H546" s="98" t="n">
        <v>0.736</v>
      </c>
      <c r="I546" s="98" t="n">
        <v>0.0003</v>
      </c>
      <c r="J546" s="98" t="n">
        <v>0.001164</v>
      </c>
      <c r="K546" s="97" t="n">
        <v>4</v>
      </c>
      <c r="L546" s="99" t="inlineStr">
        <is>
          <t>20260730</t>
        </is>
      </c>
      <c r="M546" s="96" t="inlineStr">
        <is>
          <t>제외</t>
        </is>
      </c>
      <c r="N546" s="96" t="inlineStr">
        <is>
          <t>변동성 73.6%(1년 기준, 기준 35% 초과)</t>
        </is>
      </c>
      <c r="O546" s="96" t="inlineStr">
        <is>
          <t>iSelect AI반도체핵심장비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2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IFERROR(INDEX($A$4:$A$580,MATCH(543,$X$4:$X$580,0)),"")</f>
        <v/>
      </c>
    </row>
    <row r="547">
      <c r="A547" s="96" t="inlineStr">
        <is>
          <t>SOL 미국양자컴퓨팅TOP10</t>
        </is>
      </c>
      <c r="B547" s="96" t="inlineStr">
        <is>
          <t>0023A0</t>
        </is>
      </c>
      <c r="C547" s="96" t="inlineStr">
        <is>
          <t>신한자산운용</t>
        </is>
      </c>
      <c r="D547" s="97" t="n">
        <v>23430</v>
      </c>
      <c r="E547" s="97" t="n">
        <v>407682000000</v>
      </c>
      <c r="F547" s="97" t="n">
        <v>4812844832</v>
      </c>
      <c r="G547" s="98" t="n">
        <v>0.004500000000000001</v>
      </c>
      <c r="H547" s="98" t="n">
        <v>0.6297</v>
      </c>
      <c r="I547" s="98" t="n">
        <v>0.0002</v>
      </c>
      <c r="J547" s="98" t="n">
        <v>0.001067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63.0%(1년 기준, 기준 35% 초과)</t>
        </is>
      </c>
      <c r="O547" s="96" t="inlineStr">
        <is>
          <t>KEDI U.S. Quantum Computing TOP10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2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IFERROR(INDEX($A$4:$A$580,MATCH(544,$X$4:$X$580,0)),"")</f>
        <v/>
      </c>
    </row>
    <row r="548">
      <c r="A548" s="96" t="inlineStr">
        <is>
          <t>PLUS 글로벌HBM반도체</t>
        </is>
      </c>
      <c r="B548" s="96" t="inlineStr">
        <is>
          <t>442580</t>
        </is>
      </c>
      <c r="C548" s="96" t="inlineStr">
        <is>
          <t>한화자산운용</t>
        </is>
      </c>
      <c r="D548" s="97" t="n">
        <v>97055</v>
      </c>
      <c r="E548" s="97" t="n">
        <v>1637317850000</v>
      </c>
      <c r="F548" s="97" t="n">
        <v>114055683811</v>
      </c>
      <c r="G548" s="98" t="n">
        <v>0.005</v>
      </c>
      <c r="H548" s="98" t="n">
        <v>0.6253</v>
      </c>
      <c r="I548" s="98" t="n">
        <v>0.0013</v>
      </c>
      <c r="J548" s="98" t="n">
        <v>0.00103</v>
      </c>
      <c r="K548" s="97" t="n">
        <v>3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62.5%(1년 기준, 기준 35% 초과)</t>
        </is>
      </c>
      <c r="O548" s="96" t="inlineStr">
        <is>
          <t>iSelect Global HBM Semiconductor Index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IFERROR(INDEX($A$4:$A$580,MATCH(545,$X$4:$X$580,0)),"")</f>
        <v/>
      </c>
    </row>
    <row r="549">
      <c r="A549" s="96" t="inlineStr">
        <is>
          <t>RISE 네트워크인프라</t>
        </is>
      </c>
      <c r="B549" s="96" t="inlineStr">
        <is>
          <t>367760</t>
        </is>
      </c>
      <c r="C549" s="96" t="inlineStr">
        <is>
          <t>KB자산운용</t>
        </is>
      </c>
      <c r="D549" s="97" t="n">
        <v>56505</v>
      </c>
      <c r="E549" s="97" t="n">
        <v>655458000000</v>
      </c>
      <c r="F549" s="97" t="n">
        <v>26946360432</v>
      </c>
      <c r="G549" s="98" t="n">
        <v>0.004500000000000001</v>
      </c>
      <c r="H549" s="98" t="n">
        <v>0.7071999999999999</v>
      </c>
      <c r="I549" s="98" t="n">
        <v>0.0011</v>
      </c>
      <c r="J549" s="98" t="n">
        <v>0.0009909999999999999</v>
      </c>
      <c r="K549" s="97" t="n">
        <v>5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70.7%(1년 기준, 기준 35% 초과)</t>
        </is>
      </c>
      <c r="O549" s="96" t="inlineStr">
        <is>
          <t>FnGuide 네트워크 인프라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IFERROR(INDEX($A$4:$A$580,MATCH(546,$X$4:$X$580,0)),"")</f>
        <v/>
      </c>
    </row>
    <row r="550">
      <c r="A550" s="96" t="inlineStr">
        <is>
          <t>RISE 2차전지TOP10</t>
        </is>
      </c>
      <c r="B550" s="96" t="inlineStr">
        <is>
          <t>465330</t>
        </is>
      </c>
      <c r="C550" s="96" t="inlineStr">
        <is>
          <t>KB자산운용</t>
        </is>
      </c>
      <c r="D550" s="97" t="n">
        <v>11285</v>
      </c>
      <c r="E550" s="97" t="n">
        <v>69402750000</v>
      </c>
      <c r="F550" s="97" t="n">
        <v>3047965138</v>
      </c>
      <c r="G550" s="98" t="n">
        <v>0.0007000000000000001</v>
      </c>
      <c r="H550" s="98" t="n">
        <v>0.6128</v>
      </c>
      <c r="I550" s="98" t="n">
        <v>0.0007000000000000001</v>
      </c>
      <c r="J550" s="98" t="n">
        <v>0.0009750000000000001</v>
      </c>
      <c r="K550" s="97" t="n">
        <v>2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61.3%(1년 기준, 기준 35% 초과)</t>
        </is>
      </c>
      <c r="O550" s="96" t="inlineStr">
        <is>
          <t>iSelect 2차전지 Top10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IFERROR(INDEX($A$4:$A$580,MATCH(547,$X$4:$X$580,0)),"")</f>
        <v/>
      </c>
    </row>
    <row r="551">
      <c r="A551" s="96" t="inlineStr">
        <is>
          <t>TIGER 글로벌리튬&amp;2차전지SOLACTIVE(합성)</t>
        </is>
      </c>
      <c r="B551" s="96" t="inlineStr">
        <is>
          <t>394670</t>
        </is>
      </c>
      <c r="C551" s="96" t="inlineStr">
        <is>
          <t>미래에셋자산운용</t>
        </is>
      </c>
      <c r="D551" s="97" t="n">
        <v>10565</v>
      </c>
      <c r="E551" s="97" t="n">
        <v>154249000000</v>
      </c>
      <c r="F551" s="97" t="n">
        <v>438530673</v>
      </c>
      <c r="G551" s="98" t="n">
        <v>0.0049</v>
      </c>
      <c r="H551" s="98" t="n">
        <v>0.2985</v>
      </c>
      <c r="I551" s="98" t="n">
        <v>0.0009</v>
      </c>
      <c r="J551" s="98" t="n">
        <v>0.000947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4.4억(기준 5억 미만)</t>
        </is>
      </c>
      <c r="O551" s="96" t="inlineStr">
        <is>
          <t>Solactive Global Lithium Index PR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IFERROR(INDEX($A$4:$A$580,MATCH(548,$X$4:$X$580,0)),"")</f>
        <v/>
      </c>
    </row>
    <row r="552">
      <c r="A552" s="96" t="inlineStr">
        <is>
          <t>RISE AI&amp;로봇</t>
        </is>
      </c>
      <c r="B552" s="96" t="inlineStr">
        <is>
          <t>469070</t>
        </is>
      </c>
      <c r="C552" s="96" t="inlineStr">
        <is>
          <t>KB자산운용</t>
        </is>
      </c>
      <c r="D552" s="97" t="n">
        <v>10810</v>
      </c>
      <c r="E552" s="97" t="n">
        <v>362675500000</v>
      </c>
      <c r="F552" s="97" t="n">
        <v>5078250827</v>
      </c>
      <c r="G552" s="98" t="n">
        <v>0.004</v>
      </c>
      <c r="H552" s="98" t="n">
        <v>0.6053000000000001</v>
      </c>
      <c r="I552" s="98" t="n">
        <v>0.0005999999999999999</v>
      </c>
      <c r="J552" s="98" t="n">
        <v>0.000925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60.5%(1년 기준, 기준 35% 초과)</t>
        </is>
      </c>
      <c r="O552" s="96" t="inlineStr">
        <is>
          <t>iSelect AI&amp;로봇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IFERROR(INDEX($A$4:$A$580,MATCH(549,$X$4:$X$580,0)),"")</f>
        <v/>
      </c>
    </row>
    <row r="553">
      <c r="A553" s="96" t="inlineStr">
        <is>
          <t>KODEX AI반도체TOP2플러스</t>
        </is>
      </c>
      <c r="B553" s="96" t="inlineStr">
        <is>
          <t>395160</t>
        </is>
      </c>
      <c r="C553" s="96" t="inlineStr">
        <is>
          <t>삼성자산운용(ETF)</t>
        </is>
      </c>
      <c r="D553" s="97" t="n">
        <v>38485</v>
      </c>
      <c r="E553" s="97" t="n">
        <v>3856197000000</v>
      </c>
      <c r="F553" s="97" t="n">
        <v>292887256385</v>
      </c>
      <c r="G553" s="98" t="n">
        <v>0.004500000000000001</v>
      </c>
      <c r="H553" s="98" t="n">
        <v>0.755</v>
      </c>
      <c r="I553" s="98" t="n">
        <v>0.001</v>
      </c>
      <c r="J553" s="98" t="n">
        <v>0.000909</v>
      </c>
      <c r="K553" s="97" t="n">
        <v>5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75.5%(1년 기준, 기준 35% 초과)</t>
        </is>
      </c>
      <c r="O553" s="96" t="inlineStr">
        <is>
          <t>FnGuide AI반도체 TOP2+ 지수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IFERROR(INDEX($A$4:$A$580,MATCH(550,$X$4:$X$580,0)),"")</f>
        <v/>
      </c>
    </row>
    <row r="554">
      <c r="A554" s="96" t="inlineStr">
        <is>
          <t>KODEX 반도체</t>
        </is>
      </c>
      <c r="B554" s="96" t="inlineStr">
        <is>
          <t>091160</t>
        </is>
      </c>
      <c r="C554" s="96" t="inlineStr">
        <is>
          <t>삼성자산운용(ETF)</t>
        </is>
      </c>
      <c r="D554" s="97" t="n">
        <v>127655</v>
      </c>
      <c r="E554" s="97" t="n">
        <v>5559375250000</v>
      </c>
      <c r="F554" s="97" t="n">
        <v>292494954881</v>
      </c>
      <c r="G554" s="98" t="n">
        <v>0.004500000000000001</v>
      </c>
      <c r="H554" s="98" t="n">
        <v>0.7229000000000001</v>
      </c>
      <c r="I554" s="98" t="n">
        <v>0.0009</v>
      </c>
      <c r="J554" s="98" t="n">
        <v>0.000901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72.3%(1년 기준, 기준 35% 초과)</t>
        </is>
      </c>
      <c r="O554" s="96" t="inlineStr">
        <is>
          <t>KRX 반도체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IFERROR(INDEX($A$4:$A$580,MATCH(551,$X$4:$X$580,0)),"")</f>
        <v/>
      </c>
    </row>
    <row r="555">
      <c r="A555" s="96" t="inlineStr">
        <is>
          <t>SOL 전고체배터리&amp;실리콘음극재</t>
        </is>
      </c>
      <c r="B555" s="96" t="inlineStr">
        <is>
          <t>0005D0</t>
        </is>
      </c>
      <c r="C555" s="96" t="inlineStr">
        <is>
          <t>신한자산운용</t>
        </is>
      </c>
      <c r="D555" s="97" t="n">
        <v>14540</v>
      </c>
      <c r="E555" s="97" t="n">
        <v>152670000000</v>
      </c>
      <c r="F555" s="97" t="n">
        <v>10528066635</v>
      </c>
      <c r="G555" s="98" t="n">
        <v>0.004500000000000001</v>
      </c>
      <c r="H555" s="98" t="n">
        <v>0.6814</v>
      </c>
      <c r="I555" s="98" t="n">
        <v>0.001</v>
      </c>
      <c r="J555" s="98" t="n">
        <v>0.0008939999999999999</v>
      </c>
      <c r="K555" s="97" t="n">
        <v>1</v>
      </c>
      <c r="L555" s="99" t="inlineStr">
        <is>
          <t>20251229</t>
        </is>
      </c>
      <c r="M555" s="96" t="inlineStr">
        <is>
          <t>제외</t>
        </is>
      </c>
      <c r="N555" s="96" t="inlineStr">
        <is>
          <t>변동성 68.1%(1년 기준, 기준 35% 초과)</t>
        </is>
      </c>
      <c r="O555" s="96" t="inlineStr">
        <is>
          <t>FnGuide 전고체배터리&amp;실리콘음극재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IFERROR(INDEX($A$4:$A$580,MATCH(552,$X$4:$X$580,0)),"")</f>
        <v/>
      </c>
    </row>
    <row r="556">
      <c r="A556" s="96" t="inlineStr">
        <is>
          <t>TIGER 글로벌AI전력인프라액티브</t>
        </is>
      </c>
      <c r="B556" s="96" t="inlineStr">
        <is>
          <t>491010</t>
        </is>
      </c>
      <c r="C556" s="96" t="inlineStr">
        <is>
          <t>미래에셋자산운용</t>
        </is>
      </c>
      <c r="D556" s="97" t="n">
        <v>24290</v>
      </c>
      <c r="E556" s="97" t="n">
        <v>614294100000</v>
      </c>
      <c r="F556" s="97" t="n">
        <v>4633306352</v>
      </c>
      <c r="G556" s="98" t="n">
        <v>0.0049</v>
      </c>
      <c r="H556" s="98" t="n">
        <v>0.4958</v>
      </c>
      <c r="I556" s="98" t="n">
        <v>0.0011</v>
      </c>
      <c r="J556" s="98" t="n">
        <v>0.0008229999999999999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49.6%(1년 기준, 기준 35% 초과)</t>
        </is>
      </c>
      <c r="O556" s="96" t="inlineStr">
        <is>
          <t>Mirae Asset AI Infrastructure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IFERROR(INDEX($A$4:$A$580,MATCH(553,$X$4:$X$580,0)),"")</f>
        <v/>
      </c>
    </row>
    <row r="557">
      <c r="A557" s="96" t="inlineStr">
        <is>
          <t>TIGER 미국AI소프트웨어TOP4Plus</t>
        </is>
      </c>
      <c r="B557" s="96" t="inlineStr">
        <is>
          <t>0102A0</t>
        </is>
      </c>
      <c r="C557" s="96" t="inlineStr">
        <is>
          <t>미래에셋자산운용</t>
        </is>
      </c>
      <c r="D557" s="97" t="n">
        <v>8930</v>
      </c>
      <c r="E557" s="97" t="n">
        <v>72779500000</v>
      </c>
      <c r="F557" s="97" t="n">
        <v>858164581</v>
      </c>
      <c r="G557" s="98" t="n">
        <v>0.0049</v>
      </c>
      <c r="H557" s="98" t="n">
        <v>0.4464</v>
      </c>
      <c r="I557" s="98" t="n">
        <v>0.0005999999999999999</v>
      </c>
      <c r="J557" s="98" t="n">
        <v>0.000784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44.6%(1년 기준, 기준 35% 초과)</t>
        </is>
      </c>
      <c r="O557" s="96" t="inlineStr">
        <is>
          <t>Akros US AI Software Top4 Plus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IFERROR(INDEX($A$4:$A$580,MATCH(554,$X$4:$X$580,0)),"")</f>
        <v/>
      </c>
    </row>
    <row r="558">
      <c r="A558" s="96" t="inlineStr">
        <is>
          <t>KODEX IT</t>
        </is>
      </c>
      <c r="B558" s="96" t="inlineStr">
        <is>
          <t>266370</t>
        </is>
      </c>
      <c r="C558" s="96" t="inlineStr">
        <is>
          <t>삼성자산운용(ETF)</t>
        </is>
      </c>
      <c r="D558" s="97" t="n">
        <v>66455</v>
      </c>
      <c r="E558" s="97" t="n">
        <v>106328000000</v>
      </c>
      <c r="F558" s="97" t="n">
        <v>9226609884</v>
      </c>
      <c r="G558" s="98" t="n">
        <v>0.004500000000000001</v>
      </c>
      <c r="H558" s="98" t="n">
        <v>0.6907</v>
      </c>
      <c r="I558" s="98" t="n">
        <v>0.0009</v>
      </c>
      <c r="J558" s="98" t="n">
        <v>0.000767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69.1%(1년 기준, 기준 35% 초과)</t>
        </is>
      </c>
      <c r="O558" s="96" t="inlineStr">
        <is>
          <t>KRX 정보기술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IFERROR(INDEX($A$4:$A$580,MATCH(555,$X$4:$X$580,0)),"")</f>
        <v/>
      </c>
    </row>
    <row r="559">
      <c r="A559" s="96" t="inlineStr">
        <is>
          <t>RISE 코스닥150</t>
        </is>
      </c>
      <c r="B559" s="96" t="inlineStr">
        <is>
          <t>270810</t>
        </is>
      </c>
      <c r="C559" s="96" t="inlineStr">
        <is>
          <t>KB자산운용</t>
        </is>
      </c>
      <c r="D559" s="97" t="n">
        <v>13735</v>
      </c>
      <c r="E559" s="97" t="n">
        <v>320574900000</v>
      </c>
      <c r="F559" s="97" t="n">
        <v>4436398183</v>
      </c>
      <c r="G559" s="98" t="n">
        <v>0.0002</v>
      </c>
      <c r="H559" s="98" t="n">
        <v>0.5478000000000001</v>
      </c>
      <c r="I559" s="98" t="n">
        <v>0.0005</v>
      </c>
      <c r="J559" s="98" t="n">
        <v>0.000728</v>
      </c>
      <c r="K559" s="97" t="n">
        <v>5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54.8%(1년 기준, 기준 35% 초과)</t>
        </is>
      </c>
      <c r="O559" s="96" t="inlineStr">
        <is>
          <t>KOSDAQ 150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IFERROR(INDEX($A$4:$A$580,MATCH(556,$X$4:$X$580,0)),"")</f>
        <v/>
      </c>
    </row>
    <row r="560">
      <c r="A560" s="96" t="inlineStr">
        <is>
          <t>TIME 미국나스닥100액티브</t>
        </is>
      </c>
      <c r="B560" s="96" t="inlineStr">
        <is>
          <t>426030</t>
        </is>
      </c>
      <c r="C560" s="96" t="inlineStr">
        <is>
          <t>타임폴리오자산운용</t>
        </is>
      </c>
      <c r="D560" s="97" t="n">
        <v>45605</v>
      </c>
      <c r="E560" s="97" t="n">
        <v>2496417700000</v>
      </c>
      <c r="F560" s="97" t="n">
        <v>64535399675</v>
      </c>
      <c r="G560" s="98" t="n">
        <v>0.008</v>
      </c>
      <c r="H560" s="98" t="n">
        <v>0.4354</v>
      </c>
      <c r="I560" s="98" t="n">
        <v>0.0009</v>
      </c>
      <c r="J560" s="98" t="n">
        <v>0.0006579999999999999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변동성 43.5%(1년 기준, 기준 35% 초과)</t>
        </is>
      </c>
      <c r="O560" s="96" t="inlineStr">
        <is>
          <t>나스닥 100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IFERROR(INDEX($A$4:$A$580,MATCH(557,$X$4:$X$580,0)),"")</f>
        <v/>
      </c>
    </row>
    <row r="561">
      <c r="A561" s="96" t="inlineStr">
        <is>
          <t>HANARO 글로벌피지컬AI액티브</t>
        </is>
      </c>
      <c r="B561" s="96" t="inlineStr">
        <is>
          <t>0040S0</t>
        </is>
      </c>
      <c r="C561" s="96" t="inlineStr">
        <is>
          <t>NH-Amundi자산운용</t>
        </is>
      </c>
      <c r="D561" s="97" t="n">
        <v>23470</v>
      </c>
      <c r="E561" s="97" t="n">
        <v>59848500000</v>
      </c>
      <c r="F561" s="97" t="n">
        <v>508905285</v>
      </c>
      <c r="G561" s="98" t="n">
        <v>0.006</v>
      </c>
      <c r="H561" s="98" t="n">
        <v>0.4157</v>
      </c>
      <c r="I561" s="98" t="n">
        <v>0.0007000000000000001</v>
      </c>
      <c r="J561" s="98" t="n">
        <v>0.000511</v>
      </c>
      <c r="K561" s="97" t="n">
        <v>1</v>
      </c>
      <c r="L561" s="99" t="inlineStr">
        <is>
          <t>20260129</t>
        </is>
      </c>
      <c r="M561" s="96" t="inlineStr">
        <is>
          <t>제외</t>
        </is>
      </c>
      <c r="N561" s="96" t="inlineStr">
        <is>
          <t>변동성 41.6%(1년 기준, 기준 35% 초과)</t>
        </is>
      </c>
      <c r="O561" s="96" t="inlineStr">
        <is>
          <t>Solactive Physical AI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IFERROR(INDEX($A$4:$A$580,MATCH(558,$X$4:$X$580,0)),"")</f>
        <v/>
      </c>
    </row>
    <row r="562">
      <c r="A562" s="96" t="inlineStr">
        <is>
          <t>KODEX 방산TOP10</t>
        </is>
      </c>
      <c r="B562" s="96" t="inlineStr">
        <is>
          <t>0080G0</t>
        </is>
      </c>
      <c r="C562" s="96" t="inlineStr">
        <is>
          <t>삼성자산운용(ETF)</t>
        </is>
      </c>
      <c r="D562" s="97" t="n">
        <v>10295</v>
      </c>
      <c r="E562" s="97" t="n">
        <v>359295500000</v>
      </c>
      <c r="F562" s="97" t="n">
        <v>35341393735</v>
      </c>
      <c r="G562" s="98" t="n">
        <v>0.004500000000000001</v>
      </c>
      <c r="H562" s="98" t="n">
        <v>0.6039</v>
      </c>
      <c r="I562" s="98" t="n">
        <v>0.0005999999999999999</v>
      </c>
      <c r="J562" s="98" t="n">
        <v>0.000486</v>
      </c>
      <c r="K562" s="97" t="n">
        <v>1</v>
      </c>
      <c r="L562" s="99" t="inlineStr">
        <is>
          <t>20260730</t>
        </is>
      </c>
      <c r="M562" s="96" t="inlineStr">
        <is>
          <t>제외</t>
        </is>
      </c>
      <c r="N562" s="96" t="inlineStr">
        <is>
          <t>변동성 60.4%(1년 기준, 기준 35% 초과)</t>
        </is>
      </c>
      <c r="O562" s="96" t="inlineStr">
        <is>
          <t>iSelect 방산TOP10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IFERROR(INDEX($A$4:$A$580,MATCH(559,$X$4:$X$580,0)),"")</f>
        <v/>
      </c>
    </row>
    <row r="563">
      <c r="A563" s="96" t="inlineStr">
        <is>
          <t>SOL AI반도체소부장</t>
        </is>
      </c>
      <c r="B563" s="96" t="inlineStr">
        <is>
          <t>455850</t>
        </is>
      </c>
      <c r="C563" s="96" t="inlineStr">
        <is>
          <t>신한자산운용</t>
        </is>
      </c>
      <c r="D563" s="97" t="n">
        <v>24880</v>
      </c>
      <c r="E563" s="97" t="n">
        <v>1039984000000</v>
      </c>
      <c r="F563" s="97" t="n">
        <v>59436756217</v>
      </c>
      <c r="G563" s="98" t="n">
        <v>0.004500000000000001</v>
      </c>
      <c r="H563" s="98" t="n">
        <v>0.7314000000000001</v>
      </c>
      <c r="I563" s="98" t="n">
        <v>0.0004</v>
      </c>
      <c r="J563" s="98" t="n">
        <v>0.000482</v>
      </c>
      <c r="K563" s="97" t="n">
        <v>3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73.1%(1년 기준, 기준 35% 초과)</t>
        </is>
      </c>
      <c r="O563" s="96" t="inlineStr">
        <is>
          <t>FnGuide AI 반도체 소부장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IFERROR(INDEX($A$4:$A$580,MATCH(560,$X$4:$X$580,0)),"")</f>
        <v/>
      </c>
    </row>
    <row r="564">
      <c r="A564" s="96" t="inlineStr">
        <is>
          <t>RISE 바이오TOP10액티브</t>
        </is>
      </c>
      <c r="B564" s="96" t="inlineStr">
        <is>
          <t>0000Z0</t>
        </is>
      </c>
      <c r="C564" s="96" t="inlineStr">
        <is>
          <t>KB자산운용</t>
        </is>
      </c>
      <c r="D564" s="97" t="n">
        <v>8300</v>
      </c>
      <c r="E564" s="97" t="n">
        <v>48555000000</v>
      </c>
      <c r="F564" s="97" t="n">
        <v>2694061670</v>
      </c>
      <c r="G564" s="98" t="n">
        <v>0.005</v>
      </c>
      <c r="H564" s="98" t="n">
        <v>0.6235000000000001</v>
      </c>
      <c r="I564" s="98" t="n">
        <v>0.0003</v>
      </c>
      <c r="J564" s="98" t="n">
        <v>0.000482</v>
      </c>
      <c r="K564" s="97" t="n">
        <v>2</v>
      </c>
      <c r="L564" s="99" t="inlineStr">
        <is>
          <t>20260730</t>
        </is>
      </c>
      <c r="M564" s="96" t="inlineStr">
        <is>
          <t>제외</t>
        </is>
      </c>
      <c r="N564" s="96" t="inlineStr">
        <is>
          <t>변동성 62.3%(1년 기준, 기준 35% 초과)</t>
        </is>
      </c>
      <c r="O564" s="96" t="inlineStr">
        <is>
          <t>KRX 바이오 TOP 10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반기배당</t>
        </is>
      </c>
      <c r="S564" s="97" t="n">
        <v>2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IFERROR(INDEX($A$4:$A$580,MATCH(561,$X$4:$X$580,0)),"")</f>
        <v/>
      </c>
    </row>
    <row r="565">
      <c r="A565" s="96" t="inlineStr">
        <is>
          <t>TIME 글로벌AI인공지능액티브</t>
        </is>
      </c>
      <c r="B565" s="96" t="inlineStr">
        <is>
          <t>456600</t>
        </is>
      </c>
      <c r="C565" s="96" t="inlineStr">
        <is>
          <t>타임폴리오자산운용</t>
        </is>
      </c>
      <c r="D565" s="97" t="n">
        <v>56955</v>
      </c>
      <c r="E565" s="97" t="n">
        <v>2050380000000</v>
      </c>
      <c r="F565" s="97" t="n">
        <v>23036431278</v>
      </c>
      <c r="G565" s="98" t="n">
        <v>0.008</v>
      </c>
      <c r="H565" s="98" t="n">
        <v>0.4093</v>
      </c>
      <c r="I565" s="98" t="n">
        <v>0.0008</v>
      </c>
      <c r="J565" s="98" t="n">
        <v>0.000474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40.9%(1년 기준, 기준 35% 초과)</t>
        </is>
      </c>
      <c r="O565" s="96" t="inlineStr">
        <is>
          <t>Solactive Global Artificial Intelligence Index PR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IFERROR(INDEX($A$4:$A$580,MATCH(562,$X$4:$X$580,0)),"")</f>
        <v/>
      </c>
    </row>
    <row r="566">
      <c r="A566" s="96" t="inlineStr">
        <is>
          <t>RISE AI반도체TOP10</t>
        </is>
      </c>
      <c r="B566" s="96" t="inlineStr">
        <is>
          <t>0093A0</t>
        </is>
      </c>
      <c r="C566" s="96" t="inlineStr">
        <is>
          <t>KB자산운용</t>
        </is>
      </c>
      <c r="D566" s="97" t="n">
        <v>32840</v>
      </c>
      <c r="E566" s="97" t="n">
        <v>180620000000</v>
      </c>
      <c r="F566" s="97" t="n">
        <v>8703608525</v>
      </c>
      <c r="G566" s="98" t="n">
        <v>0.002</v>
      </c>
      <c r="H566" s="98" t="n">
        <v>0.7376999999999999</v>
      </c>
      <c r="I566" s="98" t="n">
        <v>0.0003</v>
      </c>
      <c r="J566" s="98" t="n">
        <v>0.000457</v>
      </c>
      <c r="K566" s="97" t="n">
        <v>2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73.8%(1년 기준, 기준 35% 초과)</t>
        </is>
      </c>
      <c r="O566" s="96" t="inlineStr">
        <is>
          <t>FnGuide AI반도체TOP10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2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IFERROR(INDEX($A$4:$A$580,MATCH(563,$X$4:$X$580,0)),"")</f>
        <v/>
      </c>
    </row>
    <row r="567">
      <c r="A567" s="96" t="inlineStr">
        <is>
          <t>TIME 차이나AI테크액티브</t>
        </is>
      </c>
      <c r="B567" s="96" t="inlineStr">
        <is>
          <t>0043Y0</t>
        </is>
      </c>
      <c r="C567" s="96" t="inlineStr">
        <is>
          <t>타임폴리오자산운용</t>
        </is>
      </c>
      <c r="D567" s="97" t="n">
        <v>19125</v>
      </c>
      <c r="E567" s="97" t="n">
        <v>334687500000</v>
      </c>
      <c r="F567" s="97" t="n">
        <v>5470203778</v>
      </c>
      <c r="G567" s="98" t="n">
        <v>0.008</v>
      </c>
      <c r="H567" s="98" t="n">
        <v>0.4663</v>
      </c>
      <c r="I567" s="98" t="n">
        <v>0.0005999999999999999</v>
      </c>
      <c r="J567" s="98" t="n">
        <v>0.000418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46.6%(1년 기준, 기준 35% 초과)</t>
        </is>
      </c>
      <c r="O567" s="96" t="inlineStr">
        <is>
          <t>Solactive China Artificial Intelligence Index PR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1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IFERROR(INDEX($A$4:$A$580,MATCH(564,$X$4:$X$580,0)),"")</f>
        <v/>
      </c>
    </row>
    <row r="568">
      <c r="A568" s="96" t="inlineStr">
        <is>
          <t>SOL K방산</t>
        </is>
      </c>
      <c r="B568" s="96" t="inlineStr">
        <is>
          <t>490480</t>
        </is>
      </c>
      <c r="C568" s="96" t="inlineStr">
        <is>
          <t>신한자산운용</t>
        </is>
      </c>
      <c r="D568" s="97" t="n">
        <v>28985</v>
      </c>
      <c r="E568" s="97" t="n">
        <v>78259500000</v>
      </c>
      <c r="F568" s="97" t="n">
        <v>2399573603</v>
      </c>
      <c r="G568" s="98" t="n">
        <v>0.004500000000000001</v>
      </c>
      <c r="H568" s="98" t="n">
        <v>0.5650999999999999</v>
      </c>
      <c r="I568" s="98" t="n">
        <v>0.0003</v>
      </c>
      <c r="J568" s="98" t="n">
        <v>0.00038</v>
      </c>
      <c r="K568" s="97" t="n">
        <v>2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56.5%(1년 기준, 기준 35% 초과)</t>
        </is>
      </c>
      <c r="O568" s="96" t="inlineStr">
        <is>
          <t>KEDI K방산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IFERROR(INDEX($A$4:$A$580,MATCH(565,$X$4:$X$580,0)),"")</f>
        <v/>
      </c>
    </row>
    <row r="569">
      <c r="A569" s="96" t="inlineStr">
        <is>
          <t>TIGER AI반도체핵심공정</t>
        </is>
      </c>
      <c r="B569" s="96" t="inlineStr">
        <is>
          <t>471760</t>
        </is>
      </c>
      <c r="C569" s="96" t="inlineStr">
        <is>
          <t>미래에셋자산운용</t>
        </is>
      </c>
      <c r="D569" s="97" t="n">
        <v>13870</v>
      </c>
      <c r="E569" s="97" t="n">
        <v>127604000000</v>
      </c>
      <c r="F569" s="97" t="n">
        <v>13945612348</v>
      </c>
      <c r="G569" s="98" t="n">
        <v>0.004500000000000001</v>
      </c>
      <c r="H569" s="98" t="n">
        <v>0.7439</v>
      </c>
      <c r="I569" s="98" t="n">
        <v>0.0002</v>
      </c>
      <c r="J569" s="98" t="n">
        <v>0.00036</v>
      </c>
      <c r="K569" s="97" t="n">
        <v>3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74.4%(1년 기준, 기준 35% 초과)</t>
        </is>
      </c>
      <c r="O569" s="96" t="inlineStr">
        <is>
          <t>iSelect AI반도체핵심공정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IFERROR(INDEX($A$4:$A$580,MATCH(566,$X$4:$X$580,0)),"")</f>
        <v/>
      </c>
    </row>
    <row r="570">
      <c r="A570" s="96" t="inlineStr">
        <is>
          <t>PLUS 신흥국MSCI(합성 H)</t>
        </is>
      </c>
      <c r="B570" s="96" t="inlineStr">
        <is>
          <t>195980</t>
        </is>
      </c>
      <c r="C570" s="96" t="inlineStr">
        <is>
          <t>한화자산운용</t>
        </is>
      </c>
      <c r="D570" s="97" t="n">
        <v>15080</v>
      </c>
      <c r="E570" s="97" t="n">
        <v>92591200000</v>
      </c>
      <c r="F570" s="97" t="n">
        <v>399397532</v>
      </c>
      <c r="G570" s="98" t="n">
        <v>0.005</v>
      </c>
      <c r="H570" s="98" t="n">
        <v>0.2342</v>
      </c>
      <c r="I570" s="98" t="n">
        <v>0.0004</v>
      </c>
      <c r="J570" s="98" t="n">
        <v>0.000332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60일 거래대금 4.0억(기준 5억 미만)</t>
        </is>
      </c>
      <c r="O570" s="96" t="inlineStr">
        <is>
          <t>MSCI Emerging Markets Index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IFERROR(INDEX($A$4:$A$580,MATCH(567,$X$4:$X$580,0)),"")</f>
        <v/>
      </c>
    </row>
    <row r="571">
      <c r="A571" s="96" t="inlineStr">
        <is>
          <t>SOL 미국AI소프트웨어</t>
        </is>
      </c>
      <c r="B571" s="96" t="inlineStr">
        <is>
          <t>481180</t>
        </is>
      </c>
      <c r="C571" s="96" t="inlineStr">
        <is>
          <t>신한자산운용</t>
        </is>
      </c>
      <c r="D571" s="97" t="n">
        <v>16690</v>
      </c>
      <c r="E571" s="97" t="n">
        <v>145203000000</v>
      </c>
      <c r="F571" s="97" t="n">
        <v>1815149418</v>
      </c>
      <c r="G571" s="98" t="n">
        <v>0.004500000000000001</v>
      </c>
      <c r="H571" s="98" t="n">
        <v>0.3576</v>
      </c>
      <c r="I571" s="98" t="n">
        <v>0.0004</v>
      </c>
      <c r="J571" s="98" t="n">
        <v>0.0003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35.8%(1년 기준, 기준 35% 초과)</t>
        </is>
      </c>
      <c r="O571" s="96" t="inlineStr">
        <is>
          <t>KEDI US AI Software Index(PR)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IFERROR(INDEX($A$4:$A$580,MATCH(568,$X$4:$X$580,0)),"")</f>
        <v/>
      </c>
    </row>
    <row r="572">
      <c r="A572" s="96" t="inlineStr">
        <is>
          <t>TIGER 한중반도체(합성)</t>
        </is>
      </c>
      <c r="B572" s="96" t="inlineStr">
        <is>
          <t>449690</t>
        </is>
      </c>
      <c r="C572" s="96" t="inlineStr">
        <is>
          <t>미래에셋자산운용</t>
        </is>
      </c>
      <c r="D572" s="97" t="n">
        <v>48180</v>
      </c>
      <c r="E572" s="97" t="n">
        <v>36135000000</v>
      </c>
      <c r="F572" s="97" t="n">
        <v>54768003</v>
      </c>
      <c r="G572" s="98" t="n">
        <v>0.0035</v>
      </c>
      <c r="H572" s="98" t="n">
        <v>0.5318000000000001</v>
      </c>
      <c r="I572" s="98" t="n">
        <v>0.0005</v>
      </c>
      <c r="J572" s="98" t="n">
        <v>0.00027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60일 거래대금 0.5억(기준 5억 미만), 변동성 53.2%(1년 기준, 기준 35% 초과)</t>
        </is>
      </c>
      <c r="O572" s="96" t="inlineStr">
        <is>
          <t>KRX CSI 한.중 반도체지수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IFERROR(INDEX($A$4:$A$580,MATCH(569,$X$4:$X$580,0)),"")</f>
        <v/>
      </c>
    </row>
    <row r="573">
      <c r="A573" s="96" t="inlineStr">
        <is>
          <t>KODEX 신재생에너지액티브</t>
        </is>
      </c>
      <c r="B573" s="96" t="inlineStr">
        <is>
          <t>385510</t>
        </is>
      </c>
      <c r="C573" s="96" t="inlineStr">
        <is>
          <t>삼성자산운용(ETF)</t>
        </is>
      </c>
      <c r="D573" s="97" t="n">
        <v>38010</v>
      </c>
      <c r="E573" s="97" t="n">
        <v>330687000000</v>
      </c>
      <c r="F573" s="97" t="n">
        <v>5791143792</v>
      </c>
      <c r="G573" s="98" t="n">
        <v>0.005</v>
      </c>
      <c r="H573" s="98" t="n">
        <v>0.6086</v>
      </c>
      <c r="I573" s="98" t="n">
        <v>0.0002</v>
      </c>
      <c r="J573" s="98" t="n">
        <v>0.000263</v>
      </c>
      <c r="K573" s="97" t="n">
        <v>5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60.9%(1년 기준, 기준 35% 초과)</t>
        </is>
      </c>
      <c r="O573" s="96" t="inlineStr">
        <is>
          <t>FnGuide K-재생에너지 플러스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IFERROR(INDEX($A$4:$A$580,MATCH(570,$X$4:$X$580,0)),"")</f>
        <v/>
      </c>
    </row>
    <row r="574">
      <c r="A574" s="96" t="inlineStr">
        <is>
          <t>SOL 반도체후공정</t>
        </is>
      </c>
      <c r="B574" s="96" t="inlineStr">
        <is>
          <t>475310</t>
        </is>
      </c>
      <c r="C574" s="96" t="inlineStr">
        <is>
          <t>신한자산운용</t>
        </is>
      </c>
      <c r="D574" s="97" t="n">
        <v>26730</v>
      </c>
      <c r="E574" s="97" t="n">
        <v>78853500000</v>
      </c>
      <c r="F574" s="97" t="n">
        <v>7313056498</v>
      </c>
      <c r="G574" s="98" t="n">
        <v>0.004500000000000001</v>
      </c>
      <c r="H574" s="98" t="n">
        <v>0.7323999999999999</v>
      </c>
      <c r="I574" s="98" t="n">
        <v>0.0001</v>
      </c>
      <c r="J574" s="98" t="n">
        <v>0.000187</v>
      </c>
      <c r="K574" s="97" t="n">
        <v>2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73.2%(1년 기준, 기준 35% 초과)</t>
        </is>
      </c>
      <c r="O574" s="96" t="inlineStr">
        <is>
          <t>FnGuide 반도체 후공정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IFERROR(INDEX($A$4:$A$580,MATCH(571,$X$4:$X$580,0)),"")</f>
        <v/>
      </c>
    </row>
    <row r="575">
      <c r="A575" s="96" t="inlineStr">
        <is>
          <t>TIGER 반도체TOP10레버리지</t>
        </is>
      </c>
      <c r="B575" s="96" t="inlineStr">
        <is>
          <t>488080</t>
        </is>
      </c>
      <c r="C575" s="96" t="inlineStr">
        <is>
          <t>미래에셋자산운용</t>
        </is>
      </c>
      <c r="D575" s="97" t="n">
        <v>32330</v>
      </c>
      <c r="E575" s="97" t="n">
        <v>575474000000</v>
      </c>
      <c r="F575" s="97" t="n">
        <v>130901083045</v>
      </c>
      <c r="G575" s="98" t="n">
        <v>0.0049</v>
      </c>
      <c r="H575" s="98" t="n">
        <v>1.4713</v>
      </c>
      <c r="I575" s="98" t="n">
        <v>0.0004</v>
      </c>
      <c r="J575" s="98" t="n">
        <v>0.000186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변동성 147.1%(1년 기준, 기준 35% 초과)</t>
        </is>
      </c>
      <c r="O575" s="96" t="inlineStr">
        <is>
          <t>FnGuide 반도체 TOP10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IFERROR(INDEX($A$4:$A$580,MATCH(572,$X$4:$X$580,0)),"")</f>
        <v/>
      </c>
    </row>
    <row r="576">
      <c r="A576" s="96" t="inlineStr">
        <is>
          <t>KIWOOM CD금리액티브(합성)</t>
        </is>
      </c>
      <c r="B576" s="96" t="inlineStr">
        <is>
          <t>458210</t>
        </is>
      </c>
      <c r="C576" s="96" t="inlineStr">
        <is>
          <t>키움투자자산운용</t>
        </is>
      </c>
      <c r="D576" s="97" t="n">
        <v>110755</v>
      </c>
      <c r="E576" s="97" t="n">
        <v>148743965000</v>
      </c>
      <c r="F576" s="97" t="n">
        <v>104687877</v>
      </c>
      <c r="G576" s="98" t="n">
        <v>0.0003</v>
      </c>
      <c r="H576" s="98" t="n">
        <v>0.0012</v>
      </c>
      <c r="I576" s="98" t="n">
        <v>0.0001</v>
      </c>
      <c r="J576" s="98" t="n">
        <v>0.000144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1.0억(기준 5억 미만)</t>
        </is>
      </c>
      <c r="O576" s="96" t="inlineStr">
        <is>
          <t>FnGuide CD수익률 투자 지수</t>
        </is>
      </c>
      <c r="P576" s="96" t="inlineStr">
        <is>
          <t>일반</t>
        </is>
      </c>
      <c r="Q576" s="96" t="inlineStr">
        <is>
          <t>단기자금(파킹형)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IFERROR(INDEX($A$4:$A$580,MATCH(573,$X$4:$X$580,0)),"")</f>
        <v/>
      </c>
    </row>
    <row r="577">
      <c r="A577" s="96" t="inlineStr">
        <is>
          <t>TIGER 코리아테크액티브</t>
        </is>
      </c>
      <c r="B577" s="96" t="inlineStr">
        <is>
          <t>471780</t>
        </is>
      </c>
      <c r="C577" s="96" t="inlineStr">
        <is>
          <t>미래에셋자산운용</t>
        </is>
      </c>
      <c r="D577" s="97" t="n">
        <v>35745</v>
      </c>
      <c r="E577" s="97" t="n">
        <v>275236500000</v>
      </c>
      <c r="F577" s="97" t="n">
        <v>5861197298</v>
      </c>
      <c r="G577" s="98" t="n">
        <v>0.0077</v>
      </c>
      <c r="H577" s="98" t="n">
        <v>0.6514</v>
      </c>
      <c r="I577" s="98" t="n">
        <v>0.0001</v>
      </c>
      <c r="J577" s="98" t="n">
        <v>0.00014</v>
      </c>
      <c r="K577" s="97" t="n">
        <v>3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65.1%(1년 기준, 기준 35% 초과)</t>
        </is>
      </c>
      <c r="O577" s="96" t="inlineStr">
        <is>
          <t>KRX 정보기술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IFERROR(INDEX($A$4:$A$580,MATCH(574,$X$4:$X$580,0)),"")</f>
        <v/>
      </c>
    </row>
    <row r="578">
      <c r="A578" s="96" t="inlineStr">
        <is>
          <t>TIGER AI코리아그로스액티브</t>
        </is>
      </c>
      <c r="B578" s="96" t="inlineStr">
        <is>
          <t>365040</t>
        </is>
      </c>
      <c r="C578" s="96" t="inlineStr">
        <is>
          <t>미래에셋자산운용</t>
        </is>
      </c>
      <c r="D578" s="97" t="n">
        <v>35615</v>
      </c>
      <c r="E578" s="97" t="n">
        <v>74791500000</v>
      </c>
      <c r="F578" s="97" t="n">
        <v>695145165</v>
      </c>
      <c r="G578" s="98" t="n">
        <v>0.004</v>
      </c>
      <c r="H578" s="98" t="n">
        <v>0.54</v>
      </c>
      <c r="I578" s="98" t="n">
        <v>0.0001</v>
      </c>
      <c r="J578" s="98" t="n">
        <v>0.00014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54.0%(1년 기준, 기준 35% 초과)</t>
        </is>
      </c>
      <c r="O578" s="96" t="inlineStr">
        <is>
          <t>코스피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1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IFERROR(INDEX($A$4:$A$580,MATCH(575,$X$4:$X$580,0)),"")</f>
        <v/>
      </c>
    </row>
    <row r="579">
      <c r="A579" s="96" t="inlineStr">
        <is>
          <t>KIWOOM 인도Nifty50(합성)</t>
        </is>
      </c>
      <c r="B579" s="96" t="inlineStr">
        <is>
          <t>200250</t>
        </is>
      </c>
      <c r="C579" s="96" t="inlineStr">
        <is>
          <t>키움투자자산운용</t>
        </is>
      </c>
      <c r="D579" s="97" t="n">
        <v>20615</v>
      </c>
      <c r="E579" s="97" t="n">
        <v>162858500000</v>
      </c>
      <c r="F579" s="97" t="n">
        <v>260340597</v>
      </c>
      <c r="G579" s="98" t="n">
        <v>0.0029</v>
      </c>
      <c r="H579" s="98" t="n">
        <v>0.171</v>
      </c>
      <c r="I579" s="98" t="n">
        <v>0.0001</v>
      </c>
      <c r="J579" s="98" t="n">
        <v>9.7e-05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2.6억(기준 5억 미만)</t>
        </is>
      </c>
      <c r="O579" s="96" t="inlineStr">
        <is>
          <t>CNX NIFTY INDEX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1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IFERROR(INDEX($A$4:$A$580,MATCH(576,$X$4:$X$580,0)),"")</f>
        <v/>
      </c>
    </row>
    <row r="580">
      <c r="A580" s="96" t="inlineStr">
        <is>
          <t>RISE 미국달러SOFR금리액티브(합성)</t>
        </is>
      </c>
      <c r="B580" s="96" t="inlineStr">
        <is>
          <t>455960</t>
        </is>
      </c>
      <c r="C580" s="96" t="inlineStr">
        <is>
          <t>KB자산운용</t>
        </is>
      </c>
      <c r="D580" s="97" t="n">
        <v>12145</v>
      </c>
      <c r="E580" s="97" t="n">
        <v>55624100000</v>
      </c>
      <c r="F580" s="97" t="n">
        <v>30099924</v>
      </c>
      <c r="G580" s="98" t="n">
        <v>0.0005</v>
      </c>
      <c r="H580" s="98" t="n">
        <v>0.1027</v>
      </c>
      <c r="I580" s="98" t="n">
        <v>0.0001</v>
      </c>
      <c r="J580" s="98" t="n">
        <v>8.2e-05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60일 거래대금 0.3억(기준 5억 미만)</t>
        </is>
      </c>
      <c r="O580" s="96" t="inlineStr">
        <is>
          <t>KAP SOFR Index</t>
        </is>
      </c>
      <c r="P580" s="96" t="inlineStr">
        <is>
          <t>일반</t>
        </is>
      </c>
      <c r="Q580" s="96" t="inlineStr">
        <is>
          <t>단기자금(파킹형)</t>
        </is>
      </c>
      <c r="R580" s="96" t="inlineStr">
        <is>
          <t>연배당</t>
        </is>
      </c>
      <c r="S580" s="97" t="n">
        <v>1</v>
      </c>
      <c r="T580" s="98" t="n">
        <v>1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IFERROR(INDEX($A$4:$A$580,MATCH(577,$X$4:$X$580,0)),"")</f>
        <v/>
      </c>
    </row>
    <row r="581">
      <c r="A581" s="96" t="inlineStr">
        <is>
          <t>KODEX 삼성전자SK하이닉스채권혼합50</t>
        </is>
      </c>
      <c r="B581" s="96" t="inlineStr">
        <is>
          <t>0177N0</t>
        </is>
      </c>
      <c r="C581" s="96" t="inlineStr">
        <is>
          <t>삼성자산운용(ETF)</t>
        </is>
      </c>
      <c r="D581" s="97" t="n">
        <v>14085</v>
      </c>
      <c r="E581" s="97" t="n">
        <v>1509912000000</v>
      </c>
      <c r="F581" s="97" t="n">
        <v>84709580698</v>
      </c>
      <c r="G581" s="98" t="n">
        <v>0.0007000000000000001</v>
      </c>
      <c r="H581" s="98" t="n">
        <v>0.4846</v>
      </c>
      <c r="I581" s="98" t="n">
        <v>0.0016</v>
      </c>
      <c r="J581" s="98" t="n"/>
      <c r="K581" s="97" t="n">
        <v>5</v>
      </c>
      <c r="L581" s="99" t="inlineStr">
        <is>
          <t>20260914</t>
        </is>
      </c>
      <c r="M581" s="96" t="inlineStr">
        <is>
          <t>제외</t>
        </is>
      </c>
      <c r="N581" s="96" t="inlineStr">
        <is>
          <t>변동성 48.5%(112거래일 기준, 기준 35% 초과), 상장 5개월(기준 12개월 미만), 연 분배율 산출 불가(상장 1년 미만 — 12개월 창이 안 채워짐)</t>
        </is>
      </c>
      <c r="O581" s="96" t="inlineStr">
        <is>
          <t>Wise 삼성전자 SK하이닉스 채권혼합 지수</t>
        </is>
      </c>
      <c r="P581" s="96" t="inlineStr">
        <is>
          <t>일반</t>
        </is>
      </c>
      <c r="Q581" s="96" t="inlineStr">
        <is>
          <t>멀티에셋</t>
        </is>
      </c>
      <c r="R581" s="96" t="inlineStr">
        <is>
          <t>판정 불가</t>
        </is>
      </c>
      <c r="S581" s="97" t="n">
        <v>5</v>
      </c>
      <c r="T581" s="98" t="n">
        <v>1</v>
      </c>
    </row>
    <row r="582">
      <c r="A582" s="96" t="inlineStr">
        <is>
          <t>TIGER 반도체TOP10커버드콜액티브</t>
        </is>
      </c>
      <c r="B582" s="96" t="inlineStr">
        <is>
          <t>0177R0</t>
        </is>
      </c>
      <c r="C582" s="96" t="inlineStr">
        <is>
          <t>미래에셋자산운용</t>
        </is>
      </c>
      <c r="D582" s="97" t="n">
        <v>10915</v>
      </c>
      <c r="E582" s="97" t="n">
        <v>816442000000</v>
      </c>
      <c r="F582" s="97" t="n">
        <v>31611175011</v>
      </c>
      <c r="G582" s="98" t="n">
        <v>0.004500000000000001</v>
      </c>
      <c r="H582" s="98" t="n">
        <v>0.9096</v>
      </c>
      <c r="I582" s="98" t="n">
        <v>0.0155</v>
      </c>
      <c r="J582" s="98" t="n"/>
      <c r="K582" s="97" t="n">
        <v>5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변동성 91.0%(102거래일 기준, 기준 35% 초과), 상장 5개월(기준 12개월 미만), 연 분배율 산출 불가(상장 1년 미만 — 12개월 창이 안 채워짐)</t>
        </is>
      </c>
      <c r="O582" s="96" t="inlineStr">
        <is>
          <t>FnGuide 반도체 TOP10 Capped 지수</t>
        </is>
      </c>
      <c r="P582" s="96" t="inlineStr">
        <is>
          <t>커버드콜</t>
        </is>
      </c>
      <c r="Q582" s="96" t="inlineStr">
        <is>
          <t>주식</t>
        </is>
      </c>
      <c r="R582" s="96" t="inlineStr">
        <is>
          <t>판정 불가</t>
        </is>
      </c>
      <c r="S582" s="97" t="n">
        <v>5</v>
      </c>
      <c r="T582" s="98" t="n">
        <v>1</v>
      </c>
    </row>
    <row r="583">
      <c r="A583" s="96" t="inlineStr">
        <is>
          <t>KODEX 200커버드콜액티브</t>
        </is>
      </c>
      <c r="B583" s="96" t="inlineStr">
        <is>
          <t>0219E0</t>
        </is>
      </c>
      <c r="C583" s="96" t="inlineStr">
        <is>
          <t>삼성자산운용(ETF)</t>
        </is>
      </c>
      <c r="D583" s="97" t="n">
        <v>8200</v>
      </c>
      <c r="E583" s="97" t="n">
        <v>764240000000</v>
      </c>
      <c r="F583" s="97" t="n">
        <v>46512886841</v>
      </c>
      <c r="G583" s="98" t="n">
        <v>0.005</v>
      </c>
      <c r="H583" s="98" t="n"/>
      <c r="I583" s="98" t="n">
        <v>0.0193</v>
      </c>
      <c r="J583" s="98" t="n"/>
      <c r="K583" s="97" t="n">
        <v>2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변동성 산출 불가(시세 46일치뿐), 상장 2개월(기준 12개월 미만), 연 분배율 산출 불가(상장 1년 미만 — 12개월 창이 안 채워짐)</t>
        </is>
      </c>
      <c r="O583" s="96" t="inlineStr">
        <is>
          <t>코스피 200 커버드콜 5% OTM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2</v>
      </c>
      <c r="T583" s="98" t="n">
        <v>1</v>
      </c>
    </row>
    <row r="584">
      <c r="A584" s="96" t="inlineStr">
        <is>
          <t>SOL 200타겟위클리커버드콜</t>
        </is>
      </c>
      <c r="B584" s="96" t="inlineStr">
        <is>
          <t>0167B0</t>
        </is>
      </c>
      <c r="C584" s="96" t="inlineStr">
        <is>
          <t>신한자산운용</t>
        </is>
      </c>
      <c r="D584" s="97" t="n">
        <v>11550</v>
      </c>
      <c r="E584" s="97" t="n">
        <v>635250000000</v>
      </c>
      <c r="F584" s="97" t="n">
        <v>20233064240</v>
      </c>
      <c r="G584" s="98" t="n">
        <v>0.003</v>
      </c>
      <c r="H584" s="98" t="n">
        <v>0.6918000000000001</v>
      </c>
      <c r="I584" s="98" t="n">
        <v>0.0139</v>
      </c>
      <c r="J584" s="98" t="n"/>
      <c r="K584" s="97" t="n">
        <v>5</v>
      </c>
      <c r="L584" s="99" t="inlineStr">
        <is>
          <t>20260828</t>
        </is>
      </c>
      <c r="M584" s="96" t="inlineStr">
        <is>
          <t>제외</t>
        </is>
      </c>
      <c r="N584" s="96" t="inlineStr">
        <is>
          <t>변동성 69.2%(127거래일 기준, 기준 35% 초과), 상장 6개월(기준 12개월 미만), 연 분배율 산출 불가(상장 1년 미만 — 12개월 창이 안 채워짐)</t>
        </is>
      </c>
      <c r="O584" s="96" t="inlineStr">
        <is>
          <t>코스피 200 타겟 15% 위클리 커버드콜 지수</t>
        </is>
      </c>
      <c r="P584" s="96" t="inlineStr">
        <is>
          <t>커버드콜</t>
        </is>
      </c>
      <c r="Q584" s="96" t="inlineStr">
        <is>
          <t>주식</t>
        </is>
      </c>
      <c r="R584" s="96" t="inlineStr">
        <is>
          <t>판정 불가</t>
        </is>
      </c>
      <c r="S584" s="97" t="n">
        <v>5</v>
      </c>
      <c r="T584" s="98" t="n">
        <v>1</v>
      </c>
    </row>
    <row r="585">
      <c r="A585" s="96" t="inlineStr">
        <is>
          <t>SOL 코리아고배당</t>
        </is>
      </c>
      <c r="B585" s="96" t="inlineStr">
        <is>
          <t>0105E0</t>
        </is>
      </c>
      <c r="C585" s="96" t="inlineStr">
        <is>
          <t>신한자산운용</t>
        </is>
      </c>
      <c r="D585" s="97" t="n">
        <v>12965</v>
      </c>
      <c r="E585" s="97" t="n">
        <v>535454500000</v>
      </c>
      <c r="F585" s="97" t="n">
        <v>6794564853</v>
      </c>
      <c r="G585" s="98" t="n">
        <v>0.0015</v>
      </c>
      <c r="H585" s="98" t="n">
        <v>0.3055</v>
      </c>
      <c r="I585" s="98" t="n">
        <v>0.0046</v>
      </c>
      <c r="J585" s="98" t="n"/>
      <c r="K585" s="97" t="n">
        <v>11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연 분배율 산출 불가(상장 1년 미만 — 12개월 창이 안 채워짐)</t>
        </is>
      </c>
      <c r="O585" s="96" t="inlineStr">
        <is>
          <t>FnGuide 코리아 고배당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11</v>
      </c>
      <c r="T585" s="98" t="n">
        <v>1</v>
      </c>
    </row>
    <row r="586">
      <c r="A586" s="96" t="inlineStr">
        <is>
          <t>KODEX 미국성장커버드콜액티브</t>
        </is>
      </c>
      <c r="B586" s="96" t="inlineStr">
        <is>
          <t>0144L0</t>
        </is>
      </c>
      <c r="C586" s="96" t="inlineStr">
        <is>
          <t>삼성자산운용(ETF)</t>
        </is>
      </c>
      <c r="D586" s="97" t="n">
        <v>9440</v>
      </c>
      <c r="E586" s="97" t="n">
        <v>344560000000</v>
      </c>
      <c r="F586" s="97" t="n">
        <v>2432721815</v>
      </c>
      <c r="G586" s="98" t="n">
        <v>0.0049</v>
      </c>
      <c r="H586" s="98" t="n">
        <v>0.1814</v>
      </c>
      <c r="I586" s="98" t="n">
        <v>0.009899999999999999</v>
      </c>
      <c r="J586" s="98" t="n"/>
      <c r="K586" s="97" t="n">
        <v>8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상장 9개월(기준 12개월 미만), 연 분배율 산출 불가(상장 1년 미만 — 12개월 창이 안 채워짐)</t>
        </is>
      </c>
      <c r="O586" s="96" t="inlineStr">
        <is>
          <t>나스닥 100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8</v>
      </c>
      <c r="T586" s="98" t="n">
        <v>1</v>
      </c>
    </row>
    <row r="587">
      <c r="A587" s="96" t="inlineStr">
        <is>
          <t>KIWOOM 삼성전자&amp;SK하이닉스채권혼합50</t>
        </is>
      </c>
      <c r="B587" s="96" t="inlineStr">
        <is>
          <t>0183V0</t>
        </is>
      </c>
      <c r="C587" s="96" t="inlineStr">
        <is>
          <t>키움투자자산운용</t>
        </is>
      </c>
      <c r="D587" s="97" t="n">
        <v>11650</v>
      </c>
      <c r="E587" s="97" t="n">
        <v>262125000000</v>
      </c>
      <c r="F587" s="97" t="n">
        <v>12992583716</v>
      </c>
      <c r="G587" s="98" t="n">
        <v>0.0007000000000000001</v>
      </c>
      <c r="H587" s="98" t="n">
        <v>0.5008</v>
      </c>
      <c r="I587" s="98" t="n">
        <v>0.0126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50.1%(102거래일 기준, 기준 35% 초과), 상장 5개월(기준 12개월 미만), 연 분배율 산출 불가(상장 1년 미만 — 12개월 창이 안 채워짐)</t>
        </is>
      </c>
      <c r="O587" s="96" t="inlineStr">
        <is>
          <t>FnGuide 삼성전자 &amp; SK하이닉스 채권혼합 지수</t>
        </is>
      </c>
      <c r="P587" s="96" t="inlineStr">
        <is>
          <t>일반</t>
        </is>
      </c>
      <c r="Q587" s="96" t="inlineStr">
        <is>
          <t>멀티에셋</t>
        </is>
      </c>
      <c r="R587" s="96" t="inlineStr">
        <is>
          <t>판정 불가</t>
        </is>
      </c>
      <c r="S587" s="97" t="n">
        <v>5</v>
      </c>
      <c r="T587" s="98" t="n">
        <v>1</v>
      </c>
    </row>
    <row r="588">
      <c r="A588" s="96" t="inlineStr">
        <is>
          <t>TIGER 200타겟위클리커버드콜</t>
        </is>
      </c>
      <c r="B588" s="96" t="inlineStr">
        <is>
          <t>0104N0</t>
        </is>
      </c>
      <c r="C588" s="96" t="inlineStr">
        <is>
          <t>미래에셋자산운용</t>
        </is>
      </c>
      <c r="D588" s="97" t="n">
        <v>20405</v>
      </c>
      <c r="E588" s="97" t="n">
        <v>210171500000</v>
      </c>
      <c r="F588" s="97" t="n">
        <v>3258148511</v>
      </c>
      <c r="G588" s="98" t="n">
        <v>0.0025</v>
      </c>
      <c r="H588" s="98" t="n">
        <v>0.5901</v>
      </c>
      <c r="I588" s="98" t="n">
        <v>0.0059</v>
      </c>
      <c r="J588" s="98" t="n"/>
      <c r="K588" s="97" t="n">
        <v>12</v>
      </c>
      <c r="L588" s="99" t="inlineStr">
        <is>
          <t>20260914</t>
        </is>
      </c>
      <c r="M588" s="96" t="inlineStr">
        <is>
          <t>제외</t>
        </is>
      </c>
      <c r="N588" s="96" t="inlineStr">
        <is>
          <t>변동성 59.0%(1년 기준, 기준 35% 초과), 연 분배율 산출 불가(상장 1년 미만 — 12개월 창이 안 채워짐)</t>
        </is>
      </c>
      <c r="O588" s="96" t="inlineStr">
        <is>
          <t>코스피 200 타겟 7% 위클리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월배당</t>
        </is>
      </c>
      <c r="S588" s="97" t="n">
        <v>12</v>
      </c>
      <c r="T588" s="98" t="n">
        <v>1</v>
      </c>
    </row>
    <row r="589">
      <c r="A589" s="96" t="inlineStr">
        <is>
          <t>KODEX 반도체타겟위클리커버드콜</t>
        </is>
      </c>
      <c r="B589" s="96" t="inlineStr">
        <is>
          <t>0190G0</t>
        </is>
      </c>
      <c r="C589" s="96" t="inlineStr">
        <is>
          <t>삼성자산운용(ETF)</t>
        </is>
      </c>
      <c r="D589" s="97" t="n">
        <v>8900</v>
      </c>
      <c r="E589" s="97" t="n">
        <v>169990000000</v>
      </c>
      <c r="F589" s="97" t="n">
        <v>8629146849</v>
      </c>
      <c r="G589" s="98" t="n">
        <v>0.004500000000000001</v>
      </c>
      <c r="H589" s="98" t="n">
        <v>0.8543000000000001</v>
      </c>
      <c r="I589" s="98" t="n">
        <v>0.0074</v>
      </c>
      <c r="J589" s="98" t="n"/>
      <c r="K589" s="97" t="n">
        <v>4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85.4%(89거래일 기준, 기준 35% 초과), 상장 4개월(기준 12개월 미만), 연 분배율 산출 불가(상장 1년 미만 — 12개월 창이 안 채워짐)</t>
        </is>
      </c>
      <c r="O589" s="96" t="inlineStr">
        <is>
          <t>KRX 반도체 타겟 9% 분배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4</v>
      </c>
      <c r="T589" s="98" t="n">
        <v>1</v>
      </c>
    </row>
    <row r="590">
      <c r="A590" s="96" t="inlineStr">
        <is>
          <t>KODEX 주주환원고배당주</t>
        </is>
      </c>
      <c r="B590" s="96" t="inlineStr">
        <is>
          <t>0153K0</t>
        </is>
      </c>
      <c r="C590" s="96" t="inlineStr">
        <is>
          <t>삼성자산운용(ETF)</t>
        </is>
      </c>
      <c r="D590" s="97" t="n">
        <v>12340</v>
      </c>
      <c r="E590" s="97" t="n">
        <v>148080000000</v>
      </c>
      <c r="F590" s="97" t="n">
        <v>2480412336</v>
      </c>
      <c r="G590" s="98" t="n">
        <v>0.0033</v>
      </c>
      <c r="H590" s="98" t="n">
        <v>0.3539</v>
      </c>
      <c r="I590" s="98" t="n">
        <v>0.0038</v>
      </c>
      <c r="J590" s="98" t="n"/>
      <c r="K590" s="97" t="n">
        <v>7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변동성 35.4%(163거래일 기준, 기준 35% 초과), 상장 8개월(기준 12개월 미만), 연 분배율 산출 불가(상장 1년 미만 — 12개월 창이 안 채워짐)</t>
        </is>
      </c>
      <c r="O590" s="96" t="inlineStr">
        <is>
          <t>Akros 주주환원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7</v>
      </c>
      <c r="T590" s="98" t="n">
        <v>1</v>
      </c>
    </row>
    <row r="591">
      <c r="A591" s="96" t="inlineStr">
        <is>
          <t>ACE 고배당주Plus커버드콜액티브</t>
        </is>
      </c>
      <c r="B591" s="96" t="inlineStr">
        <is>
          <t>0199C0</t>
        </is>
      </c>
      <c r="C591" s="96" t="inlineStr">
        <is>
          <t>한국투신운용(ETF)</t>
        </is>
      </c>
      <c r="D591" s="97" t="n">
        <v>9275</v>
      </c>
      <c r="E591" s="97" t="n">
        <v>138661250000</v>
      </c>
      <c r="F591" s="97" t="n">
        <v>6448035767</v>
      </c>
      <c r="G591" s="98" t="n">
        <v>0.004</v>
      </c>
      <c r="H591" s="98" t="n">
        <v>0.3574</v>
      </c>
      <c r="I591" s="98" t="n">
        <v>0.0179</v>
      </c>
      <c r="J591" s="98" t="n"/>
      <c r="K591" s="97" t="n">
        <v>3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35.7%(75거래일 기준, 기준 35% 초과), 상장 3개월(기준 12개월 미만), 연 분배율 산출 불가(상장 1년 미만 — 12개월 창이 안 채워짐)</t>
        </is>
      </c>
      <c r="O591" s="96" t="inlineStr">
        <is>
          <t>KRX-Akros 고배당주 20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3</v>
      </c>
      <c r="T591" s="98" t="n">
        <v>1</v>
      </c>
    </row>
    <row r="592">
      <c r="A592" s="96" t="inlineStr">
        <is>
          <t>PLUS 테슬라위클리커버드콜채권혼합</t>
        </is>
      </c>
      <c r="B592" s="96" t="inlineStr">
        <is>
          <t>0132K0</t>
        </is>
      </c>
      <c r="C592" s="96" t="inlineStr">
        <is>
          <t>한화자산운용</t>
        </is>
      </c>
      <c r="D592" s="97" t="n">
        <v>7875</v>
      </c>
      <c r="E592" s="97" t="n">
        <v>109068750000</v>
      </c>
      <c r="F592" s="97" t="n">
        <v>1289086664</v>
      </c>
      <c r="G592" s="98" t="n">
        <v>0.0039</v>
      </c>
      <c r="H592" s="98" t="n">
        <v>0.13</v>
      </c>
      <c r="I592" s="98" t="n">
        <v>0.02</v>
      </c>
      <c r="J592" s="98" t="n"/>
      <c r="K592" s="97" t="n">
        <v>10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상장 9개월(기준 12개월 미만), 연 분배율 산출 불가(상장 1년 미만 — 12개월 창이 안 채워짐)</t>
        </is>
      </c>
      <c r="O592" s="96" t="inlineStr">
        <is>
          <t>Akros Tesla Weekly Covered Call Treasury Balanced Index</t>
        </is>
      </c>
      <c r="P592" s="96" t="inlineStr">
        <is>
          <t>커버드콜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10</v>
      </c>
      <c r="T592" s="98" t="n">
        <v>1</v>
      </c>
    </row>
    <row r="593">
      <c r="A593" s="96" t="inlineStr">
        <is>
          <t>KIWOOM 코스닥150커버드콜액티브</t>
        </is>
      </c>
      <c r="B593" s="96" t="inlineStr">
        <is>
          <t>0198A0</t>
        </is>
      </c>
      <c r="C593" s="96" t="inlineStr">
        <is>
          <t>키움투자자산운용</t>
        </is>
      </c>
      <c r="D593" s="97" t="n">
        <v>8525</v>
      </c>
      <c r="E593" s="97" t="n">
        <v>75872500000</v>
      </c>
      <c r="F593" s="97" t="n">
        <v>4935833234</v>
      </c>
      <c r="G593" s="98" t="n">
        <v>0.0063</v>
      </c>
      <c r="H593" s="98" t="n"/>
      <c r="I593" s="98" t="n">
        <v>0.0243</v>
      </c>
      <c r="J593" s="98" t="n"/>
      <c r="K593" s="97" t="n">
        <v>2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산출 불가(시세 56일치뿐), 상장 3개월(기준 12개월 미만), 연 분배율 산출 불가(상장 1년 미만 — 12개월 창이 안 채워짐)</t>
        </is>
      </c>
      <c r="O593" s="96" t="inlineStr">
        <is>
          <t>코스닥 150 위클리 고정 30%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2</v>
      </c>
      <c r="T593" s="98" t="n">
        <v>1</v>
      </c>
    </row>
    <row r="594">
      <c r="A594" s="96" t="inlineStr">
        <is>
          <t>PLUS 200커버드콜액티브</t>
        </is>
      </c>
      <c r="B594" s="96" t="inlineStr">
        <is>
          <t>0210E0</t>
        </is>
      </c>
      <c r="C594" s="96" t="inlineStr">
        <is>
          <t>한화자산운용</t>
        </is>
      </c>
      <c r="D594" s="97" t="n">
        <v>7200</v>
      </c>
      <c r="E594" s="97" t="n">
        <v>68400000000</v>
      </c>
      <c r="F594" s="97" t="n">
        <v>2655603987</v>
      </c>
      <c r="G594" s="98" t="n">
        <v>0.00491</v>
      </c>
      <c r="H594" s="98" t="n">
        <v>0.7618</v>
      </c>
      <c r="I594" s="98" t="n">
        <v>0.0194</v>
      </c>
      <c r="J594" s="98" t="n"/>
      <c r="K594" s="97" t="n">
        <v>2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76.2%(61거래일 기준, 기준 35% 초과), 상장 3개월(기준 12개월 미만), 연 분배율 산출 불가(상장 1년 미만 — 12개월 창이 안 채워짐)</t>
        </is>
      </c>
      <c r="O594" s="96" t="inlineStr">
        <is>
          <t>코스피 200 위클리 고정 30%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2</v>
      </c>
      <c r="T594" s="98" t="n">
        <v>1</v>
      </c>
    </row>
    <row r="595">
      <c r="A595" s="96" t="inlineStr">
        <is>
          <t>HANARO 증권고배당TOP3플러스</t>
        </is>
      </c>
      <c r="B595" s="96" t="inlineStr">
        <is>
          <t>0111J0</t>
        </is>
      </c>
      <c r="C595" s="96" t="inlineStr">
        <is>
          <t>NH-Amundi자산운용</t>
        </is>
      </c>
      <c r="D595" s="97" t="n">
        <v>11960</v>
      </c>
      <c r="E595" s="97" t="n">
        <v>52026000000</v>
      </c>
      <c r="F595" s="97" t="n">
        <v>1791597554</v>
      </c>
      <c r="G595" s="98" t="n">
        <v>0.0007000000000000001</v>
      </c>
      <c r="H595" s="98" t="n">
        <v>0.6399</v>
      </c>
      <c r="I595" s="98" t="n">
        <v>0.0032</v>
      </c>
      <c r="J595" s="98" t="n"/>
      <c r="K595" s="97" t="n">
        <v>8</v>
      </c>
      <c r="L595" s="99" t="inlineStr">
        <is>
          <t>20260828</t>
        </is>
      </c>
      <c r="M595" s="96" t="inlineStr">
        <is>
          <t>제외</t>
        </is>
      </c>
      <c r="N595" s="96" t="inlineStr">
        <is>
          <t>변동성 64.0%(1년 기준, 기준 35% 초과), 상장 11개월(기준 12개월 미만), 연 분배율 산출 불가(상장 1년 미만 — 12개월 창이 안 채워짐)</t>
        </is>
      </c>
      <c r="O595" s="96" t="inlineStr">
        <is>
          <t>FnGuide 증권 고배당 TOP3 플러스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8</v>
      </c>
      <c r="T595" s="98" t="n">
        <v>1</v>
      </c>
    </row>
    <row r="596">
      <c r="A596" s="96" t="inlineStr">
        <is>
          <t>ACE 고배당주</t>
        </is>
      </c>
      <c r="B596" s="96" t="inlineStr">
        <is>
          <t>0139P0</t>
        </is>
      </c>
      <c r="C596" s="96" t="inlineStr">
        <is>
          <t>한국투신운용(ETF)</t>
        </is>
      </c>
      <c r="D596" s="97" t="n">
        <v>13500</v>
      </c>
      <c r="E596" s="97" t="n">
        <v>49950000000</v>
      </c>
      <c r="F596" s="97" t="n">
        <v>613867092</v>
      </c>
      <c r="G596" s="98" t="n">
        <v>0.0015</v>
      </c>
      <c r="H596" s="98" t="n">
        <v>0.3892</v>
      </c>
      <c r="I596" s="98" t="n">
        <v>0.0038</v>
      </c>
      <c r="J596" s="98" t="n"/>
      <c r="K596" s="97" t="n">
        <v>9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38.9%(185거래일 기준, 기준 35% 초과), 상장 9개월(기준 12개월 미만), 연 분배율 산출 불가(상장 1년 미만 — 12개월 창이 안 채워짐)</t>
        </is>
      </c>
      <c r="O596" s="96" t="inlineStr">
        <is>
          <t>KRX-Akros 고배당주 20 지수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9</v>
      </c>
      <c r="T596" s="98" t="n">
        <v>1</v>
      </c>
    </row>
    <row r="597">
      <c r="A597" s="96" t="inlineStr">
        <is>
          <t>KoAct 고배당액티브</t>
        </is>
      </c>
      <c r="B597" s="96" t="inlineStr">
        <is>
          <t>0222D0</t>
        </is>
      </c>
      <c r="C597" s="96" t="inlineStr">
        <is>
          <t>삼성액티브자산(ETF)</t>
        </is>
      </c>
      <c r="D597" s="97" t="n">
        <v>10445</v>
      </c>
      <c r="E597" s="97" t="n">
        <v>33946250000</v>
      </c>
      <c r="F597" s="97" t="n"/>
      <c r="G597" s="98" t="n">
        <v>0.005</v>
      </c>
      <c r="H597" s="98" t="n"/>
      <c r="I597" s="98" t="n">
        <v>0.008100000000000001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6" t="inlineStr">
        <is>
          <t>K200고배당</t>
        </is>
      </c>
      <c r="P597" s="96" t="inlineStr">
        <is>
          <t>일반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1</v>
      </c>
      <c r="T597" s="98" t="n">
        <v>1</v>
      </c>
    </row>
    <row r="598">
      <c r="A598" s="96" t="inlineStr">
        <is>
          <t>RISE 미국S&amp;P500데일리고정커버드콜</t>
        </is>
      </c>
      <c r="B598" s="96" t="inlineStr">
        <is>
          <t>0138T0</t>
        </is>
      </c>
      <c r="C598" s="96" t="inlineStr">
        <is>
          <t>KB자산운용</t>
        </is>
      </c>
      <c r="D598" s="97" t="n">
        <v>9360</v>
      </c>
      <c r="E598" s="97" t="n">
        <v>32760000000</v>
      </c>
      <c r="F598" s="97" t="n">
        <v>312486893</v>
      </c>
      <c r="G598" s="98" t="n">
        <v>0.0025</v>
      </c>
      <c r="H598" s="98" t="n">
        <v>0.1558</v>
      </c>
      <c r="I598" s="98" t="n">
        <v>0.008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60일 거래대금 3.1억(기준 5억 미만), 상장 9개월(기준 12개월 미만), 연 분배율 산출 불가(상장 1년 미만 — 12개월 창이 안 채워짐)</t>
        </is>
      </c>
      <c r="O598" s="96" t="inlineStr">
        <is>
          <t>S&amp;P 500 10% Daily Fixed Covered Call Index (USD) TR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  <c r="T598" s="98" t="n">
        <v>1</v>
      </c>
    </row>
    <row r="599">
      <c r="A599" s="96" t="inlineStr">
        <is>
          <t>KIWOOM 미국고배당&amp;AI테크</t>
        </is>
      </c>
      <c r="B599" s="96" t="inlineStr">
        <is>
          <t>0107F0</t>
        </is>
      </c>
      <c r="C599" s="96" t="inlineStr">
        <is>
          <t>키움투자자산운용</t>
        </is>
      </c>
      <c r="D599" s="97" t="n">
        <v>11110</v>
      </c>
      <c r="E599" s="97" t="n">
        <v>28330500000</v>
      </c>
      <c r="F599" s="97" t="n">
        <v>154310846</v>
      </c>
      <c r="G599" s="98" t="n">
        <v>0.004500000000000001</v>
      </c>
      <c r="H599" s="98" t="n">
        <v>0.1482</v>
      </c>
      <c r="I599" s="98" t="n">
        <v>0.003</v>
      </c>
      <c r="J599" s="98" t="n"/>
      <c r="K599" s="97" t="n">
        <v>11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283억(기준 300억 미만), 60일 거래대금 1.5억(기준 5억 미만), 연 분배율 산출 불가(상장 1년 미만 — 12개월 창이 안 채워짐)</t>
        </is>
      </c>
      <c r="O599" s="96" t="inlineStr">
        <is>
          <t>Akros U.S. AI Tech Top10 &amp; High Dividend 3070 Index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월배당</t>
        </is>
      </c>
      <c r="S599" s="97" t="n">
        <v>11</v>
      </c>
      <c r="T599" s="98" t="n">
        <v>1</v>
      </c>
    </row>
    <row r="600">
      <c r="A600" s="96" t="inlineStr">
        <is>
          <t>1Q 엔비디아알파벳미국채혼합50</t>
        </is>
      </c>
      <c r="B600" s="96" t="inlineStr">
        <is>
          <t>0224X0</t>
        </is>
      </c>
      <c r="C600" s="96" t="inlineStr">
        <is>
          <t>하나자산운용</t>
        </is>
      </c>
      <c r="D600" s="97" t="n">
        <v>9750</v>
      </c>
      <c r="E600" s="97" t="n">
        <v>27300000000</v>
      </c>
      <c r="F600" s="97" t="n"/>
      <c r="G600" s="98" t="n">
        <v>0.004500000000000001</v>
      </c>
      <c r="H600" s="98" t="n"/>
      <c r="I600" s="98" t="n">
        <v>0.0012</v>
      </c>
      <c r="J600" s="98" t="n"/>
      <c r="K600" s="97" t="n">
        <v>1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6" t="inlineStr">
        <is>
          <t>KEDI Nvidia Alphabet U.S. Short-Term Treasury Balanced 50 In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1</v>
      </c>
      <c r="T600" s="98" t="n">
        <v>1</v>
      </c>
    </row>
    <row r="601">
      <c r="A601" s="96" t="inlineStr">
        <is>
          <t>RISE 미국고배당다우존스TOP10</t>
        </is>
      </c>
      <c r="B601" s="96" t="inlineStr">
        <is>
          <t>0115C0</t>
        </is>
      </c>
      <c r="C601" s="96" t="inlineStr">
        <is>
          <t>KB자산운용</t>
        </is>
      </c>
      <c r="D601" s="97" t="n">
        <v>10900</v>
      </c>
      <c r="E601" s="97" t="n">
        <v>25615000000</v>
      </c>
      <c r="F601" s="97" t="n">
        <v>194060333</v>
      </c>
      <c r="G601" s="98" t="n">
        <v>0.0001</v>
      </c>
      <c r="H601" s="98" t="n">
        <v>0.1603</v>
      </c>
      <c r="I601" s="98" t="n">
        <v>0.0031</v>
      </c>
      <c r="J601" s="98" t="n"/>
      <c r="K601" s="97" t="n">
        <v>10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6" t="inlineStr">
        <is>
          <t>Dow Jones U.S. High Dividend 10 Index (USD)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10</v>
      </c>
      <c r="T601" s="98" t="n">
        <v>1</v>
      </c>
    </row>
    <row r="602">
      <c r="A602" s="96" t="inlineStr">
        <is>
          <t>SOL 배당성향탑픽액티브</t>
        </is>
      </c>
      <c r="B602" s="96" t="inlineStr">
        <is>
          <t>0152E0</t>
        </is>
      </c>
      <c r="C602" s="96" t="inlineStr">
        <is>
          <t>신한자산운용</t>
        </is>
      </c>
      <c r="D602" s="97" t="n">
        <v>10715</v>
      </c>
      <c r="E602" s="97" t="n">
        <v>25180250000</v>
      </c>
      <c r="F602" s="97" t="n">
        <v>242941345</v>
      </c>
      <c r="G602" s="98" t="n">
        <v>0.003</v>
      </c>
      <c r="H602" s="98" t="n">
        <v>0.3309</v>
      </c>
      <c r="I602" s="98" t="n">
        <v>0.0046</v>
      </c>
      <c r="J602" s="98" t="n"/>
      <c r="K602" s="97" t="n">
        <v>7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6" t="inlineStr">
        <is>
          <t>FnGuide 배당성향탑픽 지수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7</v>
      </c>
      <c r="T602" s="98" t="n">
        <v>1</v>
      </c>
    </row>
    <row r="603">
      <c r="A603" s="96" t="inlineStr">
        <is>
          <t>PLUS 미국고배당주액티브</t>
        </is>
      </c>
      <c r="B603" s="96" t="inlineStr">
        <is>
          <t>0153X0</t>
        </is>
      </c>
      <c r="C603" s="96" t="inlineStr">
        <is>
          <t>한화자산운용</t>
        </is>
      </c>
      <c r="D603" s="97" t="n">
        <v>11190</v>
      </c>
      <c r="E603" s="97" t="n">
        <v>21261000000</v>
      </c>
      <c r="F603" s="97" t="n">
        <v>498219630</v>
      </c>
      <c r="G603" s="98" t="n">
        <v>0.0023</v>
      </c>
      <c r="H603" s="98" t="n">
        <v>0.1555</v>
      </c>
      <c r="I603" s="98" t="n">
        <v>0.004099999999999999</v>
      </c>
      <c r="J603" s="98" t="n"/>
      <c r="K603" s="97" t="n">
        <v>7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6" t="inlineStr">
        <is>
          <t>Akros U.S. High Dividend 20 Index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  <c r="T603" s="98" t="n">
        <v>1</v>
      </c>
    </row>
    <row r="604">
      <c r="A604" s="96" t="inlineStr">
        <is>
          <t>SOL 코스피200채권혼합50</t>
        </is>
      </c>
      <c r="B604" s="96" t="inlineStr">
        <is>
          <t>0192S0</t>
        </is>
      </c>
      <c r="C604" s="96" t="inlineStr">
        <is>
          <t>신한자산운용</t>
        </is>
      </c>
      <c r="D604" s="97" t="n">
        <v>9335</v>
      </c>
      <c r="E604" s="97" t="n">
        <v>20537000000</v>
      </c>
      <c r="F604" s="97" t="n">
        <v>1882190049</v>
      </c>
      <c r="G604" s="98" t="n">
        <v>0.0015</v>
      </c>
      <c r="H604" s="98" t="n">
        <v>0.3958</v>
      </c>
      <c r="I604" s="98" t="n">
        <v>0.0013</v>
      </c>
      <c r="J604" s="98" t="n"/>
      <c r="K604" s="97" t="n">
        <v>3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6" t="inlineStr">
        <is>
          <t>코스피 200 KTB 혼합지수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3</v>
      </c>
      <c r="T604" s="98" t="n">
        <v>1</v>
      </c>
    </row>
    <row r="605">
      <c r="A605" s="96" t="inlineStr">
        <is>
          <t>TIGER 코리아배당다우존스위클리커버드콜</t>
        </is>
      </c>
      <c r="B605" s="96" t="inlineStr">
        <is>
          <t>0104P0</t>
        </is>
      </c>
      <c r="C605" s="96" t="inlineStr">
        <is>
          <t>미래에셋자산운용</t>
        </is>
      </c>
      <c r="D605" s="97" t="n">
        <v>11045</v>
      </c>
      <c r="E605" s="97" t="n">
        <v>18776500000</v>
      </c>
      <c r="F605" s="97" t="n">
        <v>266826140</v>
      </c>
      <c r="G605" s="98" t="n">
        <v>0.0025</v>
      </c>
      <c r="H605" s="98" t="n">
        <v>0.3104</v>
      </c>
      <c r="I605" s="98" t="n">
        <v>0.0098</v>
      </c>
      <c r="J605" s="98" t="n"/>
      <c r="K605" s="97" t="n">
        <v>11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188억(기준 300억 미만), 60일 거래대금 2.7억(기준 5억 미만), 연 분배율 산출 불가(상장 1년 미만 — 12개월 창이 안 채워짐)</t>
        </is>
      </c>
      <c r="O605" s="96" t="inlineStr">
        <is>
          <t>KRX 다우존스 코리아 배당 30 타겟 7% 위클리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월배당</t>
        </is>
      </c>
      <c r="S605" s="97" t="n">
        <v>11</v>
      </c>
      <c r="T605" s="98" t="n">
        <v>1</v>
      </c>
    </row>
    <row r="606">
      <c r="A606" s="96" t="inlineStr">
        <is>
          <t>RISE 코스닥커버드콜액티브</t>
        </is>
      </c>
      <c r="B606" s="96" t="inlineStr">
        <is>
          <t>0223A0</t>
        </is>
      </c>
      <c r="C606" s="96" t="inlineStr">
        <is>
          <t>KB자산운용</t>
        </is>
      </c>
      <c r="D606" s="97" t="n">
        <v>10685</v>
      </c>
      <c r="E606" s="97" t="n">
        <v>17096000000</v>
      </c>
      <c r="F606" s="97" t="n"/>
      <c r="G606" s="98" t="n">
        <v>0.003</v>
      </c>
      <c r="H606" s="98" t="n"/>
      <c r="I606" s="98" t="n">
        <v>0.02</v>
      </c>
      <c r="J606" s="98" t="n"/>
      <c r="K606" s="97" t="n">
        <v>1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6" t="inlineStr">
        <is>
          <t>코스닥 150 타겟 15% 위클리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</v>
      </c>
      <c r="T606" s="98" t="n">
        <v>1</v>
      </c>
    </row>
    <row r="607">
      <c r="A607" s="96" t="inlineStr">
        <is>
          <t>KIWOOM 미국대형주500월간목표헤지액티브</t>
        </is>
      </c>
      <c r="B607" s="96" t="inlineStr">
        <is>
          <t>0084E0</t>
        </is>
      </c>
      <c r="C607" s="96" t="inlineStr">
        <is>
          <t>키움투자자산운용</t>
        </is>
      </c>
      <c r="D607" s="97" t="n">
        <v>10115</v>
      </c>
      <c r="E607" s="97" t="n">
        <v>14666750000</v>
      </c>
      <c r="F607" s="97" t="n">
        <v>1425792</v>
      </c>
      <c r="G607" s="98" t="n">
        <v>0.0049</v>
      </c>
      <c r="H607" s="98" t="n">
        <v>0.1157</v>
      </c>
      <c r="I607" s="98" t="n">
        <v>0.0016</v>
      </c>
      <c r="J607" s="98" t="n"/>
      <c r="K607" s="97" t="n">
        <v>10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6" t="inlineStr">
        <is>
          <t>Akros U.S. Large Cap 500 Protective Allocation Monthly Index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10</v>
      </c>
      <c r="T607" s="98" t="n">
        <v>1</v>
      </c>
    </row>
    <row r="608">
      <c r="A608" s="96" t="inlineStr">
        <is>
          <t>ACE 리츠부동산인프라액티브</t>
        </is>
      </c>
      <c r="B608" s="96" t="inlineStr">
        <is>
          <t>0153P0</t>
        </is>
      </c>
      <c r="C608" s="96" t="inlineStr">
        <is>
          <t>한국투신운용(ETF)</t>
        </is>
      </c>
      <c r="D608" s="97" t="n">
        <v>9415</v>
      </c>
      <c r="E608" s="97" t="n">
        <v>13651750000</v>
      </c>
      <c r="F608" s="97" t="n">
        <v>72057936</v>
      </c>
      <c r="G608" s="98" t="n">
        <v>0.0005999999999999999</v>
      </c>
      <c r="H608" s="98" t="n">
        <v>0.1901</v>
      </c>
      <c r="I608" s="98" t="n">
        <v>0.005699999999999999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6" t="inlineStr">
        <is>
          <t>FnGuide 맥쿼리인프라 배당 리츠 지수</t>
        </is>
      </c>
      <c r="P608" s="96" t="inlineStr">
        <is>
          <t>일반</t>
        </is>
      </c>
      <c r="Q608" s="96" t="inlineStr">
        <is>
          <t>부동산</t>
        </is>
      </c>
      <c r="R608" s="96" t="inlineStr">
        <is>
          <t>판정 불가</t>
        </is>
      </c>
      <c r="S608" s="97" t="n">
        <v>7</v>
      </c>
      <c r="T608" s="98" t="n">
        <v>1</v>
      </c>
    </row>
    <row r="609">
      <c r="A609" s="96" t="inlineStr">
        <is>
          <t>KIWOOM 현대차그룹TOP3채권혼합50</t>
        </is>
      </c>
      <c r="B609" s="96" t="inlineStr">
        <is>
          <t>0220A0</t>
        </is>
      </c>
      <c r="C609" s="96" t="inlineStr">
        <is>
          <t>키움투자자산운용</t>
        </is>
      </c>
      <c r="D609" s="97" t="n">
        <v>8925</v>
      </c>
      <c r="E609" s="97" t="n">
        <v>13387500000</v>
      </c>
      <c r="F609" s="97" t="n">
        <v>410451414</v>
      </c>
      <c r="G609" s="98" t="n">
        <v>0.0015</v>
      </c>
      <c r="H609" s="98" t="n"/>
      <c r="I609" s="98" t="n">
        <v>0.0022</v>
      </c>
      <c r="J609" s="98" t="n"/>
      <c r="K609" s="97" t="n">
        <v>1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6" t="inlineStr">
        <is>
          <t>FnGuide 현대차그룹TOP3 채권혼합지수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1</v>
      </c>
      <c r="T609" s="98" t="n">
        <v>1</v>
      </c>
    </row>
    <row r="610">
      <c r="A610" s="96" t="inlineStr">
        <is>
          <t>KIWOOM 미국S&amp;P500 TOP10&amp;배당다우비중전환</t>
        </is>
      </c>
      <c r="B610" s="96" t="inlineStr">
        <is>
          <t>0127V0</t>
        </is>
      </c>
      <c r="C610" s="96" t="inlineStr">
        <is>
          <t>키움투자자산운용</t>
        </is>
      </c>
      <c r="D610" s="97" t="n">
        <v>10690</v>
      </c>
      <c r="E610" s="97" t="n">
        <v>13362500000</v>
      </c>
      <c r="F610" s="97" t="n">
        <v>36512027</v>
      </c>
      <c r="G610" s="98" t="n">
        <v>0.0019</v>
      </c>
      <c r="H610" s="98" t="n">
        <v>0.1584</v>
      </c>
      <c r="I610" s="98" t="n">
        <v>0.0009</v>
      </c>
      <c r="J610" s="98" t="n"/>
      <c r="K610" s="97" t="n">
        <v>9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6" t="inlineStr">
        <is>
          <t>S&amp;P 500 Top 10 and Dow Jones U.S. Dividend 100 Life Cycle 20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9</v>
      </c>
      <c r="T610" s="98" t="n">
        <v>1</v>
      </c>
    </row>
    <row r="611">
      <c r="A611" s="96" t="inlineStr">
        <is>
          <t>KIWOOM 미국S&amp;P500&amp;배당다우존스비중전환</t>
        </is>
      </c>
      <c r="B611" s="96" t="inlineStr">
        <is>
          <t>0127T0</t>
        </is>
      </c>
      <c r="C611" s="96" t="inlineStr">
        <is>
          <t>키움투자자산운용</t>
        </is>
      </c>
      <c r="D611" s="97" t="n">
        <v>10950</v>
      </c>
      <c r="E611" s="97" t="n">
        <v>13140000000</v>
      </c>
      <c r="F611" s="97" t="n">
        <v>40387689</v>
      </c>
      <c r="G611" s="98" t="n">
        <v>0.0009</v>
      </c>
      <c r="H611" s="98" t="n">
        <v>0.1319</v>
      </c>
      <c r="I611" s="98" t="n">
        <v>0.0013</v>
      </c>
      <c r="J611" s="98" t="n"/>
      <c r="K611" s="97" t="n">
        <v>9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6" t="inlineStr">
        <is>
          <t>S&amp;P 500 and Dow Jones U.S. Dividend 100 Life Cycle 2040 Inde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9</v>
      </c>
      <c r="T611" s="98" t="n">
        <v>1</v>
      </c>
    </row>
    <row r="612">
      <c r="A612" s="96" t="inlineStr">
        <is>
          <t>KIWOOM SK하이닉스선물단일종목레버리지</t>
        </is>
      </c>
      <c r="B612" s="96" t="inlineStr">
        <is>
          <t>0194R0</t>
        </is>
      </c>
      <c r="C612" s="96" t="inlineStr">
        <is>
          <t>키움투자자산운용</t>
        </is>
      </c>
      <c r="D612" s="97" t="n">
        <v>8715</v>
      </c>
      <c r="E612" s="97" t="n">
        <v>11983125000</v>
      </c>
      <c r="F612" s="97" t="n">
        <v>4348280970</v>
      </c>
      <c r="G612" s="98" t="n">
        <v>0.0025</v>
      </c>
      <c r="H612" s="98" t="n">
        <v>2.3653</v>
      </c>
      <c r="I612" s="98" t="n">
        <v>0.0008</v>
      </c>
      <c r="J612" s="98" t="n"/>
      <c r="K612" s="97" t="n">
        <v>3</v>
      </c>
      <c r="L612" s="99" t="inlineStr">
        <is>
          <t>20260914</t>
        </is>
      </c>
      <c r="M612" s="96" t="inlineStr">
        <is>
          <t>제외</t>
        </is>
      </c>
      <c r="N612" s="96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6" t="inlineStr">
        <is>
          <t>KRX SK하이닉스 선물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3</v>
      </c>
      <c r="T612" s="98" t="n">
        <v>1</v>
      </c>
    </row>
    <row r="613">
      <c r="A613" s="96" t="inlineStr">
        <is>
          <t>PLUS 200위클리커버드콜채권혼합</t>
        </is>
      </c>
      <c r="B613" s="96" t="inlineStr">
        <is>
          <t>0203D0</t>
        </is>
      </c>
      <c r="C613" s="96" t="inlineStr">
        <is>
          <t>한화자산운용</t>
        </is>
      </c>
      <c r="D613" s="97" t="n">
        <v>8885</v>
      </c>
      <c r="E613" s="97" t="n">
        <v>10662000000</v>
      </c>
      <c r="F613" s="97" t="n">
        <v>266538561</v>
      </c>
      <c r="G613" s="98" t="n">
        <v>0.0039</v>
      </c>
      <c r="H613" s="98" t="n">
        <v>0.3785</v>
      </c>
      <c r="I613" s="98" t="n">
        <v>0.006999999999999999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6" t="inlineStr">
        <is>
          <t>코스피 200 KTB 혼합 위클리 고정 10% 커버드콜 지수</t>
        </is>
      </c>
      <c r="P613" s="96" t="inlineStr">
        <is>
          <t>커버드콜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3</v>
      </c>
      <c r="T613" s="98" t="n">
        <v>1</v>
      </c>
    </row>
    <row r="614">
      <c r="A614" s="96" t="inlineStr">
        <is>
          <t>DAISHIN 금융&amp;지주고배당</t>
        </is>
      </c>
      <c r="B614" s="96" t="inlineStr">
        <is>
          <t>0189Z0</t>
        </is>
      </c>
      <c r="C614" s="96" t="inlineStr">
        <is>
          <t>대신자산운용</t>
        </is>
      </c>
      <c r="D614" s="97" t="n">
        <v>10390</v>
      </c>
      <c r="E614" s="97" t="n">
        <v>10390000000</v>
      </c>
      <c r="F614" s="97" t="n">
        <v>37678576</v>
      </c>
      <c r="G614" s="98" t="n">
        <v>0.0024</v>
      </c>
      <c r="H614" s="98" t="n">
        <v>0.2838</v>
      </c>
      <c r="I614" s="98" t="n">
        <v>0.002</v>
      </c>
      <c r="J614" s="98" t="n"/>
      <c r="K614" s="97" t="n">
        <v>2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6" t="inlineStr">
        <is>
          <t>KRX-Akros 금융 &amp; 지주 고배당 지수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2</v>
      </c>
      <c r="T614" s="98" t="n">
        <v>1</v>
      </c>
    </row>
    <row r="615">
      <c r="A615" s="96" t="inlineStr">
        <is>
          <t>KIWOOM 미국우주테크TOP2채권혼합50</t>
        </is>
      </c>
      <c r="B615" s="96" t="inlineStr">
        <is>
          <t>0216K0</t>
        </is>
      </c>
      <c r="C615" s="96" t="inlineStr">
        <is>
          <t>키움투자자산운용</t>
        </is>
      </c>
      <c r="D615" s="97" t="n">
        <v>8770</v>
      </c>
      <c r="E615" s="97" t="n">
        <v>8770000000</v>
      </c>
      <c r="F615" s="97" t="n">
        <v>423914377</v>
      </c>
      <c r="G615" s="98" t="n">
        <v>0.0021</v>
      </c>
      <c r="H615" s="98" t="n"/>
      <c r="I615" s="98" t="n">
        <v>0.0012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6" t="inlineStr">
        <is>
          <t>Akros 미국우주 Top2 채권혼합 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  <c r="T615" s="98" t="n">
        <v>1</v>
      </c>
    </row>
    <row r="616">
      <c r="A616" s="96" t="inlineStr">
        <is>
          <t>KIWOOM 삼성전자선물단일종목레버리지</t>
        </is>
      </c>
      <c r="B616" s="96" t="inlineStr">
        <is>
          <t>0194N0</t>
        </is>
      </c>
      <c r="C616" s="96" t="inlineStr">
        <is>
          <t>키움투자자산운용</t>
        </is>
      </c>
      <c r="D616" s="97" t="n">
        <v>10180</v>
      </c>
      <c r="E616" s="97" t="n">
        <v>7889500000</v>
      </c>
      <c r="F616" s="97" t="n">
        <v>1808567407</v>
      </c>
      <c r="G616" s="98" t="n">
        <v>0.0025</v>
      </c>
      <c r="H616" s="98" t="n">
        <v>1.9276</v>
      </c>
      <c r="I616" s="98" t="n">
        <v>0.001</v>
      </c>
      <c r="J616" s="98" t="n"/>
      <c r="K616" s="97" t="n">
        <v>3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6" t="inlineStr">
        <is>
          <t>KRX 삼성전자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  <c r="T616" s="98" t="n">
        <v>1</v>
      </c>
    </row>
    <row r="617">
      <c r="A617" s="96" t="inlineStr">
        <is>
          <t>FOCUS AI반도체위클리고정커버드콜</t>
        </is>
      </c>
      <c r="B617" s="96" t="inlineStr">
        <is>
          <t>0176P0</t>
        </is>
      </c>
      <c r="C617" s="96" t="inlineStr">
        <is>
          <t>브이아이자산운용</t>
        </is>
      </c>
      <c r="D617" s="97" t="n">
        <v>12855</v>
      </c>
      <c r="E617" s="97" t="n">
        <v>7070250000</v>
      </c>
      <c r="F617" s="97" t="n">
        <v>162507061</v>
      </c>
      <c r="G617" s="98" t="n">
        <v>0.003</v>
      </c>
      <c r="H617" s="98" t="n">
        <v>0.7973</v>
      </c>
      <c r="I617" s="98" t="n">
        <v>0.0143</v>
      </c>
      <c r="J617" s="98" t="n"/>
      <c r="K617" s="97" t="n">
        <v>5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6" t="inlineStr">
        <is>
          <t>AI 반도체 위클리 고정 30%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5</v>
      </c>
      <c r="T617" s="98" t="n">
        <v>1</v>
      </c>
    </row>
    <row r="618">
      <c r="A618" s="96" t="inlineStr">
        <is>
          <t>DAISHIN 오피스리츠플러스</t>
        </is>
      </c>
      <c r="B618" s="96" t="inlineStr">
        <is>
          <t>0174J0</t>
        </is>
      </c>
      <c r="C618" s="96" t="inlineStr">
        <is>
          <t>대신자산운용</t>
        </is>
      </c>
      <c r="D618" s="97" t="n">
        <v>8630</v>
      </c>
      <c r="E618" s="97" t="n">
        <v>5178000000</v>
      </c>
      <c r="F618" s="97" t="n">
        <v>33218507</v>
      </c>
      <c r="G618" s="98" t="n">
        <v>0.0019</v>
      </c>
      <c r="H618" s="98" t="n">
        <v>0.2787</v>
      </c>
      <c r="I618" s="98" t="n">
        <v>0.0046</v>
      </c>
      <c r="J618" s="98" t="n"/>
      <c r="K618" s="97" t="n">
        <v>5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6" t="inlineStr">
        <is>
          <t>KRX 프라임 오피스 리츠 지수</t>
        </is>
      </c>
      <c r="P618" s="96" t="inlineStr">
        <is>
          <t>일반</t>
        </is>
      </c>
      <c r="Q618" s="96" t="inlineStr">
        <is>
          <t>부동산</t>
        </is>
      </c>
      <c r="R618" s="96" t="inlineStr">
        <is>
          <t>판정 불가</t>
        </is>
      </c>
      <c r="S618" s="97" t="n">
        <v>5</v>
      </c>
      <c r="T618" s="98" t="n">
        <v>1</v>
      </c>
    </row>
    <row r="619">
      <c r="A619" s="96" t="inlineStr">
        <is>
          <t>PLUS 차이나항셍테크위클리타겟커버드콜</t>
        </is>
      </c>
      <c r="B619" s="96" t="inlineStr">
        <is>
          <t>0128D0</t>
        </is>
      </c>
      <c r="C619" s="96" t="inlineStr">
        <is>
          <t>한화자산운용</t>
        </is>
      </c>
      <c r="D619" s="97" t="n">
        <v>6435</v>
      </c>
      <c r="E619" s="97" t="n">
        <v>4504500000</v>
      </c>
      <c r="F619" s="97" t="n">
        <v>28869290</v>
      </c>
      <c r="G619" s="98" t="n">
        <v>0.0039</v>
      </c>
      <c r="H619" s="98" t="n">
        <v>0.2722</v>
      </c>
      <c r="I619" s="98" t="n">
        <v>0.0125</v>
      </c>
      <c r="J619" s="98" t="n"/>
      <c r="K619" s="97" t="n">
        <v>9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6" t="inlineStr">
        <is>
          <t>HSTECH 15% Target Premium Weekly Covered Call Index</t>
        </is>
      </c>
      <c r="P619" s="96" t="inlineStr">
        <is>
          <t>커버드콜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9</v>
      </c>
      <c r="T619" s="98" t="n">
        <v>1</v>
      </c>
    </row>
    <row r="620">
      <c r="A620" s="96" t="inlineStr">
        <is>
          <t>RISE 삼성전자SK하이닉스채권혼합50</t>
        </is>
      </c>
      <c r="B620" s="96" t="inlineStr">
        <is>
          <t>0162Z0</t>
        </is>
      </c>
      <c r="C620" s="96" t="inlineStr">
        <is>
          <t>KB자산운용</t>
        </is>
      </c>
      <c r="D620" s="97" t="n">
        <v>13390</v>
      </c>
      <c r="E620" s="97" t="n">
        <v>4055831000000</v>
      </c>
      <c r="F620" s="97" t="n">
        <v>148721602780</v>
      </c>
      <c r="G620" s="98" t="n">
        <v>0.0001</v>
      </c>
      <c r="H620" s="98" t="n">
        <v>0.4815</v>
      </c>
      <c r="I620" s="98" t="n">
        <v>0.0022</v>
      </c>
      <c r="J620" s="98" t="n"/>
      <c r="K620" s="97" t="n">
        <v>2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48.1%(139거래일 기준, 기준 35% 초과), 상장 7개월(기준 12개월 미만), 연 분배율 산출 불가(상장 1년 미만 — 12개월 창이 안 채워짐)</t>
        </is>
      </c>
      <c r="O620" s="96" t="inlineStr">
        <is>
          <t>KAP 삼성전자SK하이닉스채권혼합50지수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2</v>
      </c>
      <c r="T620" s="98" t="n">
        <v>1</v>
      </c>
    </row>
    <row r="621">
      <c r="A621" s="96" t="inlineStr">
        <is>
          <t>TIGER 코리아AI전력기기TOP3플러스</t>
        </is>
      </c>
      <c r="B621" s="96" t="inlineStr">
        <is>
          <t>0117V0</t>
        </is>
      </c>
      <c r="C621" s="96" t="inlineStr">
        <is>
          <t>미래에셋자산운용</t>
        </is>
      </c>
      <c r="D621" s="97" t="n">
        <v>18675</v>
      </c>
      <c r="E621" s="97" t="n">
        <v>1000046250000</v>
      </c>
      <c r="F621" s="97" t="n">
        <v>48446770693</v>
      </c>
      <c r="G621" s="98" t="n">
        <v>0.004</v>
      </c>
      <c r="H621" s="98" t="n">
        <v>0.7401000000000001</v>
      </c>
      <c r="I621" s="98" t="n">
        <v>0.0066</v>
      </c>
      <c r="J621" s="98" t="n"/>
      <c r="K621" s="97" t="n">
        <v>1</v>
      </c>
      <c r="L621" s="99" t="inlineStr">
        <is>
          <t>20260730</t>
        </is>
      </c>
      <c r="M621" s="96" t="inlineStr">
        <is>
          <t>제외</t>
        </is>
      </c>
      <c r="N621" s="96" t="inlineStr">
        <is>
          <t>변동성 74.0%(1년 기준, 기준 35% 초과), 상장 11개월(기준 12개월 미만), 연 분배율 산출 불가(상장 1년 미만 — 12개월 창이 안 채워짐)</t>
        </is>
      </c>
      <c r="O621" s="96" t="inlineStr">
        <is>
          <t>KEDI 코리아AI전력기기TOP3플러스 지수</t>
        </is>
      </c>
      <c r="P621" s="96" t="inlineStr">
        <is>
          <t>일반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1</v>
      </c>
      <c r="T621" s="98" t="n">
        <v>1</v>
      </c>
    </row>
    <row r="622">
      <c r="A622" s="96" t="inlineStr">
        <is>
          <t>KODEX 26-12 금융채(AA-이상)액티브</t>
        </is>
      </c>
      <c r="B622" s="96" t="inlineStr">
        <is>
          <t>0117L0</t>
        </is>
      </c>
      <c r="C622" s="96" t="inlineStr">
        <is>
          <t>삼성자산운용(ETF)</t>
        </is>
      </c>
      <c r="D622" s="97" t="n">
        <v>10170</v>
      </c>
      <c r="E622" s="97" t="n">
        <v>870958800000</v>
      </c>
      <c r="F622" s="97" t="n">
        <v>294005191</v>
      </c>
      <c r="G622" s="98" t="n">
        <v>0.0009</v>
      </c>
      <c r="H622" s="98" t="n">
        <v>0.006</v>
      </c>
      <c r="I622" s="98" t="n">
        <v>0.0053</v>
      </c>
      <c r="J622" s="98" t="n"/>
      <c r="K622" s="97" t="n">
        <v>1</v>
      </c>
      <c r="L622" s="99" t="inlineStr">
        <is>
          <t>20251212</t>
        </is>
      </c>
      <c r="M622" s="96" t="inlineStr">
        <is>
          <t>제외</t>
        </is>
      </c>
      <c r="N622" s="96" t="inlineStr">
        <is>
          <t>60일 거래대금 2.9억(기준 5억 미만), 상장 11개월(기준 12개월 미만), 연 분배율 산출 불가(상장 1년 미만 — 12개월 창이 안 채워짐)</t>
        </is>
      </c>
      <c r="O622" s="96" t="inlineStr">
        <is>
          <t>KAP 26-12 금융채 총수익 지수(AA- 이상)</t>
        </is>
      </c>
      <c r="P622" s="96" t="inlineStr">
        <is>
          <t>일반</t>
        </is>
      </c>
      <c r="Q622" s="96" t="inlineStr">
        <is>
          <t>채권</t>
        </is>
      </c>
      <c r="R622" s="96" t="inlineStr">
        <is>
          <t>판정 불가</t>
        </is>
      </c>
      <c r="S622" s="97" t="n">
        <v>1</v>
      </c>
      <c r="T622" s="98" t="n">
        <v>1</v>
      </c>
    </row>
    <row r="623">
      <c r="A623" s="96" t="inlineStr">
        <is>
          <t>TIGER 2차전지TOP10</t>
        </is>
      </c>
      <c r="B623" s="96" t="inlineStr">
        <is>
          <t>364980</t>
        </is>
      </c>
      <c r="C623" s="96" t="inlineStr">
        <is>
          <t>미래에셋자산운용</t>
        </is>
      </c>
      <c r="D623" s="97" t="n">
        <v>10275</v>
      </c>
      <c r="E623" s="97" t="n">
        <v>698700000000</v>
      </c>
      <c r="F623" s="97" t="n">
        <v>33641439796</v>
      </c>
      <c r="G623" s="98" t="n">
        <v>0.004</v>
      </c>
      <c r="H623" s="98" t="n">
        <v>0.5734</v>
      </c>
      <c r="I623" s="98" t="n">
        <v>0.0054</v>
      </c>
      <c r="J623" s="98" t="n"/>
      <c r="K623" s="97" t="n">
        <v>4</v>
      </c>
      <c r="L623" s="99" t="inlineStr">
        <is>
          <t>20250429</t>
        </is>
      </c>
      <c r="M623" s="96" t="inlineStr">
        <is>
          <t>제외</t>
        </is>
      </c>
      <c r="N623" s="96" t="inlineStr">
        <is>
          <t>변동성 57.3%(1년 기준, 기준 35% 초과), 최근 12개월 분배 없음, 연 분배율 산출 불가(최근 12개월 분배 기록 없음)</t>
        </is>
      </c>
      <c r="O623" s="96" t="inlineStr">
        <is>
          <t>KRX 2차전지 TOP 10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무분배</t>
        </is>
      </c>
      <c r="S623" s="97" t="n">
        <v>0</v>
      </c>
      <c r="T623" s="98" t="n">
        <v>1</v>
      </c>
    </row>
    <row r="624">
      <c r="A624" s="96" t="inlineStr">
        <is>
          <t>ACE 미국대형성장주액티브</t>
        </is>
      </c>
      <c r="B624" s="96" t="inlineStr">
        <is>
          <t>0127P0</t>
        </is>
      </c>
      <c r="C624" s="96" t="inlineStr">
        <is>
          <t>한국투신운용(ETF)</t>
        </is>
      </c>
      <c r="D624" s="97" t="n">
        <v>10360</v>
      </c>
      <c r="E624" s="97" t="n">
        <v>692048000000</v>
      </c>
      <c r="F624" s="97" t="n">
        <v>1228671305</v>
      </c>
      <c r="G624" s="98" t="n">
        <v>0.003</v>
      </c>
      <c r="H624" s="98" t="n">
        <v>0.219</v>
      </c>
      <c r="I624" s="98" t="n">
        <v>0.0017</v>
      </c>
      <c r="J624" s="98" t="n"/>
      <c r="K624" s="97" t="n">
        <v>2</v>
      </c>
      <c r="L624" s="99" t="inlineStr">
        <is>
          <t>20260730</t>
        </is>
      </c>
      <c r="M624" s="96" t="inlineStr">
        <is>
          <t>제외</t>
        </is>
      </c>
      <c r="N624" s="96" t="inlineStr">
        <is>
          <t>상장 10개월(기준 12개월 미만), 연 분배율 산출 불가(상장 1년 미만 — 12개월 창이 안 채워짐)</t>
        </is>
      </c>
      <c r="O624" s="96" t="inlineStr">
        <is>
          <t>Morningstar US Large Cap Growth PR USD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2</v>
      </c>
      <c r="T624" s="98" t="n">
        <v>1</v>
      </c>
    </row>
    <row r="625">
      <c r="A625" s="96" t="inlineStr">
        <is>
          <t>RISE AI전력인프라</t>
        </is>
      </c>
      <c r="B625" s="96" t="inlineStr">
        <is>
          <t>0101N0</t>
        </is>
      </c>
      <c r="C625" s="96" t="inlineStr">
        <is>
          <t>KB자산운용</t>
        </is>
      </c>
      <c r="D625" s="97" t="n">
        <v>20280</v>
      </c>
      <c r="E625" s="97" t="n">
        <v>637806000000</v>
      </c>
      <c r="F625" s="97" t="n">
        <v>10191774810</v>
      </c>
      <c r="G625" s="98" t="n">
        <v>0.002</v>
      </c>
      <c r="H625" s="98" t="n">
        <v>0.6689000000000001</v>
      </c>
      <c r="I625" s="98" t="n">
        <v>0.0001</v>
      </c>
      <c r="J625" s="98" t="n"/>
      <c r="K625" s="97" t="n">
        <v>1</v>
      </c>
      <c r="L625" s="99" t="inlineStr">
        <is>
          <t>20251229</t>
        </is>
      </c>
      <c r="M625" s="96" t="inlineStr">
        <is>
          <t>제외</t>
        </is>
      </c>
      <c r="N625" s="96" t="inlineStr">
        <is>
          <t>변동성 66.9%(1년 기준, 기준 35% 초과), 연 분배율 산출 불가(상장 1년 미만 — 12개월 창이 안 채워짐)</t>
        </is>
      </c>
      <c r="O625" s="96" t="inlineStr">
        <is>
          <t>KRX-Akros AI 전력인프라 지수</t>
        </is>
      </c>
      <c r="P625" s="96" t="inlineStr">
        <is>
          <t>일반</t>
        </is>
      </c>
      <c r="Q625" s="96" t="inlineStr">
        <is>
          <t>주식</t>
        </is>
      </c>
      <c r="R625" s="96" t="inlineStr">
        <is>
          <t>연배당</t>
        </is>
      </c>
      <c r="S625" s="97" t="n">
        <v>1</v>
      </c>
      <c r="T625" s="98" t="n">
        <v>1</v>
      </c>
    </row>
    <row r="626">
      <c r="A626" s="96" t="inlineStr">
        <is>
          <t>KODEX 미국AI광통신네트워크</t>
        </is>
      </c>
      <c r="B626" s="96" t="inlineStr">
        <is>
          <t>0173Y0</t>
        </is>
      </c>
      <c r="C626" s="96" t="inlineStr">
        <is>
          <t>삼성자산운용(ETF)</t>
        </is>
      </c>
      <c r="D626" s="97" t="n">
        <v>10730</v>
      </c>
      <c r="E626" s="97" t="n">
        <v>388426000000</v>
      </c>
      <c r="F626" s="97" t="n">
        <v>13376552326</v>
      </c>
      <c r="G626" s="98" t="n">
        <v>0.005500000000000001</v>
      </c>
      <c r="H626" s="98" t="n">
        <v>0.8090999999999999</v>
      </c>
      <c r="I626" s="98" t="n">
        <v>0.0005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80.9%(117거래일 기준, 기준 35% 초과), 상장 6개월(기준 12개월 미만), 연 분배율 산출 불가(상장 1년 미만 — 12개월 창이 안 채워짐)</t>
        </is>
      </c>
      <c r="O626" s="96" t="inlineStr">
        <is>
          <t>Akros U.S. AI Optical Communication and Network Infrastructu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  <c r="T626" s="98" t="n">
        <v>1</v>
      </c>
    </row>
    <row r="627">
      <c r="A627" s="96" t="inlineStr">
        <is>
          <t>1Q 미국우주항공테크</t>
        </is>
      </c>
      <c r="B627" s="96" t="inlineStr">
        <is>
          <t>0131V0</t>
        </is>
      </c>
      <c r="C627" s="96" t="inlineStr">
        <is>
          <t>하나자산운용</t>
        </is>
      </c>
      <c r="D627" s="97" t="n">
        <v>10830</v>
      </c>
      <c r="E627" s="97" t="n">
        <v>352516500000</v>
      </c>
      <c r="F627" s="97" t="n">
        <v>2520160655</v>
      </c>
      <c r="G627" s="98" t="n">
        <v>0.0049</v>
      </c>
      <c r="H627" s="98" t="n">
        <v>0.5286999999999999</v>
      </c>
      <c r="I627" s="98" t="n">
        <v>0.001</v>
      </c>
      <c r="J627" s="98" t="n"/>
      <c r="K627" s="97" t="n">
        <v>1</v>
      </c>
      <c r="L627" s="99" t="inlineStr">
        <is>
          <t>20260429</t>
        </is>
      </c>
      <c r="M627" s="96" t="inlineStr">
        <is>
          <t>제외</t>
        </is>
      </c>
      <c r="N627" s="96" t="inlineStr">
        <is>
          <t>변동성 52.9%(1년 기준, 기준 35% 초과), 상장 10개월(기준 12개월 미만), 연 분배율 산출 불가(상장 1년 미만 — 12개월 창이 안 채워짐)</t>
        </is>
      </c>
      <c r="O627" s="96" t="inlineStr">
        <is>
          <t>Akros U.S. Aerospace Tech Index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1</v>
      </c>
      <c r="T627" s="98" t="n">
        <v>1</v>
      </c>
    </row>
    <row r="628">
      <c r="A628" s="96" t="inlineStr">
        <is>
          <t>KODEX 미국우주항공</t>
        </is>
      </c>
      <c r="B628" s="96" t="inlineStr">
        <is>
          <t>0167Z0</t>
        </is>
      </c>
      <c r="C628" s="96" t="inlineStr">
        <is>
          <t>삼성자산운용(ETF)</t>
        </is>
      </c>
      <c r="D628" s="97" t="n">
        <v>7470</v>
      </c>
      <c r="E628" s="97" t="n">
        <v>348102000000</v>
      </c>
      <c r="F628" s="97" t="n">
        <v>8171963834</v>
      </c>
      <c r="G628" s="98" t="n">
        <v>0.005500000000000001</v>
      </c>
      <c r="H628" s="98" t="n">
        <v>0.6798000000000001</v>
      </c>
      <c r="I628" s="98" t="n">
        <v>0.0011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68.0%(127거래일 기준, 기준 35% 초과), 상장 6개월(기준 12개월 미만), 연 분배율 산출 불가(상장 1년 미만 — 12개월 창이 안 채워짐)</t>
        </is>
      </c>
      <c r="O628" s="96" t="inlineStr">
        <is>
          <t>iSelect U.S. Aerospace Index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  <c r="T628" s="98" t="n">
        <v>1</v>
      </c>
    </row>
    <row r="629">
      <c r="A629" s="96" t="inlineStr">
        <is>
          <t>KoAct 바이오헬스케어액티브</t>
        </is>
      </c>
      <c r="B629" s="96" t="inlineStr">
        <is>
          <t>462900</t>
        </is>
      </c>
      <c r="C629" s="96" t="inlineStr">
        <is>
          <t>삼성액티브자산(ETF)</t>
        </is>
      </c>
      <c r="D629" s="97" t="n">
        <v>12945</v>
      </c>
      <c r="E629" s="97" t="n">
        <v>337864500000</v>
      </c>
      <c r="F629" s="97" t="n">
        <v>26194299877</v>
      </c>
      <c r="G629" s="98" t="n">
        <v>0.005</v>
      </c>
      <c r="H629" s="98" t="n">
        <v>0.5982999999999999</v>
      </c>
      <c r="I629" s="98" t="n">
        <v>0.0024</v>
      </c>
      <c r="J629" s="98" t="n"/>
      <c r="K629" s="97" t="n">
        <v>1</v>
      </c>
      <c r="L629" s="99" t="inlineStr">
        <is>
          <t>20240429</t>
        </is>
      </c>
      <c r="M629" s="96" t="inlineStr">
        <is>
          <t>제외</t>
        </is>
      </c>
      <c r="N629" s="96" t="inlineStr">
        <is>
          <t>변동성 59.8%(1년 기준, 기준 35% 초과), 최근 12개월 분배 없음, 연 분배율 산출 불가(최근 12개월 분배 기록 없음)</t>
        </is>
      </c>
      <c r="O629" s="96" t="inlineStr">
        <is>
          <t>iSelect 바이오헬스케어 PR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무분배</t>
        </is>
      </c>
      <c r="S629" s="97" t="n">
        <v>0</v>
      </c>
      <c r="T629" s="98" t="n">
        <v>1</v>
      </c>
    </row>
    <row r="630">
      <c r="A630" s="96" t="inlineStr">
        <is>
          <t>1Q 미국나스닥100미국채혼합50액티브</t>
        </is>
      </c>
      <c r="B630" s="96" t="inlineStr">
        <is>
          <t>0111P0</t>
        </is>
      </c>
      <c r="C630" s="96" t="inlineStr">
        <is>
          <t>하나자산운용</t>
        </is>
      </c>
      <c r="D630" s="97" t="n">
        <v>10755</v>
      </c>
      <c r="E630" s="97" t="n">
        <v>305442000000</v>
      </c>
      <c r="F630" s="97" t="n">
        <v>1872569689</v>
      </c>
      <c r="G630" s="98" t="n">
        <v>0.0005</v>
      </c>
      <c r="H630" s="98" t="n">
        <v>0.1321</v>
      </c>
      <c r="I630" s="98" t="n">
        <v>0.0026</v>
      </c>
      <c r="J630" s="98" t="n"/>
      <c r="K630" s="97" t="n">
        <v>3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연 분배율 산출 불가(상장 1년 미만 — 12개월 창이 안 채워짐)</t>
        </is>
      </c>
      <c r="O630" s="96" t="inlineStr">
        <is>
          <t>Nasdaq-100 US T-Bills 0-6 Month 50/50 Index</t>
        </is>
      </c>
      <c r="P630" s="96" t="inlineStr">
        <is>
          <t>일반</t>
        </is>
      </c>
      <c r="Q630" s="96" t="inlineStr">
        <is>
          <t>멀티에셋</t>
        </is>
      </c>
      <c r="R630" s="96" t="inlineStr">
        <is>
          <t>분기배당</t>
        </is>
      </c>
      <c r="S630" s="97" t="n">
        <v>3</v>
      </c>
      <c r="T630" s="98" t="n">
        <v>1</v>
      </c>
    </row>
    <row r="631">
      <c r="A631" s="96" t="inlineStr">
        <is>
          <t>KODEX 28-12 회사채(AA-이상)액티브</t>
        </is>
      </c>
      <c r="B631" s="96" t="inlineStr">
        <is>
          <t>0119H0</t>
        </is>
      </c>
      <c r="C631" s="96" t="inlineStr">
        <is>
          <t>삼성자산운용(ETF)</t>
        </is>
      </c>
      <c r="D631" s="97" t="n">
        <v>9910</v>
      </c>
      <c r="E631" s="97" t="n">
        <v>277777300000</v>
      </c>
      <c r="F631" s="97" t="n">
        <v>217990627</v>
      </c>
      <c r="G631" s="98" t="n">
        <v>0.0009</v>
      </c>
      <c r="H631" s="98" t="n">
        <v>0.0208</v>
      </c>
      <c r="I631" s="98" t="n">
        <v>0.0049</v>
      </c>
      <c r="J631" s="98" t="n"/>
      <c r="K631" s="97" t="n">
        <v>1</v>
      </c>
      <c r="L631" s="99" t="inlineStr">
        <is>
          <t>20251212</t>
        </is>
      </c>
      <c r="M631" s="96" t="inlineStr">
        <is>
          <t>제외</t>
        </is>
      </c>
      <c r="N631" s="96" t="inlineStr">
        <is>
          <t>60일 거래대금 2.2억(기준 5억 미만), 상장 10개월(기준 12개월 미만), 연 분배율 산출 불가(상장 1년 미만 — 12개월 창이 안 채워짐)</t>
        </is>
      </c>
      <c r="O631" s="96" t="inlineStr">
        <is>
          <t>KAP 28-12 회사채 총수익 지수(AA- 이상)</t>
        </is>
      </c>
      <c r="P631" s="96" t="inlineStr">
        <is>
          <t>일반</t>
        </is>
      </c>
      <c r="Q631" s="96" t="inlineStr">
        <is>
          <t>채권</t>
        </is>
      </c>
      <c r="R631" s="96" t="inlineStr">
        <is>
          <t>판정 불가</t>
        </is>
      </c>
      <c r="S631" s="97" t="n">
        <v>1</v>
      </c>
      <c r="T631" s="98" t="n">
        <v>1</v>
      </c>
    </row>
    <row r="632">
      <c r="A632" s="96" t="inlineStr">
        <is>
          <t>KODEX 바이오</t>
        </is>
      </c>
      <c r="B632" s="96" t="inlineStr">
        <is>
          <t>244580</t>
        </is>
      </c>
      <c r="C632" s="96" t="inlineStr">
        <is>
          <t>삼성자산운용(ETF)</t>
        </is>
      </c>
      <c r="D632" s="97" t="n">
        <v>7930</v>
      </c>
      <c r="E632" s="97" t="n">
        <v>206814400000</v>
      </c>
      <c r="F632" s="97" t="n">
        <v>6412412507</v>
      </c>
      <c r="G632" s="98" t="n">
        <v>0.004500000000000001</v>
      </c>
      <c r="H632" s="98" t="n">
        <v>0.5007</v>
      </c>
      <c r="I632" s="98" t="n">
        <v>0.0018</v>
      </c>
      <c r="J632" s="98" t="n"/>
      <c r="K632" s="97" t="n">
        <v>2</v>
      </c>
      <c r="L632" s="99" t="inlineStr">
        <is>
          <t>20250429</t>
        </is>
      </c>
      <c r="M632" s="96" t="inlineStr">
        <is>
          <t>제외</t>
        </is>
      </c>
      <c r="N632" s="96" t="inlineStr">
        <is>
          <t>변동성 50.1%(1년 기준, 기준 35% 초과), 최근 12개월 분배 없음, 연 분배율 산출 불가(최근 12개월 분배 기록 없음)</t>
        </is>
      </c>
      <c r="O632" s="96" t="inlineStr">
        <is>
          <t>FnGuide 바이오 지수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무분배</t>
        </is>
      </c>
      <c r="S632" s="97" t="n">
        <v>0</v>
      </c>
      <c r="T632" s="98" t="n">
        <v>1</v>
      </c>
    </row>
    <row r="633">
      <c r="A633" s="96" t="inlineStr">
        <is>
          <t>KODEX 미국AI반도체TOP3플러스</t>
        </is>
      </c>
      <c r="B633" s="96" t="inlineStr">
        <is>
          <t>0151S0</t>
        </is>
      </c>
      <c r="C633" s="96" t="inlineStr">
        <is>
          <t>삼성자산운용(ETF)</t>
        </is>
      </c>
      <c r="D633" s="97" t="n">
        <v>14830</v>
      </c>
      <c r="E633" s="97" t="n">
        <v>202429500000</v>
      </c>
      <c r="F633" s="97" t="n">
        <v>6349463439</v>
      </c>
      <c r="G633" s="98" t="n">
        <v>0.0049</v>
      </c>
      <c r="H633" s="98" t="n">
        <v>0.4672</v>
      </c>
      <c r="I633" s="98" t="n">
        <v>0.0009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46.7%(168거래일 기준, 기준 35% 초과), 상장 8개월(기준 12개월 미만), 연 분배율 산출 불가(상장 1년 미만 — 12개월 창이 안 채워짐)</t>
        </is>
      </c>
      <c r="O633" s="96" t="inlineStr">
        <is>
          <t>Akros U.S. AI Semiconductor TOP3 Plus Index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판정 불가</t>
        </is>
      </c>
      <c r="S633" s="97" t="n">
        <v>2</v>
      </c>
      <c r="T633" s="98" t="n">
        <v>1</v>
      </c>
    </row>
    <row r="634">
      <c r="A634" s="96" t="inlineStr">
        <is>
          <t>KODEX 조선TOP10</t>
        </is>
      </c>
      <c r="B634" s="96" t="inlineStr">
        <is>
          <t>0115D0</t>
        </is>
      </c>
      <c r="C634" s="96" t="inlineStr">
        <is>
          <t>삼성자산운용(ETF)</t>
        </is>
      </c>
      <c r="D634" s="97" t="n">
        <v>7775</v>
      </c>
      <c r="E634" s="97" t="n">
        <v>199040000000</v>
      </c>
      <c r="F634" s="97" t="n">
        <v>19587720625</v>
      </c>
      <c r="G634" s="98" t="n">
        <v>0.004500000000000001</v>
      </c>
      <c r="H634" s="98" t="n">
        <v>0.5661999999999999</v>
      </c>
      <c r="I634" s="98" t="n">
        <v>0.0022</v>
      </c>
      <c r="J634" s="98" t="n"/>
      <c r="K634" s="97" t="n">
        <v>1</v>
      </c>
      <c r="L634" s="99" t="inlineStr">
        <is>
          <t>20260429</t>
        </is>
      </c>
      <c r="M634" s="96" t="inlineStr">
        <is>
          <t>제외</t>
        </is>
      </c>
      <c r="N634" s="96" t="inlineStr">
        <is>
          <t>변동성 56.6%(1년 기준, 기준 35% 초과), 상장 11개월(기준 12개월 미만), 연 분배율 산출 불가(상장 1년 미만 — 12개월 창이 안 채워짐)</t>
        </is>
      </c>
      <c r="O634" s="96" t="inlineStr">
        <is>
          <t>KRX 조선 TOP10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1</v>
      </c>
      <c r="T634" s="98" t="n">
        <v>1</v>
      </c>
    </row>
    <row r="635">
      <c r="A635" s="96" t="inlineStr">
        <is>
          <t>ACE 미국대형가치주액티브</t>
        </is>
      </c>
      <c r="B635" s="96" t="inlineStr">
        <is>
          <t>0127M0</t>
        </is>
      </c>
      <c r="C635" s="96" t="inlineStr">
        <is>
          <t>한국투신운용(ETF)</t>
        </is>
      </c>
      <c r="D635" s="97" t="n">
        <v>12195</v>
      </c>
      <c r="E635" s="97" t="n">
        <v>144510750000</v>
      </c>
      <c r="F635" s="97" t="n">
        <v>1004609951</v>
      </c>
      <c r="G635" s="98" t="n">
        <v>0.003</v>
      </c>
      <c r="H635" s="98" t="n">
        <v>0.1526</v>
      </c>
      <c r="I635" s="98" t="n">
        <v>0.0036</v>
      </c>
      <c r="J635" s="98" t="n"/>
      <c r="K635" s="97" t="n">
        <v>4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상장 10개월(기준 12개월 미만), 연 분배율 산출 불가(상장 1년 미만 — 12개월 창이 안 채워짐)</t>
        </is>
      </c>
      <c r="O635" s="96" t="inlineStr">
        <is>
          <t>Morningstar US Large Cap Value PR USD</t>
        </is>
      </c>
      <c r="P635" s="96" t="inlineStr">
        <is>
          <t>일반</t>
        </is>
      </c>
      <c r="Q635" s="96" t="inlineStr">
        <is>
          <t>주식</t>
        </is>
      </c>
      <c r="R635" s="96" t="inlineStr">
        <is>
          <t>판정 불가</t>
        </is>
      </c>
      <c r="S635" s="97" t="n">
        <v>4</v>
      </c>
      <c r="T635" s="98" t="n">
        <v>1</v>
      </c>
    </row>
    <row r="636">
      <c r="A636" s="96" t="inlineStr">
        <is>
          <t>KoAct 미국나스닥채권혼합50액티브</t>
        </is>
      </c>
      <c r="B636" s="96" t="inlineStr">
        <is>
          <t>0104H0</t>
        </is>
      </c>
      <c r="C636" s="96" t="inlineStr">
        <is>
          <t>삼성액티브자산(ETF)</t>
        </is>
      </c>
      <c r="D636" s="97" t="n">
        <v>11690</v>
      </c>
      <c r="E636" s="97" t="n">
        <v>142618000000</v>
      </c>
      <c r="F636" s="97" t="n">
        <v>1352896704</v>
      </c>
      <c r="G636" s="98" t="n">
        <v>0.0025</v>
      </c>
      <c r="H636" s="98" t="n">
        <v>0.1962</v>
      </c>
      <c r="I636" s="98" t="n">
        <v>0.0031</v>
      </c>
      <c r="J636" s="98" t="n"/>
      <c r="K636" s="97" t="n">
        <v>1</v>
      </c>
      <c r="L636" s="99" t="inlineStr">
        <is>
          <t>20251229</t>
        </is>
      </c>
      <c r="M636" s="96" t="inlineStr">
        <is>
          <t>제외</t>
        </is>
      </c>
      <c r="N636" s="96" t="inlineStr">
        <is>
          <t>연 분배율 산출 불가(상장 1년 미만 — 12개월 창이 안 채워짐)</t>
        </is>
      </c>
      <c r="O636" s="96" t="inlineStr">
        <is>
          <t>FnGuide 미국나스닥 금융채권혼합 지수</t>
        </is>
      </c>
      <c r="P636" s="96" t="inlineStr">
        <is>
          <t>일반</t>
        </is>
      </c>
      <c r="Q636" s="96" t="inlineStr">
        <is>
          <t>멀티에셋</t>
        </is>
      </c>
      <c r="R636" s="96" t="inlineStr">
        <is>
          <t>연배당</t>
        </is>
      </c>
      <c r="S636" s="97" t="n">
        <v>1</v>
      </c>
      <c r="T636" s="98" t="n">
        <v>1</v>
      </c>
    </row>
    <row r="637">
      <c r="A637" s="96" t="inlineStr">
        <is>
          <t>RISE 코리아전략산업액티브</t>
        </is>
      </c>
      <c r="B637" s="96" t="inlineStr">
        <is>
          <t>0151P0</t>
        </is>
      </c>
      <c r="C637" s="96" t="inlineStr">
        <is>
          <t>KB자산운용</t>
        </is>
      </c>
      <c r="D637" s="97" t="n">
        <v>14200</v>
      </c>
      <c r="E637" s="97" t="n">
        <v>140580000000</v>
      </c>
      <c r="F637" s="97" t="n">
        <v>6241946636</v>
      </c>
      <c r="G637" s="98" t="n">
        <v>0.005</v>
      </c>
      <c r="H637" s="98" t="n">
        <v>0.723</v>
      </c>
      <c r="I637" s="98" t="n">
        <v>0.0025</v>
      </c>
      <c r="J637" s="98" t="n"/>
      <c r="K637" s="97" t="n">
        <v>1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변동성 72.3%(163거래일 기준, 기준 35% 초과), 상장 8개월(기준 12개월 미만), 연 분배율 산출 불가(상장 1년 미만 — 12개월 창이 안 채워짐)</t>
        </is>
      </c>
      <c r="O637" s="96" t="inlineStr">
        <is>
          <t>KAP 코리아전략산업지수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1</v>
      </c>
      <c r="T637" s="98" t="n">
        <v>1</v>
      </c>
    </row>
    <row r="638">
      <c r="A638" s="96" t="inlineStr">
        <is>
          <t>TIGER 미국AI전력SMR</t>
        </is>
      </c>
      <c r="B638" s="96" t="inlineStr">
        <is>
          <t>0123G0</t>
        </is>
      </c>
      <c r="C638" s="96" t="inlineStr">
        <is>
          <t>미래에셋자산운용</t>
        </is>
      </c>
      <c r="D638" s="97" t="n">
        <v>6020</v>
      </c>
      <c r="E638" s="97" t="n">
        <v>123109000000</v>
      </c>
      <c r="F638" s="97" t="n">
        <v>829491026</v>
      </c>
      <c r="G638" s="98" t="n">
        <v>0.0049</v>
      </c>
      <c r="H638" s="98" t="n">
        <v>0.5486</v>
      </c>
      <c r="I638" s="98" t="n">
        <v>0.0005</v>
      </c>
      <c r="J638" s="98" t="n"/>
      <c r="K638" s="97" t="n">
        <v>1</v>
      </c>
      <c r="L638" s="99" t="inlineStr">
        <is>
          <t>20251229</t>
        </is>
      </c>
      <c r="M638" s="96" t="inlineStr">
        <is>
          <t>제외</t>
        </is>
      </c>
      <c r="N638" s="96" t="inlineStr">
        <is>
          <t>변동성 54.9%(1년 기준, 기준 35% 초과), 상장 10개월(기준 12개월 미만), 연 분배율 산출 불가(상장 1년 미만 — 12개월 창이 안 채워짐)</t>
        </is>
      </c>
      <c r="O638" s="96" t="inlineStr">
        <is>
          <t>Akros U.S. AI Electricity SMR Index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>
        <v>1</v>
      </c>
    </row>
    <row r="639">
      <c r="A639" s="96" t="inlineStr">
        <is>
          <t>KODEX 차이나AI반도체TOP10</t>
        </is>
      </c>
      <c r="B639" s="96" t="inlineStr">
        <is>
          <t>0162L0</t>
        </is>
      </c>
      <c r="C639" s="96" t="inlineStr">
        <is>
          <t>삼성자산운용(ETF)</t>
        </is>
      </c>
      <c r="D639" s="97" t="n">
        <v>13415</v>
      </c>
      <c r="E639" s="97" t="n">
        <v>108661500000</v>
      </c>
      <c r="F639" s="97" t="n">
        <v>15874176655</v>
      </c>
      <c r="G639" s="98" t="n">
        <v>0.005500000000000001</v>
      </c>
      <c r="H639" s="98" t="n">
        <v>0.638</v>
      </c>
      <c r="I639" s="98" t="n">
        <v>0.0012</v>
      </c>
      <c r="J639" s="98" t="n"/>
      <c r="K639" s="97" t="n">
        <v>2</v>
      </c>
      <c r="L639" s="99" t="inlineStr">
        <is>
          <t>20260730</t>
        </is>
      </c>
      <c r="M639" s="96" t="inlineStr">
        <is>
          <t>제외</t>
        </is>
      </c>
      <c r="N639" s="96" t="inlineStr">
        <is>
          <t>변동성 63.8%(139거래일 기준, 기준 35% 초과), 상장 7개월(기준 12개월 미만), 연 분배율 산출 불가(상장 1년 미만 — 12개월 창이 안 채워짐)</t>
        </is>
      </c>
      <c r="O639" s="96" t="inlineStr">
        <is>
          <t>Indxx China AI Semiconductor Top 10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2</v>
      </c>
      <c r="T639" s="98" t="n">
        <v>1</v>
      </c>
    </row>
    <row r="640">
      <c r="A640" s="96" t="inlineStr">
        <is>
          <t>PLUS 금채권혼합</t>
        </is>
      </c>
      <c r="B640" s="96" t="inlineStr">
        <is>
          <t>0138Y0</t>
        </is>
      </c>
      <c r="C640" s="96" t="inlineStr">
        <is>
          <t>한화자산운용</t>
        </is>
      </c>
      <c r="D640" s="97" t="n">
        <v>9720</v>
      </c>
      <c r="E640" s="97" t="n">
        <v>107892000000</v>
      </c>
      <c r="F640" s="97" t="n">
        <v>1532112452</v>
      </c>
      <c r="G640" s="98" t="n">
        <v>0.0015</v>
      </c>
      <c r="H640" s="98" t="n">
        <v>0.1538</v>
      </c>
      <c r="I640" s="98" t="n">
        <v>0.0002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상장 9개월(기준 12개월 미만), 연 분배율 산출 불가(상장 1년 미만 — 12개월 창이 안 채워짐)</t>
        </is>
      </c>
      <c r="O640" s="96" t="inlineStr">
        <is>
          <t>Akros U.S. Gold ETF Treasury Balanced Index</t>
        </is>
      </c>
      <c r="P640" s="96" t="inlineStr">
        <is>
          <t>일반</t>
        </is>
      </c>
      <c r="Q640" s="96" t="inlineStr">
        <is>
          <t>멀티에셋</t>
        </is>
      </c>
      <c r="R640" s="96" t="inlineStr">
        <is>
          <t>판정 불가</t>
        </is>
      </c>
      <c r="S640" s="97" t="n">
        <v>1</v>
      </c>
      <c r="T640" s="98" t="n">
        <v>1</v>
      </c>
    </row>
    <row r="641">
      <c r="A641" s="96" t="inlineStr">
        <is>
          <t>RISE 26-11 회사채(AA-이상)액티브</t>
        </is>
      </c>
      <c r="B641" s="96" t="inlineStr">
        <is>
          <t>0122W0</t>
        </is>
      </c>
      <c r="C641" s="96" t="inlineStr">
        <is>
          <t>KB자산운용</t>
        </is>
      </c>
      <c r="D641" s="97" t="n">
        <v>51050</v>
      </c>
      <c r="E641" s="97" t="n">
        <v>101793700000</v>
      </c>
      <c r="F641" s="97" t="n">
        <v>226547819</v>
      </c>
      <c r="G641" s="98" t="n">
        <v>0.0005</v>
      </c>
      <c r="H641" s="98" t="n">
        <v>0.0035</v>
      </c>
      <c r="I641" s="98" t="n">
        <v>0.0027</v>
      </c>
      <c r="J641" s="98" t="n"/>
      <c r="K641" s="97" t="n">
        <v>1</v>
      </c>
      <c r="L641" s="99" t="inlineStr">
        <is>
          <t>20251212</t>
        </is>
      </c>
      <c r="M641" s="96" t="inlineStr">
        <is>
          <t>제외</t>
        </is>
      </c>
      <c r="N641" s="96" t="inlineStr">
        <is>
          <t>60일 거래대금 2.3억(기준 5억 미만), 상장 10개월(기준 12개월 미만), 연 분배율 산출 불가(상장 1년 미만 — 12개월 창이 안 채워짐)</t>
        </is>
      </c>
      <c r="O641" s="96" t="inlineStr">
        <is>
          <t>KAP 26-11 회사채(AA-이상) 총수익지수</t>
        </is>
      </c>
      <c r="P641" s="96" t="inlineStr">
        <is>
          <t>일반</t>
        </is>
      </c>
      <c r="Q641" s="96" t="inlineStr">
        <is>
          <t>채권</t>
        </is>
      </c>
      <c r="R641" s="96" t="inlineStr">
        <is>
          <t>판정 불가</t>
        </is>
      </c>
      <c r="S641" s="97" t="n">
        <v>1</v>
      </c>
      <c r="T641" s="98" t="n">
        <v>1</v>
      </c>
    </row>
    <row r="642">
      <c r="A642" s="96" t="inlineStr">
        <is>
          <t>KIWOOM 미국S&amp;P500모멘텀</t>
        </is>
      </c>
      <c r="B642" s="96" t="inlineStr">
        <is>
          <t>0137V0</t>
        </is>
      </c>
      <c r="C642" s="96" t="inlineStr">
        <is>
          <t>키움투자자산운용</t>
        </is>
      </c>
      <c r="D642" s="97" t="n">
        <v>11180</v>
      </c>
      <c r="E642" s="97" t="n">
        <v>99502000000</v>
      </c>
      <c r="F642" s="97" t="n">
        <v>1494535559</v>
      </c>
      <c r="G642" s="98" t="n">
        <v>0.0012</v>
      </c>
      <c r="H642" s="98" t="n">
        <v>0.2772</v>
      </c>
      <c r="I642" s="98" t="n">
        <v>0.0014</v>
      </c>
      <c r="J642" s="98" t="n"/>
      <c r="K642" s="97" t="n">
        <v>3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상장 9개월(기준 12개월 미만), 연 분배율 산출 불가(상장 1년 미만 — 12개월 창이 안 채워짐)</t>
        </is>
      </c>
      <c r="O642" s="96" t="inlineStr">
        <is>
          <t>S&amp;P 500 Momentum Index (US Dollar)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3</v>
      </c>
      <c r="T642" s="98" t="n">
        <v>1</v>
      </c>
    </row>
    <row r="643">
      <c r="A643" s="96" t="inlineStr">
        <is>
          <t>TIGER 미국AI데이터센터TOP4Plus</t>
        </is>
      </c>
      <c r="B643" s="96" t="inlineStr">
        <is>
          <t>0142D0</t>
        </is>
      </c>
      <c r="C643" s="96" t="inlineStr">
        <is>
          <t>미래에셋자산운용</t>
        </is>
      </c>
      <c r="D643" s="97" t="n">
        <v>10500</v>
      </c>
      <c r="E643" s="97" t="n">
        <v>97650000000</v>
      </c>
      <c r="F643" s="97" t="n">
        <v>2096330577</v>
      </c>
      <c r="G643" s="98" t="n">
        <v>0.0049</v>
      </c>
      <c r="H643" s="98" t="n">
        <v>0.7561</v>
      </c>
      <c r="I643" s="98" t="n">
        <v>0.0002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변동성 75.6%(190거래일 기준, 기준 35% 초과), 상장 9개월(기준 12개월 미만), 연 분배율 산출 불가(상장 1년 미만 — 12개월 창이 안 채워짐)</t>
        </is>
      </c>
      <c r="O643" s="96" t="inlineStr">
        <is>
          <t>Akros U.S. AI Data Center TOP4 Plus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1</v>
      </c>
      <c r="T643" s="98" t="n">
        <v>1</v>
      </c>
    </row>
    <row r="644">
      <c r="A644" s="96" t="inlineStr">
        <is>
          <t>TIME 글로벌탑픽액티브</t>
        </is>
      </c>
      <c r="B644" s="96" t="inlineStr">
        <is>
          <t>0113D0</t>
        </is>
      </c>
      <c r="C644" s="96" t="inlineStr">
        <is>
          <t>타임폴리오자산운용</t>
        </is>
      </c>
      <c r="D644" s="97" t="n">
        <v>11845</v>
      </c>
      <c r="E644" s="97" t="n">
        <v>68108750000</v>
      </c>
      <c r="F644" s="97" t="n">
        <v>568396326</v>
      </c>
      <c r="G644" s="98" t="n">
        <v>0.0005999999999999999</v>
      </c>
      <c r="H644" s="98" t="n">
        <v>0.1902</v>
      </c>
      <c r="I644" s="98" t="n">
        <v>0.0016</v>
      </c>
      <c r="J644" s="98" t="n"/>
      <c r="K644" s="97" t="n">
        <v>1</v>
      </c>
      <c r="L644" s="99" t="inlineStr">
        <is>
          <t>20251229</t>
        </is>
      </c>
      <c r="M644" s="96" t="inlineStr">
        <is>
          <t>제외</t>
        </is>
      </c>
      <c r="N644" s="96" t="inlineStr">
        <is>
          <t>상장 11개월(기준 12개월 미만), 연 분배율 산출 불가(상장 1년 미만 — 12개월 창이 안 채워짐)</t>
        </is>
      </c>
      <c r="O644" s="96" t="inlineStr">
        <is>
          <t>Bloomberg World Large, Mid &amp; Small Cap Price Return Index</t>
        </is>
      </c>
      <c r="P644" s="96" t="inlineStr">
        <is>
          <t>일반</t>
        </is>
      </c>
      <c r="Q644" s="96" t="inlineStr">
        <is>
          <t>멀티에셋</t>
        </is>
      </c>
      <c r="R644" s="96" t="inlineStr">
        <is>
          <t>판정 불가</t>
        </is>
      </c>
      <c r="S644" s="97" t="n">
        <v>1</v>
      </c>
      <c r="T644" s="98" t="n">
        <v>1</v>
      </c>
    </row>
    <row r="645">
      <c r="A645" s="96" t="inlineStr">
        <is>
          <t>FOCUS 200</t>
        </is>
      </c>
      <c r="B645" s="96" t="inlineStr">
        <is>
          <t>0098Z0</t>
        </is>
      </c>
      <c r="C645" s="96" t="inlineStr">
        <is>
          <t>브이아이자산운용</t>
        </is>
      </c>
      <c r="D645" s="97" t="n">
        <v>90655</v>
      </c>
      <c r="E645" s="97" t="n">
        <v>67991250000</v>
      </c>
      <c r="F645" s="97" t="n">
        <v>88949641</v>
      </c>
      <c r="G645" s="98" t="n">
        <v>0.0005</v>
      </c>
      <c r="H645" s="98" t="n">
        <v>0.5948</v>
      </c>
      <c r="I645" s="98" t="n">
        <v>0.0016</v>
      </c>
      <c r="J645" s="98" t="n"/>
      <c r="K645" s="97" t="n">
        <v>2</v>
      </c>
      <c r="L645" s="99" t="inlineStr">
        <is>
          <t>20260730</t>
        </is>
      </c>
      <c r="M645" s="96" t="inlineStr">
        <is>
          <t>제외</t>
        </is>
      </c>
      <c r="N645" s="96" t="inlineStr">
        <is>
          <t>60일 거래대금 0.9억(기준 5억 미만), 변동성 59.5%(1년 기준, 기준 35% 초과), 연 분배율 산출 불가(상장 1년 미만 — 12개월 창이 안 채워짐)</t>
        </is>
      </c>
      <c r="O645" s="96" t="inlineStr">
        <is>
          <t>KOSPI 200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2</v>
      </c>
      <c r="T645" s="98" t="n">
        <v>1</v>
      </c>
    </row>
    <row r="646">
      <c r="A646" s="96" t="inlineStr">
        <is>
          <t>TIGER 구글밸류체인</t>
        </is>
      </c>
      <c r="B646" s="96" t="inlineStr">
        <is>
          <t>0190Y0</t>
        </is>
      </c>
      <c r="C646" s="96" t="inlineStr">
        <is>
          <t>미래에셋자산운용</t>
        </is>
      </c>
      <c r="D646" s="97" t="n">
        <v>8380</v>
      </c>
      <c r="E646" s="97" t="n">
        <v>67878000000</v>
      </c>
      <c r="F646" s="97" t="n">
        <v>1093996172</v>
      </c>
      <c r="G646" s="98" t="n">
        <v>0.004500000000000001</v>
      </c>
      <c r="H646" s="98" t="n">
        <v>0.3853</v>
      </c>
      <c r="I646" s="98" t="n">
        <v>0.0037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38.5%(89거래일 기준, 기준 35% 초과), 상장 4개월(기준 12개월 미만), 연 분배율 산출 불가(상장 1년 미만 — 12개월 창이 안 채워짐)</t>
        </is>
      </c>
      <c r="O646" s="96" t="inlineStr">
        <is>
          <t>Akros Google Value Chain Index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>
        <v>1</v>
      </c>
    </row>
    <row r="647">
      <c r="A647" s="96" t="inlineStr">
        <is>
          <t>KODEX 헬스케어</t>
        </is>
      </c>
      <c r="B647" s="96" t="inlineStr">
        <is>
          <t>266420</t>
        </is>
      </c>
      <c r="C647" s="96" t="inlineStr">
        <is>
          <t>삼성자산운용(ETF)</t>
        </is>
      </c>
      <c r="D647" s="97" t="n">
        <v>16090</v>
      </c>
      <c r="E647" s="97" t="n">
        <v>64360000000</v>
      </c>
      <c r="F647" s="97" t="n">
        <v>712472621</v>
      </c>
      <c r="G647" s="98" t="n">
        <v>0.0009</v>
      </c>
      <c r="H647" s="98" t="n">
        <v>0.435</v>
      </c>
      <c r="I647" s="98" t="n">
        <v>0.0026</v>
      </c>
      <c r="J647" s="98" t="n"/>
      <c r="K647" s="97" t="n">
        <v>2</v>
      </c>
      <c r="L647" s="99" t="inlineStr">
        <is>
          <t>20250429</t>
        </is>
      </c>
      <c r="M647" s="96" t="inlineStr">
        <is>
          <t>제외</t>
        </is>
      </c>
      <c r="N647" s="96" t="inlineStr">
        <is>
          <t>변동성 43.5%(1년 기준, 기준 35% 초과), 최근 12개월 분배 없음, 연 분배율 산출 불가(최근 12개월 분배 기록 없음)</t>
        </is>
      </c>
      <c r="O647" s="96" t="inlineStr">
        <is>
          <t>KRX 헬스케어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무분배</t>
        </is>
      </c>
      <c r="S647" s="97" t="n">
        <v>0</v>
      </c>
      <c r="T647" s="98" t="n">
        <v>1</v>
      </c>
    </row>
    <row r="648">
      <c r="A648" s="96" t="inlineStr">
        <is>
          <t>KODEX 코리아소버린AI</t>
        </is>
      </c>
      <c r="B648" s="96" t="inlineStr">
        <is>
          <t>0115E0</t>
        </is>
      </c>
      <c r="C648" s="96" t="inlineStr">
        <is>
          <t>삼성자산운용(ETF)</t>
        </is>
      </c>
      <c r="D648" s="97" t="n">
        <v>13835</v>
      </c>
      <c r="E648" s="97" t="n">
        <v>60182250000</v>
      </c>
      <c r="F648" s="97" t="n">
        <v>1156428589</v>
      </c>
      <c r="G648" s="98" t="n">
        <v>0.004500000000000001</v>
      </c>
      <c r="H648" s="98" t="n">
        <v>0.4728</v>
      </c>
      <c r="I648" s="98" t="n">
        <v>0.0021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변동성 47.3%(1년 기준, 기준 35% 초과), 상장 11개월(기준 12개월 미만), 연 분배율 산출 불가(상장 1년 미만 — 12개월 창이 안 채워짐)</t>
        </is>
      </c>
      <c r="O648" s="96" t="inlineStr">
        <is>
          <t>KRX 코리아 소버린 AI 지수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2</v>
      </c>
      <c r="T648" s="98" t="n">
        <v>1</v>
      </c>
    </row>
    <row r="649">
      <c r="A649" s="96" t="inlineStr">
        <is>
          <t>PLUS K제조업핵심기업액티브</t>
        </is>
      </c>
      <c r="B649" s="96" t="inlineStr">
        <is>
          <t>0166S0</t>
        </is>
      </c>
      <c r="C649" s="96" t="inlineStr">
        <is>
          <t>한화자산운용</t>
        </is>
      </c>
      <c r="D649" s="97" t="n">
        <v>10945</v>
      </c>
      <c r="E649" s="97" t="n">
        <v>57461250000</v>
      </c>
      <c r="F649" s="97" t="n">
        <v>944114567</v>
      </c>
      <c r="G649" s="98" t="n">
        <v>0.0063</v>
      </c>
      <c r="H649" s="98" t="n">
        <v>0.7223999999999999</v>
      </c>
      <c r="I649" s="98" t="n">
        <v>0.0004</v>
      </c>
      <c r="J649" s="98" t="n"/>
      <c r="K649" s="97" t="n">
        <v>1</v>
      </c>
      <c r="L649" s="99" t="inlineStr">
        <is>
          <t>20260429</t>
        </is>
      </c>
      <c r="M649" s="96" t="inlineStr">
        <is>
          <t>제외</t>
        </is>
      </c>
      <c r="N649" s="96" t="inlineStr">
        <is>
          <t>변동성 72.2%(122거래일 기준, 기준 35% 초과), 상장 6개월(기준 12개월 미만), 연 분배율 산출 불가(상장 1년 미만 — 12개월 창이 안 채워짐)</t>
        </is>
      </c>
      <c r="O649" s="96" t="inlineStr">
        <is>
          <t>Akros K제조업 50 지수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1</v>
      </c>
      <c r="T649" s="98" t="n">
        <v>1</v>
      </c>
    </row>
    <row r="650">
      <c r="A650" s="96" t="inlineStr">
        <is>
          <t>SOL 조선기자재</t>
        </is>
      </c>
      <c r="B650" s="96" t="inlineStr">
        <is>
          <t>0141S0</t>
        </is>
      </c>
      <c r="C650" s="96" t="inlineStr">
        <is>
          <t>신한자산운용</t>
        </is>
      </c>
      <c r="D650" s="97" t="n">
        <v>8940</v>
      </c>
      <c r="E650" s="97" t="n">
        <v>56322000000</v>
      </c>
      <c r="F650" s="97" t="n">
        <v>2674978703</v>
      </c>
      <c r="G650" s="98" t="n">
        <v>0.004500000000000001</v>
      </c>
      <c r="H650" s="98" t="n">
        <v>0.593</v>
      </c>
      <c r="I650" s="98" t="n">
        <v>0.0007000000000000001</v>
      </c>
      <c r="J650" s="98" t="n"/>
      <c r="K650" s="97" t="n">
        <v>2</v>
      </c>
      <c r="L650" s="99" t="inlineStr">
        <is>
          <t>20260429</t>
        </is>
      </c>
      <c r="M650" s="96" t="inlineStr">
        <is>
          <t>제외</t>
        </is>
      </c>
      <c r="N650" s="96" t="inlineStr">
        <is>
          <t>변동성 59.3%(185거래일 기준, 기준 35% 초과), 상장 9개월(기준 12개월 미만), 연 분배율 산출 불가(상장 1년 미만 — 12개월 창이 안 채워짐)</t>
        </is>
      </c>
      <c r="O650" s="96" t="inlineStr">
        <is>
          <t>FnGuide 조선 기자재 지수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2</v>
      </c>
      <c r="T650" s="98" t="n">
        <v>1</v>
      </c>
    </row>
    <row r="651">
      <c r="A651" s="96" t="inlineStr">
        <is>
          <t>HK 머니마켓액티브</t>
        </is>
      </c>
      <c r="B651" s="96" t="inlineStr">
        <is>
          <t>0113P0</t>
        </is>
      </c>
      <c r="C651" s="96" t="inlineStr">
        <is>
          <t>흥국자산운용</t>
        </is>
      </c>
      <c r="D651" s="97" t="n">
        <v>102555</v>
      </c>
      <c r="E651" s="97" t="n">
        <v>53123490000</v>
      </c>
      <c r="F651" s="97" t="n">
        <v>2487678</v>
      </c>
      <c r="G651" s="98" t="n">
        <v>0.00045</v>
      </c>
      <c r="H651" s="98" t="n">
        <v>0.0029</v>
      </c>
      <c r="I651" s="98" t="n">
        <v>0.0024</v>
      </c>
      <c r="J651" s="98" t="n"/>
      <c r="K651" s="97" t="n">
        <v>1</v>
      </c>
      <c r="L651" s="99" t="inlineStr">
        <is>
          <t>20251229</t>
        </is>
      </c>
      <c r="M651" s="96" t="inlineStr">
        <is>
          <t>제외</t>
        </is>
      </c>
      <c r="N651" s="96" t="inlineStr">
        <is>
          <t>60일 거래대금 0.0억(기준 5억 미만), 연 분배율 산출 불가(상장 1년 미만 — 12개월 창이 안 채워짐)</t>
        </is>
      </c>
      <c r="O651" s="96" t="inlineStr">
        <is>
          <t>KAP 머니마켓 지수(총수익)</t>
        </is>
      </c>
      <c r="P651" s="96" t="inlineStr">
        <is>
          <t>일반</t>
        </is>
      </c>
      <c r="Q651" s="96" t="inlineStr">
        <is>
          <t>단기자금(파킹형)</t>
        </is>
      </c>
      <c r="R651" s="96" t="inlineStr">
        <is>
          <t>연배당</t>
        </is>
      </c>
      <c r="S651" s="97" t="n">
        <v>1</v>
      </c>
      <c r="T651" s="98" t="n">
        <v>1</v>
      </c>
    </row>
    <row r="652">
      <c r="A652" s="96" t="inlineStr">
        <is>
          <t>ACE 미국AI테크핵심산업액티브</t>
        </is>
      </c>
      <c r="B652" s="96" t="inlineStr">
        <is>
          <t>0118Z0</t>
        </is>
      </c>
      <c r="C652" s="96" t="inlineStr">
        <is>
          <t>한국투신운용(ETF)</t>
        </is>
      </c>
      <c r="D652" s="97" t="n">
        <v>8605</v>
      </c>
      <c r="E652" s="97" t="n">
        <v>51199750000</v>
      </c>
      <c r="F652" s="97" t="n">
        <v>306313743</v>
      </c>
      <c r="G652" s="98" t="n">
        <v>0.004500000000000001</v>
      </c>
      <c r="H652" s="98" t="n">
        <v>0.4486</v>
      </c>
      <c r="I652" s="98" t="n">
        <v>0.0003</v>
      </c>
      <c r="J652" s="98" t="n"/>
      <c r="K652" s="97" t="n">
        <v>1</v>
      </c>
      <c r="L652" s="99" t="inlineStr">
        <is>
          <t>20251229</t>
        </is>
      </c>
      <c r="M652" s="96" t="inlineStr">
        <is>
          <t>제외</t>
        </is>
      </c>
      <c r="N652" s="96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6" t="inlineStr">
        <is>
          <t>Akros U.S. AI Innovator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  <c r="T652" s="98" t="n">
        <v>1</v>
      </c>
    </row>
    <row r="653">
      <c r="A653" s="96" t="inlineStr">
        <is>
          <t>SOL 미국넥스트테크TOP10액티브</t>
        </is>
      </c>
      <c r="B653" s="96" t="inlineStr">
        <is>
          <t>0118S0</t>
        </is>
      </c>
      <c r="C653" s="96" t="inlineStr">
        <is>
          <t>신한자산운용</t>
        </is>
      </c>
      <c r="D653" s="97" t="n">
        <v>10585</v>
      </c>
      <c r="E653" s="97" t="n">
        <v>49220250000</v>
      </c>
      <c r="F653" s="97" t="n">
        <v>544234961</v>
      </c>
      <c r="G653" s="98" t="n">
        <v>0.005500000000000001</v>
      </c>
      <c r="H653" s="98" t="n">
        <v>0.6093999999999999</v>
      </c>
      <c r="I653" s="98" t="n">
        <v>0.0004</v>
      </c>
      <c r="J653" s="98" t="n"/>
      <c r="K653" s="97" t="n">
        <v>2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60.9%(1년 기준, 기준 35% 초과), 상장 11개월(기준 12개월 미만), 연 분배율 산출 불가(상장 1년 미만 — 12개월 창이 안 채워짐)</t>
        </is>
      </c>
      <c r="O653" s="96" t="inlineStr">
        <is>
          <t>KEDI U.S. Next Tech Top10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>
        <v>1</v>
      </c>
    </row>
    <row r="654">
      <c r="A654" s="96" t="inlineStr">
        <is>
          <t>IBK 미국AI TOP10국채혼합50</t>
        </is>
      </c>
      <c r="B654" s="96" t="inlineStr">
        <is>
          <t>0178H0</t>
        </is>
      </c>
      <c r="C654" s="96" t="inlineStr">
        <is>
          <t>IBK자산운용</t>
        </is>
      </c>
      <c r="D654" s="97" t="n">
        <v>9950</v>
      </c>
      <c r="E654" s="97" t="n">
        <v>46765000000</v>
      </c>
      <c r="F654" s="97" t="n">
        <v>98887313</v>
      </c>
      <c r="G654" s="98" t="n">
        <v>0.0025</v>
      </c>
      <c r="H654" s="98" t="n">
        <v>0.1375</v>
      </c>
      <c r="I654" s="98" t="n">
        <v>0.0015</v>
      </c>
      <c r="J654" s="98" t="n"/>
      <c r="K654" s="97" t="n">
        <v>1</v>
      </c>
      <c r="L654" s="99" t="inlineStr">
        <is>
          <t>20260730</t>
        </is>
      </c>
      <c r="M654" s="96" t="inlineStr">
        <is>
          <t>제외</t>
        </is>
      </c>
      <c r="N654" s="96" t="inlineStr">
        <is>
          <t>60일 거래대금 1.0억(기준 5억 미만), 상장 5개월(기준 12개월 미만), 연 분배율 산출 불가(상장 1년 미만 — 12개월 창이 안 채워짐)</t>
        </is>
      </c>
      <c r="O654" s="96" t="inlineStr">
        <is>
          <t>FnGuide 미국AI TOP10국채혼합 지수</t>
        </is>
      </c>
      <c r="P654" s="96" t="inlineStr">
        <is>
          <t>일반</t>
        </is>
      </c>
      <c r="Q654" s="96" t="inlineStr">
        <is>
          <t>멀티에셋</t>
        </is>
      </c>
      <c r="R654" s="96" t="inlineStr">
        <is>
          <t>판정 불가</t>
        </is>
      </c>
      <c r="S654" s="97" t="n">
        <v>1</v>
      </c>
      <c r="T654" s="98" t="n">
        <v>1</v>
      </c>
    </row>
    <row r="655">
      <c r="A655" s="96" t="inlineStr">
        <is>
          <t>KODEX 미국원자력SMR</t>
        </is>
      </c>
      <c r="B655" s="96" t="inlineStr">
        <is>
          <t>0132H0</t>
        </is>
      </c>
      <c r="C655" s="96" t="inlineStr">
        <is>
          <t>삼성자산운용(ETF)</t>
        </is>
      </c>
      <c r="D655" s="97" t="n">
        <v>7445</v>
      </c>
      <c r="E655" s="97" t="n">
        <v>43553250000</v>
      </c>
      <c r="F655" s="97" t="n">
        <v>434471413</v>
      </c>
      <c r="G655" s="98" t="n">
        <v>0.004500000000000001</v>
      </c>
      <c r="H655" s="98" t="n">
        <v>0.5204</v>
      </c>
      <c r="I655" s="98" t="n">
        <v>0.0005</v>
      </c>
      <c r="J655" s="98" t="n"/>
      <c r="K655" s="97" t="n">
        <v>3</v>
      </c>
      <c r="L655" s="99" t="inlineStr">
        <is>
          <t>20260730</t>
        </is>
      </c>
      <c r="M655" s="96" t="inlineStr">
        <is>
          <t>제외</t>
        </is>
      </c>
      <c r="N655" s="96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6" t="inlineStr">
        <is>
          <t>iSelect U.S. Nuclear Power SMR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3</v>
      </c>
      <c r="T655" s="98" t="n">
        <v>1</v>
      </c>
    </row>
    <row r="656">
      <c r="A656" s="96" t="inlineStr">
        <is>
          <t>1Q 코스닥150채권혼합50액티브</t>
        </is>
      </c>
      <c r="B656" s="96" t="inlineStr">
        <is>
          <t>0186S0</t>
        </is>
      </c>
      <c r="C656" s="96" t="inlineStr">
        <is>
          <t>하나자산운용</t>
        </is>
      </c>
      <c r="D656" s="97" t="n">
        <v>8275</v>
      </c>
      <c r="E656" s="97" t="n">
        <v>43030000000</v>
      </c>
      <c r="F656" s="97" t="n">
        <v>2886917922</v>
      </c>
      <c r="G656" s="98" t="n">
        <v>0.0063</v>
      </c>
      <c r="H656" s="98" t="n">
        <v>0.3252</v>
      </c>
      <c r="I656" s="98" t="n">
        <v>0.0027</v>
      </c>
      <c r="J656" s="98" t="n"/>
      <c r="K656" s="97" t="n">
        <v>1</v>
      </c>
      <c r="L656" s="99" t="inlineStr">
        <is>
          <t>20260730</t>
        </is>
      </c>
      <c r="M656" s="96" t="inlineStr">
        <is>
          <t>제외</t>
        </is>
      </c>
      <c r="N656" s="96" t="inlineStr">
        <is>
          <t>상장 5개월(기준 12개월 미만), 연 분배율 산출 불가(상장 1년 미만 — 12개월 창이 안 채워짐)</t>
        </is>
      </c>
      <c r="O656" s="96" t="inlineStr">
        <is>
          <t>코스닥 150 단기국공채 혼합지수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판정 불가</t>
        </is>
      </c>
      <c r="S656" s="97" t="n">
        <v>1</v>
      </c>
      <c r="T656" s="98" t="n">
        <v>1</v>
      </c>
    </row>
    <row r="657">
      <c r="A657" s="96" t="inlineStr">
        <is>
          <t>SOL 중기종합채권(AA-이상)액티브</t>
        </is>
      </c>
      <c r="B657" s="96" t="inlineStr">
        <is>
          <t>0141T0</t>
        </is>
      </c>
      <c r="C657" s="96" t="inlineStr">
        <is>
          <t>신한자산운용</t>
        </is>
      </c>
      <c r="D657" s="97" t="n">
        <v>50165</v>
      </c>
      <c r="E657" s="97" t="n">
        <v>42138600000</v>
      </c>
      <c r="F657" s="97" t="n">
        <v>21939030</v>
      </c>
      <c r="G657" s="98" t="n">
        <v>0.0005</v>
      </c>
      <c r="H657" s="98" t="n">
        <v>0.0184</v>
      </c>
      <c r="I657" s="98" t="n">
        <v>0.0004</v>
      </c>
      <c r="J657" s="98" t="n"/>
      <c r="K657" s="97" t="n">
        <v>1</v>
      </c>
      <c r="L657" s="99" t="inlineStr">
        <is>
          <t>20251229</t>
        </is>
      </c>
      <c r="M657" s="96" t="inlineStr">
        <is>
          <t>제외</t>
        </is>
      </c>
      <c r="N657" s="96" t="inlineStr">
        <is>
          <t>60일 거래대금 0.2억(기준 5억 미만), 상장 9개월(기준 12개월 미만), 연 분배율 산출 불가(상장 1년 미만 — 12개월 창이 안 채워짐)</t>
        </is>
      </c>
      <c r="O657" s="96" t="inlineStr">
        <is>
          <t>KAP K-중기종합채권지수(AA-이상, 총수익)</t>
        </is>
      </c>
      <c r="P657" s="96" t="inlineStr">
        <is>
          <t>일반</t>
        </is>
      </c>
      <c r="Q657" s="96" t="inlineStr">
        <is>
          <t>채권</t>
        </is>
      </c>
      <c r="R657" s="96" t="inlineStr">
        <is>
          <t>판정 불가</t>
        </is>
      </c>
      <c r="S657" s="97" t="n">
        <v>1</v>
      </c>
      <c r="T657" s="98" t="n">
        <v>1</v>
      </c>
    </row>
    <row r="658">
      <c r="A658" s="96" t="inlineStr">
        <is>
          <t>HANARO 반도체핵심공정주도주</t>
        </is>
      </c>
      <c r="B658" s="96" t="inlineStr">
        <is>
          <t>476260</t>
        </is>
      </c>
      <c r="C658" s="96" t="inlineStr">
        <is>
          <t>NH-Amundi자산운용</t>
        </is>
      </c>
      <c r="D658" s="97" t="n">
        <v>12495</v>
      </c>
      <c r="E658" s="97" t="n">
        <v>38734500000</v>
      </c>
      <c r="F658" s="97" t="n">
        <v>7515457885</v>
      </c>
      <c r="G658" s="98" t="n">
        <v>0.004500000000000001</v>
      </c>
      <c r="H658" s="98" t="n">
        <v>0.7844</v>
      </c>
      <c r="I658" s="98" t="n">
        <v>0.0067</v>
      </c>
      <c r="J658" s="98" t="n"/>
      <c r="K658" s="97" t="n">
        <v>1</v>
      </c>
      <c r="L658" s="99" t="inlineStr">
        <is>
          <t>20250429</t>
        </is>
      </c>
      <c r="M658" s="96" t="inlineStr">
        <is>
          <t>제외</t>
        </is>
      </c>
      <c r="N658" s="96" t="inlineStr">
        <is>
          <t>변동성 78.4%(1년 기준, 기준 35% 초과), 최근 12개월 분배 없음, 연 분배율 산출 불가(최근 12개월 분배 기록 없음)</t>
        </is>
      </c>
      <c r="O658" s="96" t="inlineStr">
        <is>
          <t>FnGuide 반도체 핵심 공정 주도주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무분배</t>
        </is>
      </c>
      <c r="S658" s="97" t="n">
        <v>0</v>
      </c>
      <c r="T658" s="98" t="n">
        <v>1</v>
      </c>
    </row>
    <row r="659">
      <c r="A659" s="96" t="inlineStr">
        <is>
          <t>WON 초대형IB&amp;금융지주</t>
        </is>
      </c>
      <c r="B659" s="96" t="inlineStr">
        <is>
          <t>0154F0</t>
        </is>
      </c>
      <c r="C659" s="96" t="inlineStr">
        <is>
          <t>우리자산운용</t>
        </is>
      </c>
      <c r="D659" s="97" t="n">
        <v>12325</v>
      </c>
      <c r="E659" s="97" t="n">
        <v>35126250000</v>
      </c>
      <c r="F659" s="97" t="n">
        <v>388549612</v>
      </c>
      <c r="G659" s="98" t="n">
        <v>0.0029</v>
      </c>
      <c r="H659" s="98" t="n">
        <v>0.494</v>
      </c>
      <c r="I659" s="98" t="n">
        <v>0.0177</v>
      </c>
      <c r="J659" s="98" t="n"/>
      <c r="K659" s="97" t="n">
        <v>1</v>
      </c>
      <c r="L659" s="99" t="inlineStr">
        <is>
          <t>20260429</t>
        </is>
      </c>
      <c r="M659" s="96" t="inlineStr">
        <is>
          <t>제외</t>
        </is>
      </c>
      <c r="N659" s="96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6" t="inlineStr">
        <is>
          <t>iSelect 초대형IB&amp;금융지주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판정 불가</t>
        </is>
      </c>
      <c r="S659" s="97" t="n">
        <v>1</v>
      </c>
      <c r="T659" s="98" t="n">
        <v>1</v>
      </c>
    </row>
    <row r="660">
      <c r="A660" s="96" t="inlineStr">
        <is>
          <t>1Q 200채권혼합50액티브</t>
        </is>
      </c>
      <c r="B660" s="96" t="inlineStr">
        <is>
          <t>0184E0</t>
        </is>
      </c>
      <c r="C660" s="96" t="inlineStr">
        <is>
          <t>하나자산운용</t>
        </is>
      </c>
      <c r="D660" s="97" t="n">
        <v>10880</v>
      </c>
      <c r="E660" s="97" t="n">
        <v>33728000000</v>
      </c>
      <c r="F660" s="97" t="n">
        <v>1163763619</v>
      </c>
      <c r="G660" s="98" t="n">
        <v>0.004</v>
      </c>
      <c r="H660" s="98" t="n">
        <v>0.3727</v>
      </c>
      <c r="I660" s="98" t="n">
        <v>0.003</v>
      </c>
      <c r="J660" s="98" t="n"/>
      <c r="K660" s="97" t="n">
        <v>1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변동성 37.3%(102거래일 기준, 기준 35% 초과), 상장 5개월(기준 12개월 미만), 연 분배율 산출 불가(상장 1년 미만 — 12개월 창이 안 채워짐)</t>
        </is>
      </c>
      <c r="O660" s="96" t="inlineStr">
        <is>
          <t>코스피 200 단기국공채 혼합지수</t>
        </is>
      </c>
      <c r="P660" s="96" t="inlineStr">
        <is>
          <t>일반</t>
        </is>
      </c>
      <c r="Q660" s="96" t="inlineStr">
        <is>
          <t>멀티에셋</t>
        </is>
      </c>
      <c r="R660" s="96" t="inlineStr">
        <is>
          <t>판정 불가</t>
        </is>
      </c>
      <c r="S660" s="97" t="n">
        <v>1</v>
      </c>
      <c r="T660" s="98" t="n">
        <v>1</v>
      </c>
    </row>
    <row r="661">
      <c r="A661" s="96" t="inlineStr">
        <is>
          <t>KoAct 글로벌친환경전력인프라액티브</t>
        </is>
      </c>
      <c r="B661" s="96" t="inlineStr">
        <is>
          <t>475070</t>
        </is>
      </c>
      <c r="C661" s="96" t="inlineStr">
        <is>
          <t>삼성액티브자산(ETF)</t>
        </is>
      </c>
      <c r="D661" s="97" t="n">
        <v>29280</v>
      </c>
      <c r="E661" s="97" t="n">
        <v>32208000000</v>
      </c>
      <c r="F661" s="97" t="n">
        <v>342991799</v>
      </c>
      <c r="G661" s="98" t="n">
        <v>0.005</v>
      </c>
      <c r="H661" s="98" t="n">
        <v>0.4365</v>
      </c>
      <c r="I661" s="98" t="n">
        <v>0.0022</v>
      </c>
      <c r="J661" s="98" t="n"/>
      <c r="K661" s="97" t="n">
        <v>1</v>
      </c>
      <c r="L661" s="99" t="inlineStr">
        <is>
          <t>20241030</t>
        </is>
      </c>
      <c r="M661" s="96" t="inlineStr">
        <is>
          <t>제외</t>
        </is>
      </c>
      <c r="N661" s="96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6" t="inlineStr">
        <is>
          <t>Solactive Global Climate Technology Infrastructure Index PR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무분배</t>
        </is>
      </c>
      <c r="S661" s="97" t="n">
        <v>0</v>
      </c>
      <c r="T661" s="98" t="n">
        <v>1</v>
      </c>
    </row>
    <row r="662">
      <c r="A662" s="96" t="inlineStr">
        <is>
          <t>HANARO Fn K-POP&amp;미디어</t>
        </is>
      </c>
      <c r="B662" s="96" t="inlineStr">
        <is>
          <t>395290</t>
        </is>
      </c>
      <c r="C662" s="96" t="inlineStr">
        <is>
          <t>NH-Amundi자산운용</t>
        </is>
      </c>
      <c r="D662" s="97" t="n">
        <v>4960</v>
      </c>
      <c r="E662" s="97" t="n">
        <v>31496000000</v>
      </c>
      <c r="F662" s="97" t="n">
        <v>403384790</v>
      </c>
      <c r="G662" s="98" t="n">
        <v>0.004500000000000001</v>
      </c>
      <c r="H662" s="98" t="n">
        <v>0.4267</v>
      </c>
      <c r="I662" s="98" t="n">
        <v>0.004099999999999999</v>
      </c>
      <c r="J662" s="98" t="n"/>
      <c r="K662" s="97" t="n">
        <v>3</v>
      </c>
      <c r="L662" s="99" t="inlineStr">
        <is>
          <t>20240429</t>
        </is>
      </c>
      <c r="M662" s="96" t="inlineStr">
        <is>
          <t>제외</t>
        </is>
      </c>
      <c r="N662" s="96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6" t="inlineStr">
        <is>
          <t>FnGuide K-POP &amp; 미디어 지수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무분배</t>
        </is>
      </c>
      <c r="S662" s="97" t="n">
        <v>0</v>
      </c>
      <c r="T662" s="98" t="n">
        <v>1</v>
      </c>
    </row>
  </sheetData>
  <autoFilter ref="A3:T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2026-09-18T00:25:36Z</dcterms:created>
  <dcterms:modified xsi:type="dcterms:W3CDTF">2026-09-18T00:25:37Z</dcterms:modified>
</cp:coreProperties>
</file>