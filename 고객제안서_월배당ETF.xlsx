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'ETF데이터'!$A$4:$A$517</definedName>
    <definedName name="검색어">'제안서'!$E$17</definedName>
    <definedName name="검색결과">OFFSET('ETF데이터'!$X$4,0,0,MAX(1,COUNTIF('ETF데이터'!$V$4:$V$517,1)),1)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'제안서'!$A$1:$H$96</definedName>
    <definedName name="_xlnm._FilterDatabase" localSheetId="2" hidden="1">'ETF데이터'!$A$3:$S$632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&quot;원&quot;"/>
    <numFmt numFmtId="165" formatCode="#,##0.##"/>
    <numFmt numFmtId="166" formatCode="#,##0&quot;원&quot;;-#,##0&quot;원&quot;;&quot;&quot;"/>
    <numFmt numFmtId="167" formatCode="#,##0&quot;주&quot;;-#,##0&quot;주&quot;;&quot;&quot;"/>
    <numFmt numFmtId="168" formatCode="#,##0&quot;종목&quot;"/>
    <numFmt numFmtId="169" formatCode="0.000%"/>
    <numFmt numFmtId="170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4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5" fontId="11" fillId="6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6" fontId="3" fillId="0" borderId="16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6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5" fontId="2" fillId="7" borderId="14" applyAlignment="1" pivotButton="0" quotePrefix="0" xfId="0">
      <alignment horizontal="right" vertical="center"/>
    </xf>
    <xf numFmtId="164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4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4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4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4" fontId="3" fillId="0" borderId="8" applyAlignment="1" pivotButton="0" quotePrefix="0" xfId="0">
      <alignment horizontal="right" vertical="center"/>
    </xf>
    <xf numFmtId="168" fontId="3" fillId="0" borderId="10" applyAlignment="1" pivotButton="0" quotePrefix="0" xfId="0">
      <alignment horizontal="right" vertical="center"/>
    </xf>
    <xf numFmtId="164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69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4" fontId="2" fillId="0" borderId="7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3" fillId="0" borderId="16" applyAlignment="1" pivotButton="0" quotePrefix="0" xfId="0">
      <alignment horizontal="right" vertical="center"/>
    </xf>
    <xf numFmtId="164" fontId="2" fillId="3" borderId="7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3" fillId="3" borderId="16" applyAlignment="1" pivotButton="0" quotePrefix="0" xfId="0">
      <alignment horizontal="right" vertical="center"/>
    </xf>
    <xf numFmtId="164" fontId="2" fillId="3" borderId="9" applyAlignment="1" pivotButton="0" quotePrefix="0" xfId="0">
      <alignment horizontal="right" vertical="center"/>
    </xf>
    <xf numFmtId="164" fontId="3" fillId="3" borderId="4" applyAlignment="1" pivotButton="0" quotePrefix="0" xfId="0">
      <alignment horizontal="right" vertical="center"/>
    </xf>
    <xf numFmtId="164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pivotButton="0" quotePrefix="0" xfId="0">
      <alignment horizontal="right" vertical="center"/>
    </xf>
    <xf numFmtId="168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69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0" fontId="11" fillId="6" borderId="16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69" fontId="3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69" fontId="3" fillId="3" borderId="4" applyAlignment="1" pivotButton="0" quotePrefix="0" xfId="0">
      <alignment horizontal="right"/>
    </xf>
    <xf numFmtId="164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0" fontId="11" fillId="6" borderId="29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9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2026-09-17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 t="inlineStr">
        <is>
          <t>← 글자 일부를 넣으면 아래 ▼ 목록이 그만큼만 남습니다 (예: 커버드콜). 비우면 전체.</t>
        </is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 t="n">
        <v>100</v>
      </c>
      <c r="D20" s="23">
        <f>IF($K20=0,0,IF($C$12="비율",ROUND($C$11*$C20/100,0),$C20))</f>
        <v/>
      </c>
      <c r="E20" s="24">
        <f>IF($K20=0,0,ROUNDDOWN($D20/INDEX('ETF데이터'!$D$4:$D$517,$K20),0))</f>
        <v/>
      </c>
      <c r="F20" s="23">
        <f>IF($K20=0,0,$E20*INDEX('ETF데이터'!$D$4:$D$517,$K20))</f>
        <v/>
      </c>
      <c r="G20" s="23">
        <f>IF($K20=0,0,$F20*INDEX('ETF데이터'!$J$4:$J$517,$K20)/12)</f>
        <v/>
      </c>
      <c r="H20" s="25">
        <f>$G20*(1-$C$13)</f>
        <v/>
      </c>
      <c r="K20" s="3">
        <f>IF($B20="",0,IFERROR(MATCH($B20,선택가능종목,0),0))</f>
        <v/>
      </c>
      <c r="L20" s="3">
        <f>IF($K20=0,"",INDEX('ETF데이터'!$M$4:$M$517,$K20))</f>
        <v/>
      </c>
      <c r="M20" s="3">
        <f>IF($K20=0,"",INDEX('ETF데이터'!$R$4:$R$517,$K20))</f>
        <v/>
      </c>
      <c r="N20" s="3">
        <f>IF(OR($M20="",$M20="월배당"),0,1)</f>
        <v/>
      </c>
    </row>
    <row r="21" ht="19" customHeight="1">
      <c r="B21" s="21">
        <f>IF(담긴수=0,"",IFERROR(INDEX(담긴목록,2),""))</f>
        <v/>
      </c>
      <c r="C21" s="22" t="n"/>
      <c r="D21" s="26">
        <f>IF($K21=0,0,IF($C$12="비율",ROUND($C$11*$C21/100,0),$C21))</f>
        <v/>
      </c>
      <c r="E21" s="27">
        <f>IF($K21=0,0,ROUNDDOWN($D21/INDEX('ETF데이터'!$D$4:$D$517,$K21),0))</f>
        <v/>
      </c>
      <c r="F21" s="26">
        <f>IF($K21=0,0,$E21*INDEX('ETF데이터'!$D$4:$D$517,$K21))</f>
        <v/>
      </c>
      <c r="G21" s="26">
        <f>IF($K21=0,0,$F21*INDEX('ETF데이터'!$J$4:$J$517,$K21)/12)</f>
        <v/>
      </c>
      <c r="H21" s="28">
        <f>$G21*(1-$C$13)</f>
        <v/>
      </c>
      <c r="K21" s="3">
        <f>IF($B21="",0,IFERROR(MATCH($B21,선택가능종목,0),0))</f>
        <v/>
      </c>
      <c r="L21" s="3">
        <f>IF($K21=0,"",INDEX('ETF데이터'!$M$4:$M$517,$K21))</f>
        <v/>
      </c>
      <c r="M21" s="3">
        <f>IF($K21=0,"",INDEX('ETF데이터'!$R$4:$R$517,$K21))</f>
        <v/>
      </c>
      <c r="N21" s="3">
        <f>IF(OR($M21="",$M21="월배당"),0,1)</f>
        <v/>
      </c>
    </row>
    <row r="22" ht="19" customHeight="1">
      <c r="B22" s="21">
        <f>IF(담긴수=0,"",IFERROR(INDEX(담긴목록,3),""))</f>
        <v/>
      </c>
      <c r="C22" s="22" t="n"/>
      <c r="D22" s="23">
        <f>IF($K22=0,0,IF($C$12="비율",ROUND($C$11*$C22/100,0),$C22))</f>
        <v/>
      </c>
      <c r="E22" s="24">
        <f>IF($K22=0,0,ROUNDDOWN($D22/INDEX('ETF데이터'!$D$4:$D$517,$K22),0))</f>
        <v/>
      </c>
      <c r="F22" s="23">
        <f>IF($K22=0,0,$E22*INDEX('ETF데이터'!$D$4:$D$517,$K22))</f>
        <v/>
      </c>
      <c r="G22" s="23">
        <f>IF($K22=0,0,$F22*INDEX('ETF데이터'!$J$4:$J$517,$K22)/12)</f>
        <v/>
      </c>
      <c r="H22" s="25">
        <f>$G22*(1-$C$13)</f>
        <v/>
      </c>
      <c r="K22" s="3">
        <f>IF($B22="",0,IFERROR(MATCH($B22,선택가능종목,0),0))</f>
        <v/>
      </c>
      <c r="L22" s="3">
        <f>IF($K22=0,"",INDEX('ETF데이터'!$M$4:$M$517,$K22))</f>
        <v/>
      </c>
      <c r="M22" s="3">
        <f>IF($K22=0,"",INDEX('ETF데이터'!$R$4:$R$517,$K22))</f>
        <v/>
      </c>
      <c r="N22" s="3">
        <f>IF(OR($M22="",$M22="월배당"),0,1)</f>
        <v/>
      </c>
    </row>
    <row r="23" ht="19" customHeight="1">
      <c r="B23" s="21">
        <f>IF(담긴수=0,"",IFERROR(INDEX(담긴목록,4),""))</f>
        <v/>
      </c>
      <c r="C23" s="22" t="n"/>
      <c r="D23" s="26">
        <f>IF($K23=0,0,IF($C$12="비율",ROUND($C$11*$C23/100,0),$C23))</f>
        <v/>
      </c>
      <c r="E23" s="27">
        <f>IF($K23=0,0,ROUNDDOWN($D23/INDEX('ETF데이터'!$D$4:$D$517,$K23),0))</f>
        <v/>
      </c>
      <c r="F23" s="26">
        <f>IF($K23=0,0,$E23*INDEX('ETF데이터'!$D$4:$D$517,$K23))</f>
        <v/>
      </c>
      <c r="G23" s="26">
        <f>IF($K23=0,0,$F23*INDEX('ETF데이터'!$J$4:$J$517,$K23)/12)</f>
        <v/>
      </c>
      <c r="H23" s="28">
        <f>$G23*(1-$C$13)</f>
        <v/>
      </c>
      <c r="K23" s="3">
        <f>IF($B23="",0,IFERROR(MATCH($B23,선택가능종목,0),0))</f>
        <v/>
      </c>
      <c r="L23" s="3">
        <f>IF($K23=0,"",INDEX('ETF데이터'!$M$4:$M$517,$K23))</f>
        <v/>
      </c>
      <c r="M23" s="3">
        <f>IF($K23=0,"",INDEX('ETF데이터'!$R$4:$R$517,$K23))</f>
        <v/>
      </c>
      <c r="N23" s="3">
        <f>IF(OR($M23="",$M23="월배당"),0,1)</f>
        <v/>
      </c>
    </row>
    <row r="24" ht="19" customHeight="1">
      <c r="B24" s="21">
        <f>IF(담긴수=0,"",IFERROR(INDEX(담긴목록,5),""))</f>
        <v/>
      </c>
      <c r="C24" s="22" t="n"/>
      <c r="D24" s="23">
        <f>IF($K24=0,0,IF($C$12="비율",ROUND($C$11*$C24/100,0),$C24))</f>
        <v/>
      </c>
      <c r="E24" s="24">
        <f>IF($K24=0,0,ROUNDDOWN($D24/INDEX('ETF데이터'!$D$4:$D$517,$K24),0))</f>
        <v/>
      </c>
      <c r="F24" s="23">
        <f>IF($K24=0,0,$E24*INDEX('ETF데이터'!$D$4:$D$517,$K24))</f>
        <v/>
      </c>
      <c r="G24" s="23">
        <f>IF($K24=0,0,$F24*INDEX('ETF데이터'!$J$4:$J$517,$K24)/12)</f>
        <v/>
      </c>
      <c r="H24" s="25">
        <f>$G24*(1-$C$13)</f>
        <v/>
      </c>
      <c r="K24" s="3">
        <f>IF($B24="",0,IFERROR(MATCH($B24,선택가능종목,0),0))</f>
        <v/>
      </c>
      <c r="L24" s="3">
        <f>IF($K24=0,"",INDEX('ETF데이터'!$M$4:$M$517,$K24))</f>
        <v/>
      </c>
      <c r="M24" s="3">
        <f>IF($K24=0,"",INDEX('ETF데이터'!$R$4:$R$517,$K24))</f>
        <v/>
      </c>
      <c r="N24" s="3">
        <f>IF(OR($M24="",$M24="월배당"),0,1)</f>
        <v/>
      </c>
    </row>
    <row r="25" ht="19" customHeight="1">
      <c r="B25" s="21">
        <f>IF(담긴수=0,"",IFERROR(INDEX(담긴목록,6),""))</f>
        <v/>
      </c>
      <c r="C25" s="22" t="n"/>
      <c r="D25" s="26">
        <f>IF($K25=0,0,IF($C$12="비율",ROUND($C$11*$C25/100,0),$C25))</f>
        <v/>
      </c>
      <c r="E25" s="27">
        <f>IF($K25=0,0,ROUNDDOWN($D25/INDEX('ETF데이터'!$D$4:$D$517,$K25),0))</f>
        <v/>
      </c>
      <c r="F25" s="26">
        <f>IF($K25=0,0,$E25*INDEX('ETF데이터'!$D$4:$D$517,$K25))</f>
        <v/>
      </c>
      <c r="G25" s="26">
        <f>IF($K25=0,0,$F25*INDEX('ETF데이터'!$J$4:$J$517,$K25)/12)</f>
        <v/>
      </c>
      <c r="H25" s="28">
        <f>$G25*(1-$C$13)</f>
        <v/>
      </c>
      <c r="K25" s="3">
        <f>IF($B25="",0,IFERROR(MATCH($B25,선택가능종목,0),0))</f>
        <v/>
      </c>
      <c r="L25" s="3">
        <f>IF($K25=0,"",INDEX('ETF데이터'!$M$4:$M$517,$K25))</f>
        <v/>
      </c>
      <c r="M25" s="3">
        <f>IF($K25=0,"",INDEX('ETF데이터'!$R$4:$R$517,$K25))</f>
        <v/>
      </c>
      <c r="N25" s="3">
        <f>IF(OR($M25="",$M25="월배당"),0,1)</f>
        <v/>
      </c>
    </row>
    <row r="26" ht="19" customHeight="1">
      <c r="B26" s="21">
        <f>IF(담긴수=0,"",IFERROR(INDEX(담긴목록,7),""))</f>
        <v/>
      </c>
      <c r="C26" s="22" t="n"/>
      <c r="D26" s="23">
        <f>IF($K26=0,0,IF($C$12="비율",ROUND($C$11*$C26/100,0),$C26))</f>
        <v/>
      </c>
      <c r="E26" s="24">
        <f>IF($K26=0,0,ROUNDDOWN($D26/INDEX('ETF데이터'!$D$4:$D$517,$K26),0))</f>
        <v/>
      </c>
      <c r="F26" s="23">
        <f>IF($K26=0,0,$E26*INDEX('ETF데이터'!$D$4:$D$517,$K26))</f>
        <v/>
      </c>
      <c r="G26" s="23">
        <f>IF($K26=0,0,$F26*INDEX('ETF데이터'!$J$4:$J$517,$K26)/12)</f>
        <v/>
      </c>
      <c r="H26" s="25">
        <f>$G26*(1-$C$13)</f>
        <v/>
      </c>
      <c r="K26" s="3">
        <f>IF($B26="",0,IFERROR(MATCH($B26,선택가능종목,0),0))</f>
        <v/>
      </c>
      <c r="L26" s="3">
        <f>IF($K26=0,"",INDEX('ETF데이터'!$M$4:$M$517,$K26))</f>
        <v/>
      </c>
      <c r="M26" s="3">
        <f>IF($K26=0,"",INDEX('ETF데이터'!$R$4:$R$517,$K26))</f>
        <v/>
      </c>
      <c r="N26" s="3">
        <f>IF(OR($M26="",$M26="월배당"),0,1)</f>
        <v/>
      </c>
    </row>
    <row r="27" ht="19" customHeight="1">
      <c r="B27" s="21">
        <f>IF(담긴수=0,"",IFERROR(INDEX(담긴목록,8),""))</f>
        <v/>
      </c>
      <c r="C27" s="22" t="n"/>
      <c r="D27" s="26">
        <f>IF($K27=0,0,IF($C$12="비율",ROUND($C$11*$C27/100,0),$C27))</f>
        <v/>
      </c>
      <c r="E27" s="27">
        <f>IF($K27=0,0,ROUNDDOWN($D27/INDEX('ETF데이터'!$D$4:$D$517,$K27),0))</f>
        <v/>
      </c>
      <c r="F27" s="26">
        <f>IF($K27=0,0,$E27*INDEX('ETF데이터'!$D$4:$D$517,$K27))</f>
        <v/>
      </c>
      <c r="G27" s="26">
        <f>IF($K27=0,0,$F27*INDEX('ETF데이터'!$J$4:$J$517,$K27)/12)</f>
        <v/>
      </c>
      <c r="H27" s="28">
        <f>$G27*(1-$C$13)</f>
        <v/>
      </c>
      <c r="K27" s="3">
        <f>IF($B27="",0,IFERROR(MATCH($B27,선택가능종목,0),0))</f>
        <v/>
      </c>
      <c r="L27" s="3">
        <f>IF($K27=0,"",INDEX('ETF데이터'!$M$4:$M$517,$K27))</f>
        <v/>
      </c>
      <c r="M27" s="3">
        <f>IF($K27=0,"",INDEX('ETF데이터'!$R$4:$R$517,$K27))</f>
        <v/>
      </c>
      <c r="N27" s="3">
        <f>IF(OR($M27="",$M27="월배당"),0,1)</f>
        <v/>
      </c>
    </row>
    <row r="28" ht="19" customHeight="1">
      <c r="B28" s="21">
        <f>IF(담긴수=0,"",IFERROR(INDEX(담긴목록,9),""))</f>
        <v/>
      </c>
      <c r="C28" s="22" t="n"/>
      <c r="D28" s="23">
        <f>IF($K28=0,0,IF($C$12="비율",ROUND($C$11*$C28/100,0),$C28))</f>
        <v/>
      </c>
      <c r="E28" s="24">
        <f>IF($K28=0,0,ROUNDDOWN($D28/INDEX('ETF데이터'!$D$4:$D$517,$K28),0))</f>
        <v/>
      </c>
      <c r="F28" s="23">
        <f>IF($K28=0,0,$E28*INDEX('ETF데이터'!$D$4:$D$517,$K28))</f>
        <v/>
      </c>
      <c r="G28" s="23">
        <f>IF($K28=0,0,$F28*INDEX('ETF데이터'!$J$4:$J$517,$K28)/12)</f>
        <v/>
      </c>
      <c r="H28" s="25">
        <f>$G28*(1-$C$13)</f>
        <v/>
      </c>
      <c r="K28" s="3">
        <f>IF($B28="",0,IFERROR(MATCH($B28,선택가능종목,0),0))</f>
        <v/>
      </c>
      <c r="L28" s="3">
        <f>IF($K28=0,"",INDEX('ETF데이터'!$M$4:$M$517,$K28))</f>
        <v/>
      </c>
      <c r="M28" s="3">
        <f>IF($K28=0,"",INDEX('ETF데이터'!$R$4:$R$517,$K28))</f>
        <v/>
      </c>
      <c r="N28" s="3">
        <f>IF(OR($M28="",$M28="월배당"),0,1)</f>
        <v/>
      </c>
    </row>
    <row r="29" ht="19" customHeight="1">
      <c r="B29" s="21">
        <f>IF(담긴수=0,"",IFERROR(INDEX(담긴목록,10),""))</f>
        <v/>
      </c>
      <c r="C29" s="22" t="n"/>
      <c r="D29" s="26">
        <f>IF($K29=0,0,IF($C$12="비율",ROUND($C$11*$C29/100,0),$C29))</f>
        <v/>
      </c>
      <c r="E29" s="27">
        <f>IF($K29=0,0,ROUNDDOWN($D29/INDEX('ETF데이터'!$D$4:$D$517,$K29),0))</f>
        <v/>
      </c>
      <c r="F29" s="26">
        <f>IF($K29=0,0,$E29*INDEX('ETF데이터'!$D$4:$D$517,$K29))</f>
        <v/>
      </c>
      <c r="G29" s="26">
        <f>IF($K29=0,0,$F29*INDEX('ETF데이터'!$J$4:$J$517,$K29)/12)</f>
        <v/>
      </c>
      <c r="H29" s="28">
        <f>$G29*(1-$C$13)</f>
        <v/>
      </c>
      <c r="K29" s="3">
        <f>IF($B29="",0,IFERROR(MATCH($B29,선택가능종목,0),0))</f>
        <v/>
      </c>
      <c r="L29" s="3">
        <f>IF($K29=0,"",INDEX('ETF데이터'!$M$4:$M$517,$K29))</f>
        <v/>
      </c>
      <c r="M29" s="3">
        <f>IF($K29=0,"",INDEX('ETF데이터'!$R$4:$R$517,$K29))</f>
        <v/>
      </c>
      <c r="N29" s="3">
        <f>IF(OR($M29="",$M29="월배당"),0,1)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>
      <c r="B34" s="3" t="inlineStr">
        <is>
          <t>빈 줄은 계산에서 빠집니다. 한 종목만 담으려면 첫 줄에만 넣고 배분을 100 으로 두십시오.</t>
        </is>
      </c>
    </row>
    <row r="36" ht="4" customHeight="1">
      <c r="A36" s="8" t="n"/>
      <c r="B36" s="8" t="n"/>
      <c r="C36" s="8" t="n"/>
      <c r="D36" s="8" t="n"/>
      <c r="E36" s="8" t="n"/>
      <c r="F36" s="8" t="n"/>
      <c r="G36" s="8" t="n"/>
      <c r="H36" s="8" t="n"/>
    </row>
    <row r="37" ht="26" customHeight="1">
      <c r="A37" s="9" t="inlineStr">
        <is>
          <t>3</t>
        </is>
      </c>
      <c r="B37" s="10" t="inlineStr">
        <is>
          <t>예상 분배금 요약</t>
        </is>
      </c>
    </row>
    <row r="38" ht="6" customHeight="1"/>
    <row r="39" ht="34" customHeight="1">
      <c r="B39" s="11" t="inlineStr">
        <is>
          <t>총 투자금액</t>
        </is>
      </c>
      <c r="C39" s="36">
        <f>$C$11</f>
        <v/>
      </c>
      <c r="F39" s="37" t="inlineStr">
        <is>
          <t>월 예상 분배금 (세전)</t>
        </is>
      </c>
      <c r="G39" s="38">
        <f>$G$30</f>
        <v/>
      </c>
      <c r="H39" s="39" t="n"/>
    </row>
    <row r="40" ht="20" customHeight="1">
      <c r="B40" s="11" t="inlineStr">
        <is>
          <t>실제 투자금액</t>
        </is>
      </c>
      <c r="C40" s="40">
        <f>$F$30</f>
        <v/>
      </c>
      <c r="F40" s="11" t="inlineStr">
        <is>
          <t>월 예상 분배금 (세후)</t>
        </is>
      </c>
      <c r="G40" s="36">
        <f>$H$30</f>
        <v/>
      </c>
    </row>
    <row r="41" ht="20" customHeight="1">
      <c r="B41" s="11" t="inlineStr">
        <is>
          <t>미투자 잔액</t>
        </is>
      </c>
      <c r="C41" s="40">
        <f>$C$11-$F$30</f>
        <v/>
      </c>
      <c r="F41" s="11" t="inlineStr">
        <is>
          <t>연 예상 분배금 (세전)</t>
        </is>
      </c>
      <c r="G41" s="40">
        <f>$G$30*12</f>
        <v/>
      </c>
    </row>
    <row r="42" ht="20" customHeight="1">
      <c r="B42" s="11" t="inlineStr">
        <is>
          <t>담은 종목 수</t>
        </is>
      </c>
      <c r="C42" s="41">
        <f>COUNTIF($K$20:$K$29,"&gt;0")</f>
        <v/>
      </c>
      <c r="F42" s="11" t="inlineStr">
        <is>
          <t>연 예상 분배금 (세후)</t>
        </is>
      </c>
      <c r="G42" s="42">
        <f>$H$30*12</f>
        <v/>
      </c>
    </row>
    <row r="43" ht="20" customHeight="1">
      <c r="B43" s="11" t="inlineStr">
        <is>
          <t>연 수익률 (세전, 가중평균)</t>
        </is>
      </c>
      <c r="C43" s="43">
        <f>IF($F$30=0,0,$G$30*12/$F$30)</f>
        <v/>
      </c>
      <c r="F43" s="11" t="inlineStr">
        <is>
          <t>월 수익률 (세전)</t>
        </is>
      </c>
      <c r="G43" s="44">
        <f>IF($F$30=0,0,$G$30/$F$30)</f>
        <v/>
      </c>
    </row>
    <row r="44" ht="20" customHeight="1">
      <c r="B44" s="11" t="inlineStr">
        <is>
          <t>연 수익률 (세후, 가중평균)</t>
        </is>
      </c>
      <c r="C44" s="45">
        <f>IF($F$30=0,0,$H$30*12/$F$30)</f>
        <v/>
      </c>
      <c r="F44" s="11" t="inlineStr">
        <is>
          <t>월 수익률 (세후)</t>
        </is>
      </c>
      <c r="G44" s="46">
        <f>IF($F$30=0,0,$H$30/$F$30)</f>
        <v/>
      </c>
    </row>
    <row r="45">
      <c r="B45" s="7" t="inlineStr">
        <is>
          <t>연 수익률은 담은 종목들의 최근 12개월 실제 분배금을 투자 비중으로 가중한 값입니다. 확정 수익률이 아니며 매월 달라집니다.</t>
        </is>
      </c>
    </row>
    <row r="47" ht="4" customHeight="1">
      <c r="A47" s="8" t="n"/>
      <c r="B47" s="8" t="n"/>
      <c r="C47" s="8" t="n"/>
      <c r="D47" s="8" t="n"/>
      <c r="E47" s="8" t="n"/>
      <c r="F47" s="8" t="n"/>
      <c r="G47" s="8" t="n"/>
      <c r="H47" s="8" t="n"/>
    </row>
    <row r="48" ht="26" customHeight="1">
      <c r="A48" s="9" t="inlineStr">
        <is>
          <t>4</t>
        </is>
      </c>
      <c r="B48" s="10" t="inlineStr">
        <is>
          <t>총 투자금액별 예상 분배금  (위 구성을 그대로 두고 금액만 바꿨을 때)</t>
        </is>
      </c>
    </row>
    <row r="49" ht="6" customHeight="1"/>
    <row r="50" ht="28" customHeight="1">
      <c r="B50" s="18" t="inlineStr">
        <is>
          <t>투자금액 구간</t>
        </is>
      </c>
      <c r="C50" s="19" t="inlineStr">
        <is>
          <t>월 분배금(세전)</t>
        </is>
      </c>
      <c r="D50" s="19" t="inlineStr">
        <is>
          <t>월 분배금(세후)</t>
        </is>
      </c>
      <c r="E50" s="19" t="inlineStr">
        <is>
          <t>연 분배금(세전)</t>
        </is>
      </c>
      <c r="F50" s="20" t="inlineStr">
        <is>
          <t>연 분배금(세후)</t>
        </is>
      </c>
    </row>
    <row r="51" ht="19" customHeight="1">
      <c r="B51" s="47" t="n">
        <v>10000000</v>
      </c>
      <c r="C51" s="48">
        <f>$B51*$C$43/12</f>
        <v/>
      </c>
      <c r="D51" s="48">
        <f>$C51*(1-$C$13)</f>
        <v/>
      </c>
      <c r="E51" s="48">
        <f>$B51*$C$43</f>
        <v/>
      </c>
      <c r="F51" s="49">
        <f>$E51*(1-$C$13)</f>
        <v/>
      </c>
    </row>
    <row r="52" ht="19" customHeight="1">
      <c r="B52" s="50" t="n">
        <v>30000000</v>
      </c>
      <c r="C52" s="51">
        <f>$B52*$C$43/12</f>
        <v/>
      </c>
      <c r="D52" s="51">
        <f>$C52*(1-$C$13)</f>
        <v/>
      </c>
      <c r="E52" s="51">
        <f>$B52*$C$43</f>
        <v/>
      </c>
      <c r="F52" s="52">
        <f>$E52*(1-$C$13)</f>
        <v/>
      </c>
    </row>
    <row r="53" ht="19" customHeight="1">
      <c r="B53" s="47" t="n">
        <v>50000000</v>
      </c>
      <c r="C53" s="48">
        <f>$B53*$C$43/12</f>
        <v/>
      </c>
      <c r="D53" s="48">
        <f>$C53*(1-$C$13)</f>
        <v/>
      </c>
      <c r="E53" s="48">
        <f>$B53*$C$43</f>
        <v/>
      </c>
      <c r="F53" s="49">
        <f>$E53*(1-$C$13)</f>
        <v/>
      </c>
    </row>
    <row r="54" ht="19" customHeight="1">
      <c r="B54" s="50" t="n">
        <v>100000000</v>
      </c>
      <c r="C54" s="51">
        <f>$B54*$C$43/12</f>
        <v/>
      </c>
      <c r="D54" s="51">
        <f>$C54*(1-$C$13)</f>
        <v/>
      </c>
      <c r="E54" s="51">
        <f>$B54*$C$43</f>
        <v/>
      </c>
      <c r="F54" s="52">
        <f>$E54*(1-$C$13)</f>
        <v/>
      </c>
    </row>
    <row r="55" ht="19" customHeight="1">
      <c r="B55" s="47" t="n">
        <v>200000000</v>
      </c>
      <c r="C55" s="48">
        <f>$B55*$C$43/12</f>
        <v/>
      </c>
      <c r="D55" s="48">
        <f>$C55*(1-$C$13)</f>
        <v/>
      </c>
      <c r="E55" s="48">
        <f>$B55*$C$43</f>
        <v/>
      </c>
      <c r="F55" s="49">
        <f>$E55*(1-$C$13)</f>
        <v/>
      </c>
    </row>
    <row r="56" ht="19" customHeight="1">
      <c r="B56" s="50" t="n">
        <v>300000000</v>
      </c>
      <c r="C56" s="51">
        <f>$B56*$C$43/12</f>
        <v/>
      </c>
      <c r="D56" s="51">
        <f>$C56*(1-$C$13)</f>
        <v/>
      </c>
      <c r="E56" s="51">
        <f>$B56*$C$43</f>
        <v/>
      </c>
      <c r="F56" s="52">
        <f>$E56*(1-$C$13)</f>
        <v/>
      </c>
    </row>
    <row r="57" ht="19" customHeight="1">
      <c r="B57" s="47" t="n">
        <v>500000000</v>
      </c>
      <c r="C57" s="48">
        <f>$B57*$C$43/12</f>
        <v/>
      </c>
      <c r="D57" s="48">
        <f>$C57*(1-$C$13)</f>
        <v/>
      </c>
      <c r="E57" s="48">
        <f>$B57*$C$43</f>
        <v/>
      </c>
      <c r="F57" s="49">
        <f>$E57*(1-$C$13)</f>
        <v/>
      </c>
    </row>
    <row r="58" ht="19" customHeight="1">
      <c r="B58" s="53" t="n">
        <v>1000000000</v>
      </c>
      <c r="C58" s="54">
        <f>$B58*$C$43/12</f>
        <v/>
      </c>
      <c r="D58" s="54">
        <f>$C58*(1-$C$13)</f>
        <v/>
      </c>
      <c r="E58" s="54">
        <f>$B58*$C$43</f>
        <v/>
      </c>
      <c r="F58" s="55">
        <f>$E58*(1-$C$13)</f>
        <v/>
      </c>
    </row>
    <row r="59">
      <c r="B59" s="7" t="inlineStr">
        <is>
          <t>※ 단주 절사를 반영하지 않은 근사치라 2·3. 의 값과 몇 천 원 차이가 날 수 있습니다.</t>
        </is>
      </c>
    </row>
    <row r="61" ht="4" customHeight="1">
      <c r="A61" s="8" t="n"/>
      <c r="B61" s="8" t="n"/>
      <c r="C61" s="8" t="n"/>
      <c r="D61" s="8" t="n"/>
      <c r="E61" s="8" t="n"/>
      <c r="F61" s="8" t="n"/>
      <c r="G61" s="8" t="n"/>
      <c r="H61" s="8" t="n"/>
    </row>
    <row r="62" ht="26" customHeight="1">
      <c r="A62" s="9" t="inlineStr">
        <is>
          <t>5</t>
        </is>
      </c>
      <c r="B62" s="10" t="inlineStr">
        <is>
          <t>월배당 ETF 비교  (1억원 단독 투자 기준 · 연 분배율 상위 8 + 순자산 상위 6, 파킹형 제외 · 채택 월배당 73종목 중)</t>
        </is>
      </c>
    </row>
    <row r="63" ht="6" customHeight="1"/>
    <row r="64" ht="30" customHeight="1">
      <c r="B64" s="18" t="inlineStr">
        <is>
          <t>종목명</t>
        </is>
      </c>
      <c r="C64" s="19" t="inlineStr">
        <is>
          <t>유형</t>
        </is>
      </c>
      <c r="D64" s="19" t="inlineStr">
        <is>
          <t>현재가</t>
        </is>
      </c>
      <c r="E64" s="19" t="inlineStr">
        <is>
          <t>연 분배율</t>
        </is>
      </c>
      <c r="F64" s="19" t="inlineStr">
        <is>
          <t>월 분배금(세전)</t>
        </is>
      </c>
      <c r="G64" s="19" t="inlineStr">
        <is>
          <t>월 분배금(세후)</t>
        </is>
      </c>
      <c r="H64" s="20" t="inlineStr">
        <is>
          <t>변동성(1년)</t>
        </is>
      </c>
    </row>
    <row r="65" ht="19" customHeight="1">
      <c r="B65" s="56">
        <f>'ETF데이터'!$A$4</f>
        <v/>
      </c>
      <c r="C65" s="57">
        <f>'ETF데이터'!$P$4</f>
        <v/>
      </c>
      <c r="D65" s="48">
        <f>'ETF데이터'!$D$4</f>
        <v/>
      </c>
      <c r="E65" s="58">
        <f>'ETF데이터'!$J$4</f>
        <v/>
      </c>
      <c r="F65" s="48">
        <f>IF($D65=0,0,ROUNDDOWN(100000000/$D65,0)*$D65*$E65/12)</f>
        <v/>
      </c>
      <c r="G65" s="48">
        <f>$F65*(1-$C$13)</f>
        <v/>
      </c>
      <c r="H65" s="59">
        <f>'ETF데이터'!$H$4</f>
        <v/>
      </c>
    </row>
    <row r="66" ht="19" customHeight="1">
      <c r="B66" s="60">
        <f>'ETF데이터'!$A$5</f>
        <v/>
      </c>
      <c r="C66" s="61">
        <f>'ETF데이터'!$P$5</f>
        <v/>
      </c>
      <c r="D66" s="51">
        <f>'ETF데이터'!$D$5</f>
        <v/>
      </c>
      <c r="E66" s="62">
        <f>'ETF데이터'!$J$5</f>
        <v/>
      </c>
      <c r="F66" s="51">
        <f>IF($D66=0,0,ROUNDDOWN(100000000/$D66,0)*$D66*$E66/12)</f>
        <v/>
      </c>
      <c r="G66" s="51">
        <f>$F66*(1-$C$13)</f>
        <v/>
      </c>
      <c r="H66" s="63">
        <f>'ETF데이터'!$H$5</f>
        <v/>
      </c>
    </row>
    <row r="67" ht="19" customHeight="1">
      <c r="B67" s="56">
        <f>'ETF데이터'!$A$6</f>
        <v/>
      </c>
      <c r="C67" s="57">
        <f>'ETF데이터'!$P$6</f>
        <v/>
      </c>
      <c r="D67" s="48">
        <f>'ETF데이터'!$D$6</f>
        <v/>
      </c>
      <c r="E67" s="58">
        <f>'ETF데이터'!$J$6</f>
        <v/>
      </c>
      <c r="F67" s="48">
        <f>IF($D67=0,0,ROUNDDOWN(100000000/$D67,0)*$D67*$E67/12)</f>
        <v/>
      </c>
      <c r="G67" s="48">
        <f>$F67*(1-$C$13)</f>
        <v/>
      </c>
      <c r="H67" s="59">
        <f>'ETF데이터'!$H$6</f>
        <v/>
      </c>
    </row>
    <row r="68" ht="19" customHeight="1">
      <c r="B68" s="60">
        <f>'ETF데이터'!$A$7</f>
        <v/>
      </c>
      <c r="C68" s="61">
        <f>'ETF데이터'!$P$7</f>
        <v/>
      </c>
      <c r="D68" s="51">
        <f>'ETF데이터'!$D$7</f>
        <v/>
      </c>
      <c r="E68" s="62">
        <f>'ETF데이터'!$J$7</f>
        <v/>
      </c>
      <c r="F68" s="51">
        <f>IF($D68=0,0,ROUNDDOWN(100000000/$D68,0)*$D68*$E68/12)</f>
        <v/>
      </c>
      <c r="G68" s="51">
        <f>$F68*(1-$C$13)</f>
        <v/>
      </c>
      <c r="H68" s="63">
        <f>'ETF데이터'!$H$7</f>
        <v/>
      </c>
    </row>
    <row r="69" ht="19" customHeight="1">
      <c r="B69" s="56">
        <f>'ETF데이터'!$A$8</f>
        <v/>
      </c>
      <c r="C69" s="57">
        <f>'ETF데이터'!$P$8</f>
        <v/>
      </c>
      <c r="D69" s="48">
        <f>'ETF데이터'!$D$8</f>
        <v/>
      </c>
      <c r="E69" s="58">
        <f>'ETF데이터'!$J$8</f>
        <v/>
      </c>
      <c r="F69" s="48">
        <f>IF($D69=0,0,ROUNDDOWN(100000000/$D69,0)*$D69*$E69/12)</f>
        <v/>
      </c>
      <c r="G69" s="48">
        <f>$F69*(1-$C$13)</f>
        <v/>
      </c>
      <c r="H69" s="59">
        <f>'ETF데이터'!$H$8</f>
        <v/>
      </c>
    </row>
    <row r="70" ht="19" customHeight="1">
      <c r="B70" s="60">
        <f>'ETF데이터'!$A$9</f>
        <v/>
      </c>
      <c r="C70" s="61">
        <f>'ETF데이터'!$P$9</f>
        <v/>
      </c>
      <c r="D70" s="51">
        <f>'ETF데이터'!$D$9</f>
        <v/>
      </c>
      <c r="E70" s="62">
        <f>'ETF데이터'!$J$9</f>
        <v/>
      </c>
      <c r="F70" s="51">
        <f>IF($D70=0,0,ROUNDDOWN(100000000/$D70,0)*$D70*$E70/12)</f>
        <v/>
      </c>
      <c r="G70" s="51">
        <f>$F70*(1-$C$13)</f>
        <v/>
      </c>
      <c r="H70" s="63">
        <f>'ETF데이터'!$H$9</f>
        <v/>
      </c>
    </row>
    <row r="71" ht="19" customHeight="1">
      <c r="B71" s="56">
        <f>'ETF데이터'!$A$10</f>
        <v/>
      </c>
      <c r="C71" s="57">
        <f>'ETF데이터'!$P$10</f>
        <v/>
      </c>
      <c r="D71" s="48">
        <f>'ETF데이터'!$D$10</f>
        <v/>
      </c>
      <c r="E71" s="58">
        <f>'ETF데이터'!$J$10</f>
        <v/>
      </c>
      <c r="F71" s="48">
        <f>IF($D71=0,0,ROUNDDOWN(100000000/$D71,0)*$D71*$E71/12)</f>
        <v/>
      </c>
      <c r="G71" s="48">
        <f>$F71*(1-$C$13)</f>
        <v/>
      </c>
      <c r="H71" s="59">
        <f>'ETF데이터'!$H$10</f>
        <v/>
      </c>
    </row>
    <row r="72" ht="19" customHeight="1">
      <c r="B72" s="60">
        <f>'ETF데이터'!$A$11</f>
        <v/>
      </c>
      <c r="C72" s="61">
        <f>'ETF데이터'!$P$11</f>
        <v/>
      </c>
      <c r="D72" s="51">
        <f>'ETF데이터'!$D$11</f>
        <v/>
      </c>
      <c r="E72" s="62">
        <f>'ETF데이터'!$J$11</f>
        <v/>
      </c>
      <c r="F72" s="51">
        <f>IF($D72=0,0,ROUNDDOWN(100000000/$D72,0)*$D72*$E72/12)</f>
        <v/>
      </c>
      <c r="G72" s="51">
        <f>$F72*(1-$C$13)</f>
        <v/>
      </c>
      <c r="H72" s="63">
        <f>'ETF데이터'!$H$11</f>
        <v/>
      </c>
    </row>
    <row r="73" ht="19" customHeight="1">
      <c r="B73" s="56">
        <f>'ETF데이터'!$A$16</f>
        <v/>
      </c>
      <c r="C73" s="57">
        <f>'ETF데이터'!$P$16</f>
        <v/>
      </c>
      <c r="D73" s="48">
        <f>'ETF데이터'!$D$16</f>
        <v/>
      </c>
      <c r="E73" s="58">
        <f>'ETF데이터'!$J$16</f>
        <v/>
      </c>
      <c r="F73" s="48">
        <f>IF($D73=0,0,ROUNDDOWN(100000000/$D73,0)*$D73*$E73/12)</f>
        <v/>
      </c>
      <c r="G73" s="48">
        <f>$F73*(1-$C$13)</f>
        <v/>
      </c>
      <c r="H73" s="59">
        <f>'ETF데이터'!$H$16</f>
        <v/>
      </c>
    </row>
    <row r="74" ht="19" customHeight="1">
      <c r="B74" s="60">
        <f>'ETF데이터'!$A$28</f>
        <v/>
      </c>
      <c r="C74" s="61">
        <f>'ETF데이터'!$P$28</f>
        <v/>
      </c>
      <c r="D74" s="51">
        <f>'ETF데이터'!$D$28</f>
        <v/>
      </c>
      <c r="E74" s="62">
        <f>'ETF데이터'!$J$28</f>
        <v/>
      </c>
      <c r="F74" s="51">
        <f>IF($D74=0,0,ROUNDDOWN(100000000/$D74,0)*$D74*$E74/12)</f>
        <v/>
      </c>
      <c r="G74" s="51">
        <f>$F74*(1-$C$13)</f>
        <v/>
      </c>
      <c r="H74" s="63">
        <f>'ETF데이터'!$H$28</f>
        <v/>
      </c>
    </row>
    <row r="75" ht="19" customHeight="1">
      <c r="B75" s="56">
        <f>'ETF데이터'!$A$44</f>
        <v/>
      </c>
      <c r="C75" s="57">
        <f>'ETF데이터'!$P$44</f>
        <v/>
      </c>
      <c r="D75" s="48">
        <f>'ETF데이터'!$D$44</f>
        <v/>
      </c>
      <c r="E75" s="58">
        <f>'ETF데이터'!$J$44</f>
        <v/>
      </c>
      <c r="F75" s="48">
        <f>IF($D75=0,0,ROUNDDOWN(100000000/$D75,0)*$D75*$E75/12)</f>
        <v/>
      </c>
      <c r="G75" s="48">
        <f>$F75*(1-$C$13)</f>
        <v/>
      </c>
      <c r="H75" s="59">
        <f>'ETF데이터'!$H$44</f>
        <v/>
      </c>
    </row>
    <row r="76" ht="19" customHeight="1">
      <c r="B76" s="60">
        <f>'ETF데이터'!$A$61</f>
        <v/>
      </c>
      <c r="C76" s="61">
        <f>'ETF데이터'!$P$61</f>
        <v/>
      </c>
      <c r="D76" s="51">
        <f>'ETF데이터'!$D$61</f>
        <v/>
      </c>
      <c r="E76" s="62">
        <f>'ETF데이터'!$J$61</f>
        <v/>
      </c>
      <c r="F76" s="51">
        <f>IF($D76=0,0,ROUNDDOWN(100000000/$D76,0)*$D76*$E76/12)</f>
        <v/>
      </c>
      <c r="G76" s="51">
        <f>$F76*(1-$C$13)</f>
        <v/>
      </c>
      <c r="H76" s="63">
        <f>'ETF데이터'!$H$61</f>
        <v/>
      </c>
    </row>
    <row r="77" ht="19" customHeight="1">
      <c r="B77" s="56">
        <f>'ETF데이터'!$A$68</f>
        <v/>
      </c>
      <c r="C77" s="57">
        <f>'ETF데이터'!$P$68</f>
        <v/>
      </c>
      <c r="D77" s="48">
        <f>'ETF데이터'!$D$68</f>
        <v/>
      </c>
      <c r="E77" s="58">
        <f>'ETF데이터'!$J$68</f>
        <v/>
      </c>
      <c r="F77" s="48">
        <f>IF($D77=0,0,ROUNDDOWN(100000000/$D77,0)*$D77*$E77/12)</f>
        <v/>
      </c>
      <c r="G77" s="48">
        <f>$F77*(1-$C$13)</f>
        <v/>
      </c>
      <c r="H77" s="59">
        <f>'ETF데이터'!$H$68</f>
        <v/>
      </c>
    </row>
    <row r="78" ht="19" customHeight="1">
      <c r="B78" s="64">
        <f>'ETF데이터'!$A$89</f>
        <v/>
      </c>
      <c r="C78" s="65">
        <f>'ETF데이터'!$P$89</f>
        <v/>
      </c>
      <c r="D78" s="54">
        <f>'ETF데이터'!$D$89</f>
        <v/>
      </c>
      <c r="E78" s="66">
        <f>'ETF데이터'!$J$89</f>
        <v/>
      </c>
      <c r="F78" s="54">
        <f>IF($D78=0,0,ROUNDDOWN(100000000/$D78,0)*$D78*$E78/12)</f>
        <v/>
      </c>
      <c r="G78" s="54">
        <f>$F78*(1-$C$13)</f>
        <v/>
      </c>
      <c r="H78" s="67">
        <f>'ETF데이터'!$H$89</f>
        <v/>
      </c>
    </row>
    <row r="79">
      <c r="B79" s="7" t="inlineStr">
        <is>
          <t>※ 드롭다운에는 기준 미달 종목까지 전부 담겨 있습니다. 위 표에는 기준을 통과한 종목만 실었습니다.</t>
        </is>
      </c>
    </row>
    <row r="81" ht="4" customHeight="1">
      <c r="A81" s="8" t="n"/>
      <c r="B81" s="8" t="n"/>
      <c r="C81" s="8" t="n"/>
      <c r="D81" s="8" t="n"/>
      <c r="E81" s="8" t="n"/>
      <c r="F81" s="8" t="n"/>
      <c r="G81" s="8" t="n"/>
      <c r="H81" s="8" t="n"/>
    </row>
    <row r="82" ht="26" customHeight="1">
      <c r="A82" s="9" t="inlineStr">
        <is>
          <t>6</t>
        </is>
      </c>
      <c r="B82" s="10" t="inlineStr">
        <is>
          <t>유의사항</t>
        </is>
      </c>
    </row>
    <row r="83" ht="6" customHeight="1"/>
    <row r="84" ht="16" customHeight="1">
      <c r="B84" s="68" t="inlineStr">
        <is>
          <t>· 이 자료는 투자 권유가 아니라 참고 자료입니다. 최종 투자 판단과 그 결과는 투자자 본인에게 귀속됩니다.</t>
        </is>
      </c>
    </row>
    <row r="85" ht="16" customHeight="1">
      <c r="B85" s="68" t="inlineStr">
        <is>
          <t>· ETF 는 예금자보호법의 보호를 받지 않으며, 원금 손실이 발생할 수 있습니다.</t>
        </is>
      </c>
    </row>
    <row r="86" ht="16" customHeight="1">
      <c r="B86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7" ht="16" customHeight="1">
      <c r="B87" s="7" t="inlineStr">
        <is>
          <t>· 분배금의 일부가 원금에서 지급될 수 있습니다(자본 환급). 이 경우 기준가가 그만큼 낮아집니다.</t>
        </is>
      </c>
    </row>
    <row r="88" ht="16" customHeight="1">
      <c r="B88" s="7" t="inlineStr">
        <is>
          <t>· 표시된 연 분배율은 최근 12개월 실제 분배금 합계를 현재가로 나눈 값(사후 수치)이며, 앞으로의 수익률을 보장하지 않습니다.</t>
        </is>
      </c>
    </row>
    <row r="89" ht="16" customHeight="1">
      <c r="B89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0" ht="16" customHeight="1">
      <c r="B90" s="7" t="inlineStr">
        <is>
          <t>· 매매수수료·거래세·환율 변동은 반영하지 않았습니다. 총보수는 분배율에 이미 반영되어 있습니다(기준가 차감).</t>
        </is>
      </c>
    </row>
    <row r="91" ht="16" customHeight="1">
      <c r="B91" s="7" t="inlineStr">
        <is>
          <t>· 수량은 정수 매수를 가정해 내림 처리했습니다. 남는 금액은 '미투자 잔액'에 표시됩니다.</t>
        </is>
      </c>
    </row>
    <row r="92" ht="16" customHeight="1">
      <c r="B92" s="7" t="inlineStr">
        <is>
          <t>· 여러 종목에 나눠 담아도 분배 시기는 종목마다 다릅니다. 매월 같은 날 한꺼번에 들어오지 않습니다.</t>
        </is>
      </c>
    </row>
    <row r="93" ht="16" customHeight="1">
      <c r="B93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4" ht="16" customHeight="1">
      <c r="B94" s="7" t="inlineStr">
        <is>
          <t>· 드롭다운에는 유동성·변동성 기준에 미달한 종목도 담겨 있습니다. 담으면 2. 아래에 안내가 뜹니다.</t>
        </is>
      </c>
    </row>
    <row r="96" ht="15" customHeight="1">
      <c r="B96" s="69" t="inlineStr">
        <is>
          <t>자료 출처 ETFCHECK (www.etfcheck.co.kr) · 수집 2026-09-17T08:16:22.991Z · 대상 국내 상장 월배당 ETF · 채택 기준 순자산 300억원 이상, 60일 평균거래대금 5억원 이상, 연환산 변동성 35% 이하, 분배 이력 12개월 이상</t>
        </is>
      </c>
    </row>
  </sheetData>
  <mergeCells count="21">
    <mergeCell ref="B84:H84"/>
    <mergeCell ref="B92:H92"/>
    <mergeCell ref="B33:H33"/>
    <mergeCell ref="A1:H1"/>
    <mergeCell ref="B89:H89"/>
    <mergeCell ref="G39:H39"/>
    <mergeCell ref="B85:H85"/>
    <mergeCell ref="B32:H32"/>
    <mergeCell ref="B94:H94"/>
    <mergeCell ref="B91:H91"/>
    <mergeCell ref="B90:H90"/>
    <mergeCell ref="B31:H31"/>
    <mergeCell ref="A3:H3"/>
    <mergeCell ref="B93:H93"/>
    <mergeCell ref="B96:H96"/>
    <mergeCell ref="A2:H2"/>
    <mergeCell ref="B86:H86"/>
    <mergeCell ref="A5:H5"/>
    <mergeCell ref="B88:H88"/>
    <mergeCell ref="B87:H87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2026-09-17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COUNTIF('ETF데이터'!$T$4:$T$517,1)</f>
        <v/>
      </c>
      <c r="D14" s="3" t="inlineStr">
        <is>
          <t>전체 514종목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IF($K20=0,"",INDEX('ETF데이터'!$A$4:$A$517,$K20))</f>
        <v/>
      </c>
      <c r="C20" s="73">
        <f>IF($K20=0,"",INDEX('ETF데이터'!$R$4:$R$517,$K20))</f>
        <v/>
      </c>
      <c r="D20" s="74">
        <f>IF($K20=0,"",INDEX('ETF데이터'!$J$4:$J$517,$K20))</f>
        <v/>
      </c>
      <c r="E20" s="75">
        <f>IF($K20=0,"",$D20/12)</f>
        <v/>
      </c>
      <c r="F20" s="76">
        <f>IF($K20=0,"",INDEX('ETF데이터'!$D$4:$D$517,$K20))</f>
        <v/>
      </c>
      <c r="G20" s="74">
        <f>IF($K20=0,"",INDEX('ETF데이터'!$H$4:$H$517,$K20))</f>
        <v/>
      </c>
      <c r="H20" s="77">
        <f>IF($K20=0,"",INDEX('ETF데이터'!$E$4:$E$517,$K20))</f>
        <v/>
      </c>
      <c r="I20" s="73">
        <f>IF($K20=0,"",INDEX('ETF데이터'!$M$4:$M$517,$K20))</f>
        <v/>
      </c>
      <c r="J20" s="78" t="n"/>
      <c r="K20">
        <f>IFERROR(MATCH(1,'ETF데이터'!$U$4:$U$517,0),0)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IF($K21=0,"",INDEX('ETF데이터'!$A$4:$A$517,$K21))</f>
        <v/>
      </c>
      <c r="C21" s="79">
        <f>IF($K21=0,"",INDEX('ETF데이터'!$R$4:$R$517,$K21))</f>
        <v/>
      </c>
      <c r="D21" s="80">
        <f>IF($K21=0,"",INDEX('ETF데이터'!$J$4:$J$517,$K21))</f>
        <v/>
      </c>
      <c r="E21" s="81">
        <f>IF($K21=0,"",$D21/12)</f>
        <v/>
      </c>
      <c r="F21" s="82">
        <f>IF($K21=0,"",INDEX('ETF데이터'!$D$4:$D$517,$K21))</f>
        <v/>
      </c>
      <c r="G21" s="80">
        <f>IF($K21=0,"",INDEX('ETF데이터'!$H$4:$H$517,$K21))</f>
        <v/>
      </c>
      <c r="H21" s="83">
        <f>IF($K21=0,"",INDEX('ETF데이터'!$E$4:$E$517,$K21))</f>
        <v/>
      </c>
      <c r="I21" s="79">
        <f>IF($K21=0,"",INDEX('ETF데이터'!$M$4:$M$517,$K21))</f>
        <v/>
      </c>
      <c r="J21" s="78" t="n"/>
      <c r="K21">
        <f>IFERROR(MATCH(2,'ETF데이터'!$U$4:$U$517,0),0)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IF($K22=0,"",INDEX('ETF데이터'!$A$4:$A$517,$K22))</f>
        <v/>
      </c>
      <c r="C22" s="73">
        <f>IF($K22=0,"",INDEX('ETF데이터'!$R$4:$R$517,$K22))</f>
        <v/>
      </c>
      <c r="D22" s="74">
        <f>IF($K22=0,"",INDEX('ETF데이터'!$J$4:$J$517,$K22))</f>
        <v/>
      </c>
      <c r="E22" s="75">
        <f>IF($K22=0,"",$D22/12)</f>
        <v/>
      </c>
      <c r="F22" s="76">
        <f>IF($K22=0,"",INDEX('ETF데이터'!$D$4:$D$517,$K22))</f>
        <v/>
      </c>
      <c r="G22" s="74">
        <f>IF($K22=0,"",INDEX('ETF데이터'!$H$4:$H$517,$K22))</f>
        <v/>
      </c>
      <c r="H22" s="77">
        <f>IF($K22=0,"",INDEX('ETF데이터'!$E$4:$E$517,$K22))</f>
        <v/>
      </c>
      <c r="I22" s="73">
        <f>IF($K22=0,"",INDEX('ETF데이터'!$M$4:$M$517,$K22))</f>
        <v/>
      </c>
      <c r="J22" s="78" t="n"/>
      <c r="K22">
        <f>IFERROR(MATCH(3,'ETF데이터'!$U$4:$U$517,0),0)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IF($K23=0,"",INDEX('ETF데이터'!$A$4:$A$517,$K23))</f>
        <v/>
      </c>
      <c r="C23" s="79">
        <f>IF($K23=0,"",INDEX('ETF데이터'!$R$4:$R$517,$K23))</f>
        <v/>
      </c>
      <c r="D23" s="80">
        <f>IF($K23=0,"",INDEX('ETF데이터'!$J$4:$J$517,$K23))</f>
        <v/>
      </c>
      <c r="E23" s="81">
        <f>IF($K23=0,"",$D23/12)</f>
        <v/>
      </c>
      <c r="F23" s="82">
        <f>IF($K23=0,"",INDEX('ETF데이터'!$D$4:$D$517,$K23))</f>
        <v/>
      </c>
      <c r="G23" s="80">
        <f>IF($K23=0,"",INDEX('ETF데이터'!$H$4:$H$517,$K23))</f>
        <v/>
      </c>
      <c r="H23" s="83">
        <f>IF($K23=0,"",INDEX('ETF데이터'!$E$4:$E$517,$K23))</f>
        <v/>
      </c>
      <c r="I23" s="79">
        <f>IF($K23=0,"",INDEX('ETF데이터'!$M$4:$M$517,$K23))</f>
        <v/>
      </c>
      <c r="J23" s="78" t="n"/>
      <c r="K23">
        <f>IFERROR(MATCH(4,'ETF데이터'!$U$4:$U$517,0),0)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IF($K24=0,"",INDEX('ETF데이터'!$A$4:$A$517,$K24))</f>
        <v/>
      </c>
      <c r="C24" s="73">
        <f>IF($K24=0,"",INDEX('ETF데이터'!$R$4:$R$517,$K24))</f>
        <v/>
      </c>
      <c r="D24" s="74">
        <f>IF($K24=0,"",INDEX('ETF데이터'!$J$4:$J$517,$K24))</f>
        <v/>
      </c>
      <c r="E24" s="75">
        <f>IF($K24=0,"",$D24/12)</f>
        <v/>
      </c>
      <c r="F24" s="76">
        <f>IF($K24=0,"",INDEX('ETF데이터'!$D$4:$D$517,$K24))</f>
        <v/>
      </c>
      <c r="G24" s="74">
        <f>IF($K24=0,"",INDEX('ETF데이터'!$H$4:$H$517,$K24))</f>
        <v/>
      </c>
      <c r="H24" s="77">
        <f>IF($K24=0,"",INDEX('ETF데이터'!$E$4:$E$517,$K24))</f>
        <v/>
      </c>
      <c r="I24" s="73">
        <f>IF($K24=0,"",INDEX('ETF데이터'!$M$4:$M$517,$K24))</f>
        <v/>
      </c>
      <c r="J24" s="78" t="n"/>
      <c r="K24">
        <f>IFERROR(MATCH(5,'ETF데이터'!$U$4:$U$517,0),0)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IF($K25=0,"",INDEX('ETF데이터'!$A$4:$A$517,$K25))</f>
        <v/>
      </c>
      <c r="C25" s="79">
        <f>IF($K25=0,"",INDEX('ETF데이터'!$R$4:$R$517,$K25))</f>
        <v/>
      </c>
      <c r="D25" s="80">
        <f>IF($K25=0,"",INDEX('ETF데이터'!$J$4:$J$517,$K25))</f>
        <v/>
      </c>
      <c r="E25" s="81">
        <f>IF($K25=0,"",$D25/12)</f>
        <v/>
      </c>
      <c r="F25" s="82">
        <f>IF($K25=0,"",INDEX('ETF데이터'!$D$4:$D$517,$K25))</f>
        <v/>
      </c>
      <c r="G25" s="80">
        <f>IF($K25=0,"",INDEX('ETF데이터'!$H$4:$H$517,$K25))</f>
        <v/>
      </c>
      <c r="H25" s="83">
        <f>IF($K25=0,"",INDEX('ETF데이터'!$E$4:$E$517,$K25))</f>
        <v/>
      </c>
      <c r="I25" s="79">
        <f>IF($K25=0,"",INDEX('ETF데이터'!$M$4:$M$517,$K25))</f>
        <v/>
      </c>
      <c r="J25" s="78" t="n"/>
      <c r="K25">
        <f>IFERROR(MATCH(6,'ETF데이터'!$U$4:$U$517,0),0)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IF($K26=0,"",INDEX('ETF데이터'!$A$4:$A$517,$K26))</f>
        <v/>
      </c>
      <c r="C26" s="73">
        <f>IF($K26=0,"",INDEX('ETF데이터'!$R$4:$R$517,$K26))</f>
        <v/>
      </c>
      <c r="D26" s="74">
        <f>IF($K26=0,"",INDEX('ETF데이터'!$J$4:$J$517,$K26))</f>
        <v/>
      </c>
      <c r="E26" s="75">
        <f>IF($K26=0,"",$D26/12)</f>
        <v/>
      </c>
      <c r="F26" s="76">
        <f>IF($K26=0,"",INDEX('ETF데이터'!$D$4:$D$517,$K26))</f>
        <v/>
      </c>
      <c r="G26" s="74">
        <f>IF($K26=0,"",INDEX('ETF데이터'!$H$4:$H$517,$K26))</f>
        <v/>
      </c>
      <c r="H26" s="77">
        <f>IF($K26=0,"",INDEX('ETF데이터'!$E$4:$E$517,$K26))</f>
        <v/>
      </c>
      <c r="I26" s="73">
        <f>IF($K26=0,"",INDEX('ETF데이터'!$M$4:$M$517,$K26))</f>
        <v/>
      </c>
      <c r="J26" s="78" t="n"/>
      <c r="K26">
        <f>IFERROR(MATCH(7,'ETF데이터'!$U$4:$U$517,0),0)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IF($K27=0,"",INDEX('ETF데이터'!$A$4:$A$517,$K27))</f>
        <v/>
      </c>
      <c r="C27" s="79">
        <f>IF($K27=0,"",INDEX('ETF데이터'!$R$4:$R$517,$K27))</f>
        <v/>
      </c>
      <c r="D27" s="80">
        <f>IF($K27=0,"",INDEX('ETF데이터'!$J$4:$J$517,$K27))</f>
        <v/>
      </c>
      <c r="E27" s="81">
        <f>IF($K27=0,"",$D27/12)</f>
        <v/>
      </c>
      <c r="F27" s="82">
        <f>IF($K27=0,"",INDEX('ETF데이터'!$D$4:$D$517,$K27))</f>
        <v/>
      </c>
      <c r="G27" s="80">
        <f>IF($K27=0,"",INDEX('ETF데이터'!$H$4:$H$517,$K27))</f>
        <v/>
      </c>
      <c r="H27" s="83">
        <f>IF($K27=0,"",INDEX('ETF데이터'!$E$4:$E$517,$K27))</f>
        <v/>
      </c>
      <c r="I27" s="79">
        <f>IF($K27=0,"",INDEX('ETF데이터'!$M$4:$M$517,$K27))</f>
        <v/>
      </c>
      <c r="J27" s="78" t="n"/>
      <c r="K27">
        <f>IFERROR(MATCH(8,'ETF데이터'!$U$4:$U$517,0),0)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IF($K28=0,"",INDEX('ETF데이터'!$A$4:$A$517,$K28))</f>
        <v/>
      </c>
      <c r="C28" s="73">
        <f>IF($K28=0,"",INDEX('ETF데이터'!$R$4:$R$517,$K28))</f>
        <v/>
      </c>
      <c r="D28" s="74">
        <f>IF($K28=0,"",INDEX('ETF데이터'!$J$4:$J$517,$K28))</f>
        <v/>
      </c>
      <c r="E28" s="75">
        <f>IF($K28=0,"",$D28/12)</f>
        <v/>
      </c>
      <c r="F28" s="76">
        <f>IF($K28=0,"",INDEX('ETF데이터'!$D$4:$D$517,$K28))</f>
        <v/>
      </c>
      <c r="G28" s="74">
        <f>IF($K28=0,"",INDEX('ETF데이터'!$H$4:$H$517,$K28))</f>
        <v/>
      </c>
      <c r="H28" s="77">
        <f>IF($K28=0,"",INDEX('ETF데이터'!$E$4:$E$517,$K28))</f>
        <v/>
      </c>
      <c r="I28" s="73">
        <f>IF($K28=0,"",INDEX('ETF데이터'!$M$4:$M$517,$K28))</f>
        <v/>
      </c>
      <c r="J28" s="78" t="n"/>
      <c r="K28">
        <f>IFERROR(MATCH(9,'ETF데이터'!$U$4:$U$517,0),0)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IF($K29=0,"",INDEX('ETF데이터'!$A$4:$A$517,$K29))</f>
        <v/>
      </c>
      <c r="C29" s="79">
        <f>IF($K29=0,"",INDEX('ETF데이터'!$R$4:$R$517,$K29))</f>
        <v/>
      </c>
      <c r="D29" s="80">
        <f>IF($K29=0,"",INDEX('ETF데이터'!$J$4:$J$517,$K29))</f>
        <v/>
      </c>
      <c r="E29" s="81">
        <f>IF($K29=0,"",$D29/12)</f>
        <v/>
      </c>
      <c r="F29" s="82">
        <f>IF($K29=0,"",INDEX('ETF데이터'!$D$4:$D$517,$K29))</f>
        <v/>
      </c>
      <c r="G29" s="80">
        <f>IF($K29=0,"",INDEX('ETF데이터'!$H$4:$H$517,$K29))</f>
        <v/>
      </c>
      <c r="H29" s="83">
        <f>IF($K29=0,"",INDEX('ETF데이터'!$E$4:$E$517,$K29))</f>
        <v/>
      </c>
      <c r="I29" s="79">
        <f>IF($K29=0,"",INDEX('ETF데이터'!$M$4:$M$517,$K29))</f>
        <v/>
      </c>
      <c r="J29" s="78" t="n"/>
      <c r="K29">
        <f>IFERROR(MATCH(10,'ETF데이터'!$U$4:$U$517,0),0)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IF($K30=0,"",INDEX('ETF데이터'!$A$4:$A$517,$K30))</f>
        <v/>
      </c>
      <c r="C30" s="73">
        <f>IF($K30=0,"",INDEX('ETF데이터'!$R$4:$R$517,$K30))</f>
        <v/>
      </c>
      <c r="D30" s="74">
        <f>IF($K30=0,"",INDEX('ETF데이터'!$J$4:$J$517,$K30))</f>
        <v/>
      </c>
      <c r="E30" s="75">
        <f>IF($K30=0,"",$D30/12)</f>
        <v/>
      </c>
      <c r="F30" s="76">
        <f>IF($K30=0,"",INDEX('ETF데이터'!$D$4:$D$517,$K30))</f>
        <v/>
      </c>
      <c r="G30" s="74">
        <f>IF($K30=0,"",INDEX('ETF데이터'!$H$4:$H$517,$K30))</f>
        <v/>
      </c>
      <c r="H30" s="77">
        <f>IF($K30=0,"",INDEX('ETF데이터'!$E$4:$E$517,$K30))</f>
        <v/>
      </c>
      <c r="I30" s="73">
        <f>IF($K30=0,"",INDEX('ETF데이터'!$M$4:$M$517,$K30))</f>
        <v/>
      </c>
      <c r="J30" s="78" t="n"/>
      <c r="K30">
        <f>IFERROR(MATCH(11,'ETF데이터'!$U$4:$U$517,0),0)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IF($K31=0,"",INDEX('ETF데이터'!$A$4:$A$517,$K31))</f>
        <v/>
      </c>
      <c r="C31" s="79">
        <f>IF($K31=0,"",INDEX('ETF데이터'!$R$4:$R$517,$K31))</f>
        <v/>
      </c>
      <c r="D31" s="80">
        <f>IF($K31=0,"",INDEX('ETF데이터'!$J$4:$J$517,$K31))</f>
        <v/>
      </c>
      <c r="E31" s="81">
        <f>IF($K31=0,"",$D31/12)</f>
        <v/>
      </c>
      <c r="F31" s="82">
        <f>IF($K31=0,"",INDEX('ETF데이터'!$D$4:$D$517,$K31))</f>
        <v/>
      </c>
      <c r="G31" s="80">
        <f>IF($K31=0,"",INDEX('ETF데이터'!$H$4:$H$517,$K31))</f>
        <v/>
      </c>
      <c r="H31" s="83">
        <f>IF($K31=0,"",INDEX('ETF데이터'!$E$4:$E$517,$K31))</f>
        <v/>
      </c>
      <c r="I31" s="79">
        <f>IF($K31=0,"",INDEX('ETF데이터'!$M$4:$M$517,$K31))</f>
        <v/>
      </c>
      <c r="J31" s="78" t="n"/>
      <c r="K31">
        <f>IFERROR(MATCH(12,'ETF데이터'!$U$4:$U$517,0),0)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IF($K32=0,"",INDEX('ETF데이터'!$A$4:$A$517,$K32))</f>
        <v/>
      </c>
      <c r="C32" s="73">
        <f>IF($K32=0,"",INDEX('ETF데이터'!$R$4:$R$517,$K32))</f>
        <v/>
      </c>
      <c r="D32" s="74">
        <f>IF($K32=0,"",INDEX('ETF데이터'!$J$4:$J$517,$K32))</f>
        <v/>
      </c>
      <c r="E32" s="75">
        <f>IF($K32=0,"",$D32/12)</f>
        <v/>
      </c>
      <c r="F32" s="76">
        <f>IF($K32=0,"",INDEX('ETF데이터'!$D$4:$D$517,$K32))</f>
        <v/>
      </c>
      <c r="G32" s="74">
        <f>IF($K32=0,"",INDEX('ETF데이터'!$H$4:$H$517,$K32))</f>
        <v/>
      </c>
      <c r="H32" s="77">
        <f>IF($K32=0,"",INDEX('ETF데이터'!$E$4:$E$517,$K32))</f>
        <v/>
      </c>
      <c r="I32" s="73">
        <f>IF($K32=0,"",INDEX('ETF데이터'!$M$4:$M$517,$K32))</f>
        <v/>
      </c>
      <c r="J32" s="78" t="n"/>
      <c r="K32">
        <f>IFERROR(MATCH(13,'ETF데이터'!$U$4:$U$517,0),0)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IF($K33=0,"",INDEX('ETF데이터'!$A$4:$A$517,$K33))</f>
        <v/>
      </c>
      <c r="C33" s="79">
        <f>IF($K33=0,"",INDEX('ETF데이터'!$R$4:$R$517,$K33))</f>
        <v/>
      </c>
      <c r="D33" s="80">
        <f>IF($K33=0,"",INDEX('ETF데이터'!$J$4:$J$517,$K33))</f>
        <v/>
      </c>
      <c r="E33" s="81">
        <f>IF($K33=0,"",$D33/12)</f>
        <v/>
      </c>
      <c r="F33" s="82">
        <f>IF($K33=0,"",INDEX('ETF데이터'!$D$4:$D$517,$K33))</f>
        <v/>
      </c>
      <c r="G33" s="80">
        <f>IF($K33=0,"",INDEX('ETF데이터'!$H$4:$H$517,$K33))</f>
        <v/>
      </c>
      <c r="H33" s="83">
        <f>IF($K33=0,"",INDEX('ETF데이터'!$E$4:$E$517,$K33))</f>
        <v/>
      </c>
      <c r="I33" s="79">
        <f>IF($K33=0,"",INDEX('ETF데이터'!$M$4:$M$517,$K33))</f>
        <v/>
      </c>
      <c r="J33" s="78" t="n"/>
      <c r="K33">
        <f>IFERROR(MATCH(14,'ETF데이터'!$U$4:$U$517,0),0)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IF($K34=0,"",INDEX('ETF데이터'!$A$4:$A$517,$K34))</f>
        <v/>
      </c>
      <c r="C34" s="73">
        <f>IF($K34=0,"",INDEX('ETF데이터'!$R$4:$R$517,$K34))</f>
        <v/>
      </c>
      <c r="D34" s="74">
        <f>IF($K34=0,"",INDEX('ETF데이터'!$J$4:$J$517,$K34))</f>
        <v/>
      </c>
      <c r="E34" s="75">
        <f>IF($K34=0,"",$D34/12)</f>
        <v/>
      </c>
      <c r="F34" s="76">
        <f>IF($K34=0,"",INDEX('ETF데이터'!$D$4:$D$517,$K34))</f>
        <v/>
      </c>
      <c r="G34" s="74">
        <f>IF($K34=0,"",INDEX('ETF데이터'!$H$4:$H$517,$K34))</f>
        <v/>
      </c>
      <c r="H34" s="77">
        <f>IF($K34=0,"",INDEX('ETF데이터'!$E$4:$E$517,$K34))</f>
        <v/>
      </c>
      <c r="I34" s="73">
        <f>IF($K34=0,"",INDEX('ETF데이터'!$M$4:$M$517,$K34))</f>
        <v/>
      </c>
      <c r="J34" s="78" t="n"/>
      <c r="K34">
        <f>IFERROR(MATCH(15,'ETF데이터'!$U$4:$U$517,0),0)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IF($K35=0,"",INDEX('ETF데이터'!$A$4:$A$517,$K35))</f>
        <v/>
      </c>
      <c r="C35" s="79">
        <f>IF($K35=0,"",INDEX('ETF데이터'!$R$4:$R$517,$K35))</f>
        <v/>
      </c>
      <c r="D35" s="80">
        <f>IF($K35=0,"",INDEX('ETF데이터'!$J$4:$J$517,$K35))</f>
        <v/>
      </c>
      <c r="E35" s="81">
        <f>IF($K35=0,"",$D35/12)</f>
        <v/>
      </c>
      <c r="F35" s="82">
        <f>IF($K35=0,"",INDEX('ETF데이터'!$D$4:$D$517,$K35))</f>
        <v/>
      </c>
      <c r="G35" s="80">
        <f>IF($K35=0,"",INDEX('ETF데이터'!$H$4:$H$517,$K35))</f>
        <v/>
      </c>
      <c r="H35" s="83">
        <f>IF($K35=0,"",INDEX('ETF데이터'!$E$4:$E$517,$K35))</f>
        <v/>
      </c>
      <c r="I35" s="79">
        <f>IF($K35=0,"",INDEX('ETF데이터'!$M$4:$M$517,$K35))</f>
        <v/>
      </c>
      <c r="J35" s="78" t="n"/>
      <c r="K35">
        <f>IFERROR(MATCH(16,'ETF데이터'!$U$4:$U$517,0),0)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IF($K36=0,"",INDEX('ETF데이터'!$A$4:$A$517,$K36))</f>
        <v/>
      </c>
      <c r="C36" s="73">
        <f>IF($K36=0,"",INDEX('ETF데이터'!$R$4:$R$517,$K36))</f>
        <v/>
      </c>
      <c r="D36" s="74">
        <f>IF($K36=0,"",INDEX('ETF데이터'!$J$4:$J$517,$K36))</f>
        <v/>
      </c>
      <c r="E36" s="75">
        <f>IF($K36=0,"",$D36/12)</f>
        <v/>
      </c>
      <c r="F36" s="76">
        <f>IF($K36=0,"",INDEX('ETF데이터'!$D$4:$D$517,$K36))</f>
        <v/>
      </c>
      <c r="G36" s="74">
        <f>IF($K36=0,"",INDEX('ETF데이터'!$H$4:$H$517,$K36))</f>
        <v/>
      </c>
      <c r="H36" s="77">
        <f>IF($K36=0,"",INDEX('ETF데이터'!$E$4:$E$517,$K36))</f>
        <v/>
      </c>
      <c r="I36" s="73">
        <f>IF($K36=0,"",INDEX('ETF데이터'!$M$4:$M$517,$K36))</f>
        <v/>
      </c>
      <c r="J36" s="78" t="n"/>
      <c r="K36">
        <f>IFERROR(MATCH(17,'ETF데이터'!$U$4:$U$517,0),0)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IF($K37=0,"",INDEX('ETF데이터'!$A$4:$A$517,$K37))</f>
        <v/>
      </c>
      <c r="C37" s="79">
        <f>IF($K37=0,"",INDEX('ETF데이터'!$R$4:$R$517,$K37))</f>
        <v/>
      </c>
      <c r="D37" s="80">
        <f>IF($K37=0,"",INDEX('ETF데이터'!$J$4:$J$517,$K37))</f>
        <v/>
      </c>
      <c r="E37" s="81">
        <f>IF($K37=0,"",$D37/12)</f>
        <v/>
      </c>
      <c r="F37" s="82">
        <f>IF($K37=0,"",INDEX('ETF데이터'!$D$4:$D$517,$K37))</f>
        <v/>
      </c>
      <c r="G37" s="80">
        <f>IF($K37=0,"",INDEX('ETF데이터'!$H$4:$H$517,$K37))</f>
        <v/>
      </c>
      <c r="H37" s="83">
        <f>IF($K37=0,"",INDEX('ETF데이터'!$E$4:$E$517,$K37))</f>
        <v/>
      </c>
      <c r="I37" s="79">
        <f>IF($K37=0,"",INDEX('ETF데이터'!$M$4:$M$517,$K37))</f>
        <v/>
      </c>
      <c r="J37" s="78" t="n"/>
      <c r="K37">
        <f>IFERROR(MATCH(18,'ETF데이터'!$U$4:$U$517,0),0)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IF($K38=0,"",INDEX('ETF데이터'!$A$4:$A$517,$K38))</f>
        <v/>
      </c>
      <c r="C38" s="73">
        <f>IF($K38=0,"",INDEX('ETF데이터'!$R$4:$R$517,$K38))</f>
        <v/>
      </c>
      <c r="D38" s="74">
        <f>IF($K38=0,"",INDEX('ETF데이터'!$J$4:$J$517,$K38))</f>
        <v/>
      </c>
      <c r="E38" s="75">
        <f>IF($K38=0,"",$D38/12)</f>
        <v/>
      </c>
      <c r="F38" s="76">
        <f>IF($K38=0,"",INDEX('ETF데이터'!$D$4:$D$517,$K38))</f>
        <v/>
      </c>
      <c r="G38" s="74">
        <f>IF($K38=0,"",INDEX('ETF데이터'!$H$4:$H$517,$K38))</f>
        <v/>
      </c>
      <c r="H38" s="77">
        <f>IF($K38=0,"",INDEX('ETF데이터'!$E$4:$E$517,$K38))</f>
        <v/>
      </c>
      <c r="I38" s="73">
        <f>IF($K38=0,"",INDEX('ETF데이터'!$M$4:$M$517,$K38))</f>
        <v/>
      </c>
      <c r="J38" s="78" t="n"/>
      <c r="K38">
        <f>IFERROR(MATCH(19,'ETF데이터'!$U$4:$U$517,0),0)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IF($K39=0,"",INDEX('ETF데이터'!$A$4:$A$517,$K39))</f>
        <v/>
      </c>
      <c r="C39" s="79">
        <f>IF($K39=0,"",INDEX('ETF데이터'!$R$4:$R$517,$K39))</f>
        <v/>
      </c>
      <c r="D39" s="80">
        <f>IF($K39=0,"",INDEX('ETF데이터'!$J$4:$J$517,$K39))</f>
        <v/>
      </c>
      <c r="E39" s="81">
        <f>IF($K39=0,"",$D39/12)</f>
        <v/>
      </c>
      <c r="F39" s="82">
        <f>IF($K39=0,"",INDEX('ETF데이터'!$D$4:$D$517,$K39))</f>
        <v/>
      </c>
      <c r="G39" s="80">
        <f>IF($K39=0,"",INDEX('ETF데이터'!$H$4:$H$517,$K39))</f>
        <v/>
      </c>
      <c r="H39" s="83">
        <f>IF($K39=0,"",INDEX('ETF데이터'!$E$4:$E$517,$K39))</f>
        <v/>
      </c>
      <c r="I39" s="79">
        <f>IF($K39=0,"",INDEX('ETF데이터'!$M$4:$M$517,$K39))</f>
        <v/>
      </c>
      <c r="J39" s="78" t="n"/>
      <c r="K39">
        <f>IFERROR(MATCH(20,'ETF데이터'!$U$4:$U$517,0),0)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IF($K40=0,"",INDEX('ETF데이터'!$A$4:$A$517,$K40))</f>
        <v/>
      </c>
      <c r="C40" s="73">
        <f>IF($K40=0,"",INDEX('ETF데이터'!$R$4:$R$517,$K40))</f>
        <v/>
      </c>
      <c r="D40" s="74">
        <f>IF($K40=0,"",INDEX('ETF데이터'!$J$4:$J$517,$K40))</f>
        <v/>
      </c>
      <c r="E40" s="75">
        <f>IF($K40=0,"",$D40/12)</f>
        <v/>
      </c>
      <c r="F40" s="76">
        <f>IF($K40=0,"",INDEX('ETF데이터'!$D$4:$D$517,$K40))</f>
        <v/>
      </c>
      <c r="G40" s="74">
        <f>IF($K40=0,"",INDEX('ETF데이터'!$H$4:$H$517,$K40))</f>
        <v/>
      </c>
      <c r="H40" s="77">
        <f>IF($K40=0,"",INDEX('ETF데이터'!$E$4:$E$517,$K40))</f>
        <v/>
      </c>
      <c r="I40" s="73">
        <f>IF($K40=0,"",INDEX('ETF데이터'!$M$4:$M$517,$K40))</f>
        <v/>
      </c>
      <c r="J40" s="78" t="n"/>
      <c r="K40">
        <f>IFERROR(MATCH(21,'ETF데이터'!$U$4:$U$517,0),0)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IF($K41=0,"",INDEX('ETF데이터'!$A$4:$A$517,$K41))</f>
        <v/>
      </c>
      <c r="C41" s="79">
        <f>IF($K41=0,"",INDEX('ETF데이터'!$R$4:$R$517,$K41))</f>
        <v/>
      </c>
      <c r="D41" s="80">
        <f>IF($K41=0,"",INDEX('ETF데이터'!$J$4:$J$517,$K41))</f>
        <v/>
      </c>
      <c r="E41" s="81">
        <f>IF($K41=0,"",$D41/12)</f>
        <v/>
      </c>
      <c r="F41" s="82">
        <f>IF($K41=0,"",INDEX('ETF데이터'!$D$4:$D$517,$K41))</f>
        <v/>
      </c>
      <c r="G41" s="80">
        <f>IF($K41=0,"",INDEX('ETF데이터'!$H$4:$H$517,$K41))</f>
        <v/>
      </c>
      <c r="H41" s="83">
        <f>IF($K41=0,"",INDEX('ETF데이터'!$E$4:$E$517,$K41))</f>
        <v/>
      </c>
      <c r="I41" s="79">
        <f>IF($K41=0,"",INDEX('ETF데이터'!$M$4:$M$517,$K41))</f>
        <v/>
      </c>
      <c r="J41" s="78" t="n"/>
      <c r="K41">
        <f>IFERROR(MATCH(22,'ETF데이터'!$U$4:$U$517,0),0)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IF($K42=0,"",INDEX('ETF데이터'!$A$4:$A$517,$K42))</f>
        <v/>
      </c>
      <c r="C42" s="73">
        <f>IF($K42=0,"",INDEX('ETF데이터'!$R$4:$R$517,$K42))</f>
        <v/>
      </c>
      <c r="D42" s="74">
        <f>IF($K42=0,"",INDEX('ETF데이터'!$J$4:$J$517,$K42))</f>
        <v/>
      </c>
      <c r="E42" s="75">
        <f>IF($K42=0,"",$D42/12)</f>
        <v/>
      </c>
      <c r="F42" s="76">
        <f>IF($K42=0,"",INDEX('ETF데이터'!$D$4:$D$517,$K42))</f>
        <v/>
      </c>
      <c r="G42" s="74">
        <f>IF($K42=0,"",INDEX('ETF데이터'!$H$4:$H$517,$K42))</f>
        <v/>
      </c>
      <c r="H42" s="77">
        <f>IF($K42=0,"",INDEX('ETF데이터'!$E$4:$E$517,$K42))</f>
        <v/>
      </c>
      <c r="I42" s="73">
        <f>IF($K42=0,"",INDEX('ETF데이터'!$M$4:$M$517,$K42))</f>
        <v/>
      </c>
      <c r="J42" s="78" t="n"/>
      <c r="K42">
        <f>IFERROR(MATCH(23,'ETF데이터'!$U$4:$U$517,0),0)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IF($K43=0,"",INDEX('ETF데이터'!$A$4:$A$517,$K43))</f>
        <v/>
      </c>
      <c r="C43" s="79">
        <f>IF($K43=0,"",INDEX('ETF데이터'!$R$4:$R$517,$K43))</f>
        <v/>
      </c>
      <c r="D43" s="80">
        <f>IF($K43=0,"",INDEX('ETF데이터'!$J$4:$J$517,$K43))</f>
        <v/>
      </c>
      <c r="E43" s="81">
        <f>IF($K43=0,"",$D43/12)</f>
        <v/>
      </c>
      <c r="F43" s="82">
        <f>IF($K43=0,"",INDEX('ETF데이터'!$D$4:$D$517,$K43))</f>
        <v/>
      </c>
      <c r="G43" s="80">
        <f>IF($K43=0,"",INDEX('ETF데이터'!$H$4:$H$517,$K43))</f>
        <v/>
      </c>
      <c r="H43" s="83">
        <f>IF($K43=0,"",INDEX('ETF데이터'!$E$4:$E$517,$K43))</f>
        <v/>
      </c>
      <c r="I43" s="79">
        <f>IF($K43=0,"",INDEX('ETF데이터'!$M$4:$M$517,$K43))</f>
        <v/>
      </c>
      <c r="J43" s="78" t="n"/>
      <c r="K43">
        <f>IFERROR(MATCH(24,'ETF데이터'!$U$4:$U$517,0),0)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IF($K44=0,"",INDEX('ETF데이터'!$A$4:$A$517,$K44))</f>
        <v/>
      </c>
      <c r="C44" s="73">
        <f>IF($K44=0,"",INDEX('ETF데이터'!$R$4:$R$517,$K44))</f>
        <v/>
      </c>
      <c r="D44" s="74">
        <f>IF($K44=0,"",INDEX('ETF데이터'!$J$4:$J$517,$K44))</f>
        <v/>
      </c>
      <c r="E44" s="75">
        <f>IF($K44=0,"",$D44/12)</f>
        <v/>
      </c>
      <c r="F44" s="76">
        <f>IF($K44=0,"",INDEX('ETF데이터'!$D$4:$D$517,$K44))</f>
        <v/>
      </c>
      <c r="G44" s="74">
        <f>IF($K44=0,"",INDEX('ETF데이터'!$H$4:$H$517,$K44))</f>
        <v/>
      </c>
      <c r="H44" s="77">
        <f>IF($K44=0,"",INDEX('ETF데이터'!$E$4:$E$517,$K44))</f>
        <v/>
      </c>
      <c r="I44" s="73">
        <f>IF($K44=0,"",INDEX('ETF데이터'!$M$4:$M$517,$K44))</f>
        <v/>
      </c>
      <c r="J44" s="78" t="n"/>
      <c r="K44">
        <f>IFERROR(MATCH(25,'ETF데이터'!$U$4:$U$517,0),0)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IF($K45=0,"",INDEX('ETF데이터'!$A$4:$A$517,$K45))</f>
        <v/>
      </c>
      <c r="C45" s="79">
        <f>IF($K45=0,"",INDEX('ETF데이터'!$R$4:$R$517,$K45))</f>
        <v/>
      </c>
      <c r="D45" s="80">
        <f>IF($K45=0,"",INDEX('ETF데이터'!$J$4:$J$517,$K45))</f>
        <v/>
      </c>
      <c r="E45" s="81">
        <f>IF($K45=0,"",$D45/12)</f>
        <v/>
      </c>
      <c r="F45" s="82">
        <f>IF($K45=0,"",INDEX('ETF데이터'!$D$4:$D$517,$K45))</f>
        <v/>
      </c>
      <c r="G45" s="80">
        <f>IF($K45=0,"",INDEX('ETF데이터'!$H$4:$H$517,$K45))</f>
        <v/>
      </c>
      <c r="H45" s="83">
        <f>IF($K45=0,"",INDEX('ETF데이터'!$E$4:$E$517,$K45))</f>
        <v/>
      </c>
      <c r="I45" s="79">
        <f>IF($K45=0,"",INDEX('ETF데이터'!$M$4:$M$517,$K45))</f>
        <v/>
      </c>
      <c r="J45" s="78" t="n"/>
      <c r="K45">
        <f>IFERROR(MATCH(26,'ETF데이터'!$U$4:$U$517,0),0)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IF($K46=0,"",INDEX('ETF데이터'!$A$4:$A$517,$K46))</f>
        <v/>
      </c>
      <c r="C46" s="73">
        <f>IF($K46=0,"",INDEX('ETF데이터'!$R$4:$R$517,$K46))</f>
        <v/>
      </c>
      <c r="D46" s="74">
        <f>IF($K46=0,"",INDEX('ETF데이터'!$J$4:$J$517,$K46))</f>
        <v/>
      </c>
      <c r="E46" s="75">
        <f>IF($K46=0,"",$D46/12)</f>
        <v/>
      </c>
      <c r="F46" s="76">
        <f>IF($K46=0,"",INDEX('ETF데이터'!$D$4:$D$517,$K46))</f>
        <v/>
      </c>
      <c r="G46" s="74">
        <f>IF($K46=0,"",INDEX('ETF데이터'!$H$4:$H$517,$K46))</f>
        <v/>
      </c>
      <c r="H46" s="77">
        <f>IF($K46=0,"",INDEX('ETF데이터'!$E$4:$E$517,$K46))</f>
        <v/>
      </c>
      <c r="I46" s="73">
        <f>IF($K46=0,"",INDEX('ETF데이터'!$M$4:$M$517,$K46))</f>
        <v/>
      </c>
      <c r="J46" s="78" t="n"/>
      <c r="K46">
        <f>IFERROR(MATCH(27,'ETF데이터'!$U$4:$U$517,0),0)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IF($K47=0,"",INDEX('ETF데이터'!$A$4:$A$517,$K47))</f>
        <v/>
      </c>
      <c r="C47" s="79">
        <f>IF($K47=0,"",INDEX('ETF데이터'!$R$4:$R$517,$K47))</f>
        <v/>
      </c>
      <c r="D47" s="80">
        <f>IF($K47=0,"",INDEX('ETF데이터'!$J$4:$J$517,$K47))</f>
        <v/>
      </c>
      <c r="E47" s="81">
        <f>IF($K47=0,"",$D47/12)</f>
        <v/>
      </c>
      <c r="F47" s="82">
        <f>IF($K47=0,"",INDEX('ETF데이터'!$D$4:$D$517,$K47))</f>
        <v/>
      </c>
      <c r="G47" s="80">
        <f>IF($K47=0,"",INDEX('ETF데이터'!$H$4:$H$517,$K47))</f>
        <v/>
      </c>
      <c r="H47" s="83">
        <f>IF($K47=0,"",INDEX('ETF데이터'!$E$4:$E$517,$K47))</f>
        <v/>
      </c>
      <c r="I47" s="79">
        <f>IF($K47=0,"",INDEX('ETF데이터'!$M$4:$M$517,$K47))</f>
        <v/>
      </c>
      <c r="J47" s="78" t="n"/>
      <c r="K47">
        <f>IFERROR(MATCH(28,'ETF데이터'!$U$4:$U$517,0),0)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IF($K48=0,"",INDEX('ETF데이터'!$A$4:$A$517,$K48))</f>
        <v/>
      </c>
      <c r="C48" s="73">
        <f>IF($K48=0,"",INDEX('ETF데이터'!$R$4:$R$517,$K48))</f>
        <v/>
      </c>
      <c r="D48" s="74">
        <f>IF($K48=0,"",INDEX('ETF데이터'!$J$4:$J$517,$K48))</f>
        <v/>
      </c>
      <c r="E48" s="75">
        <f>IF($K48=0,"",$D48/12)</f>
        <v/>
      </c>
      <c r="F48" s="76">
        <f>IF($K48=0,"",INDEX('ETF데이터'!$D$4:$D$517,$K48))</f>
        <v/>
      </c>
      <c r="G48" s="74">
        <f>IF($K48=0,"",INDEX('ETF데이터'!$H$4:$H$517,$K48))</f>
        <v/>
      </c>
      <c r="H48" s="77">
        <f>IF($K48=0,"",INDEX('ETF데이터'!$E$4:$E$517,$K48))</f>
        <v/>
      </c>
      <c r="I48" s="73">
        <f>IF($K48=0,"",INDEX('ETF데이터'!$M$4:$M$517,$K48))</f>
        <v/>
      </c>
      <c r="J48" s="78" t="n"/>
      <c r="K48">
        <f>IFERROR(MATCH(29,'ETF데이터'!$U$4:$U$517,0),0)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IF($K49=0,"",INDEX('ETF데이터'!$A$4:$A$517,$K49))</f>
        <v/>
      </c>
      <c r="C49" s="79">
        <f>IF($K49=0,"",INDEX('ETF데이터'!$R$4:$R$517,$K49))</f>
        <v/>
      </c>
      <c r="D49" s="80">
        <f>IF($K49=0,"",INDEX('ETF데이터'!$J$4:$J$517,$K49))</f>
        <v/>
      </c>
      <c r="E49" s="81">
        <f>IF($K49=0,"",$D49/12)</f>
        <v/>
      </c>
      <c r="F49" s="82">
        <f>IF($K49=0,"",INDEX('ETF데이터'!$D$4:$D$517,$K49))</f>
        <v/>
      </c>
      <c r="G49" s="80">
        <f>IF($K49=0,"",INDEX('ETF데이터'!$H$4:$H$517,$K49))</f>
        <v/>
      </c>
      <c r="H49" s="83">
        <f>IF($K49=0,"",INDEX('ETF데이터'!$E$4:$E$517,$K49))</f>
        <v/>
      </c>
      <c r="I49" s="79">
        <f>IF($K49=0,"",INDEX('ETF데이터'!$M$4:$M$517,$K49))</f>
        <v/>
      </c>
      <c r="J49" s="78" t="n"/>
      <c r="K49">
        <f>IFERROR(MATCH(30,'ETF데이터'!$U$4:$U$517,0),0)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IF($K50=0,"",INDEX('ETF데이터'!$A$4:$A$517,$K50))</f>
        <v/>
      </c>
      <c r="C50" s="73">
        <f>IF($K50=0,"",INDEX('ETF데이터'!$R$4:$R$517,$K50))</f>
        <v/>
      </c>
      <c r="D50" s="74">
        <f>IF($K50=0,"",INDEX('ETF데이터'!$J$4:$J$517,$K50))</f>
        <v/>
      </c>
      <c r="E50" s="75">
        <f>IF($K50=0,"",$D50/12)</f>
        <v/>
      </c>
      <c r="F50" s="76">
        <f>IF($K50=0,"",INDEX('ETF데이터'!$D$4:$D$517,$K50))</f>
        <v/>
      </c>
      <c r="G50" s="74">
        <f>IF($K50=0,"",INDEX('ETF데이터'!$H$4:$H$517,$K50))</f>
        <v/>
      </c>
      <c r="H50" s="77">
        <f>IF($K50=0,"",INDEX('ETF데이터'!$E$4:$E$517,$K50))</f>
        <v/>
      </c>
      <c r="I50" s="73">
        <f>IF($K50=0,"",INDEX('ETF데이터'!$M$4:$M$517,$K50))</f>
        <v/>
      </c>
      <c r="J50" s="78" t="n"/>
      <c r="K50">
        <f>IFERROR(MATCH(31,'ETF데이터'!$U$4:$U$517,0),0)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IF($K51=0,"",INDEX('ETF데이터'!$A$4:$A$517,$K51))</f>
        <v/>
      </c>
      <c r="C51" s="79">
        <f>IF($K51=0,"",INDEX('ETF데이터'!$R$4:$R$517,$K51))</f>
        <v/>
      </c>
      <c r="D51" s="80">
        <f>IF($K51=0,"",INDEX('ETF데이터'!$J$4:$J$517,$K51))</f>
        <v/>
      </c>
      <c r="E51" s="81">
        <f>IF($K51=0,"",$D51/12)</f>
        <v/>
      </c>
      <c r="F51" s="82">
        <f>IF($K51=0,"",INDEX('ETF데이터'!$D$4:$D$517,$K51))</f>
        <v/>
      </c>
      <c r="G51" s="80">
        <f>IF($K51=0,"",INDEX('ETF데이터'!$H$4:$H$517,$K51))</f>
        <v/>
      </c>
      <c r="H51" s="83">
        <f>IF($K51=0,"",INDEX('ETF데이터'!$E$4:$E$517,$K51))</f>
        <v/>
      </c>
      <c r="I51" s="79">
        <f>IF($K51=0,"",INDEX('ETF데이터'!$M$4:$M$517,$K51))</f>
        <v/>
      </c>
      <c r="J51" s="78" t="n"/>
      <c r="K51">
        <f>IFERROR(MATCH(32,'ETF데이터'!$U$4:$U$517,0),0)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IF($K52=0,"",INDEX('ETF데이터'!$A$4:$A$517,$K52))</f>
        <v/>
      </c>
      <c r="C52" s="73">
        <f>IF($K52=0,"",INDEX('ETF데이터'!$R$4:$R$517,$K52))</f>
        <v/>
      </c>
      <c r="D52" s="74">
        <f>IF($K52=0,"",INDEX('ETF데이터'!$J$4:$J$517,$K52))</f>
        <v/>
      </c>
      <c r="E52" s="75">
        <f>IF($K52=0,"",$D52/12)</f>
        <v/>
      </c>
      <c r="F52" s="76">
        <f>IF($K52=0,"",INDEX('ETF데이터'!$D$4:$D$517,$K52))</f>
        <v/>
      </c>
      <c r="G52" s="74">
        <f>IF($K52=0,"",INDEX('ETF데이터'!$H$4:$H$517,$K52))</f>
        <v/>
      </c>
      <c r="H52" s="77">
        <f>IF($K52=0,"",INDEX('ETF데이터'!$E$4:$E$517,$K52))</f>
        <v/>
      </c>
      <c r="I52" s="73">
        <f>IF($K52=0,"",INDEX('ETF데이터'!$M$4:$M$517,$K52))</f>
        <v/>
      </c>
      <c r="J52" s="78" t="n"/>
      <c r="K52">
        <f>IFERROR(MATCH(33,'ETF데이터'!$U$4:$U$517,0),0)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IF($K53=0,"",INDEX('ETF데이터'!$A$4:$A$517,$K53))</f>
        <v/>
      </c>
      <c r="C53" s="79">
        <f>IF($K53=0,"",INDEX('ETF데이터'!$R$4:$R$517,$K53))</f>
        <v/>
      </c>
      <c r="D53" s="80">
        <f>IF($K53=0,"",INDEX('ETF데이터'!$J$4:$J$517,$K53))</f>
        <v/>
      </c>
      <c r="E53" s="81">
        <f>IF($K53=0,"",$D53/12)</f>
        <v/>
      </c>
      <c r="F53" s="82">
        <f>IF($K53=0,"",INDEX('ETF데이터'!$D$4:$D$517,$K53))</f>
        <v/>
      </c>
      <c r="G53" s="80">
        <f>IF($K53=0,"",INDEX('ETF데이터'!$H$4:$H$517,$K53))</f>
        <v/>
      </c>
      <c r="H53" s="83">
        <f>IF($K53=0,"",INDEX('ETF데이터'!$E$4:$E$517,$K53))</f>
        <v/>
      </c>
      <c r="I53" s="79">
        <f>IF($K53=0,"",INDEX('ETF데이터'!$M$4:$M$517,$K53))</f>
        <v/>
      </c>
      <c r="J53" s="78" t="n"/>
      <c r="K53">
        <f>IFERROR(MATCH(34,'ETF데이터'!$U$4:$U$517,0),0)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IF($K54=0,"",INDEX('ETF데이터'!$A$4:$A$517,$K54))</f>
        <v/>
      </c>
      <c r="C54" s="73">
        <f>IF($K54=0,"",INDEX('ETF데이터'!$R$4:$R$517,$K54))</f>
        <v/>
      </c>
      <c r="D54" s="74">
        <f>IF($K54=0,"",INDEX('ETF데이터'!$J$4:$J$517,$K54))</f>
        <v/>
      </c>
      <c r="E54" s="75">
        <f>IF($K54=0,"",$D54/12)</f>
        <v/>
      </c>
      <c r="F54" s="76">
        <f>IF($K54=0,"",INDEX('ETF데이터'!$D$4:$D$517,$K54))</f>
        <v/>
      </c>
      <c r="G54" s="74">
        <f>IF($K54=0,"",INDEX('ETF데이터'!$H$4:$H$517,$K54))</f>
        <v/>
      </c>
      <c r="H54" s="77">
        <f>IF($K54=0,"",INDEX('ETF데이터'!$E$4:$E$517,$K54))</f>
        <v/>
      </c>
      <c r="I54" s="73">
        <f>IF($K54=0,"",INDEX('ETF데이터'!$M$4:$M$517,$K54))</f>
        <v/>
      </c>
      <c r="J54" s="78" t="n"/>
      <c r="K54">
        <f>IFERROR(MATCH(35,'ETF데이터'!$U$4:$U$517,0),0)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IF($K55=0,"",INDEX('ETF데이터'!$A$4:$A$517,$K55))</f>
        <v/>
      </c>
      <c r="C55" s="79">
        <f>IF($K55=0,"",INDEX('ETF데이터'!$R$4:$R$517,$K55))</f>
        <v/>
      </c>
      <c r="D55" s="80">
        <f>IF($K55=0,"",INDEX('ETF데이터'!$J$4:$J$517,$K55))</f>
        <v/>
      </c>
      <c r="E55" s="81">
        <f>IF($K55=0,"",$D55/12)</f>
        <v/>
      </c>
      <c r="F55" s="82">
        <f>IF($K55=0,"",INDEX('ETF데이터'!$D$4:$D$517,$K55))</f>
        <v/>
      </c>
      <c r="G55" s="80">
        <f>IF($K55=0,"",INDEX('ETF데이터'!$H$4:$H$517,$K55))</f>
        <v/>
      </c>
      <c r="H55" s="83">
        <f>IF($K55=0,"",INDEX('ETF데이터'!$E$4:$E$517,$K55))</f>
        <v/>
      </c>
      <c r="I55" s="79">
        <f>IF($K55=0,"",INDEX('ETF데이터'!$M$4:$M$517,$K55))</f>
        <v/>
      </c>
      <c r="J55" s="78" t="n"/>
      <c r="K55">
        <f>IFERROR(MATCH(36,'ETF데이터'!$U$4:$U$517,0),0)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IF($K56=0,"",INDEX('ETF데이터'!$A$4:$A$517,$K56))</f>
        <v/>
      </c>
      <c r="C56" s="73">
        <f>IF($K56=0,"",INDEX('ETF데이터'!$R$4:$R$517,$K56))</f>
        <v/>
      </c>
      <c r="D56" s="74">
        <f>IF($K56=0,"",INDEX('ETF데이터'!$J$4:$J$517,$K56))</f>
        <v/>
      </c>
      <c r="E56" s="75">
        <f>IF($K56=0,"",$D56/12)</f>
        <v/>
      </c>
      <c r="F56" s="76">
        <f>IF($K56=0,"",INDEX('ETF데이터'!$D$4:$D$517,$K56))</f>
        <v/>
      </c>
      <c r="G56" s="74">
        <f>IF($K56=0,"",INDEX('ETF데이터'!$H$4:$H$517,$K56))</f>
        <v/>
      </c>
      <c r="H56" s="77">
        <f>IF($K56=0,"",INDEX('ETF데이터'!$E$4:$E$517,$K56))</f>
        <v/>
      </c>
      <c r="I56" s="73">
        <f>IF($K56=0,"",INDEX('ETF데이터'!$M$4:$M$517,$K56))</f>
        <v/>
      </c>
      <c r="J56" s="78" t="n"/>
      <c r="K56">
        <f>IFERROR(MATCH(37,'ETF데이터'!$U$4:$U$517,0),0)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IF($K57=0,"",INDEX('ETF데이터'!$A$4:$A$517,$K57))</f>
        <v/>
      </c>
      <c r="C57" s="79">
        <f>IF($K57=0,"",INDEX('ETF데이터'!$R$4:$R$517,$K57))</f>
        <v/>
      </c>
      <c r="D57" s="80">
        <f>IF($K57=0,"",INDEX('ETF데이터'!$J$4:$J$517,$K57))</f>
        <v/>
      </c>
      <c r="E57" s="81">
        <f>IF($K57=0,"",$D57/12)</f>
        <v/>
      </c>
      <c r="F57" s="82">
        <f>IF($K57=0,"",INDEX('ETF데이터'!$D$4:$D$517,$K57))</f>
        <v/>
      </c>
      <c r="G57" s="80">
        <f>IF($K57=0,"",INDEX('ETF데이터'!$H$4:$H$517,$K57))</f>
        <v/>
      </c>
      <c r="H57" s="83">
        <f>IF($K57=0,"",INDEX('ETF데이터'!$E$4:$E$517,$K57))</f>
        <v/>
      </c>
      <c r="I57" s="79">
        <f>IF($K57=0,"",INDEX('ETF데이터'!$M$4:$M$517,$K57))</f>
        <v/>
      </c>
      <c r="J57" s="78" t="n"/>
      <c r="K57">
        <f>IFERROR(MATCH(38,'ETF데이터'!$U$4:$U$517,0),0)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IF($K58=0,"",INDEX('ETF데이터'!$A$4:$A$517,$K58))</f>
        <v/>
      </c>
      <c r="C58" s="73">
        <f>IF($K58=0,"",INDEX('ETF데이터'!$R$4:$R$517,$K58))</f>
        <v/>
      </c>
      <c r="D58" s="74">
        <f>IF($K58=0,"",INDEX('ETF데이터'!$J$4:$J$517,$K58))</f>
        <v/>
      </c>
      <c r="E58" s="75">
        <f>IF($K58=0,"",$D58/12)</f>
        <v/>
      </c>
      <c r="F58" s="76">
        <f>IF($K58=0,"",INDEX('ETF데이터'!$D$4:$D$517,$K58))</f>
        <v/>
      </c>
      <c r="G58" s="74">
        <f>IF($K58=0,"",INDEX('ETF데이터'!$H$4:$H$517,$K58))</f>
        <v/>
      </c>
      <c r="H58" s="77">
        <f>IF($K58=0,"",INDEX('ETF데이터'!$E$4:$E$517,$K58))</f>
        <v/>
      </c>
      <c r="I58" s="73">
        <f>IF($K58=0,"",INDEX('ETF데이터'!$M$4:$M$517,$K58))</f>
        <v/>
      </c>
      <c r="J58" s="78" t="n"/>
      <c r="K58">
        <f>IFERROR(MATCH(39,'ETF데이터'!$U$4:$U$517,0),0)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IF($K59=0,"",INDEX('ETF데이터'!$A$4:$A$517,$K59))</f>
        <v/>
      </c>
      <c r="C59" s="79">
        <f>IF($K59=0,"",INDEX('ETF데이터'!$R$4:$R$517,$K59))</f>
        <v/>
      </c>
      <c r="D59" s="80">
        <f>IF($K59=0,"",INDEX('ETF데이터'!$J$4:$J$517,$K59))</f>
        <v/>
      </c>
      <c r="E59" s="81">
        <f>IF($K59=0,"",$D59/12)</f>
        <v/>
      </c>
      <c r="F59" s="82">
        <f>IF($K59=0,"",INDEX('ETF데이터'!$D$4:$D$517,$K59))</f>
        <v/>
      </c>
      <c r="G59" s="80">
        <f>IF($K59=0,"",INDEX('ETF데이터'!$H$4:$H$517,$K59))</f>
        <v/>
      </c>
      <c r="H59" s="83">
        <f>IF($K59=0,"",INDEX('ETF데이터'!$E$4:$E$517,$K59))</f>
        <v/>
      </c>
      <c r="I59" s="79">
        <f>IF($K59=0,"",INDEX('ETF데이터'!$M$4:$M$517,$K59))</f>
        <v/>
      </c>
      <c r="J59" s="78" t="n"/>
      <c r="K59">
        <f>IFERROR(MATCH(40,'ETF데이터'!$U$4:$U$517,0),0)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IF($K60=0,"",INDEX('ETF데이터'!$A$4:$A$517,$K60))</f>
        <v/>
      </c>
      <c r="C60" s="73">
        <f>IF($K60=0,"",INDEX('ETF데이터'!$R$4:$R$517,$K60))</f>
        <v/>
      </c>
      <c r="D60" s="74">
        <f>IF($K60=0,"",INDEX('ETF데이터'!$J$4:$J$517,$K60))</f>
        <v/>
      </c>
      <c r="E60" s="75">
        <f>IF($K60=0,"",$D60/12)</f>
        <v/>
      </c>
      <c r="F60" s="76">
        <f>IF($K60=0,"",INDEX('ETF데이터'!$D$4:$D$517,$K60))</f>
        <v/>
      </c>
      <c r="G60" s="74">
        <f>IF($K60=0,"",INDEX('ETF데이터'!$H$4:$H$517,$K60))</f>
        <v/>
      </c>
      <c r="H60" s="77">
        <f>IF($K60=0,"",INDEX('ETF데이터'!$E$4:$E$517,$K60))</f>
        <v/>
      </c>
      <c r="I60" s="73">
        <f>IF($K60=0,"",INDEX('ETF데이터'!$M$4:$M$517,$K60))</f>
        <v/>
      </c>
      <c r="J60" s="78" t="n"/>
      <c r="K60">
        <f>IFERROR(MATCH(41,'ETF데이터'!$U$4:$U$517,0),0)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IF($K61=0,"",INDEX('ETF데이터'!$A$4:$A$517,$K61))</f>
        <v/>
      </c>
      <c r="C61" s="79">
        <f>IF($K61=0,"",INDEX('ETF데이터'!$R$4:$R$517,$K61))</f>
        <v/>
      </c>
      <c r="D61" s="80">
        <f>IF($K61=0,"",INDEX('ETF데이터'!$J$4:$J$517,$K61))</f>
        <v/>
      </c>
      <c r="E61" s="81">
        <f>IF($K61=0,"",$D61/12)</f>
        <v/>
      </c>
      <c r="F61" s="82">
        <f>IF($K61=0,"",INDEX('ETF데이터'!$D$4:$D$517,$K61))</f>
        <v/>
      </c>
      <c r="G61" s="80">
        <f>IF($K61=0,"",INDEX('ETF데이터'!$H$4:$H$517,$K61))</f>
        <v/>
      </c>
      <c r="H61" s="83">
        <f>IF($K61=0,"",INDEX('ETF데이터'!$E$4:$E$517,$K61))</f>
        <v/>
      </c>
      <c r="I61" s="79">
        <f>IF($K61=0,"",INDEX('ETF데이터'!$M$4:$M$517,$K61))</f>
        <v/>
      </c>
      <c r="J61" s="78" t="n"/>
      <c r="K61">
        <f>IFERROR(MATCH(42,'ETF데이터'!$U$4:$U$517,0),0)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IF($K62=0,"",INDEX('ETF데이터'!$A$4:$A$517,$K62))</f>
        <v/>
      </c>
      <c r="C62" s="73">
        <f>IF($K62=0,"",INDEX('ETF데이터'!$R$4:$R$517,$K62))</f>
        <v/>
      </c>
      <c r="D62" s="74">
        <f>IF($K62=0,"",INDEX('ETF데이터'!$J$4:$J$517,$K62))</f>
        <v/>
      </c>
      <c r="E62" s="75">
        <f>IF($K62=0,"",$D62/12)</f>
        <v/>
      </c>
      <c r="F62" s="76">
        <f>IF($K62=0,"",INDEX('ETF데이터'!$D$4:$D$517,$K62))</f>
        <v/>
      </c>
      <c r="G62" s="74">
        <f>IF($K62=0,"",INDEX('ETF데이터'!$H$4:$H$517,$K62))</f>
        <v/>
      </c>
      <c r="H62" s="77">
        <f>IF($K62=0,"",INDEX('ETF데이터'!$E$4:$E$517,$K62))</f>
        <v/>
      </c>
      <c r="I62" s="73">
        <f>IF($K62=0,"",INDEX('ETF데이터'!$M$4:$M$517,$K62))</f>
        <v/>
      </c>
      <c r="J62" s="78" t="n"/>
      <c r="K62">
        <f>IFERROR(MATCH(43,'ETF데이터'!$U$4:$U$517,0),0)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IF($K63=0,"",INDEX('ETF데이터'!$A$4:$A$517,$K63))</f>
        <v/>
      </c>
      <c r="C63" s="79">
        <f>IF($K63=0,"",INDEX('ETF데이터'!$R$4:$R$517,$K63))</f>
        <v/>
      </c>
      <c r="D63" s="80">
        <f>IF($K63=0,"",INDEX('ETF데이터'!$J$4:$J$517,$K63))</f>
        <v/>
      </c>
      <c r="E63" s="81">
        <f>IF($K63=0,"",$D63/12)</f>
        <v/>
      </c>
      <c r="F63" s="82">
        <f>IF($K63=0,"",INDEX('ETF데이터'!$D$4:$D$517,$K63))</f>
        <v/>
      </c>
      <c r="G63" s="80">
        <f>IF($K63=0,"",INDEX('ETF데이터'!$H$4:$H$517,$K63))</f>
        <v/>
      </c>
      <c r="H63" s="83">
        <f>IF($K63=0,"",INDEX('ETF데이터'!$E$4:$E$517,$K63))</f>
        <v/>
      </c>
      <c r="I63" s="79">
        <f>IF($K63=0,"",INDEX('ETF데이터'!$M$4:$M$517,$K63))</f>
        <v/>
      </c>
      <c r="J63" s="78" t="n"/>
      <c r="K63">
        <f>IFERROR(MATCH(44,'ETF데이터'!$U$4:$U$517,0),0)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IF($K64=0,"",INDEX('ETF데이터'!$A$4:$A$517,$K64))</f>
        <v/>
      </c>
      <c r="C64" s="73">
        <f>IF($K64=0,"",INDEX('ETF데이터'!$R$4:$R$517,$K64))</f>
        <v/>
      </c>
      <c r="D64" s="74">
        <f>IF($K64=0,"",INDEX('ETF데이터'!$J$4:$J$517,$K64))</f>
        <v/>
      </c>
      <c r="E64" s="75">
        <f>IF($K64=0,"",$D64/12)</f>
        <v/>
      </c>
      <c r="F64" s="76">
        <f>IF($K64=0,"",INDEX('ETF데이터'!$D$4:$D$517,$K64))</f>
        <v/>
      </c>
      <c r="G64" s="74">
        <f>IF($K64=0,"",INDEX('ETF데이터'!$H$4:$H$517,$K64))</f>
        <v/>
      </c>
      <c r="H64" s="77">
        <f>IF($K64=0,"",INDEX('ETF데이터'!$E$4:$E$517,$K64))</f>
        <v/>
      </c>
      <c r="I64" s="73">
        <f>IF($K64=0,"",INDEX('ETF데이터'!$M$4:$M$517,$K64))</f>
        <v/>
      </c>
      <c r="J64" s="78" t="n"/>
      <c r="K64">
        <f>IFERROR(MATCH(45,'ETF데이터'!$U$4:$U$517,0),0)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IF($K65=0,"",INDEX('ETF데이터'!$A$4:$A$517,$K65))</f>
        <v/>
      </c>
      <c r="C65" s="79">
        <f>IF($K65=0,"",INDEX('ETF데이터'!$R$4:$R$517,$K65))</f>
        <v/>
      </c>
      <c r="D65" s="80">
        <f>IF($K65=0,"",INDEX('ETF데이터'!$J$4:$J$517,$K65))</f>
        <v/>
      </c>
      <c r="E65" s="81">
        <f>IF($K65=0,"",$D65/12)</f>
        <v/>
      </c>
      <c r="F65" s="82">
        <f>IF($K65=0,"",INDEX('ETF데이터'!$D$4:$D$517,$K65))</f>
        <v/>
      </c>
      <c r="G65" s="80">
        <f>IF($K65=0,"",INDEX('ETF데이터'!$H$4:$H$517,$K65))</f>
        <v/>
      </c>
      <c r="H65" s="83">
        <f>IF($K65=0,"",INDEX('ETF데이터'!$E$4:$E$517,$K65))</f>
        <v/>
      </c>
      <c r="I65" s="79">
        <f>IF($K65=0,"",INDEX('ETF데이터'!$M$4:$M$517,$K65))</f>
        <v/>
      </c>
      <c r="J65" s="78" t="n"/>
      <c r="K65">
        <f>IFERROR(MATCH(46,'ETF데이터'!$U$4:$U$517,0),0)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IF($K66=0,"",INDEX('ETF데이터'!$A$4:$A$517,$K66))</f>
        <v/>
      </c>
      <c r="C66" s="73">
        <f>IF($K66=0,"",INDEX('ETF데이터'!$R$4:$R$517,$K66))</f>
        <v/>
      </c>
      <c r="D66" s="74">
        <f>IF($K66=0,"",INDEX('ETF데이터'!$J$4:$J$517,$K66))</f>
        <v/>
      </c>
      <c r="E66" s="75">
        <f>IF($K66=0,"",$D66/12)</f>
        <v/>
      </c>
      <c r="F66" s="76">
        <f>IF($K66=0,"",INDEX('ETF데이터'!$D$4:$D$517,$K66))</f>
        <v/>
      </c>
      <c r="G66" s="74">
        <f>IF($K66=0,"",INDEX('ETF데이터'!$H$4:$H$517,$K66))</f>
        <v/>
      </c>
      <c r="H66" s="77">
        <f>IF($K66=0,"",INDEX('ETF데이터'!$E$4:$E$517,$K66))</f>
        <v/>
      </c>
      <c r="I66" s="73">
        <f>IF($K66=0,"",INDEX('ETF데이터'!$M$4:$M$517,$K66))</f>
        <v/>
      </c>
      <c r="J66" s="78" t="n"/>
      <c r="K66">
        <f>IFERROR(MATCH(47,'ETF데이터'!$U$4:$U$517,0),0)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IF($K67=0,"",INDEX('ETF데이터'!$A$4:$A$517,$K67))</f>
        <v/>
      </c>
      <c r="C67" s="79">
        <f>IF($K67=0,"",INDEX('ETF데이터'!$R$4:$R$517,$K67))</f>
        <v/>
      </c>
      <c r="D67" s="80">
        <f>IF($K67=0,"",INDEX('ETF데이터'!$J$4:$J$517,$K67))</f>
        <v/>
      </c>
      <c r="E67" s="81">
        <f>IF($K67=0,"",$D67/12)</f>
        <v/>
      </c>
      <c r="F67" s="82">
        <f>IF($K67=0,"",INDEX('ETF데이터'!$D$4:$D$517,$K67))</f>
        <v/>
      </c>
      <c r="G67" s="80">
        <f>IF($K67=0,"",INDEX('ETF데이터'!$H$4:$H$517,$K67))</f>
        <v/>
      </c>
      <c r="H67" s="83">
        <f>IF($K67=0,"",INDEX('ETF데이터'!$E$4:$E$517,$K67))</f>
        <v/>
      </c>
      <c r="I67" s="79">
        <f>IF($K67=0,"",INDEX('ETF데이터'!$M$4:$M$517,$K67))</f>
        <v/>
      </c>
      <c r="J67" s="78" t="n"/>
      <c r="K67">
        <f>IFERROR(MATCH(48,'ETF데이터'!$U$4:$U$517,0),0)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IF($K68=0,"",INDEX('ETF데이터'!$A$4:$A$517,$K68))</f>
        <v/>
      </c>
      <c r="C68" s="73">
        <f>IF($K68=0,"",INDEX('ETF데이터'!$R$4:$R$517,$K68))</f>
        <v/>
      </c>
      <c r="D68" s="74">
        <f>IF($K68=0,"",INDEX('ETF데이터'!$J$4:$J$517,$K68))</f>
        <v/>
      </c>
      <c r="E68" s="75">
        <f>IF($K68=0,"",$D68/12)</f>
        <v/>
      </c>
      <c r="F68" s="76">
        <f>IF($K68=0,"",INDEX('ETF데이터'!$D$4:$D$517,$K68))</f>
        <v/>
      </c>
      <c r="G68" s="74">
        <f>IF($K68=0,"",INDEX('ETF데이터'!$H$4:$H$517,$K68))</f>
        <v/>
      </c>
      <c r="H68" s="77">
        <f>IF($K68=0,"",INDEX('ETF데이터'!$E$4:$E$517,$K68))</f>
        <v/>
      </c>
      <c r="I68" s="73">
        <f>IF($K68=0,"",INDEX('ETF데이터'!$M$4:$M$517,$K68))</f>
        <v/>
      </c>
      <c r="J68" s="78" t="n"/>
      <c r="K68">
        <f>IFERROR(MATCH(49,'ETF데이터'!$U$4:$U$517,0),0)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IF($K69=0,"",INDEX('ETF데이터'!$A$4:$A$517,$K69))</f>
        <v/>
      </c>
      <c r="C69" s="79">
        <f>IF($K69=0,"",INDEX('ETF데이터'!$R$4:$R$517,$K69))</f>
        <v/>
      </c>
      <c r="D69" s="80">
        <f>IF($K69=0,"",INDEX('ETF데이터'!$J$4:$J$517,$K69))</f>
        <v/>
      </c>
      <c r="E69" s="81">
        <f>IF($K69=0,"",$D69/12)</f>
        <v/>
      </c>
      <c r="F69" s="82">
        <f>IF($K69=0,"",INDEX('ETF데이터'!$D$4:$D$517,$K69))</f>
        <v/>
      </c>
      <c r="G69" s="80">
        <f>IF($K69=0,"",INDEX('ETF데이터'!$H$4:$H$517,$K69))</f>
        <v/>
      </c>
      <c r="H69" s="83">
        <f>IF($K69=0,"",INDEX('ETF데이터'!$E$4:$E$517,$K69))</f>
        <v/>
      </c>
      <c r="I69" s="79">
        <f>IF($K69=0,"",INDEX('ETF데이터'!$M$4:$M$517,$K69))</f>
        <v/>
      </c>
      <c r="J69" s="78" t="n"/>
      <c r="K69">
        <f>IFERROR(MATCH(50,'ETF데이터'!$U$4:$U$517,0),0)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IF($K70=0,"",INDEX('ETF데이터'!$A$4:$A$517,$K70))</f>
        <v/>
      </c>
      <c r="C70" s="73">
        <f>IF($K70=0,"",INDEX('ETF데이터'!$R$4:$R$517,$K70))</f>
        <v/>
      </c>
      <c r="D70" s="74">
        <f>IF($K70=0,"",INDEX('ETF데이터'!$J$4:$J$517,$K70))</f>
        <v/>
      </c>
      <c r="E70" s="75">
        <f>IF($K70=0,"",$D70/12)</f>
        <v/>
      </c>
      <c r="F70" s="76">
        <f>IF($K70=0,"",INDEX('ETF데이터'!$D$4:$D$517,$K70))</f>
        <v/>
      </c>
      <c r="G70" s="74">
        <f>IF($K70=0,"",INDEX('ETF데이터'!$H$4:$H$517,$K70))</f>
        <v/>
      </c>
      <c r="H70" s="77">
        <f>IF($K70=0,"",INDEX('ETF데이터'!$E$4:$E$517,$K70))</f>
        <v/>
      </c>
      <c r="I70" s="73">
        <f>IF($K70=0,"",INDEX('ETF데이터'!$M$4:$M$517,$K70))</f>
        <v/>
      </c>
      <c r="J70" s="78" t="n"/>
      <c r="K70">
        <f>IFERROR(MATCH(51,'ETF데이터'!$U$4:$U$517,0),0)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IF($K71=0,"",INDEX('ETF데이터'!$A$4:$A$517,$K71))</f>
        <v/>
      </c>
      <c r="C71" s="79">
        <f>IF($K71=0,"",INDEX('ETF데이터'!$R$4:$R$517,$K71))</f>
        <v/>
      </c>
      <c r="D71" s="80">
        <f>IF($K71=0,"",INDEX('ETF데이터'!$J$4:$J$517,$K71))</f>
        <v/>
      </c>
      <c r="E71" s="81">
        <f>IF($K71=0,"",$D71/12)</f>
        <v/>
      </c>
      <c r="F71" s="82">
        <f>IF($K71=0,"",INDEX('ETF데이터'!$D$4:$D$517,$K71))</f>
        <v/>
      </c>
      <c r="G71" s="80">
        <f>IF($K71=0,"",INDEX('ETF데이터'!$H$4:$H$517,$K71))</f>
        <v/>
      </c>
      <c r="H71" s="83">
        <f>IF($K71=0,"",INDEX('ETF데이터'!$E$4:$E$517,$K71))</f>
        <v/>
      </c>
      <c r="I71" s="79">
        <f>IF($K71=0,"",INDEX('ETF데이터'!$M$4:$M$517,$K71))</f>
        <v/>
      </c>
      <c r="J71" s="78" t="n"/>
      <c r="K71">
        <f>IFERROR(MATCH(52,'ETF데이터'!$U$4:$U$517,0),0)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IF($K72=0,"",INDEX('ETF데이터'!$A$4:$A$517,$K72))</f>
        <v/>
      </c>
      <c r="C72" s="73">
        <f>IF($K72=0,"",INDEX('ETF데이터'!$R$4:$R$517,$K72))</f>
        <v/>
      </c>
      <c r="D72" s="74">
        <f>IF($K72=0,"",INDEX('ETF데이터'!$J$4:$J$517,$K72))</f>
        <v/>
      </c>
      <c r="E72" s="75">
        <f>IF($K72=0,"",$D72/12)</f>
        <v/>
      </c>
      <c r="F72" s="76">
        <f>IF($K72=0,"",INDEX('ETF데이터'!$D$4:$D$517,$K72))</f>
        <v/>
      </c>
      <c r="G72" s="74">
        <f>IF($K72=0,"",INDEX('ETF데이터'!$H$4:$H$517,$K72))</f>
        <v/>
      </c>
      <c r="H72" s="77">
        <f>IF($K72=0,"",INDEX('ETF데이터'!$E$4:$E$517,$K72))</f>
        <v/>
      </c>
      <c r="I72" s="73">
        <f>IF($K72=0,"",INDEX('ETF데이터'!$M$4:$M$517,$K72))</f>
        <v/>
      </c>
      <c r="J72" s="78" t="n"/>
      <c r="K72">
        <f>IFERROR(MATCH(53,'ETF데이터'!$U$4:$U$517,0),0)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IF($K73=0,"",INDEX('ETF데이터'!$A$4:$A$517,$K73))</f>
        <v/>
      </c>
      <c r="C73" s="79">
        <f>IF($K73=0,"",INDEX('ETF데이터'!$R$4:$R$517,$K73))</f>
        <v/>
      </c>
      <c r="D73" s="80">
        <f>IF($K73=0,"",INDEX('ETF데이터'!$J$4:$J$517,$K73))</f>
        <v/>
      </c>
      <c r="E73" s="81">
        <f>IF($K73=0,"",$D73/12)</f>
        <v/>
      </c>
      <c r="F73" s="82">
        <f>IF($K73=0,"",INDEX('ETF데이터'!$D$4:$D$517,$K73))</f>
        <v/>
      </c>
      <c r="G73" s="80">
        <f>IF($K73=0,"",INDEX('ETF데이터'!$H$4:$H$517,$K73))</f>
        <v/>
      </c>
      <c r="H73" s="83">
        <f>IF($K73=0,"",INDEX('ETF데이터'!$E$4:$E$517,$K73))</f>
        <v/>
      </c>
      <c r="I73" s="79">
        <f>IF($K73=0,"",INDEX('ETF데이터'!$M$4:$M$517,$K73))</f>
        <v/>
      </c>
      <c r="J73" s="78" t="n"/>
      <c r="K73">
        <f>IFERROR(MATCH(54,'ETF데이터'!$U$4:$U$517,0),0)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IF($K74=0,"",INDEX('ETF데이터'!$A$4:$A$517,$K74))</f>
        <v/>
      </c>
      <c r="C74" s="73">
        <f>IF($K74=0,"",INDEX('ETF데이터'!$R$4:$R$517,$K74))</f>
        <v/>
      </c>
      <c r="D74" s="74">
        <f>IF($K74=0,"",INDEX('ETF데이터'!$J$4:$J$517,$K74))</f>
        <v/>
      </c>
      <c r="E74" s="75">
        <f>IF($K74=0,"",$D74/12)</f>
        <v/>
      </c>
      <c r="F74" s="76">
        <f>IF($K74=0,"",INDEX('ETF데이터'!$D$4:$D$517,$K74))</f>
        <v/>
      </c>
      <c r="G74" s="74">
        <f>IF($K74=0,"",INDEX('ETF데이터'!$H$4:$H$517,$K74))</f>
        <v/>
      </c>
      <c r="H74" s="77">
        <f>IF($K74=0,"",INDEX('ETF데이터'!$E$4:$E$517,$K74))</f>
        <v/>
      </c>
      <c r="I74" s="73">
        <f>IF($K74=0,"",INDEX('ETF데이터'!$M$4:$M$517,$K74))</f>
        <v/>
      </c>
      <c r="J74" s="78" t="n"/>
      <c r="K74">
        <f>IFERROR(MATCH(55,'ETF데이터'!$U$4:$U$517,0),0)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IF($K75=0,"",INDEX('ETF데이터'!$A$4:$A$517,$K75))</f>
        <v/>
      </c>
      <c r="C75" s="79">
        <f>IF($K75=0,"",INDEX('ETF데이터'!$R$4:$R$517,$K75))</f>
        <v/>
      </c>
      <c r="D75" s="80">
        <f>IF($K75=0,"",INDEX('ETF데이터'!$J$4:$J$517,$K75))</f>
        <v/>
      </c>
      <c r="E75" s="81">
        <f>IF($K75=0,"",$D75/12)</f>
        <v/>
      </c>
      <c r="F75" s="82">
        <f>IF($K75=0,"",INDEX('ETF데이터'!$D$4:$D$517,$K75))</f>
        <v/>
      </c>
      <c r="G75" s="80">
        <f>IF($K75=0,"",INDEX('ETF데이터'!$H$4:$H$517,$K75))</f>
        <v/>
      </c>
      <c r="H75" s="83">
        <f>IF($K75=0,"",INDEX('ETF데이터'!$E$4:$E$517,$K75))</f>
        <v/>
      </c>
      <c r="I75" s="79">
        <f>IF($K75=0,"",INDEX('ETF데이터'!$M$4:$M$517,$K75))</f>
        <v/>
      </c>
      <c r="J75" s="78" t="n"/>
      <c r="K75">
        <f>IFERROR(MATCH(56,'ETF데이터'!$U$4:$U$517,0),0)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IF($K76=0,"",INDEX('ETF데이터'!$A$4:$A$517,$K76))</f>
        <v/>
      </c>
      <c r="C76" s="73">
        <f>IF($K76=0,"",INDEX('ETF데이터'!$R$4:$R$517,$K76))</f>
        <v/>
      </c>
      <c r="D76" s="74">
        <f>IF($K76=0,"",INDEX('ETF데이터'!$J$4:$J$517,$K76))</f>
        <v/>
      </c>
      <c r="E76" s="75">
        <f>IF($K76=0,"",$D76/12)</f>
        <v/>
      </c>
      <c r="F76" s="76">
        <f>IF($K76=0,"",INDEX('ETF데이터'!$D$4:$D$517,$K76))</f>
        <v/>
      </c>
      <c r="G76" s="74">
        <f>IF($K76=0,"",INDEX('ETF데이터'!$H$4:$H$517,$K76))</f>
        <v/>
      </c>
      <c r="H76" s="77">
        <f>IF($K76=0,"",INDEX('ETF데이터'!$E$4:$E$517,$K76))</f>
        <v/>
      </c>
      <c r="I76" s="73">
        <f>IF($K76=0,"",INDEX('ETF데이터'!$M$4:$M$517,$K76))</f>
        <v/>
      </c>
      <c r="J76" s="78" t="n"/>
      <c r="K76">
        <f>IFERROR(MATCH(57,'ETF데이터'!$U$4:$U$517,0),0)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IF($K77=0,"",INDEX('ETF데이터'!$A$4:$A$517,$K77))</f>
        <v/>
      </c>
      <c r="C77" s="79">
        <f>IF($K77=0,"",INDEX('ETF데이터'!$R$4:$R$517,$K77))</f>
        <v/>
      </c>
      <c r="D77" s="80">
        <f>IF($K77=0,"",INDEX('ETF데이터'!$J$4:$J$517,$K77))</f>
        <v/>
      </c>
      <c r="E77" s="81">
        <f>IF($K77=0,"",$D77/12)</f>
        <v/>
      </c>
      <c r="F77" s="82">
        <f>IF($K77=0,"",INDEX('ETF데이터'!$D$4:$D$517,$K77))</f>
        <v/>
      </c>
      <c r="G77" s="80">
        <f>IF($K77=0,"",INDEX('ETF데이터'!$H$4:$H$517,$K77))</f>
        <v/>
      </c>
      <c r="H77" s="83">
        <f>IF($K77=0,"",INDEX('ETF데이터'!$E$4:$E$517,$K77))</f>
        <v/>
      </c>
      <c r="I77" s="79">
        <f>IF($K77=0,"",INDEX('ETF데이터'!$M$4:$M$517,$K77))</f>
        <v/>
      </c>
      <c r="J77" s="78" t="n"/>
      <c r="K77">
        <f>IFERROR(MATCH(58,'ETF데이터'!$U$4:$U$517,0),0)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IF($K78=0,"",INDEX('ETF데이터'!$A$4:$A$517,$K78))</f>
        <v/>
      </c>
      <c r="C78" s="73">
        <f>IF($K78=0,"",INDEX('ETF데이터'!$R$4:$R$517,$K78))</f>
        <v/>
      </c>
      <c r="D78" s="74">
        <f>IF($K78=0,"",INDEX('ETF데이터'!$J$4:$J$517,$K78))</f>
        <v/>
      </c>
      <c r="E78" s="75">
        <f>IF($K78=0,"",$D78/12)</f>
        <v/>
      </c>
      <c r="F78" s="76">
        <f>IF($K78=0,"",INDEX('ETF데이터'!$D$4:$D$517,$K78))</f>
        <v/>
      </c>
      <c r="G78" s="74">
        <f>IF($K78=0,"",INDEX('ETF데이터'!$H$4:$H$517,$K78))</f>
        <v/>
      </c>
      <c r="H78" s="77">
        <f>IF($K78=0,"",INDEX('ETF데이터'!$E$4:$E$517,$K78))</f>
        <v/>
      </c>
      <c r="I78" s="73">
        <f>IF($K78=0,"",INDEX('ETF데이터'!$M$4:$M$517,$K78))</f>
        <v/>
      </c>
      <c r="J78" s="78" t="n"/>
      <c r="K78">
        <f>IFERROR(MATCH(59,'ETF데이터'!$U$4:$U$517,0),0)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IF($K79=0,"",INDEX('ETF데이터'!$A$4:$A$517,$K79))</f>
        <v/>
      </c>
      <c r="C79" s="84">
        <f>IF($K79=0,"",INDEX('ETF데이터'!$R$4:$R$517,$K79))</f>
        <v/>
      </c>
      <c r="D79" s="85">
        <f>IF($K79=0,"",INDEX('ETF데이터'!$J$4:$J$517,$K79))</f>
        <v/>
      </c>
      <c r="E79" s="86">
        <f>IF($K79=0,"",$D79/12)</f>
        <v/>
      </c>
      <c r="F79" s="87">
        <f>IF($K79=0,"",INDEX('ETF데이터'!$D$4:$D$517,$K79))</f>
        <v/>
      </c>
      <c r="G79" s="85">
        <f>IF($K79=0,"",INDEX('ETF데이터'!$H$4:$H$517,$K79))</f>
        <v/>
      </c>
      <c r="H79" s="88">
        <f>IF($K79=0,"",INDEX('ETF데이터'!$E$4:$E$517,$K79))</f>
        <v/>
      </c>
      <c r="I79" s="84">
        <f>IF($K79=0,"",INDEX('ETF데이터'!$M$4:$M$517,$K79))</f>
        <v/>
      </c>
      <c r="J79" s="89" t="n"/>
      <c r="K79">
        <f>IFERROR(MATCH(60,'ETF데이터'!$U$4:$U$517,0),0)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8010</v>
      </c>
      <c r="E4" s="94" t="n">
        <v>360850500000</v>
      </c>
      <c r="F4" s="94" t="n">
        <v>2864097816</v>
      </c>
      <c r="G4" s="74" t="n">
        <v>0.0035</v>
      </c>
      <c r="H4" s="74" t="n">
        <v>0.1638</v>
      </c>
      <c r="I4" s="74" t="n">
        <v>0.0194</v>
      </c>
      <c r="J4" s="74" t="n">
        <v>0.279026</v>
      </c>
      <c r="K4" s="94" t="n">
        <v>16</v>
      </c>
      <c r="L4" s="93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>
        <f>IF(AND($J4&lt;&gt;"",OR(조회_주기="전체",$R4=조회_주기),$J4&gt;=조회_최소,$J4&lt;=조회_최대),1,0)</f>
        <v/>
      </c>
      <c r="U4">
        <f>IF($T4=1,0+1,0)</f>
        <v/>
      </c>
      <c r="V4">
        <f>IF(검색어="",1,IF(ISNUMBER(SEARCH(검색어,$A4)),1,0))</f>
        <v/>
      </c>
      <c r="W4">
        <f>IF($V4=1,0+1,0)</f>
        <v/>
      </c>
      <c r="X4">
        <f>IFERROR(INDEX($A$4:$A$517,MATCH(1,$W$4:$W$517,0)),"")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10065</v>
      </c>
      <c r="E5" s="94" t="n">
        <v>180163500000</v>
      </c>
      <c r="F5" s="94" t="n">
        <v>2894941656</v>
      </c>
      <c r="G5" s="74" t="n">
        <v>0.004500000000000001</v>
      </c>
      <c r="H5" s="74" t="n">
        <v>0.2141</v>
      </c>
      <c r="I5" s="74" t="n">
        <v>0.0297</v>
      </c>
      <c r="J5" s="74" t="n">
        <v>0.263289</v>
      </c>
      <c r="K5" s="94" t="n">
        <v>29</v>
      </c>
      <c r="L5" s="93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>
        <f>IF(AND($J5&lt;&gt;"",OR(조회_주기="전체",$R5=조회_주기),$J5&gt;=조회_최소,$J5&lt;=조회_최대),1,0)</f>
        <v/>
      </c>
      <c r="U5">
        <f>IF($T5=1,$U4+1,$U4)</f>
        <v/>
      </c>
      <c r="V5">
        <f>IF(검색어="",1,IF(ISNUMBER(SEARCH(검색어,$A5)),1,0))</f>
        <v/>
      </c>
      <c r="W5">
        <f>IF($V5=1,$W4+1,$W4)</f>
        <v/>
      </c>
      <c r="X5">
        <f>IFERROR(INDEX($A$4:$A$517,MATCH(2,$W$4:$W$517,0)),"")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9325</v>
      </c>
      <c r="E6" s="94" t="n">
        <v>172046250000</v>
      </c>
      <c r="F6" s="94" t="n">
        <v>1650659445</v>
      </c>
      <c r="G6" s="74" t="n">
        <v>0.0035</v>
      </c>
      <c r="H6" s="74" t="n">
        <v>0.2288</v>
      </c>
      <c r="I6" s="74" t="n">
        <v>0.0148</v>
      </c>
      <c r="J6" s="74" t="n">
        <v>0.24622</v>
      </c>
      <c r="K6" s="94" t="n">
        <v>16</v>
      </c>
      <c r="L6" s="93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>
        <f>IF(AND($J6&lt;&gt;"",OR(조회_주기="전체",$R6=조회_주기),$J6&gt;=조회_최소,$J6&lt;=조회_최대),1,0)</f>
        <v/>
      </c>
      <c r="U6">
        <f>IF($T6=1,$U5+1,$U5)</f>
        <v/>
      </c>
      <c r="V6">
        <f>IF(검색어="",1,IF(ISNUMBER(SEARCH(검색어,$A6)),1,0))</f>
        <v/>
      </c>
      <c r="W6">
        <f>IF($V6=1,$W5+1,$W5)</f>
        <v/>
      </c>
      <c r="X6">
        <f>IFERROR(INDEX($A$4:$A$517,MATCH(3,$W$4:$W$517,0)),"")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6510</v>
      </c>
      <c r="E7" s="94" t="n">
        <v>304993500000</v>
      </c>
      <c r="F7" s="94" t="n">
        <v>4238203440</v>
      </c>
      <c r="G7" s="74" t="n">
        <v>0.003</v>
      </c>
      <c r="H7" s="74" t="n">
        <v>0.3072</v>
      </c>
      <c r="I7" s="74" t="n">
        <v>0.0148</v>
      </c>
      <c r="J7" s="74" t="n">
        <v>0.23318</v>
      </c>
      <c r="K7" s="94" t="n">
        <v>25</v>
      </c>
      <c r="L7" s="93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>
        <f>IF(AND($J7&lt;&gt;"",OR(조회_주기="전체",$R7=조회_주기),$J7&gt;=조회_최소,$J7&lt;=조회_최대),1,0)</f>
        <v/>
      </c>
      <c r="U7">
        <f>IF($T7=1,$U6+1,$U6)</f>
        <v/>
      </c>
      <c r="V7">
        <f>IF(검색어="",1,IF(ISNUMBER(SEARCH(검색어,$A7)),1,0))</f>
        <v/>
      </c>
      <c r="W7">
        <f>IF($V7=1,$W6+1,$W6)</f>
        <v/>
      </c>
      <c r="X7">
        <f>IFERROR(INDEX($A$4:$A$517,MATCH(4,$W$4:$W$517,0)),"")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8910</v>
      </c>
      <c r="E8" s="94" t="n">
        <v>1019304000000</v>
      </c>
      <c r="F8" s="94" t="n">
        <v>13429068361</v>
      </c>
      <c r="G8" s="74" t="n">
        <v>0.0025</v>
      </c>
      <c r="H8" s="74" t="n">
        <v>0.1942</v>
      </c>
      <c r="I8" s="74" t="n">
        <v>0.0166</v>
      </c>
      <c r="J8" s="74" t="n">
        <v>0.226712</v>
      </c>
      <c r="K8" s="94" t="n">
        <v>22</v>
      </c>
      <c r="L8" s="93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>
        <f>IF(AND($J8&lt;&gt;"",OR(조회_주기="전체",$R8=조회_주기),$J8&gt;=조회_최소,$J8&lt;=조회_최대),1,0)</f>
        <v/>
      </c>
      <c r="U8">
        <f>IF($T8=1,$U7+1,$U7)</f>
        <v/>
      </c>
      <c r="V8">
        <f>IF(검색어="",1,IF(ISNUMBER(SEARCH(검색어,$A8)),1,0))</f>
        <v/>
      </c>
      <c r="W8">
        <f>IF($V8=1,$W7+1,$W7)</f>
        <v/>
      </c>
      <c r="X8">
        <f>IFERROR(INDEX($A$4:$A$517,MATCH(5,$W$4:$W$517,0)),"")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10380</v>
      </c>
      <c r="E9" s="94" t="n">
        <v>569343000000</v>
      </c>
      <c r="F9" s="94" t="n">
        <v>7472228967</v>
      </c>
      <c r="G9" s="74" t="n">
        <v>0.0025</v>
      </c>
      <c r="H9" s="74" t="n">
        <v>0.2023</v>
      </c>
      <c r="I9" s="74" t="n">
        <v>0.0166</v>
      </c>
      <c r="J9" s="74" t="n">
        <v>0.216763</v>
      </c>
      <c r="K9" s="94" t="n">
        <v>23</v>
      </c>
      <c r="L9" s="93" t="inlineStr">
        <is>
          <t>20260828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>
        <f>IF(AND($J9&lt;&gt;"",OR(조회_주기="전체",$R9=조회_주기),$J9&gt;=조회_최소,$J9&lt;=조회_최대),1,0)</f>
        <v/>
      </c>
      <c r="U9">
        <f>IF($T9=1,$U8+1,$U8)</f>
        <v/>
      </c>
      <c r="V9">
        <f>IF(검색어="",1,IF(ISNUMBER(SEARCH(검색어,$A9)),1,0))</f>
        <v/>
      </c>
      <c r="W9">
        <f>IF($V9=1,$W8+1,$W8)</f>
        <v/>
      </c>
      <c r="X9">
        <f>IFERROR(INDEX($A$4:$A$517,MATCH(6,$W$4:$W$517,0)),"")</f>
        <v/>
      </c>
    </row>
    <row r="10">
      <c r="A10" s="93" t="inlineStr">
        <is>
          <t>RISE 미국AI밸류체인데일리고정커버드콜</t>
        </is>
      </c>
      <c r="B10" s="93" t="inlineStr">
        <is>
          <t>490590</t>
        </is>
      </c>
      <c r="C10" s="93" t="inlineStr">
        <is>
          <t>KB자산운용</t>
        </is>
      </c>
      <c r="D10" s="94" t="n">
        <v>13975</v>
      </c>
      <c r="E10" s="94" t="n">
        <v>778407500000</v>
      </c>
      <c r="F10" s="94" t="n">
        <v>9877497794</v>
      </c>
      <c r="G10" s="74" t="n">
        <v>0.0025</v>
      </c>
      <c r="H10" s="74" t="n">
        <v>0.3313</v>
      </c>
      <c r="I10" s="74" t="n">
        <v>0.0163</v>
      </c>
      <c r="J10" s="74" t="n">
        <v>0.207657</v>
      </c>
      <c r="K10" s="94" t="n">
        <v>23</v>
      </c>
      <c r="L10" s="93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KEDI U.S. AI Value Chain 90% Participation + Daily Options P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>
        <f>IF(AND($J10&lt;&gt;"",OR(조회_주기="전체",$R10=조회_주기),$J10&gt;=조회_최소,$J10&lt;=조회_최대),1,0)</f>
        <v/>
      </c>
      <c r="U10">
        <f>IF($T10=1,$U9+1,$U9)</f>
        <v/>
      </c>
      <c r="V10">
        <f>IF(검색어="",1,IF(ISNUMBER(SEARCH(검색어,$A10)),1,0))</f>
        <v/>
      </c>
      <c r="W10">
        <f>IF($V10=1,$W9+1,$W9)</f>
        <v/>
      </c>
      <c r="X10">
        <f>IFERROR(INDEX($A$4:$A$517,MATCH(7,$W$4:$W$517,0)),"")</f>
        <v/>
      </c>
    </row>
    <row r="11">
      <c r="A11" s="93" t="inlineStr">
        <is>
          <t>ACE 미국500데일리타겟커버드콜(합성)</t>
        </is>
      </c>
      <c r="B11" s="93" t="inlineStr">
        <is>
          <t>480030</t>
        </is>
      </c>
      <c r="C11" s="93" t="inlineStr">
        <is>
          <t>한국투신운용(ETF)</t>
        </is>
      </c>
      <c r="D11" s="94" t="n">
        <v>9660</v>
      </c>
      <c r="E11" s="94" t="n">
        <v>162288000000</v>
      </c>
      <c r="F11" s="94" t="n">
        <v>1351458087</v>
      </c>
      <c r="G11" s="74" t="n">
        <v>0.004500000000000001</v>
      </c>
      <c r="H11" s="74" t="n">
        <v>0.1505</v>
      </c>
      <c r="I11" s="74" t="n">
        <v>0.0199</v>
      </c>
      <c r="J11" s="74" t="n">
        <v>0.201139</v>
      </c>
      <c r="K11" s="94" t="n">
        <v>29</v>
      </c>
      <c r="L11" s="93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Bloomberg US 500 Large Cap Premium(SPY) Decrement 15% Distri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12</v>
      </c>
      <c r="T11">
        <f>IF(AND($J11&lt;&gt;"",OR(조회_주기="전체",$R11=조회_주기),$J11&gt;=조회_최소,$J11&lt;=조회_최대),1,0)</f>
        <v/>
      </c>
      <c r="U11">
        <f>IF($T11=1,$U10+1,$U10)</f>
        <v/>
      </c>
      <c r="V11">
        <f>IF(검색어="",1,IF(ISNUMBER(SEARCH(검색어,$A11)),1,0))</f>
        <v/>
      </c>
      <c r="W11">
        <f>IF($V11=1,$W10+1,$W10)</f>
        <v/>
      </c>
      <c r="X11">
        <f>IFERROR(INDEX($A$4:$A$517,MATCH(8,$W$4:$W$517,0)),"")</f>
        <v/>
      </c>
    </row>
    <row r="12">
      <c r="A12" s="93" t="inlineStr">
        <is>
          <t>PLUS 고배당주위클리고정커버드콜</t>
        </is>
      </c>
      <c r="B12" s="93" t="inlineStr">
        <is>
          <t>0018C0</t>
        </is>
      </c>
      <c r="C12" s="93" t="inlineStr">
        <is>
          <t>한화자산운용</t>
        </is>
      </c>
      <c r="D12" s="94" t="n">
        <v>10615</v>
      </c>
      <c r="E12" s="94" t="n">
        <v>80674000000</v>
      </c>
      <c r="F12" s="94" t="n">
        <v>1018724504</v>
      </c>
      <c r="G12" s="74" t="n">
        <v>0.003</v>
      </c>
      <c r="H12" s="74" t="n">
        <v>0.2666</v>
      </c>
      <c r="I12" s="74" t="n">
        <v>0.0124</v>
      </c>
      <c r="J12" s="74" t="n">
        <v>0.168347</v>
      </c>
      <c r="K12" s="94" t="n">
        <v>19</v>
      </c>
      <c r="L12" s="93" t="inlineStr">
        <is>
          <t>20260914</t>
        </is>
      </c>
      <c r="M12" s="93" t="inlineStr">
        <is>
          <t>채택</t>
        </is>
      </c>
      <c r="N12" s="93" t="inlineStr"/>
      <c r="O12" s="93" t="inlineStr">
        <is>
          <t>코스피 고배당 위클리 고정 커버드콜 지수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12</v>
      </c>
      <c r="T12">
        <f>IF(AND($J12&lt;&gt;"",OR(조회_주기="전체",$R12=조회_주기),$J12&gt;=조회_최소,$J12&lt;=조회_최대),1,0)</f>
        <v/>
      </c>
      <c r="U12">
        <f>IF($T12=1,$U11+1,$U11)</f>
        <v/>
      </c>
      <c r="V12">
        <f>IF(검색어="",1,IF(ISNUMBER(SEARCH(검색어,$A12)),1,0))</f>
        <v/>
      </c>
      <c r="W12">
        <f>IF($V12=1,$W11+1,$W11)</f>
        <v/>
      </c>
      <c r="X12">
        <f>IFERROR(INDEX($A$4:$A$517,MATCH(9,$W$4:$W$517,0)),"")</f>
        <v/>
      </c>
    </row>
    <row r="13">
      <c r="A13" s="93" t="inlineStr">
        <is>
          <t>KODEX 테슬라커버드콜채권혼합액티브</t>
        </is>
      </c>
      <c r="B13" s="93" t="inlineStr">
        <is>
          <t>475080</t>
        </is>
      </c>
      <c r="C13" s="93" t="inlineStr">
        <is>
          <t>삼성자산운용(ETF)</t>
        </is>
      </c>
      <c r="D13" s="94" t="n">
        <v>7920</v>
      </c>
      <c r="E13" s="94" t="n">
        <v>288684000000</v>
      </c>
      <c r="F13" s="94" t="n">
        <v>1429031433</v>
      </c>
      <c r="G13" s="74" t="n">
        <v>0.0039</v>
      </c>
      <c r="H13" s="74" t="n">
        <v>0.1244</v>
      </c>
      <c r="I13" s="74" t="n">
        <v>0.0125</v>
      </c>
      <c r="J13" s="74" t="n">
        <v>0.162374</v>
      </c>
      <c r="K13" s="94" t="n">
        <v>31</v>
      </c>
      <c r="L13" s="93" t="inlineStr">
        <is>
          <t>20260828</t>
        </is>
      </c>
      <c r="M13" s="93" t="inlineStr">
        <is>
          <t>채택</t>
        </is>
      </c>
      <c r="N13" s="93" t="inlineStr"/>
      <c r="O13" s="93" t="inlineStr">
        <is>
          <t>KEDI Tesla Income Premium Balanced Index</t>
        </is>
      </c>
      <c r="P13" s="93" t="inlineStr">
        <is>
          <t>커버드콜</t>
        </is>
      </c>
      <c r="Q13" s="93" t="inlineStr">
        <is>
          <t>멀티에셋</t>
        </is>
      </c>
      <c r="R13" s="93" t="inlineStr">
        <is>
          <t>월배당</t>
        </is>
      </c>
      <c r="S13" s="94" t="n">
        <v>11</v>
      </c>
      <c r="T13">
        <f>IF(AND($J13&lt;&gt;"",OR(조회_주기="전체",$R13=조회_주기),$J13&gt;=조회_최소,$J13&lt;=조회_최대),1,0)</f>
        <v/>
      </c>
      <c r="U13">
        <f>IF($T13=1,$U12+1,$U12)</f>
        <v/>
      </c>
      <c r="V13">
        <f>IF(검색어="",1,IF(ISNUMBER(SEARCH(검색어,$A13)),1,0))</f>
        <v/>
      </c>
      <c r="W13">
        <f>IF($V13=1,$W12+1,$W12)</f>
        <v/>
      </c>
      <c r="X13">
        <f>IFERROR(INDEX($A$4:$A$517,MATCH(10,$W$4:$W$517,0)),"")</f>
        <v/>
      </c>
    </row>
    <row r="14">
      <c r="A14" s="93" t="inlineStr">
        <is>
          <t>TIGER 미국AI빅테크10타겟데일리커버드콜</t>
        </is>
      </c>
      <c r="B14" s="93" t="inlineStr">
        <is>
          <t>493810</t>
        </is>
      </c>
      <c r="C14" s="93" t="inlineStr">
        <is>
          <t>미래에셋자산운용</t>
        </is>
      </c>
      <c r="D14" s="94" t="n">
        <v>11275</v>
      </c>
      <c r="E14" s="94" t="n">
        <v>245795000000</v>
      </c>
      <c r="F14" s="94" t="n">
        <v>1831472332</v>
      </c>
      <c r="G14" s="74" t="n">
        <v>0.0025</v>
      </c>
      <c r="H14" s="74" t="n">
        <v>0.2186</v>
      </c>
      <c r="I14" s="74" t="n">
        <v>0.0124</v>
      </c>
      <c r="J14" s="74" t="n">
        <v>0.161064</v>
      </c>
      <c r="K14" s="94" t="n">
        <v>23</v>
      </c>
      <c r="L14" s="93" t="inlineStr">
        <is>
          <t>20260914</t>
        </is>
      </c>
      <c r="M14" s="93" t="inlineStr">
        <is>
          <t>채택</t>
        </is>
      </c>
      <c r="N14" s="93" t="inlineStr"/>
      <c r="O14" s="93" t="inlineStr">
        <is>
          <t>KEDI US AI Big Tech 10+15% Daily Premium Index TR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12</v>
      </c>
      <c r="T14">
        <f>IF(AND($J14&lt;&gt;"",OR(조회_주기="전체",$R14=조회_주기),$J14&gt;=조회_최소,$J14&lt;=조회_최대),1,0)</f>
        <v/>
      </c>
      <c r="U14">
        <f>IF($T14=1,$U13+1,$U13)</f>
        <v/>
      </c>
      <c r="V14">
        <f>IF(검색어="",1,IF(ISNUMBER(SEARCH(검색어,$A14)),1,0))</f>
        <v/>
      </c>
      <c r="W14">
        <f>IF($V14=1,$W13+1,$W13)</f>
        <v/>
      </c>
      <c r="X14">
        <f>IFERROR(INDEX($A$4:$A$517,MATCH(11,$W$4:$W$517,0)),"")</f>
        <v/>
      </c>
    </row>
    <row r="15">
      <c r="A15" s="93" t="inlineStr">
        <is>
          <t>KODEX 미국S&amp;P500데일리커버드콜OTM</t>
        </is>
      </c>
      <c r="B15" s="93" t="inlineStr">
        <is>
          <t>0005A0</t>
        </is>
      </c>
      <c r="C15" s="93" t="inlineStr">
        <is>
          <t>삼성자산운용(ETF)</t>
        </is>
      </c>
      <c r="D15" s="94" t="n">
        <v>9335</v>
      </c>
      <c r="E15" s="94" t="n">
        <v>200702500000</v>
      </c>
      <c r="F15" s="94" t="n">
        <v>1976068369</v>
      </c>
      <c r="G15" s="74" t="n">
        <v>0.0025</v>
      </c>
      <c r="H15" s="74" t="n">
        <v>0.1475</v>
      </c>
      <c r="I15" s="74" t="n">
        <v>0.0124</v>
      </c>
      <c r="J15" s="74" t="n">
        <v>0.15865</v>
      </c>
      <c r="K15" s="94" t="n">
        <v>20</v>
      </c>
      <c r="L15" s="93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S&amp;P500 Covered Call 1% OTM Daily Index(TR)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>
        <f>IF(AND($J15&lt;&gt;"",OR(조회_주기="전체",$R15=조회_주기),$J15&gt;=조회_최소,$J15&lt;=조회_최대),1,0)</f>
        <v/>
      </c>
      <c r="U15">
        <f>IF($T15=1,$U14+1,$U14)</f>
        <v/>
      </c>
      <c r="V15">
        <f>IF(검색어="",1,IF(ISNUMBER(SEARCH(검색어,$A15)),1,0))</f>
        <v/>
      </c>
      <c r="W15">
        <f>IF($V15=1,$W14+1,$W14)</f>
        <v/>
      </c>
      <c r="X15">
        <f>IFERROR(INDEX($A$4:$A$517,MATCH(12,$W$4:$W$517,0)),"")</f>
        <v/>
      </c>
    </row>
    <row r="16">
      <c r="A16" s="93" t="inlineStr">
        <is>
          <t>TIGER 미국나스닥100타겟데일리커버드콜</t>
        </is>
      </c>
      <c r="B16" s="93" t="inlineStr">
        <is>
          <t>486290</t>
        </is>
      </c>
      <c r="C16" s="93" t="inlineStr">
        <is>
          <t>미래에셋자산운용</t>
        </is>
      </c>
      <c r="D16" s="94" t="n">
        <v>10380</v>
      </c>
      <c r="E16" s="94" t="n">
        <v>2481858000000</v>
      </c>
      <c r="F16" s="94" t="n">
        <v>29417806843</v>
      </c>
      <c r="G16" s="74" t="n">
        <v>0.0025</v>
      </c>
      <c r="H16" s="74" t="n">
        <v>0.207</v>
      </c>
      <c r="I16" s="74" t="n">
        <v>0.0124</v>
      </c>
      <c r="J16" s="74" t="n">
        <v>0.157803</v>
      </c>
      <c r="K16" s="94" t="n">
        <v>26</v>
      </c>
      <c r="L16" s="93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NASDAQ 100 Daily Covered Call Target Premium 15% Index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>
        <f>IF(AND($J16&lt;&gt;"",OR(조회_주기="전체",$R16=조회_주기),$J16&gt;=조회_최소,$J16&lt;=조회_최대),1,0)</f>
        <v/>
      </c>
      <c r="U16">
        <f>IF($T16=1,$U15+1,$U15)</f>
        <v/>
      </c>
      <c r="V16">
        <f>IF(검색어="",1,IF(ISNUMBER(SEARCH(검색어,$A16)),1,0))</f>
        <v/>
      </c>
      <c r="W16">
        <f>IF($V16=1,$W15+1,$W15)</f>
        <v/>
      </c>
      <c r="X16">
        <f>IFERROR(INDEX($A$4:$A$517,MATCH(13,$W$4:$W$517,0)),"")</f>
        <v/>
      </c>
    </row>
    <row r="17">
      <c r="A17" s="93" t="inlineStr">
        <is>
          <t>KODEX 미국AI테크TOP10타겟커버드콜</t>
        </is>
      </c>
      <c r="B17" s="93" t="inlineStr">
        <is>
          <t>483280</t>
        </is>
      </c>
      <c r="C17" s="93" t="inlineStr">
        <is>
          <t>삼성자산운용(ETF)</t>
        </is>
      </c>
      <c r="D17" s="94" t="n">
        <v>11710</v>
      </c>
      <c r="E17" s="94" t="n">
        <v>460203000000</v>
      </c>
      <c r="F17" s="94" t="n">
        <v>2821172160</v>
      </c>
      <c r="G17" s="74" t="n">
        <v>0.0039</v>
      </c>
      <c r="H17" s="74" t="n">
        <v>0.2455</v>
      </c>
      <c r="I17" s="74" t="n">
        <v>0.0123</v>
      </c>
      <c r="J17" s="74" t="n">
        <v>0.157131</v>
      </c>
      <c r="K17" s="94" t="n">
        <v>27</v>
      </c>
      <c r="L17" s="93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KEDI US AI Tech Top 10+15% Premium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>
        <f>IF(AND($J17&lt;&gt;"",OR(조회_주기="전체",$R17=조회_주기),$J17&gt;=조회_최소,$J17&lt;=조회_최대),1,0)</f>
        <v/>
      </c>
      <c r="U17">
        <f>IF($T17=1,$U16+1,$U16)</f>
        <v/>
      </c>
      <c r="V17">
        <f>IF(검색어="",1,IF(ISNUMBER(SEARCH(검색어,$A17)),1,0))</f>
        <v/>
      </c>
      <c r="W17">
        <f>IF($V17=1,$W16+1,$W16)</f>
        <v/>
      </c>
      <c r="X17">
        <f>IFERROR(INDEX($A$4:$A$517,MATCH(14,$W$4:$W$517,0)),"")</f>
        <v/>
      </c>
    </row>
    <row r="18">
      <c r="A18" s="93" t="inlineStr">
        <is>
          <t>KODEX 금융고배당TOP10타겟위클리커버드콜</t>
        </is>
      </c>
      <c r="B18" s="93" t="inlineStr">
        <is>
          <t>498410</t>
        </is>
      </c>
      <c r="C18" s="93" t="inlineStr">
        <is>
          <t>삼성자산운용(ETF)</t>
        </is>
      </c>
      <c r="D18" s="94" t="n">
        <v>12075</v>
      </c>
      <c r="E18" s="94" t="n">
        <v>841627500000</v>
      </c>
      <c r="F18" s="94" t="n">
        <v>22679600946</v>
      </c>
      <c r="G18" s="74" t="n">
        <v>0.0039</v>
      </c>
      <c r="H18" s="74" t="n">
        <v>0.3269</v>
      </c>
      <c r="I18" s="74" t="n">
        <v>0.0121</v>
      </c>
      <c r="J18" s="74" t="n">
        <v>0.155859</v>
      </c>
      <c r="K18" s="94" t="n">
        <v>20</v>
      </c>
      <c r="L18" s="93" t="inlineStr">
        <is>
          <t>20260828</t>
        </is>
      </c>
      <c r="M18" s="93" t="inlineStr">
        <is>
          <t>채택</t>
        </is>
      </c>
      <c r="N18" s="93" t="inlineStr"/>
      <c r="O18" s="93" t="inlineStr">
        <is>
          <t>코스피 200 금융 고배당 TOP 10 타겟 15% 분배 위클리 커버드콜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>
        <f>IF(AND($J18&lt;&gt;"",OR(조회_주기="전체",$R18=조회_주기),$J18&gt;=조회_최소,$J18&lt;=조회_최대),1,0)</f>
        <v/>
      </c>
      <c r="U18">
        <f>IF($T18=1,$U17+1,$U17)</f>
        <v/>
      </c>
      <c r="V18">
        <f>IF(검색어="",1,IF(ISNUMBER(SEARCH(검색어,$A18)),1,0))</f>
        <v/>
      </c>
      <c r="W18">
        <f>IF($V18=1,$W17+1,$W17)</f>
        <v/>
      </c>
      <c r="X18">
        <f>IFERROR(INDEX($A$4:$A$517,MATCH(15,$W$4:$W$517,0)),"")</f>
        <v/>
      </c>
    </row>
    <row r="19">
      <c r="A19" s="93" t="inlineStr">
        <is>
          <t>TIGER 미국30년국채커버드콜액티브(H)</t>
        </is>
      </c>
      <c r="B19" s="93" t="inlineStr">
        <is>
          <t>476550</t>
        </is>
      </c>
      <c r="C19" s="93" t="inlineStr">
        <is>
          <t>미래에셋자산운용</t>
        </is>
      </c>
      <c r="D19" s="94" t="n">
        <v>6710</v>
      </c>
      <c r="E19" s="94" t="n">
        <v>759236500000</v>
      </c>
      <c r="F19" s="94" t="n">
        <v>7994032713</v>
      </c>
      <c r="G19" s="74" t="n">
        <v>0.0039</v>
      </c>
      <c r="H19" s="74" t="n">
        <v>0.0888</v>
      </c>
      <c r="I19" s="74" t="n">
        <v>0.01</v>
      </c>
      <c r="J19" s="74" t="n">
        <v>0.135022</v>
      </c>
      <c r="K19" s="94" t="n">
        <v>30</v>
      </c>
      <c r="L19" s="93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30Y Weekly Covered Call 30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>
        <f>IF(AND($J19&lt;&gt;"",OR(조회_주기="전체",$R19=조회_주기),$J19&gt;=조회_최소,$J19&lt;=조회_최대),1,0)</f>
        <v/>
      </c>
      <c r="U19">
        <f>IF($T19=1,$U18+1,$U18)</f>
        <v/>
      </c>
      <c r="V19">
        <f>IF(검색어="",1,IF(ISNUMBER(SEARCH(검색어,$A19)),1,0))</f>
        <v/>
      </c>
      <c r="W19">
        <f>IF($V19=1,$W18+1,$W18)</f>
        <v/>
      </c>
      <c r="X19">
        <f>IFERROR(INDEX($A$4:$A$517,MATCH(16,$W$4:$W$517,0)),"")</f>
        <v/>
      </c>
    </row>
    <row r="20">
      <c r="A20" s="93" t="inlineStr">
        <is>
          <t>KODEX 미국30년국채타겟커버드콜(합성 H)</t>
        </is>
      </c>
      <c r="B20" s="93" t="inlineStr">
        <is>
          <t>481060</t>
        </is>
      </c>
      <c r="C20" s="93" t="inlineStr">
        <is>
          <t>삼성자산운용(ETF)</t>
        </is>
      </c>
      <c r="D20" s="94" t="n">
        <v>7285</v>
      </c>
      <c r="E20" s="94" t="n">
        <v>743434250000</v>
      </c>
      <c r="F20" s="94" t="n">
        <v>4063077494</v>
      </c>
      <c r="G20" s="74" t="n">
        <v>0.0025</v>
      </c>
      <c r="H20" s="74" t="n">
        <v>0.08349999999999999</v>
      </c>
      <c r="I20" s="74" t="n">
        <v>0.0101</v>
      </c>
      <c r="J20" s="74" t="n">
        <v>0.132327</v>
      </c>
      <c r="K20" s="94" t="n">
        <v>29</v>
      </c>
      <c r="L20" s="93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Bloomberg U.S. Treasury 20+ Year + 12% Premium (TLT) Covered</t>
        </is>
      </c>
      <c r="P20" s="93" t="inlineStr">
        <is>
          <t>커버드콜</t>
        </is>
      </c>
      <c r="Q20" s="93" t="inlineStr">
        <is>
          <t>채권</t>
        </is>
      </c>
      <c r="R20" s="93" t="inlineStr">
        <is>
          <t>월배당</t>
        </is>
      </c>
      <c r="S20" s="94" t="n">
        <v>12</v>
      </c>
      <c r="T20">
        <f>IF(AND($J20&lt;&gt;"",OR(조회_주기="전체",$R20=조회_주기),$J20&gt;=조회_최소,$J20&lt;=조회_최대),1,0)</f>
        <v/>
      </c>
      <c r="U20">
        <f>IF($T20=1,$U19+1,$U19)</f>
        <v/>
      </c>
      <c r="V20">
        <f>IF(검색어="",1,IF(ISNUMBER(SEARCH(검색어,$A20)),1,0))</f>
        <v/>
      </c>
      <c r="W20">
        <f>IF($V20=1,$W19+1,$W19)</f>
        <v/>
      </c>
      <c r="X20">
        <f>IFERROR(INDEX($A$4:$A$517,MATCH(17,$W$4:$W$517,0)),"")</f>
        <v/>
      </c>
    </row>
    <row r="21">
      <c r="A21" s="93" t="inlineStr">
        <is>
          <t>SOL 미국30년국채커버드콜(합성)</t>
        </is>
      </c>
      <c r="B21" s="93" t="inlineStr">
        <is>
          <t>473330</t>
        </is>
      </c>
      <c r="C21" s="93" t="inlineStr">
        <is>
          <t>신한자산운용</t>
        </is>
      </c>
      <c r="D21" s="94" t="n">
        <v>7895</v>
      </c>
      <c r="E21" s="94" t="n">
        <v>276719750000</v>
      </c>
      <c r="F21" s="94" t="n">
        <v>2180038699</v>
      </c>
      <c r="G21" s="74" t="n">
        <v>0.0025</v>
      </c>
      <c r="H21" s="74" t="n">
        <v>0.1357</v>
      </c>
      <c r="I21" s="74" t="n">
        <v>0.0074</v>
      </c>
      <c r="J21" s="74" t="n">
        <v>0.128816</v>
      </c>
      <c r="K21" s="94" t="n">
        <v>32</v>
      </c>
      <c r="L21" s="93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KEDI US Treasury 20Y+ 2% OTM BuyWrite Index</t>
        </is>
      </c>
      <c r="P21" s="93" t="inlineStr">
        <is>
          <t>커버드콜</t>
        </is>
      </c>
      <c r="Q21" s="93" t="inlineStr">
        <is>
          <t>채권</t>
        </is>
      </c>
      <c r="R21" s="93" t="inlineStr">
        <is>
          <t>월배당</t>
        </is>
      </c>
      <c r="S21" s="94" t="n">
        <v>11</v>
      </c>
      <c r="T21">
        <f>IF(AND($J21&lt;&gt;"",OR(조회_주기="전체",$R21=조회_주기),$J21&gt;=조회_최소,$J21&lt;=조회_최대),1,0)</f>
        <v/>
      </c>
      <c r="U21">
        <f>IF($T21=1,$U20+1,$U20)</f>
        <v/>
      </c>
      <c r="V21">
        <f>IF(검색어="",1,IF(ISNUMBER(SEARCH(검색어,$A21)),1,0))</f>
        <v/>
      </c>
      <c r="W21">
        <f>IF($V21=1,$W20+1,$W20)</f>
        <v/>
      </c>
      <c r="X21">
        <f>IFERROR(INDEX($A$4:$A$517,MATCH(18,$W$4:$W$517,0)),"")</f>
        <v/>
      </c>
    </row>
    <row r="22">
      <c r="A22" s="93" t="inlineStr">
        <is>
          <t>TIGER 미국나스닥100커버드콜(합성)</t>
        </is>
      </c>
      <c r="B22" s="93" t="inlineStr">
        <is>
          <t>441680</t>
        </is>
      </c>
      <c r="C22" s="93" t="inlineStr">
        <is>
          <t>미래에셋자산운용</t>
        </is>
      </c>
      <c r="D22" s="94" t="n">
        <v>10770</v>
      </c>
      <c r="E22" s="94" t="n">
        <v>283251000000</v>
      </c>
      <c r="F22" s="94" t="n">
        <v>939336982</v>
      </c>
      <c r="G22" s="74" t="n">
        <v>0.0037</v>
      </c>
      <c r="H22" s="74" t="n">
        <v>0.1465</v>
      </c>
      <c r="I22" s="74" t="n">
        <v>0.01</v>
      </c>
      <c r="J22" s="74" t="n">
        <v>0.12442</v>
      </c>
      <c r="K22" s="94" t="n">
        <v>47</v>
      </c>
      <c r="L22" s="93" t="inlineStr">
        <is>
          <t>20260828</t>
        </is>
      </c>
      <c r="M22" s="93" t="inlineStr">
        <is>
          <t>채택</t>
        </is>
      </c>
      <c r="N22" s="93" t="inlineStr"/>
      <c r="O22" s="93" t="inlineStr">
        <is>
          <t>Cboe NASDAQ-100 BuyWrite V2 Index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>
        <f>IF(AND($J22&lt;&gt;"",OR(조회_주기="전체",$R22=조회_주기),$J22&gt;=조회_최소,$J22&lt;=조회_최대),1,0)</f>
        <v/>
      </c>
      <c r="U22">
        <f>IF($T22=1,$U21+1,$U21)</f>
        <v/>
      </c>
      <c r="V22">
        <f>IF(검색어="",1,IF(ISNUMBER(SEARCH(검색어,$A22)),1,0))</f>
        <v/>
      </c>
      <c r="W22">
        <f>IF($V22=1,$W21+1,$W21)</f>
        <v/>
      </c>
      <c r="X22">
        <f>IFERROR(INDEX($A$4:$A$517,MATCH(19,$W$4:$W$517,0)),"")</f>
        <v/>
      </c>
    </row>
    <row r="23">
      <c r="A23" s="93" t="inlineStr">
        <is>
          <t>KODEX 미국배당다우존스타겟커버드콜</t>
        </is>
      </c>
      <c r="B23" s="93" t="inlineStr">
        <is>
          <t>483290</t>
        </is>
      </c>
      <c r="C23" s="93" t="inlineStr">
        <is>
          <t>삼성자산운용(ETF)</t>
        </is>
      </c>
      <c r="D23" s="94" t="n">
        <v>10215</v>
      </c>
      <c r="E23" s="94" t="n">
        <v>177741000000</v>
      </c>
      <c r="F23" s="94" t="n">
        <v>2257570709</v>
      </c>
      <c r="G23" s="74" t="n">
        <v>0.0039</v>
      </c>
      <c r="H23" s="74" t="n">
        <v>0.157</v>
      </c>
      <c r="I23" s="74" t="n">
        <v>0.0098</v>
      </c>
      <c r="J23" s="74" t="n">
        <v>0.121977</v>
      </c>
      <c r="K23" s="94" t="n">
        <v>27</v>
      </c>
      <c r="L23" s="93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Dow Jones US Dividend 100 10% Premium Covered Call Index(PR)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>
        <f>IF(AND($J23&lt;&gt;"",OR(조회_주기="전체",$R23=조회_주기),$J23&gt;=조회_최소,$J23&lt;=조회_최대),1,0)</f>
        <v/>
      </c>
      <c r="U23">
        <f>IF($T23=1,$U22+1,$U22)</f>
        <v/>
      </c>
      <c r="V23">
        <f>IF(검색어="",1,IF(ISNUMBER(SEARCH(검색어,$A23)),1,0))</f>
        <v/>
      </c>
      <c r="W23">
        <f>IF($V23=1,$W22+1,$W22)</f>
        <v/>
      </c>
      <c r="X23">
        <f>IFERROR(INDEX($A$4:$A$517,MATCH(20,$W$4:$W$517,0)),"")</f>
        <v/>
      </c>
    </row>
    <row r="24">
      <c r="A24" s="93" t="inlineStr">
        <is>
          <t>TIGER 미국배당다우존스타겟데일리커버드콜</t>
        </is>
      </c>
      <c r="B24" s="93" t="inlineStr">
        <is>
          <t>0008S0</t>
        </is>
      </c>
      <c r="C24" s="93" t="inlineStr">
        <is>
          <t>미래에셋자산운용</t>
        </is>
      </c>
      <c r="D24" s="94" t="n">
        <v>9765</v>
      </c>
      <c r="E24" s="94" t="n">
        <v>314433000000</v>
      </c>
      <c r="F24" s="94" t="n">
        <v>3349521767</v>
      </c>
      <c r="G24" s="74" t="n">
        <v>0.0025</v>
      </c>
      <c r="H24" s="74" t="n">
        <v>0.1435</v>
      </c>
      <c r="I24" s="74" t="n">
        <v>0.01</v>
      </c>
      <c r="J24" s="74" t="n">
        <v>0.120533</v>
      </c>
      <c r="K24" s="94" t="n">
        <v>20</v>
      </c>
      <c r="L24" s="93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Dow Jones U.S. Dividend 100 10% Daily Premium Covered Call I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12</v>
      </c>
      <c r="T24">
        <f>IF(AND($J24&lt;&gt;"",OR(조회_주기="전체",$R24=조회_주기),$J24&gt;=조회_최소,$J24&lt;=조회_최대),1,0)</f>
        <v/>
      </c>
      <c r="U24">
        <f>IF($T24=1,$U23+1,$U23)</f>
        <v/>
      </c>
      <c r="V24">
        <f>IF(검색어="",1,IF(ISNUMBER(SEARCH(검색어,$A24)),1,0))</f>
        <v/>
      </c>
      <c r="W24">
        <f>IF($V24=1,$W23+1,$W23)</f>
        <v/>
      </c>
      <c r="X24">
        <f>IFERROR(INDEX($A$4:$A$517,MATCH(21,$W$4:$W$517,0)),"")</f>
        <v/>
      </c>
    </row>
    <row r="25">
      <c r="A25" s="93" t="inlineStr">
        <is>
          <t>TIGER 미국테크TOP10타겟커버드콜</t>
        </is>
      </c>
      <c r="B25" s="93" t="inlineStr">
        <is>
          <t>474220</t>
        </is>
      </c>
      <c r="C25" s="93" t="inlineStr">
        <is>
          <t>미래에셋자산운용</t>
        </is>
      </c>
      <c r="D25" s="94" t="n">
        <v>14935</v>
      </c>
      <c r="E25" s="94" t="n">
        <v>421167000000</v>
      </c>
      <c r="F25" s="94" t="n">
        <v>1674129615</v>
      </c>
      <c r="G25" s="74" t="n">
        <v>0.005</v>
      </c>
      <c r="H25" s="74" t="n">
        <v>0.1941</v>
      </c>
      <c r="I25" s="74" t="n">
        <v>0.0083</v>
      </c>
      <c r="J25" s="74" t="n">
        <v>0.104988</v>
      </c>
      <c r="K25" s="94" t="n">
        <v>32</v>
      </c>
      <c r="L25" s="93" t="inlineStr">
        <is>
          <t>20260914</t>
        </is>
      </c>
      <c r="M25" s="93" t="inlineStr">
        <is>
          <t>채택</t>
        </is>
      </c>
      <c r="N25" s="93" t="inlineStr"/>
      <c r="O25" s="93" t="inlineStr">
        <is>
          <t>Bloomberg U.S. Tech Top10 + 10% Premium Covered Call Index</t>
        </is>
      </c>
      <c r="P25" s="93" t="inlineStr">
        <is>
          <t>커버드콜</t>
        </is>
      </c>
      <c r="Q25" s="93" t="inlineStr">
        <is>
          <t>주식</t>
        </is>
      </c>
      <c r="R25" s="93" t="inlineStr">
        <is>
          <t>월배당</t>
        </is>
      </c>
      <c r="S25" s="94" t="n">
        <v>12</v>
      </c>
      <c r="T25">
        <f>IF(AND($J25&lt;&gt;"",OR(조회_주기="전체",$R25=조회_주기),$J25&gt;=조회_최소,$J25&lt;=조회_최대),1,0)</f>
        <v/>
      </c>
      <c r="U25">
        <f>IF($T25=1,$U24+1,$U24)</f>
        <v/>
      </c>
      <c r="V25">
        <f>IF(검색어="",1,IF(ISNUMBER(SEARCH(검색어,$A25)),1,0))</f>
        <v/>
      </c>
      <c r="W25">
        <f>IF($V25=1,$W24+1,$W24)</f>
        <v/>
      </c>
      <c r="X25">
        <f>IFERROR(INDEX($A$4:$A$517,MATCH(22,$W$4:$W$517,0)),"")</f>
        <v/>
      </c>
    </row>
    <row r="26">
      <c r="A26" s="93" t="inlineStr">
        <is>
          <t>TIGER 미국배당다우존스타겟커버드콜2호</t>
        </is>
      </c>
      <c r="B26" s="93" t="inlineStr">
        <is>
          <t>458760</t>
        </is>
      </c>
      <c r="C26" s="93" t="inlineStr">
        <is>
          <t>미래에셋자산운용</t>
        </is>
      </c>
      <c r="D26" s="94" t="n">
        <v>10900</v>
      </c>
      <c r="E26" s="94" t="n">
        <v>696510000000</v>
      </c>
      <c r="F26" s="94" t="n">
        <v>3351953773</v>
      </c>
      <c r="G26" s="74" t="n">
        <v>0.0039</v>
      </c>
      <c r="H26" s="74" t="n">
        <v>0.1502</v>
      </c>
      <c r="I26" s="74" t="n">
        <v>0.008</v>
      </c>
      <c r="J26" s="74" t="n">
        <v>0.099817</v>
      </c>
      <c r="K26" s="94" t="n">
        <v>38</v>
      </c>
      <c r="L26" s="93" t="inlineStr">
        <is>
          <t>20260828</t>
        </is>
      </c>
      <c r="M26" s="93" t="inlineStr">
        <is>
          <t>채택</t>
        </is>
      </c>
      <c r="N26" s="93" t="inlineStr"/>
      <c r="O26" s="93" t="inlineStr">
        <is>
          <t>Dow Jones U.S. Dividend 100 7% Premium Covered Call Index</t>
        </is>
      </c>
      <c r="P26" s="93" t="inlineStr">
        <is>
          <t>커버드콜</t>
        </is>
      </c>
      <c r="Q26" s="93" t="inlineStr">
        <is>
          <t>주식</t>
        </is>
      </c>
      <c r="R26" s="93" t="inlineStr">
        <is>
          <t>월배당</t>
        </is>
      </c>
      <c r="S26" s="94" t="n">
        <v>11</v>
      </c>
      <c r="T26">
        <f>IF(AND($J26&lt;&gt;"",OR(조회_주기="전체",$R26=조회_주기),$J26&gt;=조회_최소,$J26&lt;=조회_최대),1,0)</f>
        <v/>
      </c>
      <c r="U26">
        <f>IF($T26=1,$U25+1,$U25)</f>
        <v/>
      </c>
      <c r="V26">
        <f>IF(검색어="",1,IF(ISNUMBER(SEARCH(검색어,$A26)),1,0))</f>
        <v/>
      </c>
      <c r="W26">
        <f>IF($V26=1,$W25+1,$W25)</f>
        <v/>
      </c>
      <c r="X26">
        <f>IFERROR(INDEX($A$4:$A$517,MATCH(23,$W$4:$W$517,0)),"")</f>
        <v/>
      </c>
    </row>
    <row r="27">
      <c r="A27" s="93" t="inlineStr">
        <is>
          <t>TIGER 리츠부동산인프라</t>
        </is>
      </c>
      <c r="B27" s="93" t="inlineStr">
        <is>
          <t>329200</t>
        </is>
      </c>
      <c r="C27" s="93" t="inlineStr">
        <is>
          <t>미래에셋자산운용</t>
        </is>
      </c>
      <c r="D27" s="94" t="n">
        <v>4070</v>
      </c>
      <c r="E27" s="94" t="n">
        <v>1561252000000</v>
      </c>
      <c r="F27" s="94" t="n">
        <v>12187894806</v>
      </c>
      <c r="G27" s="74" t="n">
        <v>0.0008</v>
      </c>
      <c r="H27" s="74" t="n">
        <v>0.177</v>
      </c>
      <c r="I27" s="74" t="n">
        <v>0.008100000000000001</v>
      </c>
      <c r="J27" s="74" t="n">
        <v>0.09729699999999999</v>
      </c>
      <c r="K27" s="94" t="n">
        <v>51</v>
      </c>
      <c r="L27" s="93" t="inlineStr">
        <is>
          <t>20260828</t>
        </is>
      </c>
      <c r="M27" s="93" t="inlineStr">
        <is>
          <t>채택</t>
        </is>
      </c>
      <c r="N27" s="93" t="inlineStr"/>
      <c r="O27" s="93" t="inlineStr">
        <is>
          <t>FnGuide 리츠부동산인프라</t>
        </is>
      </c>
      <c r="P27" s="93" t="inlineStr">
        <is>
          <t>일반</t>
        </is>
      </c>
      <c r="Q27" s="93" t="inlineStr">
        <is>
          <t>부동산</t>
        </is>
      </c>
      <c r="R27" s="93" t="inlineStr">
        <is>
          <t>월배당</t>
        </is>
      </c>
      <c r="S27" s="94" t="n">
        <v>11</v>
      </c>
      <c r="T27">
        <f>IF(AND($J27&lt;&gt;"",OR(조회_주기="전체",$R27=조회_주기),$J27&gt;=조회_최소,$J27&lt;=조회_최대),1,0)</f>
        <v/>
      </c>
      <c r="U27">
        <f>IF($T27=1,$U26+1,$U26)</f>
        <v/>
      </c>
      <c r="V27">
        <f>IF(검색어="",1,IF(ISNUMBER(SEARCH(검색어,$A27)),1,0))</f>
        <v/>
      </c>
      <c r="W27">
        <f>IF($V27=1,$W26+1,$W26)</f>
        <v/>
      </c>
      <c r="X27">
        <f>IFERROR(INDEX($A$4:$A$517,MATCH(24,$W$4:$W$517,0)),"")</f>
        <v/>
      </c>
    </row>
    <row r="28">
      <c r="A28" s="93" t="inlineStr">
        <is>
          <t>KODEX 미국배당커버드콜액티브</t>
        </is>
      </c>
      <c r="B28" s="93" t="inlineStr">
        <is>
          <t>441640</t>
        </is>
      </c>
      <c r="C28" s="93" t="inlineStr">
        <is>
          <t>삼성자산운용(ETF)</t>
        </is>
      </c>
      <c r="D28" s="94" t="n">
        <v>12415</v>
      </c>
      <c r="E28" s="94" t="n">
        <v>1716373750000</v>
      </c>
      <c r="F28" s="94" t="n">
        <v>12303818695</v>
      </c>
      <c r="G28" s="74" t="n">
        <v>0.0019</v>
      </c>
      <c r="H28" s="74" t="n">
        <v>0.1233</v>
      </c>
      <c r="I28" s="74" t="n">
        <v>0.007800000000000001</v>
      </c>
      <c r="J28" s="74" t="n">
        <v>0.095369</v>
      </c>
      <c r="K28" s="94" t="n">
        <v>48</v>
      </c>
      <c r="L28" s="93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S&amp;P 500</t>
        </is>
      </c>
      <c r="P28" s="93" t="inlineStr">
        <is>
          <t>커버드콜</t>
        </is>
      </c>
      <c r="Q28" s="93" t="inlineStr">
        <is>
          <t>주식</t>
        </is>
      </c>
      <c r="R28" s="93" t="inlineStr">
        <is>
          <t>월배당</t>
        </is>
      </c>
      <c r="S28" s="94" t="n">
        <v>12</v>
      </c>
      <c r="T28">
        <f>IF(AND($J28&lt;&gt;"",OR(조회_주기="전체",$R28=조회_주기),$J28&gt;=조회_최소,$J28&lt;=조회_최대),1,0)</f>
        <v/>
      </c>
      <c r="U28">
        <f>IF($T28=1,$U27+1,$U27)</f>
        <v/>
      </c>
      <c r="V28">
        <f>IF(검색어="",1,IF(ISNUMBER(SEARCH(검색어,$A28)),1,0))</f>
        <v/>
      </c>
      <c r="W28">
        <f>IF($V28=1,$W27+1,$W27)</f>
        <v/>
      </c>
      <c r="X28">
        <f>IFERROR(INDEX($A$4:$A$517,MATCH(25,$W$4:$W$517,0)),"")</f>
        <v/>
      </c>
    </row>
    <row r="29">
      <c r="A29" s="93" t="inlineStr">
        <is>
          <t>KODEX 한국부동산리츠인프라</t>
        </is>
      </c>
      <c r="B29" s="93" t="inlineStr">
        <is>
          <t>476800</t>
        </is>
      </c>
      <c r="C29" s="93" t="inlineStr">
        <is>
          <t>삼성자산운용(ETF)</t>
        </is>
      </c>
      <c r="D29" s="94" t="n">
        <v>4185</v>
      </c>
      <c r="E29" s="94" t="n">
        <v>483995250000</v>
      </c>
      <c r="F29" s="94" t="n">
        <v>2338425880</v>
      </c>
      <c r="G29" s="74" t="n">
        <v>0.0009</v>
      </c>
      <c r="H29" s="74" t="n">
        <v>0.1486</v>
      </c>
      <c r="I29" s="74" t="n">
        <v>0.0141</v>
      </c>
      <c r="J29" s="74" t="n">
        <v>0.09247299999999999</v>
      </c>
      <c r="K29" s="94" t="n">
        <v>30</v>
      </c>
      <c r="L29" s="93" t="inlineStr">
        <is>
          <t>20260914</t>
        </is>
      </c>
      <c r="M29" s="93" t="inlineStr">
        <is>
          <t>채택</t>
        </is>
      </c>
      <c r="N29" s="93" t="inlineStr"/>
      <c r="O29" s="93" t="inlineStr">
        <is>
          <t>KRX 부동산리츠인프라 지수</t>
        </is>
      </c>
      <c r="P29" s="93" t="inlineStr">
        <is>
          <t>일반</t>
        </is>
      </c>
      <c r="Q29" s="93" t="inlineStr">
        <is>
          <t>부동산</t>
        </is>
      </c>
      <c r="R29" s="93" t="inlineStr">
        <is>
          <t>월배당</t>
        </is>
      </c>
      <c r="S29" s="94" t="n">
        <v>12</v>
      </c>
      <c r="T29">
        <f>IF(AND($J29&lt;&gt;"",OR(조회_주기="전체",$R29=조회_주기),$J29&gt;=조회_최소,$J29&lt;=조회_최대),1,0)</f>
        <v/>
      </c>
      <c r="U29">
        <f>IF($T29=1,$U28+1,$U28)</f>
        <v/>
      </c>
      <c r="V29">
        <f>IF(검색어="",1,IF(ISNUMBER(SEARCH(검색어,$A29)),1,0))</f>
        <v/>
      </c>
      <c r="W29">
        <f>IF($V29=1,$W28+1,$W28)</f>
        <v/>
      </c>
      <c r="X29">
        <f>IFERROR(INDEX($A$4:$A$517,MATCH(26,$W$4:$W$517,0)),"")</f>
        <v/>
      </c>
    </row>
    <row r="30">
      <c r="A30" s="93" t="inlineStr">
        <is>
          <t>ACE 글로벌인컴TOP10</t>
        </is>
      </c>
      <c r="B30" s="93" t="inlineStr">
        <is>
          <t>460960</t>
        </is>
      </c>
      <c r="C30" s="93" t="inlineStr">
        <is>
          <t>한국투신운용(ETF)</t>
        </is>
      </c>
      <c r="D30" s="94" t="n">
        <v>10850</v>
      </c>
      <c r="E30" s="94" t="n">
        <v>85172500000</v>
      </c>
      <c r="F30" s="94" t="n">
        <v>833462011</v>
      </c>
      <c r="G30" s="74" t="n">
        <v>0.0024</v>
      </c>
      <c r="H30" s="74" t="n">
        <v>0.1112</v>
      </c>
      <c r="I30" s="74" t="n">
        <v>0.006</v>
      </c>
      <c r="J30" s="74" t="n">
        <v>0.07861799999999999</v>
      </c>
      <c r="K30" s="94" t="n">
        <v>37</v>
      </c>
      <c r="L30" s="93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Solactive Global Superior Income TOP 10 Index PR</t>
        </is>
      </c>
      <c r="P30" s="93" t="inlineStr">
        <is>
          <t>일반</t>
        </is>
      </c>
      <c r="Q30" s="93" t="inlineStr">
        <is>
          <t>멀티에셋</t>
        </is>
      </c>
      <c r="R30" s="93" t="inlineStr">
        <is>
          <t>월배당</t>
        </is>
      </c>
      <c r="S30" s="94" t="n">
        <v>11</v>
      </c>
      <c r="T30">
        <f>IF(AND($J30&lt;&gt;"",OR(조회_주기="전체",$R30=조회_주기),$J30&gt;=조회_최소,$J30&lt;=조회_최대),1,0)</f>
        <v/>
      </c>
      <c r="U30">
        <f>IF($T30=1,$U29+1,$U29)</f>
        <v/>
      </c>
      <c r="V30">
        <f>IF(검색어="",1,IF(ISNUMBER(SEARCH(검색어,$A30)),1,0))</f>
        <v/>
      </c>
      <c r="W30">
        <f>IF($V30=1,$W29+1,$W29)</f>
        <v/>
      </c>
      <c r="X30">
        <f>IFERROR(INDEX($A$4:$A$517,MATCH(27,$W$4:$W$517,0)),"")</f>
        <v/>
      </c>
    </row>
    <row r="31">
      <c r="A31" s="93" t="inlineStr">
        <is>
          <t>KODEX iShares미국하이일드액티브</t>
        </is>
      </c>
      <c r="B31" s="93" t="inlineStr">
        <is>
          <t>468380</t>
        </is>
      </c>
      <c r="C31" s="93" t="inlineStr">
        <is>
          <t>삼성자산운용(ETF)</t>
        </is>
      </c>
      <c r="D31" s="94" t="n">
        <v>10840</v>
      </c>
      <c r="E31" s="94" t="n">
        <v>89863600000</v>
      </c>
      <c r="F31" s="94" t="n">
        <v>771406658</v>
      </c>
      <c r="G31" s="74" t="n">
        <v>0.0015</v>
      </c>
      <c r="H31" s="74" t="n">
        <v>0.1017</v>
      </c>
      <c r="I31" s="74" t="n">
        <v>0.005699999999999999</v>
      </c>
      <c r="J31" s="74" t="n">
        <v>0.071587</v>
      </c>
      <c r="K31" s="94" t="n">
        <v>34</v>
      </c>
      <c r="L31" s="93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ICE BofAML US HY Constrained Index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>
        <f>IF(AND($J31&lt;&gt;"",OR(조회_주기="전체",$R31=조회_주기),$J31&gt;=조회_최소,$J31&lt;=조회_최대),1,0)</f>
        <v/>
      </c>
      <c r="U31">
        <f>IF($T31=1,$U30+1,$U30)</f>
        <v/>
      </c>
      <c r="V31">
        <f>IF(검색어="",1,IF(ISNUMBER(SEARCH(검색어,$A31)),1,0))</f>
        <v/>
      </c>
      <c r="W31">
        <f>IF($V31=1,$W30+1,$W30)</f>
        <v/>
      </c>
      <c r="X31">
        <f>IFERROR(INDEX($A$4:$A$517,MATCH(28,$W$4:$W$517,0)),"")</f>
        <v/>
      </c>
    </row>
    <row r="32">
      <c r="A32" s="93" t="inlineStr">
        <is>
          <t>KODEX 미국30년국채액티브(H)</t>
        </is>
      </c>
      <c r="B32" s="93" t="inlineStr">
        <is>
          <t>484790</t>
        </is>
      </c>
      <c r="C32" s="93" t="inlineStr">
        <is>
          <t>삼성자산운용(ETF)</t>
        </is>
      </c>
      <c r="D32" s="94" t="n">
        <v>8135</v>
      </c>
      <c r="E32" s="94" t="n">
        <v>586614850000</v>
      </c>
      <c r="F32" s="94" t="n">
        <v>4559122114</v>
      </c>
      <c r="G32" s="74" t="n">
        <v>0.00015</v>
      </c>
      <c r="H32" s="74" t="n">
        <v>0.09050000000000001</v>
      </c>
      <c r="I32" s="74" t="n">
        <v>0.0042</v>
      </c>
      <c r="J32" s="74" t="n">
        <v>0.052735</v>
      </c>
      <c r="K32" s="94" t="n">
        <v>26</v>
      </c>
      <c r="L32" s="93" t="inlineStr">
        <is>
          <t>20260828</t>
        </is>
      </c>
      <c r="M32" s="93" t="inlineStr">
        <is>
          <t>채택</t>
        </is>
      </c>
      <c r="N32" s="93" t="inlineStr"/>
      <c r="O32" s="93" t="inlineStr">
        <is>
          <t>KEDI-KAP 미 국채 20년+ 지수(TR)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월배당</t>
        </is>
      </c>
      <c r="S32" s="94" t="n">
        <v>11</v>
      </c>
      <c r="T32">
        <f>IF(AND($J32&lt;&gt;"",OR(조회_주기="전체",$R32=조회_주기),$J32&gt;=조회_최소,$J32&lt;=조회_최대),1,0)</f>
        <v/>
      </c>
      <c r="U32">
        <f>IF($T32=1,$U31+1,$U31)</f>
        <v/>
      </c>
      <c r="V32">
        <f>IF(검색어="",1,IF(ISNUMBER(SEARCH(검색어,$A32)),1,0))</f>
        <v/>
      </c>
      <c r="W32">
        <f>IF($V32=1,$W31+1,$W31)</f>
        <v/>
      </c>
      <c r="X32">
        <f>IFERROR(INDEX($A$4:$A$517,MATCH(29,$W$4:$W$517,0)),"")</f>
        <v/>
      </c>
    </row>
    <row r="33">
      <c r="A33" s="93" t="inlineStr">
        <is>
          <t>PLUS 자사주매입고배당주</t>
        </is>
      </c>
      <c r="B33" s="93" t="inlineStr">
        <is>
          <t>0098N0</t>
        </is>
      </c>
      <c r="C33" s="93" t="inlineStr">
        <is>
          <t>한화자산운용</t>
        </is>
      </c>
      <c r="D33" s="94" t="n">
        <v>13050</v>
      </c>
      <c r="E33" s="94" t="n">
        <v>78952500000</v>
      </c>
      <c r="F33" s="94" t="n">
        <v>877078644</v>
      </c>
      <c r="G33" s="74" t="n">
        <v>0.003</v>
      </c>
      <c r="H33" s="74" t="n">
        <v>0.2818</v>
      </c>
      <c r="I33" s="74" t="n">
        <v>0.0053</v>
      </c>
      <c r="J33" s="74" t="n">
        <v>0.049425</v>
      </c>
      <c r="K33" s="94" t="n">
        <v>12</v>
      </c>
      <c r="L33" s="93" t="inlineStr">
        <is>
          <t>20260914</t>
        </is>
      </c>
      <c r="M33" s="93" t="inlineStr">
        <is>
          <t>채택</t>
        </is>
      </c>
      <c r="N33" s="93" t="inlineStr"/>
      <c r="O33" s="93" t="inlineStr">
        <is>
          <t>FnGuide 고배당주 플러스 자사주 지수</t>
        </is>
      </c>
      <c r="P33" s="93" t="inlineStr">
        <is>
          <t>일반</t>
        </is>
      </c>
      <c r="Q33" s="93" t="inlineStr">
        <is>
          <t>주식</t>
        </is>
      </c>
      <c r="R33" s="93" t="inlineStr">
        <is>
          <t>월배당</t>
        </is>
      </c>
      <c r="S33" s="94" t="n">
        <v>12</v>
      </c>
      <c r="T33">
        <f>IF(AND($J33&lt;&gt;"",OR(조회_주기="전체",$R33=조회_주기),$J33&gt;=조회_최소,$J33&lt;=조회_최대),1,0)</f>
        <v/>
      </c>
      <c r="U33">
        <f>IF($T33=1,$U32+1,$U32)</f>
        <v/>
      </c>
      <c r="V33">
        <f>IF(검색어="",1,IF(ISNUMBER(SEARCH(검색어,$A33)),1,0))</f>
        <v/>
      </c>
      <c r="W33">
        <f>IF($V33=1,$W32+1,$W32)</f>
        <v/>
      </c>
      <c r="X33">
        <f>IFERROR(INDEX($A$4:$A$517,MATCH(30,$W$4:$W$517,0)),"")</f>
        <v/>
      </c>
    </row>
    <row r="34">
      <c r="A34" s="93" t="inlineStr">
        <is>
          <t>RISE KIS국고채30년Enhanced</t>
        </is>
      </c>
      <c r="B34" s="93" t="inlineStr">
        <is>
          <t>385560</t>
        </is>
      </c>
      <c r="C34" s="93" t="inlineStr">
        <is>
          <t>KB자산운용</t>
        </is>
      </c>
      <c r="D34" s="94" t="n">
        <v>50215</v>
      </c>
      <c r="E34" s="94" t="n">
        <v>448871885000</v>
      </c>
      <c r="F34" s="94" t="n">
        <v>1909811440</v>
      </c>
      <c r="G34" s="74" t="n">
        <v>0.0005</v>
      </c>
      <c r="H34" s="74" t="n">
        <v>0.1775</v>
      </c>
      <c r="I34" s="74" t="n">
        <v>0.0224</v>
      </c>
      <c r="J34" s="74" t="n">
        <v>0.048372</v>
      </c>
      <c r="K34" s="94" t="n">
        <v>10</v>
      </c>
      <c r="L34" s="93" t="inlineStr">
        <is>
          <t>20260908</t>
        </is>
      </c>
      <c r="M34" s="93" t="inlineStr">
        <is>
          <t>채택</t>
        </is>
      </c>
      <c r="N34" s="93" t="inlineStr"/>
      <c r="O34" s="93" t="inlineStr">
        <is>
          <t>KIS 국고채30년 Enhanced 지수(시장가격지수)</t>
        </is>
      </c>
      <c r="P34" s="93" t="inlineStr">
        <is>
          <t>일반</t>
        </is>
      </c>
      <c r="Q34" s="93" t="inlineStr">
        <is>
          <t>채권</t>
        </is>
      </c>
      <c r="R34" s="93" t="inlineStr">
        <is>
          <t>연배당</t>
        </is>
      </c>
      <c r="S34" s="94" t="n">
        <v>2</v>
      </c>
      <c r="T34">
        <f>IF(AND($J34&lt;&gt;"",OR(조회_주기="전체",$R34=조회_주기),$J34&gt;=조회_최소,$J34&lt;=조회_최대),1,0)</f>
        <v/>
      </c>
      <c r="U34">
        <f>IF($T34=1,$U33+1,$U33)</f>
        <v/>
      </c>
      <c r="V34">
        <f>IF(검색어="",1,IF(ISNUMBER(SEARCH(검색어,$A34)),1,0))</f>
        <v/>
      </c>
      <c r="W34">
        <f>IF($V34=1,$W33+1,$W33)</f>
        <v/>
      </c>
      <c r="X34">
        <f>IFERROR(INDEX($A$4:$A$517,MATCH(31,$W$4:$W$517,0)),"")</f>
        <v/>
      </c>
    </row>
    <row r="35">
      <c r="A35" s="93" t="inlineStr">
        <is>
          <t>KODEX 미국종합채권ESG액티브(H)</t>
        </is>
      </c>
      <c r="B35" s="93" t="inlineStr">
        <is>
          <t>437080</t>
        </is>
      </c>
      <c r="C35" s="93" t="inlineStr">
        <is>
          <t>삼성자산운용(ETF)</t>
        </is>
      </c>
      <c r="D35" s="94" t="n">
        <v>95890</v>
      </c>
      <c r="E35" s="94" t="n">
        <v>223903150000</v>
      </c>
      <c r="F35" s="94" t="n">
        <v>596583035</v>
      </c>
      <c r="G35" s="74" t="n">
        <v>0.0018</v>
      </c>
      <c r="H35" s="74" t="n">
        <v>0.0391</v>
      </c>
      <c r="I35" s="74" t="n">
        <v>0.004</v>
      </c>
      <c r="J35" s="74" t="n">
        <v>0.046188</v>
      </c>
      <c r="K35" s="94" t="n">
        <v>19</v>
      </c>
      <c r="L35" s="93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Bloomberg MSCI US Aggregate 2BN ex Securitized SRI Capped In</t>
        </is>
      </c>
      <c r="P35" s="93" t="inlineStr">
        <is>
          <t>일반</t>
        </is>
      </c>
      <c r="Q35" s="93" t="inlineStr">
        <is>
          <t>채권</t>
        </is>
      </c>
      <c r="R35" s="93" t="inlineStr">
        <is>
          <t>월배당</t>
        </is>
      </c>
      <c r="S35" s="94" t="n">
        <v>11</v>
      </c>
      <c r="T35">
        <f>IF(AND($J35&lt;&gt;"",OR(조회_주기="전체",$R35=조회_주기),$J35&gt;=조회_최소,$J35&lt;=조회_최대),1,0)</f>
        <v/>
      </c>
      <c r="U35">
        <f>IF($T35=1,$U34+1,$U34)</f>
        <v/>
      </c>
      <c r="V35">
        <f>IF(검색어="",1,IF(ISNUMBER(SEARCH(검색어,$A35)),1,0))</f>
        <v/>
      </c>
      <c r="W35">
        <f>IF($V35=1,$W34+1,$W34)</f>
        <v/>
      </c>
      <c r="X35">
        <f>IFERROR(INDEX($A$4:$A$517,MATCH(32,$W$4:$W$517,0)),"")</f>
        <v/>
      </c>
    </row>
    <row r="36">
      <c r="A36" s="93" t="inlineStr">
        <is>
          <t>KODEX 미국머니마켓액티브</t>
        </is>
      </c>
      <c r="B36" s="93" t="inlineStr">
        <is>
          <t>0048J0</t>
        </is>
      </c>
      <c r="C36" s="93" t="inlineStr">
        <is>
          <t>삼성자산운용(ETF)</t>
        </is>
      </c>
      <c r="D36" s="94" t="n">
        <v>13810</v>
      </c>
      <c r="E36" s="94" t="n">
        <v>865196500000</v>
      </c>
      <c r="F36" s="94" t="n">
        <v>8258612469</v>
      </c>
      <c r="G36" s="74" t="n">
        <v>0.0005</v>
      </c>
      <c r="H36" s="74" t="n">
        <v>0.1058</v>
      </c>
      <c r="I36" s="74" t="n">
        <v>0.0044</v>
      </c>
      <c r="J36" s="74" t="n">
        <v>0.04590900000000001</v>
      </c>
      <c r="K36" s="94" t="n">
        <v>15</v>
      </c>
      <c r="L36" s="93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KAP 미국 머니마켓 지수</t>
        </is>
      </c>
      <c r="P36" s="93" t="inlineStr">
        <is>
          <t>일반</t>
        </is>
      </c>
      <c r="Q36" s="93" t="inlineStr">
        <is>
          <t>단기자금(파킹형)</t>
        </is>
      </c>
      <c r="R36" s="93" t="inlineStr">
        <is>
          <t>월배당</t>
        </is>
      </c>
      <c r="S36" s="94" t="n">
        <v>11</v>
      </c>
      <c r="T36">
        <f>IF(AND($J36&lt;&gt;"",OR(조회_주기="전체",$R36=조회_주기),$J36&gt;=조회_최소,$J36&lt;=조회_최대),1,0)</f>
        <v/>
      </c>
      <c r="U36">
        <f>IF($T36=1,$U35+1,$U35)</f>
        <v/>
      </c>
      <c r="V36">
        <f>IF(검색어="",1,IF(ISNUMBER(SEARCH(검색어,$A36)),1,0))</f>
        <v/>
      </c>
      <c r="W36">
        <f>IF($V36=1,$W35+1,$W35)</f>
        <v/>
      </c>
      <c r="X36">
        <f>IFERROR(INDEX($A$4:$A$517,MATCH(33,$W$4:$W$517,0)),"")</f>
        <v/>
      </c>
    </row>
    <row r="37">
      <c r="A37" s="93" t="inlineStr">
        <is>
          <t>ACE 미국30년국채액티브</t>
        </is>
      </c>
      <c r="B37" s="93" t="inlineStr">
        <is>
          <t>476760</t>
        </is>
      </c>
      <c r="C37" s="93" t="inlineStr">
        <is>
          <t>한국투자신탁운용</t>
        </is>
      </c>
      <c r="D37" s="94" t="n">
        <v>8855</v>
      </c>
      <c r="E37" s="94" t="n">
        <v>382536000000</v>
      </c>
      <c r="F37" s="94" t="n">
        <v>4926062455</v>
      </c>
      <c r="G37" s="74" t="n">
        <v>0.0005</v>
      </c>
      <c r="H37" s="74" t="n">
        <v>0.1326</v>
      </c>
      <c r="I37" s="74" t="n">
        <v>0.0036</v>
      </c>
      <c r="J37" s="74" t="n">
        <v>0.044833</v>
      </c>
      <c r="K37" s="94" t="n">
        <v>29</v>
      </c>
      <c r="L37" s="93" t="inlineStr">
        <is>
          <t>20260828</t>
        </is>
      </c>
      <c r="M37" s="93" t="inlineStr">
        <is>
          <t>채택</t>
        </is>
      </c>
      <c r="N37" s="93" t="inlineStr"/>
      <c r="O37" s="93" t="inlineStr">
        <is>
          <t>Bloomberg US Treasury 20+ Year Total Return Index</t>
        </is>
      </c>
      <c r="P37" s="93" t="inlineStr">
        <is>
          <t>일반</t>
        </is>
      </c>
      <c r="Q37" s="93" t="inlineStr">
        <is>
          <t>채권</t>
        </is>
      </c>
      <c r="R37" s="93" t="inlineStr">
        <is>
          <t>월배당</t>
        </is>
      </c>
      <c r="S37" s="94" t="n">
        <v>11</v>
      </c>
      <c r="T37">
        <f>IF(AND($J37&lt;&gt;"",OR(조회_주기="전체",$R37=조회_주기),$J37&gt;=조회_최소,$J37&lt;=조회_최대),1,0)</f>
        <v/>
      </c>
      <c r="U37">
        <f>IF($T37=1,$U36+1,$U36)</f>
        <v/>
      </c>
      <c r="V37">
        <f>IF(검색어="",1,IF(ISNUMBER(SEARCH(검색어,$A37)),1,0))</f>
        <v/>
      </c>
      <c r="W37">
        <f>IF($V37=1,$W36+1,$W36)</f>
        <v/>
      </c>
      <c r="X37">
        <f>IFERROR(INDEX($A$4:$A$517,MATCH(34,$W$4:$W$517,0)),"")</f>
        <v/>
      </c>
    </row>
    <row r="38">
      <c r="A38" s="93" t="inlineStr">
        <is>
          <t>SOL 국제금커버드콜액티브</t>
        </is>
      </c>
      <c r="B38" s="93" t="inlineStr">
        <is>
          <t>0022T0</t>
        </is>
      </c>
      <c r="C38" s="93" t="inlineStr">
        <is>
          <t>신한자산운용</t>
        </is>
      </c>
      <c r="D38" s="94" t="n">
        <v>12910</v>
      </c>
      <c r="E38" s="94" t="n">
        <v>73587000000</v>
      </c>
      <c r="F38" s="94" t="n">
        <v>999848272</v>
      </c>
      <c r="G38" s="74" t="n">
        <v>0.004500000000000001</v>
      </c>
      <c r="H38" s="74" t="n">
        <v>0.2874</v>
      </c>
      <c r="I38" s="74" t="n">
        <v>0.0033</v>
      </c>
      <c r="J38" s="74" t="n">
        <v>0.044694</v>
      </c>
      <c r="K38" s="94" t="n">
        <v>17</v>
      </c>
      <c r="L38" s="93" t="inlineStr">
        <is>
          <t>20260828</t>
        </is>
      </c>
      <c r="M38" s="93" t="inlineStr">
        <is>
          <t>채택</t>
        </is>
      </c>
      <c r="N38" s="93" t="inlineStr"/>
      <c r="O38" s="93" t="inlineStr">
        <is>
          <t>KEDI Gold Income Premium Index (Net Total Return)</t>
        </is>
      </c>
      <c r="P38" s="93" t="inlineStr">
        <is>
          <t>커버드콜</t>
        </is>
      </c>
      <c r="Q38" s="93" t="inlineStr">
        <is>
          <t>원자재</t>
        </is>
      </c>
      <c r="R38" s="93" t="inlineStr">
        <is>
          <t>월배당</t>
        </is>
      </c>
      <c r="S38" s="94" t="n">
        <v>11</v>
      </c>
      <c r="T38">
        <f>IF(AND($J38&lt;&gt;"",OR(조회_주기="전체",$R38=조회_주기),$J38&gt;=조회_최소,$J38&lt;=조회_최대),1,0)</f>
        <v/>
      </c>
      <c r="U38">
        <f>IF($T38=1,$U37+1,$U37)</f>
        <v/>
      </c>
      <c r="V38">
        <f>IF(검색어="",1,IF(ISNUMBER(SEARCH(검색어,$A38)),1,0))</f>
        <v/>
      </c>
      <c r="W38">
        <f>IF($V38=1,$W37+1,$W37)</f>
        <v/>
      </c>
      <c r="X38">
        <f>IFERROR(INDEX($A$4:$A$517,MATCH(35,$W$4:$W$517,0)),"")</f>
        <v/>
      </c>
    </row>
    <row r="39">
      <c r="A39" s="93" t="inlineStr">
        <is>
          <t>TIGER 코리아배당다우존스</t>
        </is>
      </c>
      <c r="B39" s="93" t="inlineStr">
        <is>
          <t>0052D0</t>
        </is>
      </c>
      <c r="C39" s="93" t="inlineStr">
        <is>
          <t>미래에셋자산운용</t>
        </is>
      </c>
      <c r="D39" s="94" t="n">
        <v>15465</v>
      </c>
      <c r="E39" s="94" t="n">
        <v>337910250000</v>
      </c>
      <c r="F39" s="94" t="n">
        <v>2530586352</v>
      </c>
      <c r="G39" s="74" t="n">
        <v>0.0025</v>
      </c>
      <c r="H39" s="74" t="n">
        <v>0.3045</v>
      </c>
      <c r="I39" s="74" t="n">
        <v>0.0042</v>
      </c>
      <c r="J39" s="74" t="n">
        <v>0.043259</v>
      </c>
      <c r="K39" s="94" t="n">
        <v>15</v>
      </c>
      <c r="L39" s="93" t="inlineStr">
        <is>
          <t>20260914</t>
        </is>
      </c>
      <c r="M39" s="93" t="inlineStr">
        <is>
          <t>채택</t>
        </is>
      </c>
      <c r="N39" s="93" t="inlineStr"/>
      <c r="O39" s="93" t="inlineStr">
        <is>
          <t>Dow Jones Korea Dividend 30 Index (KRW)</t>
        </is>
      </c>
      <c r="P39" s="93" t="inlineStr">
        <is>
          <t>일반</t>
        </is>
      </c>
      <c r="Q39" s="93" t="inlineStr">
        <is>
          <t>주식</t>
        </is>
      </c>
      <c r="R39" s="93" t="inlineStr">
        <is>
          <t>월배당</t>
        </is>
      </c>
      <c r="S39" s="94" t="n">
        <v>12</v>
      </c>
      <c r="T39">
        <f>IF(AND($J39&lt;&gt;"",OR(조회_주기="전체",$R39=조회_주기),$J39&gt;=조회_최소,$J39&lt;=조회_최대),1,0)</f>
        <v/>
      </c>
      <c r="U39">
        <f>IF($T39=1,$U38+1,$U38)</f>
        <v/>
      </c>
      <c r="V39">
        <f>IF(검색어="",1,IF(ISNUMBER(SEARCH(검색어,$A39)),1,0))</f>
        <v/>
      </c>
      <c r="W39">
        <f>IF($V39=1,$W38+1,$W38)</f>
        <v/>
      </c>
      <c r="X39">
        <f>IFERROR(INDEX($A$4:$A$517,MATCH(36,$W$4:$W$517,0)),"")</f>
        <v/>
      </c>
    </row>
    <row r="40">
      <c r="A40" s="93" t="inlineStr">
        <is>
          <t>KODEX 미국10년국채액티브(H)</t>
        </is>
      </c>
      <c r="B40" s="93" t="inlineStr">
        <is>
          <t>0091C0</t>
        </is>
      </c>
      <c r="C40" s="93" t="inlineStr">
        <is>
          <t>삼성자산운용(ETF)</t>
        </is>
      </c>
      <c r="D40" s="94" t="n">
        <v>9380</v>
      </c>
      <c r="E40" s="94" t="n">
        <v>186755800000</v>
      </c>
      <c r="F40" s="94" t="n">
        <v>891780102</v>
      </c>
      <c r="G40" s="74" t="n">
        <v>0.0015</v>
      </c>
      <c r="H40" s="74" t="n">
        <v>0.0447</v>
      </c>
      <c r="I40" s="74" t="n">
        <v>0.0036</v>
      </c>
      <c r="J40" s="74" t="n">
        <v>0.042644</v>
      </c>
      <c r="K40" s="94" t="n">
        <v>12</v>
      </c>
      <c r="L40" s="93" t="inlineStr">
        <is>
          <t>20260914</t>
        </is>
      </c>
      <c r="M40" s="93" t="inlineStr">
        <is>
          <t>채택</t>
        </is>
      </c>
      <c r="N40" s="93" t="inlineStr"/>
      <c r="O40" s="93" t="inlineStr">
        <is>
          <t>KAP 미국 국채 10년 지수(총수익)</t>
        </is>
      </c>
      <c r="P40" s="93" t="inlineStr">
        <is>
          <t>일반</t>
        </is>
      </c>
      <c r="Q40" s="93" t="inlineStr">
        <is>
          <t>채권</t>
        </is>
      </c>
      <c r="R40" s="93" t="inlineStr">
        <is>
          <t>월배당</t>
        </is>
      </c>
      <c r="S40" s="94" t="n">
        <v>12</v>
      </c>
      <c r="T40">
        <f>IF(AND($J40&lt;&gt;"",OR(조회_주기="전체",$R40=조회_주기),$J40&gt;=조회_최소,$J40&lt;=조회_최대),1,0)</f>
        <v/>
      </c>
      <c r="U40">
        <f>IF($T40=1,$U39+1,$U39)</f>
        <v/>
      </c>
      <c r="V40">
        <f>IF(검색어="",1,IF(ISNUMBER(SEARCH(검색어,$A40)),1,0))</f>
        <v/>
      </c>
      <c r="W40">
        <f>IF($V40=1,$W39+1,$W39)</f>
        <v/>
      </c>
      <c r="X40">
        <f>IFERROR(INDEX($A$4:$A$517,MATCH(37,$W$4:$W$517,0)),"")</f>
        <v/>
      </c>
    </row>
    <row r="41">
      <c r="A41" s="93" t="inlineStr">
        <is>
          <t>ACE 미국30년국채액티브(H)</t>
        </is>
      </c>
      <c r="B41" s="93" t="inlineStr">
        <is>
          <t>453850</t>
        </is>
      </c>
      <c r="C41" s="93" t="inlineStr">
        <is>
          <t>한국투자신탁운용</t>
        </is>
      </c>
      <c r="D41" s="94" t="n">
        <v>7090</v>
      </c>
      <c r="E41" s="94" t="n">
        <v>1469757000000</v>
      </c>
      <c r="F41" s="94" t="n">
        <v>6999573928</v>
      </c>
      <c r="G41" s="74" t="n">
        <v>0.0005</v>
      </c>
      <c r="H41" s="74" t="n">
        <v>0.08800000000000001</v>
      </c>
      <c r="I41" s="74" t="n">
        <v>0.0036</v>
      </c>
      <c r="J41" s="74" t="n">
        <v>0.04189</v>
      </c>
      <c r="K41" s="94" t="n">
        <v>41</v>
      </c>
      <c r="L41" s="93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Bloomberg US Treasury 20+ Year Total Return Index</t>
        </is>
      </c>
      <c r="P41" s="93" t="inlineStr">
        <is>
          <t>일반</t>
        </is>
      </c>
      <c r="Q41" s="93" t="inlineStr">
        <is>
          <t>채권</t>
        </is>
      </c>
      <c r="R41" s="93" t="inlineStr">
        <is>
          <t>월배당</t>
        </is>
      </c>
      <c r="S41" s="94" t="n">
        <v>11</v>
      </c>
      <c r="T41">
        <f>IF(AND($J41&lt;&gt;"",OR(조회_주기="전체",$R41=조회_주기),$J41&gt;=조회_최소,$J41&lt;=조회_최대),1,0)</f>
        <v/>
      </c>
      <c r="U41">
        <f>IF($T41=1,$U40+1,$U40)</f>
        <v/>
      </c>
      <c r="V41">
        <f>IF(검색어="",1,IF(ISNUMBER(SEARCH(검색어,$A41)),1,0))</f>
        <v/>
      </c>
      <c r="W41">
        <f>IF($V41=1,$W40+1,$W40)</f>
        <v/>
      </c>
      <c r="X41">
        <f>IFERROR(INDEX($A$4:$A$517,MATCH(38,$W$4:$W$517,0)),"")</f>
        <v/>
      </c>
    </row>
    <row r="42">
      <c r="A42" s="93" t="inlineStr">
        <is>
          <t>KODEX 고배당주</t>
        </is>
      </c>
      <c r="B42" s="93" t="inlineStr">
        <is>
          <t>279530</t>
        </is>
      </c>
      <c r="C42" s="93" t="inlineStr">
        <is>
          <t>삼성자산운용(ETF)</t>
        </is>
      </c>
      <c r="D42" s="94" t="n">
        <v>17570</v>
      </c>
      <c r="E42" s="94" t="n">
        <v>347886000000</v>
      </c>
      <c r="F42" s="94" t="n">
        <v>5308494519</v>
      </c>
      <c r="G42" s="74" t="n">
        <v>0.003</v>
      </c>
      <c r="H42" s="74" t="n">
        <v>0.2972</v>
      </c>
      <c r="I42" s="74" t="n">
        <v>0.0043</v>
      </c>
      <c r="J42" s="74" t="n">
        <v>0.041605</v>
      </c>
      <c r="K42" s="94" t="n">
        <v>36</v>
      </c>
      <c r="L42" s="93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FnGuide 고배당 Plus 지수</t>
        </is>
      </c>
      <c r="P42" s="93" t="inlineStr">
        <is>
          <t>일반</t>
        </is>
      </c>
      <c r="Q42" s="93" t="inlineStr">
        <is>
          <t>주식</t>
        </is>
      </c>
      <c r="R42" s="93" t="inlineStr">
        <is>
          <t>월배당</t>
        </is>
      </c>
      <c r="S42" s="94" t="n">
        <v>11</v>
      </c>
      <c r="T42">
        <f>IF(AND($J42&lt;&gt;"",OR(조회_주기="전체",$R42=조회_주기),$J42&gt;=조회_최소,$J42&lt;=조회_최대),1,0)</f>
        <v/>
      </c>
      <c r="U42">
        <f>IF($T42=1,$U41+1,$U41)</f>
        <v/>
      </c>
      <c r="V42">
        <f>IF(검색어="",1,IF(ISNUMBER(SEARCH(검색어,$A42)),1,0))</f>
        <v/>
      </c>
      <c r="W42">
        <f>IF($V42=1,$W41+1,$W41)</f>
        <v/>
      </c>
      <c r="X42">
        <f>IFERROR(INDEX($A$4:$A$517,MATCH(39,$W$4:$W$517,0)),"")</f>
        <v/>
      </c>
    </row>
    <row r="43">
      <c r="A43" s="93" t="inlineStr">
        <is>
          <t>KODEX 미국달러SOFR금리액티브(합성)</t>
        </is>
      </c>
      <c r="B43" s="93" t="inlineStr">
        <is>
          <t>455030</t>
        </is>
      </c>
      <c r="C43" s="93" t="inlineStr">
        <is>
          <t>삼성자산운용(ETF)</t>
        </is>
      </c>
      <c r="D43" s="94" t="n">
        <v>11885</v>
      </c>
      <c r="E43" s="94" t="n">
        <v>539579000000</v>
      </c>
      <c r="F43" s="94" t="n">
        <v>1644660609</v>
      </c>
      <c r="G43" s="74" t="n">
        <v>0.0015</v>
      </c>
      <c r="H43" s="74" t="n">
        <v>0.1066</v>
      </c>
      <c r="I43" s="74" t="n">
        <v>0.0036</v>
      </c>
      <c r="J43" s="74" t="n">
        <v>0.041565</v>
      </c>
      <c r="K43" s="94" t="n">
        <v>14</v>
      </c>
      <c r="L43" s="93" t="inlineStr">
        <is>
          <t>20260828</t>
        </is>
      </c>
      <c r="M43" s="93" t="inlineStr">
        <is>
          <t>채택</t>
        </is>
      </c>
      <c r="N43" s="93" t="inlineStr"/>
      <c r="O43" s="93" t="inlineStr">
        <is>
          <t>Bloomberg SOFR Index</t>
        </is>
      </c>
      <c r="P43" s="93" t="inlineStr">
        <is>
          <t>일반</t>
        </is>
      </c>
      <c r="Q43" s="93" t="inlineStr">
        <is>
          <t>단기자금(파킹형)</t>
        </is>
      </c>
      <c r="R43" s="93" t="inlineStr">
        <is>
          <t>월배당</t>
        </is>
      </c>
      <c r="S43" s="94" t="n">
        <v>11</v>
      </c>
      <c r="T43">
        <f>IF(AND($J43&lt;&gt;"",OR(조회_주기="전체",$R43=조회_주기),$J43&gt;=조회_최소,$J43&lt;=조회_최대),1,0)</f>
        <v/>
      </c>
      <c r="U43">
        <f>IF($T43=1,$U42+1,$U42)</f>
        <v/>
      </c>
      <c r="V43">
        <f>IF(검색어="",1,IF(ISNUMBER(SEARCH(검색어,$A43)),1,0))</f>
        <v/>
      </c>
      <c r="W43">
        <f>IF($V43=1,$W42+1,$W42)</f>
        <v/>
      </c>
      <c r="X43">
        <f>IFERROR(INDEX($A$4:$A$517,MATCH(40,$W$4:$W$517,0)),"")</f>
        <v/>
      </c>
    </row>
    <row r="44">
      <c r="A44" s="93" t="inlineStr">
        <is>
          <t>PLUS 고배당주</t>
        </is>
      </c>
      <c r="B44" s="93" t="inlineStr">
        <is>
          <t>161510</t>
        </is>
      </c>
      <c r="C44" s="93" t="inlineStr">
        <is>
          <t>한화자산운용</t>
        </is>
      </c>
      <c r="D44" s="94" t="n">
        <v>25130</v>
      </c>
      <c r="E44" s="94" t="n">
        <v>2398909800000</v>
      </c>
      <c r="F44" s="94" t="n">
        <v>22405466610</v>
      </c>
      <c r="G44" s="74" t="n">
        <v>0.0023</v>
      </c>
      <c r="H44" s="74" t="n">
        <v>0.3054</v>
      </c>
      <c r="I44" s="74" t="n">
        <v>0.004099999999999999</v>
      </c>
      <c r="J44" s="74" t="n">
        <v>0.041146</v>
      </c>
      <c r="K44" s="94" t="n">
        <v>31</v>
      </c>
      <c r="L44" s="93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FnGuide 고배당주</t>
        </is>
      </c>
      <c r="P44" s="93" t="inlineStr">
        <is>
          <t>일반</t>
        </is>
      </c>
      <c r="Q44" s="93" t="inlineStr">
        <is>
          <t>주식</t>
        </is>
      </c>
      <c r="R44" s="93" t="inlineStr">
        <is>
          <t>월배당</t>
        </is>
      </c>
      <c r="S44" s="94" t="n">
        <v>11</v>
      </c>
      <c r="T44">
        <f>IF(AND($J44&lt;&gt;"",OR(조회_주기="전체",$R44=조회_주기),$J44&gt;=조회_최소,$J44&lt;=조회_최대),1,0)</f>
        <v/>
      </c>
      <c r="U44">
        <f>IF($T44=1,$U43+1,$U43)</f>
        <v/>
      </c>
      <c r="V44">
        <f>IF(검색어="",1,IF(ISNUMBER(SEARCH(검색어,$A44)),1,0))</f>
        <v/>
      </c>
      <c r="W44">
        <f>IF($V44=1,$W43+1,$W43)</f>
        <v/>
      </c>
      <c r="X44">
        <f>IFERROR(INDEX($A$4:$A$517,MATCH(41,$W$4:$W$517,0)),"")</f>
        <v/>
      </c>
    </row>
    <row r="45">
      <c r="A45" s="93" t="inlineStr">
        <is>
          <t>KODEX 금융고배당TOP10</t>
        </is>
      </c>
      <c r="B45" s="93" t="inlineStr">
        <is>
          <t>0089D0</t>
        </is>
      </c>
      <c r="C45" s="93" t="inlineStr">
        <is>
          <t>삼성자산운용(ETF)</t>
        </is>
      </c>
      <c r="D45" s="94" t="n">
        <v>13680</v>
      </c>
      <c r="E45" s="94" t="n">
        <v>231192000000</v>
      </c>
      <c r="F45" s="94" t="n">
        <v>3467815529</v>
      </c>
      <c r="G45" s="74" t="n">
        <v>0.003</v>
      </c>
      <c r="H45" s="74" t="n">
        <v>0.3488</v>
      </c>
      <c r="I45" s="74" t="n">
        <v>0.0044</v>
      </c>
      <c r="J45" s="74" t="n">
        <v>0.040716</v>
      </c>
      <c r="K45" s="94" t="n">
        <v>11</v>
      </c>
      <c r="L45" s="93" t="inlineStr">
        <is>
          <t>20260914</t>
        </is>
      </c>
      <c r="M45" s="93" t="inlineStr">
        <is>
          <t>채택</t>
        </is>
      </c>
      <c r="N45" s="93" t="inlineStr"/>
      <c r="O45" s="93" t="inlineStr">
        <is>
          <t>코스피 200 금융 고배당 TOP 10 지수</t>
        </is>
      </c>
      <c r="P45" s="93" t="inlineStr">
        <is>
          <t>일반</t>
        </is>
      </c>
      <c r="Q45" s="93" t="inlineStr">
        <is>
          <t>주식</t>
        </is>
      </c>
      <c r="R45" s="93" t="inlineStr">
        <is>
          <t>월배당</t>
        </is>
      </c>
      <c r="S45" s="94" t="n">
        <v>11</v>
      </c>
      <c r="T45">
        <f>IF(AND($J45&lt;&gt;"",OR(조회_주기="전체",$R45=조회_주기),$J45&gt;=조회_최소,$J45&lt;=조회_최대),1,0)</f>
        <v/>
      </c>
      <c r="U45">
        <f>IF($T45=1,$U44+1,$U44)</f>
        <v/>
      </c>
      <c r="V45">
        <f>IF(검색어="",1,IF(ISNUMBER(SEARCH(검색어,$A45)),1,0))</f>
        <v/>
      </c>
      <c r="W45">
        <f>IF($V45=1,$W44+1,$W44)</f>
        <v/>
      </c>
      <c r="X45">
        <f>IFERROR(INDEX($A$4:$A$517,MATCH(42,$W$4:$W$517,0)),"")</f>
        <v/>
      </c>
    </row>
    <row r="46">
      <c r="A46" s="93" t="inlineStr">
        <is>
          <t>ACE 미국10년국채액티브</t>
        </is>
      </c>
      <c r="B46" s="93" t="inlineStr">
        <is>
          <t>0085P0</t>
        </is>
      </c>
      <c r="C46" s="93" t="inlineStr">
        <is>
          <t>한국투신운용(ETF)</t>
        </is>
      </c>
      <c r="D46" s="94" t="n">
        <v>9685</v>
      </c>
      <c r="E46" s="94" t="n">
        <v>111377500000</v>
      </c>
      <c r="F46" s="94" t="n">
        <v>1769425654</v>
      </c>
      <c r="G46" s="74" t="n">
        <v>0.0015</v>
      </c>
      <c r="H46" s="74" t="n">
        <v>0.1079</v>
      </c>
      <c r="I46" s="74" t="n">
        <v>0.0031</v>
      </c>
      <c r="J46" s="74" t="n">
        <v>0.038823</v>
      </c>
      <c r="K46" s="94" t="n">
        <v>13</v>
      </c>
      <c r="L46" s="93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ICE U.S.Treasury 7-10 Year Bond Index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월배당</t>
        </is>
      </c>
      <c r="S46" s="94" t="n">
        <v>11</v>
      </c>
      <c r="T46">
        <f>IF(AND($J46&lt;&gt;"",OR(조회_주기="전체",$R46=조회_주기),$J46&gt;=조회_최소,$J46&lt;=조회_최대),1,0)</f>
        <v/>
      </c>
      <c r="U46">
        <f>IF($T46=1,$U45+1,$U45)</f>
        <v/>
      </c>
      <c r="V46">
        <f>IF(검색어="",1,IF(ISNUMBER(SEARCH(검색어,$A46)),1,0))</f>
        <v/>
      </c>
      <c r="W46">
        <f>IF($V46=1,$W45+1,$W45)</f>
        <v/>
      </c>
      <c r="X46">
        <f>IFERROR(INDEX($A$4:$A$517,MATCH(43,$W$4:$W$517,0)),"")</f>
        <v/>
      </c>
    </row>
    <row r="47">
      <c r="A47" s="93" t="inlineStr">
        <is>
          <t>PLUS 고배당주채권혼합</t>
        </is>
      </c>
      <c r="B47" s="93" t="inlineStr">
        <is>
          <t>251600</t>
        </is>
      </c>
      <c r="C47" s="93" t="inlineStr">
        <is>
          <t>한화자산운용</t>
        </is>
      </c>
      <c r="D47" s="94" t="n">
        <v>15355</v>
      </c>
      <c r="E47" s="94" t="n">
        <v>594238500000</v>
      </c>
      <c r="F47" s="94" t="n">
        <v>3714102285</v>
      </c>
      <c r="G47" s="74" t="n">
        <v>0.002</v>
      </c>
      <c r="H47" s="74" t="n">
        <v>0.1538</v>
      </c>
      <c r="I47" s="74" t="n">
        <v>0.0032</v>
      </c>
      <c r="J47" s="74" t="n">
        <v>0.036991</v>
      </c>
      <c r="K47" s="94" t="n">
        <v>33</v>
      </c>
      <c r="L47" s="93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FnGuide 고배당 채권혼합 지수</t>
        </is>
      </c>
      <c r="P47" s="93" t="inlineStr">
        <is>
          <t>일반</t>
        </is>
      </c>
      <c r="Q47" s="93" t="inlineStr">
        <is>
          <t>멀티에셋</t>
        </is>
      </c>
      <c r="R47" s="93" t="inlineStr">
        <is>
          <t>월배당</t>
        </is>
      </c>
      <c r="S47" s="94" t="n">
        <v>11</v>
      </c>
      <c r="T47">
        <f>IF(AND($J47&lt;&gt;"",OR(조회_주기="전체",$R47=조회_주기),$J47&gt;=조회_최소,$J47&lt;=조회_최대),1,0)</f>
        <v/>
      </c>
      <c r="U47">
        <f>IF($T47=1,$U46+1,$U46)</f>
        <v/>
      </c>
      <c r="V47">
        <f>IF(검색어="",1,IF(ISNUMBER(SEARCH(검색어,$A47)),1,0))</f>
        <v/>
      </c>
      <c r="W47">
        <f>IF($V47=1,$W46+1,$W46)</f>
        <v/>
      </c>
      <c r="X47">
        <f>IFERROR(INDEX($A$4:$A$517,MATCH(44,$W$4:$W$517,0)),"")</f>
        <v/>
      </c>
    </row>
    <row r="48">
      <c r="A48" s="93" t="inlineStr">
        <is>
          <t>TIGER 은행고배당플러스TOP10</t>
        </is>
      </c>
      <c r="B48" s="93" t="inlineStr">
        <is>
          <t>466940</t>
        </is>
      </c>
      <c r="C48" s="93" t="inlineStr">
        <is>
          <t>미래에셋자산운용</t>
        </is>
      </c>
      <c r="D48" s="94" t="n">
        <v>27430</v>
      </c>
      <c r="E48" s="94" t="n">
        <v>857187500000</v>
      </c>
      <c r="F48" s="94" t="n">
        <v>22395319477</v>
      </c>
      <c r="G48" s="74" t="n">
        <v>0.003</v>
      </c>
      <c r="H48" s="74" t="n">
        <v>0.3354</v>
      </c>
      <c r="I48" s="74" t="n">
        <v>0.0038</v>
      </c>
      <c r="J48" s="74" t="n">
        <v>0.036311</v>
      </c>
      <c r="K48" s="94" t="n">
        <v>32</v>
      </c>
      <c r="L48" s="93" t="inlineStr">
        <is>
          <t>20260828</t>
        </is>
      </c>
      <c r="M48" s="93" t="inlineStr">
        <is>
          <t>채택</t>
        </is>
      </c>
      <c r="N48" s="93" t="inlineStr"/>
      <c r="O48" s="93" t="inlineStr">
        <is>
          <t>FnGuide 은행 고배당 플러스 TOP 10 지수</t>
        </is>
      </c>
      <c r="P48" s="93" t="inlineStr">
        <is>
          <t>일반</t>
        </is>
      </c>
      <c r="Q48" s="93" t="inlineStr">
        <is>
          <t>주식</t>
        </is>
      </c>
      <c r="R48" s="93" t="inlineStr">
        <is>
          <t>월배당</t>
        </is>
      </c>
      <c r="S48" s="94" t="n">
        <v>11</v>
      </c>
      <c r="T48">
        <f>IF(AND($J48&lt;&gt;"",OR(조회_주기="전체",$R48=조회_주기),$J48&gt;=조회_최소,$J48&lt;=조회_최대),1,0)</f>
        <v/>
      </c>
      <c r="U48">
        <f>IF($T48=1,$U47+1,$U47)</f>
        <v/>
      </c>
      <c r="V48">
        <f>IF(검색어="",1,IF(ISNUMBER(SEARCH(검색어,$A48)),1,0))</f>
        <v/>
      </c>
      <c r="W48">
        <f>IF($V48=1,$W47+1,$W47)</f>
        <v/>
      </c>
      <c r="X48">
        <f>IFERROR(INDEX($A$4:$A$517,MATCH(45,$W$4:$W$517,0)),"")</f>
        <v/>
      </c>
    </row>
    <row r="49">
      <c r="A49" s="93" t="inlineStr">
        <is>
          <t>KIWOOM 국고채10년</t>
        </is>
      </c>
      <c r="B49" s="93" t="inlineStr">
        <is>
          <t>148070</t>
        </is>
      </c>
      <c r="C49" s="93" t="inlineStr">
        <is>
          <t>키움투자자산운용</t>
        </is>
      </c>
      <c r="D49" s="94" t="n">
        <v>103255</v>
      </c>
      <c r="E49" s="94" t="n">
        <v>412710235000</v>
      </c>
      <c r="F49" s="94" t="n">
        <v>1926319810</v>
      </c>
      <c r="G49" s="74" t="n">
        <v>0.0005</v>
      </c>
      <c r="H49" s="74" t="n">
        <v>0.07200000000000001</v>
      </c>
      <c r="I49" s="74" t="n">
        <v>0.0332</v>
      </c>
      <c r="J49" s="74" t="n">
        <v>0.03624</v>
      </c>
      <c r="K49" s="94" t="n">
        <v>4</v>
      </c>
      <c r="L49" s="93" t="inlineStr">
        <is>
          <t>20251229</t>
        </is>
      </c>
      <c r="M49" s="93" t="inlineStr">
        <is>
          <t>채택</t>
        </is>
      </c>
      <c r="N49" s="93" t="inlineStr"/>
      <c r="O49" s="93" t="inlineStr">
        <is>
          <t>KIS 10Y KTB</t>
        </is>
      </c>
      <c r="P49" s="93" t="inlineStr">
        <is>
          <t>일반</t>
        </is>
      </c>
      <c r="Q49" s="93" t="inlineStr">
        <is>
          <t>채권</t>
        </is>
      </c>
      <c r="R49" s="93" t="inlineStr">
        <is>
          <t>연배당</t>
        </is>
      </c>
      <c r="S49" s="94" t="n">
        <v>1</v>
      </c>
      <c r="T49">
        <f>IF(AND($J49&lt;&gt;"",OR(조회_주기="전체",$R49=조회_주기),$J49&gt;=조회_최소,$J49&lt;=조회_최대),1,0)</f>
        <v/>
      </c>
      <c r="U49">
        <f>IF($T49=1,$U48+1,$U48)</f>
        <v/>
      </c>
      <c r="V49">
        <f>IF(검색어="",1,IF(ISNUMBER(SEARCH(검색어,$A49)),1,0))</f>
        <v/>
      </c>
      <c r="W49">
        <f>IF($V49=1,$W48+1,$W48)</f>
        <v/>
      </c>
      <c r="X49">
        <f>IFERROR(INDEX($A$4:$A$517,MATCH(46,$W$4:$W$517,0)),"")</f>
        <v/>
      </c>
    </row>
    <row r="50">
      <c r="A50" s="93" t="inlineStr">
        <is>
          <t>KODEX 은행</t>
        </is>
      </c>
      <c r="B50" s="93" t="inlineStr">
        <is>
          <t>091170</t>
        </is>
      </c>
      <c r="C50" s="93" t="inlineStr">
        <is>
          <t>삼성자산운용(ETF)</t>
        </is>
      </c>
      <c r="D50" s="94" t="n">
        <v>16845</v>
      </c>
      <c r="E50" s="94" t="n">
        <v>297314250000</v>
      </c>
      <c r="F50" s="94" t="n">
        <v>25961059464</v>
      </c>
      <c r="G50" s="74" t="n">
        <v>0.003</v>
      </c>
      <c r="H50" s="74" t="n">
        <v>0.344</v>
      </c>
      <c r="I50" s="74" t="n">
        <v>0.0037</v>
      </c>
      <c r="J50" s="74" t="n">
        <v>0.036153</v>
      </c>
      <c r="K50" s="94" t="n">
        <v>29</v>
      </c>
      <c r="L50" s="93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KRX 은행</t>
        </is>
      </c>
      <c r="P50" s="93" t="inlineStr">
        <is>
          <t>일반</t>
        </is>
      </c>
      <c r="Q50" s="93" t="inlineStr">
        <is>
          <t>주식</t>
        </is>
      </c>
      <c r="R50" s="93" t="inlineStr">
        <is>
          <t>월배당</t>
        </is>
      </c>
      <c r="S50" s="94" t="n">
        <v>11</v>
      </c>
      <c r="T50">
        <f>IF(AND($J50&lt;&gt;"",OR(조회_주기="전체",$R50=조회_주기),$J50&gt;=조회_최소,$J50&lt;=조회_최대),1,0)</f>
        <v/>
      </c>
      <c r="U50">
        <f>IF($T50=1,$U49+1,$U49)</f>
        <v/>
      </c>
      <c r="V50">
        <f>IF(검색어="",1,IF(ISNUMBER(SEARCH(검색어,$A50)),1,0))</f>
        <v/>
      </c>
      <c r="W50">
        <f>IF($V50=1,$W49+1,$W49)</f>
        <v/>
      </c>
      <c r="X50">
        <f>IFERROR(INDEX($A$4:$A$517,MATCH(47,$W$4:$W$517,0)),"")</f>
        <v/>
      </c>
    </row>
    <row r="51">
      <c r="A51" s="93" t="inlineStr">
        <is>
          <t>TIGER 미국초단기(3개월이하)국채</t>
        </is>
      </c>
      <c r="B51" s="93" t="inlineStr">
        <is>
          <t>0046A0</t>
        </is>
      </c>
      <c r="C51" s="93" t="inlineStr">
        <is>
          <t>미래에셋자산운용</t>
        </is>
      </c>
      <c r="D51" s="94" t="n">
        <v>9575</v>
      </c>
      <c r="E51" s="94" t="n">
        <v>373520750000</v>
      </c>
      <c r="F51" s="94" t="n">
        <v>8257314499</v>
      </c>
      <c r="G51" s="74" t="n">
        <v>0.0009</v>
      </c>
      <c r="H51" s="74" t="n">
        <v>0.1054</v>
      </c>
      <c r="I51" s="74" t="n">
        <v>0.0027</v>
      </c>
      <c r="J51" s="74" t="n">
        <v>0.035927</v>
      </c>
      <c r="K51" s="94" t="n">
        <v>16</v>
      </c>
      <c r="L51" s="93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ICE 0-3 Month US Treasury Securities Index</t>
        </is>
      </c>
      <c r="P51" s="93" t="inlineStr">
        <is>
          <t>일반</t>
        </is>
      </c>
      <c r="Q51" s="93" t="inlineStr">
        <is>
          <t>단기자금(파킹형)</t>
        </is>
      </c>
      <c r="R51" s="93" t="inlineStr">
        <is>
          <t>월배당</t>
        </is>
      </c>
      <c r="S51" s="94" t="n">
        <v>11</v>
      </c>
      <c r="T51">
        <f>IF(AND($J51&lt;&gt;"",OR(조회_주기="전체",$R51=조회_주기),$J51&gt;=조회_최소,$J51&lt;=조회_최대),1,0)</f>
        <v/>
      </c>
      <c r="U51">
        <f>IF($T51=1,$U50+1,$U50)</f>
        <v/>
      </c>
      <c r="V51">
        <f>IF(검색어="",1,IF(ISNUMBER(SEARCH(검색어,$A51)),1,0))</f>
        <v/>
      </c>
      <c r="W51">
        <f>IF($V51=1,$W50+1,$W50)</f>
        <v/>
      </c>
      <c r="X51">
        <f>IFERROR(INDEX($A$4:$A$517,MATCH(48,$W$4:$W$517,0)),"")</f>
        <v/>
      </c>
    </row>
    <row r="52">
      <c r="A52" s="93" t="inlineStr">
        <is>
          <t>ACE 미국30년국채엔화노출액티브(H)</t>
        </is>
      </c>
      <c r="B52" s="93" t="inlineStr">
        <is>
          <t>476750</t>
        </is>
      </c>
      <c r="C52" s="93" t="inlineStr">
        <is>
          <t>한국투자신탁운용</t>
        </is>
      </c>
      <c r="D52" s="94" t="n">
        <v>7495</v>
      </c>
      <c r="E52" s="94" t="n">
        <v>60709500000</v>
      </c>
      <c r="F52" s="94" t="n">
        <v>638068673</v>
      </c>
      <c r="G52" s="74" t="n">
        <v>0.0015</v>
      </c>
      <c r="H52" s="74" t="n">
        <v>0.1289</v>
      </c>
      <c r="I52" s="74" t="n">
        <v>0.0029</v>
      </c>
      <c r="J52" s="74" t="n">
        <v>0.03429</v>
      </c>
      <c r="K52" s="94" t="n">
        <v>29</v>
      </c>
      <c r="L52" s="93" t="inlineStr">
        <is>
          <t>20260828</t>
        </is>
      </c>
      <c r="M52" s="93" t="inlineStr">
        <is>
          <t>채택</t>
        </is>
      </c>
      <c r="N52" s="93" t="inlineStr"/>
      <c r="O52" s="93" t="inlineStr">
        <is>
          <t>Bloomberg U.S. Treasury 20+ Year Index T1530 JPY Currency He</t>
        </is>
      </c>
      <c r="P52" s="93" t="inlineStr">
        <is>
          <t>일반</t>
        </is>
      </c>
      <c r="Q52" s="93" t="inlineStr">
        <is>
          <t>채권</t>
        </is>
      </c>
      <c r="R52" s="93" t="inlineStr">
        <is>
          <t>월배당</t>
        </is>
      </c>
      <c r="S52" s="94" t="n">
        <v>11</v>
      </c>
      <c r="T52">
        <f>IF(AND($J52&lt;&gt;"",OR(조회_주기="전체",$R52=조회_주기),$J52&gt;=조회_최소,$J52&lt;=조회_최대),1,0)</f>
        <v/>
      </c>
      <c r="U52">
        <f>IF($T52=1,$U51+1,$U51)</f>
        <v/>
      </c>
      <c r="V52">
        <f>IF(검색어="",1,IF(ISNUMBER(SEARCH(검색어,$A52)),1,0))</f>
        <v/>
      </c>
      <c r="W52">
        <f>IF($V52=1,$W51+1,$W51)</f>
        <v/>
      </c>
      <c r="X52">
        <f>IFERROR(INDEX($A$4:$A$517,MATCH(49,$W$4:$W$517,0)),"")</f>
        <v/>
      </c>
    </row>
    <row r="53">
      <c r="A53" s="93" t="inlineStr">
        <is>
          <t>RISE 미국30년국채엔화노출(합성 H)</t>
        </is>
      </c>
      <c r="B53" s="93" t="inlineStr">
        <is>
          <t>472870</t>
        </is>
      </c>
      <c r="C53" s="93" t="inlineStr">
        <is>
          <t>KB자산운용</t>
        </is>
      </c>
      <c r="D53" s="94" t="n">
        <v>6945</v>
      </c>
      <c r="E53" s="94" t="n">
        <v>168416250000</v>
      </c>
      <c r="F53" s="94" t="n">
        <v>1618063790</v>
      </c>
      <c r="G53" s="74" t="n">
        <v>0.0015</v>
      </c>
      <c r="H53" s="74" t="n">
        <v>0.1372</v>
      </c>
      <c r="I53" s="74" t="n">
        <v>0.0024</v>
      </c>
      <c r="J53" s="74" t="n">
        <v>0.034269</v>
      </c>
      <c r="K53" s="94" t="n">
        <v>29</v>
      </c>
      <c r="L53" s="93" t="inlineStr">
        <is>
          <t>20260828</t>
        </is>
      </c>
      <c r="M53" s="93" t="inlineStr">
        <is>
          <t>채택</t>
        </is>
      </c>
      <c r="N53" s="93" t="inlineStr"/>
      <c r="O53" s="93" t="inlineStr">
        <is>
          <t>KIS 미국채 30년 엔화노출 지수(USD/JPY 헤지)</t>
        </is>
      </c>
      <c r="P53" s="93" t="inlineStr">
        <is>
          <t>일반</t>
        </is>
      </c>
      <c r="Q53" s="93" t="inlineStr">
        <is>
          <t>채권</t>
        </is>
      </c>
      <c r="R53" s="93" t="inlineStr">
        <is>
          <t>월배당</t>
        </is>
      </c>
      <c r="S53" s="94" t="n">
        <v>11</v>
      </c>
      <c r="T53">
        <f>IF(AND($J53&lt;&gt;"",OR(조회_주기="전체",$R53=조회_주기),$J53&gt;=조회_최소,$J53&lt;=조회_최대),1,0)</f>
        <v/>
      </c>
      <c r="U53">
        <f>IF($T53=1,$U52+1,$U52)</f>
        <v/>
      </c>
      <c r="V53">
        <f>IF(검색어="",1,IF(ISNUMBER(SEARCH(검색어,$A53)),1,0))</f>
        <v/>
      </c>
      <c r="W53">
        <f>IF($V53=1,$W52+1,$W52)</f>
        <v/>
      </c>
      <c r="X53">
        <f>IFERROR(INDEX($A$4:$A$517,MATCH(50,$W$4:$W$517,0)),"")</f>
        <v/>
      </c>
    </row>
    <row r="54">
      <c r="A54" s="93" t="inlineStr">
        <is>
          <t>ACE 국고채10년</t>
        </is>
      </c>
      <c r="B54" s="93" t="inlineStr">
        <is>
          <t>365780</t>
        </is>
      </c>
      <c r="C54" s="93" t="inlineStr">
        <is>
          <t>한국투신운용(ETF)</t>
        </is>
      </c>
      <c r="D54" s="94" t="n">
        <v>81635</v>
      </c>
      <c r="E54" s="94" t="n">
        <v>513973960000</v>
      </c>
      <c r="F54" s="94" t="n">
        <v>1036112260</v>
      </c>
      <c r="G54" s="74" t="n">
        <v>0.0002</v>
      </c>
      <c r="H54" s="74" t="n">
        <v>0.0701</v>
      </c>
      <c r="I54" s="74" t="n">
        <v>0.0301</v>
      </c>
      <c r="J54" s="74" t="n">
        <v>0.032707</v>
      </c>
      <c r="K54" s="94" t="n">
        <v>5</v>
      </c>
      <c r="L54" s="93" t="inlineStr">
        <is>
          <t>20251229</t>
        </is>
      </c>
      <c r="M54" s="93" t="inlineStr">
        <is>
          <t>채택</t>
        </is>
      </c>
      <c r="N54" s="93" t="inlineStr"/>
      <c r="O54" s="93" t="inlineStr">
        <is>
          <t>KIS 10Y KTB</t>
        </is>
      </c>
      <c r="P54" s="93" t="inlineStr">
        <is>
          <t>일반</t>
        </is>
      </c>
      <c r="Q54" s="93" t="inlineStr">
        <is>
          <t>채권</t>
        </is>
      </c>
      <c r="R54" s="93" t="inlineStr">
        <is>
          <t>연배당</t>
        </is>
      </c>
      <c r="S54" s="94" t="n">
        <v>1</v>
      </c>
      <c r="T54">
        <f>IF(AND($J54&lt;&gt;"",OR(조회_주기="전체",$R54=조회_주기),$J54&gt;=조회_최소,$J54&lt;=조회_최대),1,0)</f>
        <v/>
      </c>
      <c r="U54">
        <f>IF($T54=1,$U53+1,$U53)</f>
        <v/>
      </c>
      <c r="V54">
        <f>IF(검색어="",1,IF(ISNUMBER(SEARCH(검색어,$A54)),1,0))</f>
        <v/>
      </c>
      <c r="W54">
        <f>IF($V54=1,$W53+1,$W53)</f>
        <v/>
      </c>
      <c r="X54">
        <f>IFERROR(INDEX($A$4:$A$517,MATCH(51,$W$4:$W$517,0)),"")</f>
        <v/>
      </c>
    </row>
    <row r="55">
      <c r="A55" s="93" t="inlineStr">
        <is>
          <t>ACE 미국달러단기채권액티브</t>
        </is>
      </c>
      <c r="B55" s="93" t="inlineStr">
        <is>
          <t>440650</t>
        </is>
      </c>
      <c r="C55" s="93" t="inlineStr">
        <is>
          <t>한국투자신탁운용</t>
        </is>
      </c>
      <c r="D55" s="94" t="n">
        <v>11590</v>
      </c>
      <c r="E55" s="94" t="n">
        <v>44042000000</v>
      </c>
      <c r="F55" s="94" t="n">
        <v>856653226</v>
      </c>
      <c r="G55" s="74" t="n">
        <v>0.003</v>
      </c>
      <c r="H55" s="74" t="n">
        <v>0.109</v>
      </c>
      <c r="I55" s="74" t="n">
        <v>0.0303</v>
      </c>
      <c r="J55" s="74" t="n">
        <v>0.031924</v>
      </c>
      <c r="K55" s="94" t="n">
        <v>1</v>
      </c>
      <c r="L55" s="93" t="inlineStr">
        <is>
          <t>20251229</t>
        </is>
      </c>
      <c r="M55" s="93" t="inlineStr">
        <is>
          <t>채택</t>
        </is>
      </c>
      <c r="N55" s="93" t="inlineStr"/>
      <c r="O55" s="93" t="inlineStr">
        <is>
          <t>Bloomberg Short-term Treasury Total Return Index</t>
        </is>
      </c>
      <c r="P55" s="93" t="inlineStr">
        <is>
          <t>일반</t>
        </is>
      </c>
      <c r="Q55" s="93" t="inlineStr">
        <is>
          <t>채권</t>
        </is>
      </c>
      <c r="R55" s="93" t="inlineStr">
        <is>
          <t>연배당</t>
        </is>
      </c>
      <c r="S55" s="94" t="n">
        <v>1</v>
      </c>
      <c r="T55">
        <f>IF(AND($J55&lt;&gt;"",OR(조회_주기="전체",$R55=조회_주기),$J55&gt;=조회_최소,$J55&lt;=조회_최대),1,0)</f>
        <v/>
      </c>
      <c r="U55">
        <f>IF($T55=1,$U54+1,$U54)</f>
        <v/>
      </c>
      <c r="V55">
        <f>IF(검색어="",1,IF(ISNUMBER(SEARCH(검색어,$A55)),1,0))</f>
        <v/>
      </c>
      <c r="W55">
        <f>IF($V55=1,$W54+1,$W54)</f>
        <v/>
      </c>
      <c r="X55">
        <f>IFERROR(INDEX($A$4:$A$517,MATCH(52,$W$4:$W$517,0)),"")</f>
        <v/>
      </c>
    </row>
    <row r="56">
      <c r="A56" s="93" t="inlineStr">
        <is>
          <t>SOL CD금리&amp;머니마켓액티브</t>
        </is>
      </c>
      <c r="B56" s="93" t="inlineStr">
        <is>
          <t>497880</t>
        </is>
      </c>
      <c r="C56" s="93" t="inlineStr">
        <is>
          <t>신한자산운용</t>
        </is>
      </c>
      <c r="D56" s="94" t="n">
        <v>50110</v>
      </c>
      <c r="E56" s="94" t="n">
        <v>289836240000</v>
      </c>
      <c r="F56" s="94" t="n">
        <v>5854373854</v>
      </c>
      <c r="G56" s="74" t="n">
        <v>0.0005</v>
      </c>
      <c r="H56" s="74" t="n">
        <v>0.009000000000000001</v>
      </c>
      <c r="I56" s="74" t="n">
        <v>0.0032</v>
      </c>
      <c r="J56" s="74" t="n">
        <v>0.031132</v>
      </c>
      <c r="K56" s="94" t="n">
        <v>21</v>
      </c>
      <c r="L56" s="93" t="inlineStr">
        <is>
          <t>20260828</t>
        </is>
      </c>
      <c r="M56" s="93" t="inlineStr">
        <is>
          <t>채택</t>
        </is>
      </c>
      <c r="N56" s="93" t="inlineStr"/>
      <c r="O56" s="93" t="inlineStr">
        <is>
          <t>KAP CD &amp; 단기자금시장 지수</t>
        </is>
      </c>
      <c r="P56" s="93" t="inlineStr">
        <is>
          <t>일반</t>
        </is>
      </c>
      <c r="Q56" s="93" t="inlineStr">
        <is>
          <t>단기자금(파킹형)</t>
        </is>
      </c>
      <c r="R56" s="93" t="inlineStr">
        <is>
          <t>월배당</t>
        </is>
      </c>
      <c r="S56" s="94" t="n">
        <v>11</v>
      </c>
      <c r="T56">
        <f>IF(AND($J56&lt;&gt;"",OR(조회_주기="전체",$R56=조회_주기),$J56&gt;=조회_최소,$J56&lt;=조회_최대),1,0)</f>
        <v/>
      </c>
      <c r="U56">
        <f>IF($T56=1,$U55+1,$U55)</f>
        <v/>
      </c>
      <c r="V56">
        <f>IF(검색어="",1,IF(ISNUMBER(SEARCH(검색어,$A56)),1,0))</f>
        <v/>
      </c>
      <c r="W56">
        <f>IF($V56=1,$W55+1,$W55)</f>
        <v/>
      </c>
      <c r="X56">
        <f>IFERROR(INDEX($A$4:$A$517,MATCH(53,$W$4:$W$517,0)),"")</f>
        <v/>
      </c>
    </row>
    <row r="57">
      <c r="A57" s="93" t="inlineStr">
        <is>
          <t>SOL 미국배당다우존스</t>
        </is>
      </c>
      <c r="B57" s="93" t="inlineStr">
        <is>
          <t>446720</t>
        </is>
      </c>
      <c r="C57" s="93" t="inlineStr">
        <is>
          <t>신한자산운용</t>
        </is>
      </c>
      <c r="D57" s="94" t="n">
        <v>13595</v>
      </c>
      <c r="E57" s="94" t="n">
        <v>1034579500000</v>
      </c>
      <c r="F57" s="94" t="n">
        <v>4584634841</v>
      </c>
      <c r="G57" s="74" t="n">
        <v>0.0001</v>
      </c>
      <c r="H57" s="74" t="n">
        <v>0.1414</v>
      </c>
      <c r="I57" s="74" t="n">
        <v>0.0019</v>
      </c>
      <c r="J57" s="74" t="n">
        <v>0.029864</v>
      </c>
      <c r="K57" s="94" t="n">
        <v>45</v>
      </c>
      <c r="L57" s="93" t="inlineStr">
        <is>
          <t>20260828</t>
        </is>
      </c>
      <c r="M57" s="93" t="inlineStr">
        <is>
          <t>채택</t>
        </is>
      </c>
      <c r="N57" s="93" t="inlineStr"/>
      <c r="O57" s="93" t="inlineStr">
        <is>
          <t>Dow Jones U.S. Dividend 100 Price Return Index</t>
        </is>
      </c>
      <c r="P57" s="93" t="inlineStr">
        <is>
          <t>일반</t>
        </is>
      </c>
      <c r="Q57" s="93" t="inlineStr">
        <is>
          <t>주식</t>
        </is>
      </c>
      <c r="R57" s="93" t="inlineStr">
        <is>
          <t>월배당</t>
        </is>
      </c>
      <c r="S57" s="94" t="n">
        <v>11</v>
      </c>
      <c r="T57">
        <f>IF(AND($J57&lt;&gt;"",OR(조회_주기="전체",$R57=조회_주기),$J57&gt;=조회_최소,$J57&lt;=조회_최대),1,0)</f>
        <v/>
      </c>
      <c r="U57">
        <f>IF($T57=1,$U56+1,$U56)</f>
        <v/>
      </c>
      <c r="V57">
        <f>IF(검색어="",1,IF(ISNUMBER(SEARCH(검색어,$A57)),1,0))</f>
        <v/>
      </c>
      <c r="W57">
        <f>IF($V57=1,$W56+1,$W56)</f>
        <v/>
      </c>
      <c r="X57">
        <f>IFERROR(INDEX($A$4:$A$517,MATCH(54,$W$4:$W$517,0)),"")</f>
        <v/>
      </c>
    </row>
    <row r="58">
      <c r="A58" s="93" t="inlineStr">
        <is>
          <t>KODEX 코리아배당성장채권혼합</t>
        </is>
      </c>
      <c r="B58" s="93" t="inlineStr">
        <is>
          <t>237370</t>
        </is>
      </c>
      <c r="C58" s="93" t="inlineStr">
        <is>
          <t>삼성자산운용(ETF)</t>
        </is>
      </c>
      <c r="D58" s="94" t="n">
        <v>15610</v>
      </c>
      <c r="E58" s="94" t="n">
        <v>162344000000</v>
      </c>
      <c r="F58" s="94" t="n">
        <v>1176034299</v>
      </c>
      <c r="G58" s="74" t="n">
        <v>0.0019</v>
      </c>
      <c r="H58" s="74" t="n">
        <v>0.1083</v>
      </c>
      <c r="I58" s="74" t="n">
        <v>0.003</v>
      </c>
      <c r="J58" s="74" t="n">
        <v>0.029725</v>
      </c>
      <c r="K58" s="94" t="n">
        <v>24</v>
      </c>
      <c r="L58" s="93" t="inlineStr">
        <is>
          <t>20260914</t>
        </is>
      </c>
      <c r="M58" s="93" t="inlineStr">
        <is>
          <t>채택</t>
        </is>
      </c>
      <c r="N58" s="93" t="inlineStr"/>
      <c r="O58" s="93" t="inlineStr">
        <is>
          <t>배당성장채권혼합지수</t>
        </is>
      </c>
      <c r="P58" s="93" t="inlineStr">
        <is>
          <t>일반</t>
        </is>
      </c>
      <c r="Q58" s="93" t="inlineStr">
        <is>
          <t>멀티에셋</t>
        </is>
      </c>
      <c r="R58" s="93" t="inlineStr">
        <is>
          <t>월배당</t>
        </is>
      </c>
      <c r="S58" s="94" t="n">
        <v>12</v>
      </c>
      <c r="T58">
        <f>IF(AND($J58&lt;&gt;"",OR(조회_주기="전체",$R58=조회_주기),$J58&gt;=조회_최소,$J58&lt;=조회_최대),1,0)</f>
        <v/>
      </c>
      <c r="U58">
        <f>IF($T58=1,$U57+1,$U57)</f>
        <v/>
      </c>
      <c r="V58">
        <f>IF(검색어="",1,IF(ISNUMBER(SEARCH(검색어,$A58)),1,0))</f>
        <v/>
      </c>
      <c r="W58">
        <f>IF($V58=1,$W57+1,$W57)</f>
        <v/>
      </c>
      <c r="X58">
        <f>IFERROR(INDEX($A$4:$A$517,MATCH(55,$W$4:$W$517,0)),"")</f>
        <v/>
      </c>
    </row>
    <row r="59">
      <c r="A59" s="93" t="inlineStr">
        <is>
          <t>SOL 미국배당미국채혼합50</t>
        </is>
      </c>
      <c r="B59" s="93" t="inlineStr">
        <is>
          <t>490490</t>
        </is>
      </c>
      <c r="C59" s="93" t="inlineStr">
        <is>
          <t>신한자산운용</t>
        </is>
      </c>
      <c r="D59" s="94" t="n">
        <v>10910</v>
      </c>
      <c r="E59" s="94" t="n">
        <v>471312000000</v>
      </c>
      <c r="F59" s="94" t="n">
        <v>2695766792</v>
      </c>
      <c r="G59" s="74" t="n">
        <v>0.0015</v>
      </c>
      <c r="H59" s="74" t="n">
        <v>0.1067</v>
      </c>
      <c r="I59" s="74" t="n">
        <v>0.0026</v>
      </c>
      <c r="J59" s="74" t="n">
        <v>0.029514</v>
      </c>
      <c r="K59" s="94" t="n">
        <v>23</v>
      </c>
      <c r="L59" s="93" t="inlineStr">
        <is>
          <t>20260914</t>
        </is>
      </c>
      <c r="M59" s="93" t="inlineStr">
        <is>
          <t>채택</t>
        </is>
      </c>
      <c r="N59" s="93" t="inlineStr"/>
      <c r="O59" s="93" t="inlineStr">
        <is>
          <t>KRX 다우존스 미국배당국채 혼합지수</t>
        </is>
      </c>
      <c r="P59" s="93" t="inlineStr">
        <is>
          <t>일반</t>
        </is>
      </c>
      <c r="Q59" s="93" t="inlineStr">
        <is>
          <t>멀티에셋</t>
        </is>
      </c>
      <c r="R59" s="93" t="inlineStr">
        <is>
          <t>월배당</t>
        </is>
      </c>
      <c r="S59" s="94" t="n">
        <v>12</v>
      </c>
      <c r="T59">
        <f>IF(AND($J59&lt;&gt;"",OR(조회_주기="전체",$R59=조회_주기),$J59&gt;=조회_최소,$J59&lt;=조회_최대),1,0)</f>
        <v/>
      </c>
      <c r="U59">
        <f>IF($T59=1,$U58+1,$U58)</f>
        <v/>
      </c>
      <c r="V59">
        <f>IF(검색어="",1,IF(ISNUMBER(SEARCH(검색어,$A59)),1,0))</f>
        <v/>
      </c>
      <c r="W59">
        <f>IF($V59=1,$W58+1,$W58)</f>
        <v/>
      </c>
      <c r="X59">
        <f>IFERROR(INDEX($A$4:$A$517,MATCH(56,$W$4:$W$517,0)),"")</f>
        <v/>
      </c>
    </row>
    <row r="60">
      <c r="A60" s="93" t="inlineStr">
        <is>
          <t>ACE 미국배당다우존스</t>
        </is>
      </c>
      <c r="B60" s="93" t="inlineStr">
        <is>
          <t>402970</t>
        </is>
      </c>
      <c r="C60" s="93" t="inlineStr">
        <is>
          <t>한국투신운용(ETF)</t>
        </is>
      </c>
      <c r="D60" s="94" t="n">
        <v>15050</v>
      </c>
      <c r="E60" s="94" t="n">
        <v>966210000000</v>
      </c>
      <c r="F60" s="94" t="n">
        <v>4771731085</v>
      </c>
      <c r="G60" s="74" t="n">
        <v>0.0001</v>
      </c>
      <c r="H60" s="74" t="n">
        <v>0.1405</v>
      </c>
      <c r="I60" s="74" t="n">
        <v>0.0024</v>
      </c>
      <c r="J60" s="74" t="n">
        <v>0.029302</v>
      </c>
      <c r="K60" s="94" t="n">
        <v>44</v>
      </c>
      <c r="L60" s="93" t="inlineStr">
        <is>
          <t>20260914</t>
        </is>
      </c>
      <c r="M60" s="93" t="inlineStr">
        <is>
          <t>채택</t>
        </is>
      </c>
      <c r="N60" s="93" t="inlineStr"/>
      <c r="O60" s="93" t="inlineStr">
        <is>
          <t>Dow Jones U.S. Dividend 100 Price Return Index</t>
        </is>
      </c>
      <c r="P60" s="93" t="inlineStr">
        <is>
          <t>일반</t>
        </is>
      </c>
      <c r="Q60" s="93" t="inlineStr">
        <is>
          <t>주식</t>
        </is>
      </c>
      <c r="R60" s="93" t="inlineStr">
        <is>
          <t>월배당</t>
        </is>
      </c>
      <c r="S60" s="94" t="n">
        <v>12</v>
      </c>
      <c r="T60">
        <f>IF(AND($J60&lt;&gt;"",OR(조회_주기="전체",$R60=조회_주기),$J60&gt;=조회_최소,$J60&lt;=조회_최대),1,0)</f>
        <v/>
      </c>
      <c r="U60">
        <f>IF($T60=1,$U59+1,$U59)</f>
        <v/>
      </c>
      <c r="V60">
        <f>IF(검색어="",1,IF(ISNUMBER(SEARCH(검색어,$A60)),1,0))</f>
        <v/>
      </c>
      <c r="W60">
        <f>IF($V60=1,$W59+1,$W59)</f>
        <v/>
      </c>
      <c r="X60">
        <f>IFERROR(INDEX($A$4:$A$517,MATCH(57,$W$4:$W$517,0)),"")</f>
        <v/>
      </c>
    </row>
    <row r="61">
      <c r="A61" s="93" t="inlineStr">
        <is>
          <t>TIGER 미국배당다우존스</t>
        </is>
      </c>
      <c r="B61" s="93" t="inlineStr">
        <is>
          <t>458730</t>
        </is>
      </c>
      <c r="C61" s="93" t="inlineStr">
        <is>
          <t>미래에셋자산운용</t>
        </is>
      </c>
      <c r="D61" s="94" t="n">
        <v>14835</v>
      </c>
      <c r="E61" s="94" t="n">
        <v>4331078250000</v>
      </c>
      <c r="F61" s="94" t="n">
        <v>32809600683</v>
      </c>
      <c r="G61" s="74" t="n">
        <v>0.0001</v>
      </c>
      <c r="H61" s="74" t="n">
        <v>0.1415</v>
      </c>
      <c r="I61" s="74" t="n">
        <v>0.002</v>
      </c>
      <c r="J61" s="74" t="n">
        <v>0.029188</v>
      </c>
      <c r="K61" s="94" t="n">
        <v>38</v>
      </c>
      <c r="L61" s="93" t="inlineStr">
        <is>
          <t>20260828</t>
        </is>
      </c>
      <c r="M61" s="93" t="inlineStr">
        <is>
          <t>채택</t>
        </is>
      </c>
      <c r="N61" s="93" t="inlineStr"/>
      <c r="O61" s="93" t="inlineStr">
        <is>
          <t>Dow Jones U.S. Dividend 100 Price Return Index</t>
        </is>
      </c>
      <c r="P61" s="93" t="inlineStr">
        <is>
          <t>일반</t>
        </is>
      </c>
      <c r="Q61" s="93" t="inlineStr">
        <is>
          <t>주식</t>
        </is>
      </c>
      <c r="R61" s="93" t="inlineStr">
        <is>
          <t>월배당</t>
        </is>
      </c>
      <c r="S61" s="94" t="n">
        <v>11</v>
      </c>
      <c r="T61">
        <f>IF(AND($J61&lt;&gt;"",OR(조회_주기="전체",$R61=조회_주기),$J61&gt;=조회_최소,$J61&lt;=조회_최대),1,0)</f>
        <v/>
      </c>
      <c r="U61">
        <f>IF($T61=1,$U60+1,$U60)</f>
        <v/>
      </c>
      <c r="V61">
        <f>IF(검색어="",1,IF(ISNUMBER(SEARCH(검색어,$A61)),1,0))</f>
        <v/>
      </c>
      <c r="W61">
        <f>IF($V61=1,$W60+1,$W60)</f>
        <v/>
      </c>
      <c r="X61">
        <f>IFERROR(INDEX($A$4:$A$517,MATCH(58,$W$4:$W$517,0)),"")</f>
        <v/>
      </c>
    </row>
    <row r="62">
      <c r="A62" s="93" t="inlineStr">
        <is>
          <t>KODEX 미국배당다우존스</t>
        </is>
      </c>
      <c r="B62" s="93" t="inlineStr">
        <is>
          <t>489250</t>
        </is>
      </c>
      <c r="C62" s="93" t="inlineStr">
        <is>
          <t>삼성자산운용(ETF)</t>
        </is>
      </c>
      <c r="D62" s="94" t="n">
        <v>12760</v>
      </c>
      <c r="E62" s="94" t="n">
        <v>606100000000</v>
      </c>
      <c r="F62" s="94" t="n">
        <v>5581635658</v>
      </c>
      <c r="G62" s="74" t="n">
        <v>9.900000000000001e-05</v>
      </c>
      <c r="H62" s="74" t="n">
        <v>0.1414</v>
      </c>
      <c r="I62" s="74" t="n">
        <v>0.0019</v>
      </c>
      <c r="J62" s="74" t="n">
        <v>0.02884</v>
      </c>
      <c r="K62" s="94" t="n">
        <v>25</v>
      </c>
      <c r="L62" s="93" t="inlineStr">
        <is>
          <t>20260914</t>
        </is>
      </c>
      <c r="M62" s="93" t="inlineStr">
        <is>
          <t>채택</t>
        </is>
      </c>
      <c r="N62" s="93" t="inlineStr"/>
      <c r="O62" s="93" t="inlineStr">
        <is>
          <t>Dow Jones U.S. Dividend 100 Price Return Index</t>
        </is>
      </c>
      <c r="P62" s="93" t="inlineStr">
        <is>
          <t>일반</t>
        </is>
      </c>
      <c r="Q62" s="93" t="inlineStr">
        <is>
          <t>주식</t>
        </is>
      </c>
      <c r="R62" s="93" t="inlineStr">
        <is>
          <t>월배당</t>
        </is>
      </c>
      <c r="S62" s="94" t="n">
        <v>12</v>
      </c>
      <c r="T62">
        <f>IF(AND($J62&lt;&gt;"",OR(조회_주기="전체",$R62=조회_주기),$J62&gt;=조회_최소,$J62&lt;=조회_최대),1,0)</f>
        <v/>
      </c>
      <c r="U62">
        <f>IF($T62=1,$U61+1,$U61)</f>
        <v/>
      </c>
      <c r="V62">
        <f>IF(검색어="",1,IF(ISNUMBER(SEARCH(검색어,$A62)),1,0))</f>
        <v/>
      </c>
      <c r="W62">
        <f>IF($V62=1,$W61+1,$W61)</f>
        <v/>
      </c>
      <c r="X62">
        <f>IFERROR(INDEX($A$4:$A$517,MATCH(59,$W$4:$W$517,0)),"")</f>
        <v/>
      </c>
    </row>
    <row r="63">
      <c r="A63" s="93" t="inlineStr">
        <is>
          <t>KODEX CD1년금리플러스액티브(합성)</t>
        </is>
      </c>
      <c r="B63" s="93" t="inlineStr">
        <is>
          <t>481050</t>
        </is>
      </c>
      <c r="C63" s="93" t="inlineStr">
        <is>
          <t>삼성자산운용(ETF)</t>
        </is>
      </c>
      <c r="D63" s="94" t="n">
        <v>1023305</v>
      </c>
      <c r="E63" s="94" t="n">
        <v>2540559323500</v>
      </c>
      <c r="F63" s="94" t="n">
        <v>23973991260</v>
      </c>
      <c r="G63" s="74" t="n">
        <v>0.0005</v>
      </c>
      <c r="H63" s="74" t="n">
        <v>0.008199999999999999</v>
      </c>
      <c r="I63" s="74" t="n">
        <v>0.0027</v>
      </c>
      <c r="J63" s="74" t="n">
        <v>0.028798</v>
      </c>
      <c r="K63" s="94" t="n">
        <v>21</v>
      </c>
      <c r="L63" s="93" t="inlineStr">
        <is>
          <t>20260828</t>
        </is>
      </c>
      <c r="M63" s="93" t="inlineStr">
        <is>
          <t>채택</t>
        </is>
      </c>
      <c r="N63" s="93" t="inlineStr"/>
      <c r="O63" s="93" t="inlineStr">
        <is>
          <t>KAP 1년은행CD+추가금리 지수</t>
        </is>
      </c>
      <c r="P63" s="93" t="inlineStr">
        <is>
          <t>일반</t>
        </is>
      </c>
      <c r="Q63" s="93" t="inlineStr">
        <is>
          <t>단기자금(파킹형)</t>
        </is>
      </c>
      <c r="R63" s="93" t="inlineStr">
        <is>
          <t>월배당</t>
        </is>
      </c>
      <c r="S63" s="94" t="n">
        <v>11</v>
      </c>
      <c r="T63">
        <f>IF(AND($J63&lt;&gt;"",OR(조회_주기="전체",$R63=조회_주기),$J63&gt;=조회_최소,$J63&lt;=조회_최대),1,0)</f>
        <v/>
      </c>
      <c r="U63">
        <f>IF($T63=1,$U62+1,$U62)</f>
        <v/>
      </c>
      <c r="V63">
        <f>IF(검색어="",1,IF(ISNUMBER(SEARCH(검색어,$A63)),1,0))</f>
        <v/>
      </c>
      <c r="W63">
        <f>IF($V63=1,$W62+1,$W62)</f>
        <v/>
      </c>
      <c r="X63">
        <f>IFERROR(INDEX($A$4:$A$517,MATCH(60,$W$4:$W$517,0)),"")</f>
        <v/>
      </c>
    </row>
    <row r="64">
      <c r="A64" s="93" t="inlineStr">
        <is>
          <t>SOL 미국배당다우존스(H)</t>
        </is>
      </c>
      <c r="B64" s="93" t="inlineStr">
        <is>
          <t>452360</t>
        </is>
      </c>
      <c r="C64" s="93" t="inlineStr">
        <is>
          <t>신한자산운용</t>
        </is>
      </c>
      <c r="D64" s="94" t="n">
        <v>13240</v>
      </c>
      <c r="E64" s="94" t="n">
        <v>226404000000</v>
      </c>
      <c r="F64" s="94" t="n">
        <v>1903550621</v>
      </c>
      <c r="G64" s="74" t="n">
        <v>0.0005</v>
      </c>
      <c r="H64" s="74" t="n">
        <v>0.1107</v>
      </c>
      <c r="I64" s="74" t="n">
        <v>0.0019</v>
      </c>
      <c r="J64" s="74" t="n">
        <v>0.028172</v>
      </c>
      <c r="K64" s="94" t="n">
        <v>41</v>
      </c>
      <c r="L64" s="93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Dow Jones U.S. Dividend 100 Price Return Index</t>
        </is>
      </c>
      <c r="P64" s="93" t="inlineStr">
        <is>
          <t>일반</t>
        </is>
      </c>
      <c r="Q64" s="93" t="inlineStr">
        <is>
          <t>주식</t>
        </is>
      </c>
      <c r="R64" s="93" t="inlineStr">
        <is>
          <t>월배당</t>
        </is>
      </c>
      <c r="S64" s="94" t="n">
        <v>11</v>
      </c>
      <c r="T64">
        <f>IF(AND($J64&lt;&gt;"",OR(조회_주기="전체",$R64=조회_주기),$J64&gt;=조회_최소,$J64&lt;=조회_최대),1,0)</f>
        <v/>
      </c>
      <c r="U64">
        <f>IF($T64=1,$U63+1,$U63)</f>
        <v/>
      </c>
      <c r="V64">
        <f>IF(검색어="",1,IF(ISNUMBER(SEARCH(검색어,$A64)),1,0))</f>
        <v/>
      </c>
      <c r="W64">
        <f>IF($V64=1,$W63+1,$W63)</f>
        <v/>
      </c>
      <c r="X64">
        <f>IFERROR(INDEX($A$4:$A$517,MATCH(61,$W$4:$W$517,0)),"")</f>
        <v/>
      </c>
    </row>
    <row r="65">
      <c r="A65" s="93" t="inlineStr">
        <is>
          <t>TIGER CD금리플러스액티브(합성)</t>
        </is>
      </c>
      <c r="B65" s="93" t="inlineStr">
        <is>
          <t>499660</t>
        </is>
      </c>
      <c r="C65" s="93" t="inlineStr">
        <is>
          <t>미래에셋자산운용</t>
        </is>
      </c>
      <c r="D65" s="94" t="n">
        <v>1002035</v>
      </c>
      <c r="E65" s="94" t="n">
        <v>450214325500</v>
      </c>
      <c r="F65" s="94" t="n">
        <v>13171468992</v>
      </c>
      <c r="G65" s="74" t="n">
        <v>9.8e-05</v>
      </c>
      <c r="H65" s="74" t="n">
        <v>0.008100000000000001</v>
      </c>
      <c r="I65" s="74" t="n">
        <v>0.0024</v>
      </c>
      <c r="J65" s="74" t="n">
        <v>0.028153</v>
      </c>
      <c r="K65" s="94" t="n">
        <v>21</v>
      </c>
      <c r="L65" s="93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KIS CD+CPI연동금리 월분배 지수(PR지수)</t>
        </is>
      </c>
      <c r="P65" s="93" t="inlineStr">
        <is>
          <t>일반</t>
        </is>
      </c>
      <c r="Q65" s="93" t="inlineStr">
        <is>
          <t>단기자금(파킹형)</t>
        </is>
      </c>
      <c r="R65" s="93" t="inlineStr">
        <is>
          <t>월배당</t>
        </is>
      </c>
      <c r="S65" s="94" t="n">
        <v>11</v>
      </c>
      <c r="T65">
        <f>IF(AND($J65&lt;&gt;"",OR(조회_주기="전체",$R65=조회_주기),$J65&gt;=조회_최소,$J65&lt;=조회_최대),1,0)</f>
        <v/>
      </c>
      <c r="U65">
        <f>IF($T65=1,$U64+1,$U64)</f>
        <v/>
      </c>
      <c r="V65">
        <f>IF(검색어="",1,IF(ISNUMBER(SEARCH(검색어,$A65)),1,0))</f>
        <v/>
      </c>
      <c r="W65">
        <f>IF($V65=1,$W64+1,$W64)</f>
        <v/>
      </c>
      <c r="X65">
        <f>IFERROR(INDEX($A$4:$A$517,MATCH(62,$W$4:$W$517,0)),"")</f>
        <v/>
      </c>
    </row>
    <row r="66">
      <c r="A66" s="93" t="inlineStr">
        <is>
          <t>KODEX CD금리액티브(합성)</t>
        </is>
      </c>
      <c r="B66" s="93" t="inlineStr">
        <is>
          <t>459580</t>
        </is>
      </c>
      <c r="C66" s="93" t="inlineStr">
        <is>
          <t>삼성자산운용(ETF)</t>
        </is>
      </c>
      <c r="D66" s="94" t="n">
        <v>1075140</v>
      </c>
      <c r="E66" s="94" t="n">
        <v>6837352830000</v>
      </c>
      <c r="F66" s="94" t="n">
        <v>519032188868</v>
      </c>
      <c r="G66" s="74" t="n">
        <v>0.0002</v>
      </c>
      <c r="H66" s="74" t="n">
        <v>0.007900000000000001</v>
      </c>
      <c r="I66" s="74" t="n">
        <v>0.0026</v>
      </c>
      <c r="J66" s="74" t="n">
        <v>0.027515</v>
      </c>
      <c r="K66" s="94" t="n">
        <v>14</v>
      </c>
      <c r="L66" s="93" t="inlineStr">
        <is>
          <t>20260828</t>
        </is>
      </c>
      <c r="M66" s="93" t="inlineStr">
        <is>
          <t>채택</t>
        </is>
      </c>
      <c r="N66" s="93" t="inlineStr"/>
      <c r="O66" s="93" t="inlineStr">
        <is>
          <t>KAP 양도성예금증서(CD) 금리 지수</t>
        </is>
      </c>
      <c r="P66" s="93" t="inlineStr">
        <is>
          <t>일반</t>
        </is>
      </c>
      <c r="Q66" s="93" t="inlineStr">
        <is>
          <t>단기자금(파킹형)</t>
        </is>
      </c>
      <c r="R66" s="93" t="inlineStr">
        <is>
          <t>월배당</t>
        </is>
      </c>
      <c r="S66" s="94" t="n">
        <v>11</v>
      </c>
      <c r="T66">
        <f>IF(AND($J66&lt;&gt;"",OR(조회_주기="전체",$R66=조회_주기),$J66&gt;=조회_최소,$J66&lt;=조회_최대),1,0)</f>
        <v/>
      </c>
      <c r="U66">
        <f>IF($T66=1,$U65+1,$U65)</f>
        <v/>
      </c>
      <c r="V66">
        <f>IF(검색어="",1,IF(ISNUMBER(SEARCH(검색어,$A66)),1,0))</f>
        <v/>
      </c>
      <c r="W66">
        <f>IF($V66=1,$W65+1,$W65)</f>
        <v/>
      </c>
      <c r="X66">
        <f>IFERROR(INDEX($A$4:$A$517,MATCH(63,$W$4:$W$517,0)),"")</f>
        <v/>
      </c>
    </row>
    <row r="67">
      <c r="A67" s="93" t="inlineStr">
        <is>
          <t>RISE 중기우량회사채</t>
        </is>
      </c>
      <c r="B67" s="93" t="inlineStr">
        <is>
          <t>136340</t>
        </is>
      </c>
      <c r="C67" s="93" t="inlineStr">
        <is>
          <t>KB자산운용</t>
        </is>
      </c>
      <c r="D67" s="94" t="n">
        <v>103860</v>
      </c>
      <c r="E67" s="94" t="n">
        <v>295897140000</v>
      </c>
      <c r="F67" s="94" t="n">
        <v>591377962</v>
      </c>
      <c r="G67" s="74" t="n">
        <v>0.0007000000000000001</v>
      </c>
      <c r="H67" s="74" t="n">
        <v>0.0212</v>
      </c>
      <c r="I67" s="74" t="n">
        <v>0.0012</v>
      </c>
      <c r="J67" s="74" t="n">
        <v>0.027229</v>
      </c>
      <c r="K67" s="94" t="n">
        <v>45</v>
      </c>
      <c r="L67" s="93" t="inlineStr">
        <is>
          <t>20260828</t>
        </is>
      </c>
      <c r="M67" s="93" t="inlineStr">
        <is>
          <t>채택</t>
        </is>
      </c>
      <c r="N67" s="93" t="inlineStr"/>
      <c r="O67" s="93" t="inlineStr">
        <is>
          <t>KOBI Credit</t>
        </is>
      </c>
      <c r="P67" s="93" t="inlineStr">
        <is>
          <t>일반</t>
        </is>
      </c>
      <c r="Q67" s="93" t="inlineStr">
        <is>
          <t>채권</t>
        </is>
      </c>
      <c r="R67" s="93" t="inlineStr">
        <is>
          <t>월배당</t>
        </is>
      </c>
      <c r="S67" s="94" t="n">
        <v>11</v>
      </c>
      <c r="T67">
        <f>IF(AND($J67&lt;&gt;"",OR(조회_주기="전체",$R67=조회_주기),$J67&gt;=조회_최소,$J67&lt;=조회_최대),1,0)</f>
        <v/>
      </c>
      <c r="U67">
        <f>IF($T67=1,$U66+1,$U66)</f>
        <v/>
      </c>
      <c r="V67">
        <f>IF(검색어="",1,IF(ISNUMBER(SEARCH(검색어,$A67)),1,0))</f>
        <v/>
      </c>
      <c r="W67">
        <f>IF($V67=1,$W66+1,$W66)</f>
        <v/>
      </c>
      <c r="X67">
        <f>IFERROR(INDEX($A$4:$A$517,MATCH(64,$W$4:$W$517,0)),"")</f>
        <v/>
      </c>
    </row>
    <row r="68">
      <c r="A68" s="93" t="inlineStr">
        <is>
          <t>KODEX 단기채권PLUS</t>
        </is>
      </c>
      <c r="B68" s="93" t="inlineStr">
        <is>
          <t>214980</t>
        </is>
      </c>
      <c r="C68" s="93" t="inlineStr">
        <is>
          <t>삼성자산운용(ETF)</t>
        </is>
      </c>
      <c r="D68" s="94" t="n">
        <v>114415</v>
      </c>
      <c r="E68" s="94" t="n">
        <v>1831326490000</v>
      </c>
      <c r="F68" s="94" t="n">
        <v>3843966097</v>
      </c>
      <c r="G68" s="74" t="n">
        <v>0.0015</v>
      </c>
      <c r="H68" s="74" t="n">
        <v>0.0083</v>
      </c>
      <c r="I68" s="74" t="n">
        <v>0.0025</v>
      </c>
      <c r="J68" s="74" t="n">
        <v>0.026963</v>
      </c>
      <c r="K68" s="94" t="n">
        <v>14</v>
      </c>
      <c r="L68" s="93" t="inlineStr">
        <is>
          <t>20260914</t>
        </is>
      </c>
      <c r="M68" s="93" t="inlineStr">
        <is>
          <t>채택</t>
        </is>
      </c>
      <c r="N68" s="93" t="inlineStr"/>
      <c r="O68" s="93" t="inlineStr">
        <is>
          <t>KRW Cash+PLUS Index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12</v>
      </c>
      <c r="T68">
        <f>IF(AND($J68&lt;&gt;"",OR(조회_주기="전체",$R68=조회_주기),$J68&gt;=조회_최소,$J68&lt;=조회_최대),1,0)</f>
        <v/>
      </c>
      <c r="U68">
        <f>IF($T68=1,$U67+1,$U67)</f>
        <v/>
      </c>
      <c r="V68">
        <f>IF(검색어="",1,IF(ISNUMBER(SEARCH(검색어,$A68)),1,0))</f>
        <v/>
      </c>
      <c r="W68">
        <f>IF($V68=1,$W67+1,$W67)</f>
        <v/>
      </c>
      <c r="X68">
        <f>IFERROR(INDEX($A$4:$A$517,MATCH(65,$W$4:$W$517,0)),"")</f>
        <v/>
      </c>
    </row>
    <row r="69">
      <c r="A69" s="93" t="inlineStr">
        <is>
          <t>RISE 국고채3년</t>
        </is>
      </c>
      <c r="B69" s="93" t="inlineStr">
        <is>
          <t>114100</t>
        </is>
      </c>
      <c r="C69" s="93" t="inlineStr">
        <is>
          <t>KB자산운용</t>
        </is>
      </c>
      <c r="D69" s="94" t="n">
        <v>105655</v>
      </c>
      <c r="E69" s="94" t="n">
        <v>99315700000</v>
      </c>
      <c r="F69" s="94" t="n">
        <v>639936035</v>
      </c>
      <c r="G69" s="74" t="n">
        <v>0.00115</v>
      </c>
      <c r="H69" s="74" t="n">
        <v>0.0252</v>
      </c>
      <c r="I69" s="74" t="n">
        <v>0.005600000000000001</v>
      </c>
      <c r="J69" s="74" t="n">
        <v>0.026852</v>
      </c>
      <c r="K69" s="94" t="n">
        <v>20</v>
      </c>
      <c r="L69" s="93" t="inlineStr">
        <is>
          <t>20260908</t>
        </is>
      </c>
      <c r="M69" s="93" t="inlineStr">
        <is>
          <t>채택</t>
        </is>
      </c>
      <c r="N69" s="93" t="inlineStr"/>
      <c r="O69" s="93" t="inlineStr">
        <is>
          <t>KTB Index</t>
        </is>
      </c>
      <c r="P69" s="93" t="inlineStr">
        <is>
          <t>일반</t>
        </is>
      </c>
      <c r="Q69" s="93" t="inlineStr">
        <is>
          <t>채권</t>
        </is>
      </c>
      <c r="R69" s="93" t="inlineStr">
        <is>
          <t>분기배당</t>
        </is>
      </c>
      <c r="S69" s="94" t="n">
        <v>4</v>
      </c>
      <c r="T69">
        <f>IF(AND($J69&lt;&gt;"",OR(조회_주기="전체",$R69=조회_주기),$J69&gt;=조회_최소,$J69&lt;=조회_최대),1,0)</f>
        <v/>
      </c>
      <c r="U69">
        <f>IF($T69=1,$U68+1,$U68)</f>
        <v/>
      </c>
      <c r="V69">
        <f>IF(검색어="",1,IF(ISNUMBER(SEARCH(검색어,$A69)),1,0))</f>
        <v/>
      </c>
      <c r="W69">
        <f>IF($V69=1,$W68+1,$W68)</f>
        <v/>
      </c>
      <c r="X69">
        <f>IFERROR(INDEX($A$4:$A$517,MATCH(66,$W$4:$W$517,0)),"")</f>
        <v/>
      </c>
    </row>
    <row r="70">
      <c r="A70" s="93" t="inlineStr">
        <is>
          <t>KODEX 코리아배당성장</t>
        </is>
      </c>
      <c r="B70" s="93" t="inlineStr">
        <is>
          <t>211900</t>
        </is>
      </c>
      <c r="C70" s="93" t="inlineStr">
        <is>
          <t>삼성자산운용(ETF)</t>
        </is>
      </c>
      <c r="D70" s="94" t="n">
        <v>27970</v>
      </c>
      <c r="E70" s="94" t="n">
        <v>90902500000</v>
      </c>
      <c r="F70" s="94" t="n">
        <v>543672492</v>
      </c>
      <c r="G70" s="74" t="n">
        <v>0.0015</v>
      </c>
      <c r="H70" s="74" t="n">
        <v>0.3452</v>
      </c>
      <c r="I70" s="74" t="n">
        <v>0.0009</v>
      </c>
      <c r="J70" s="74" t="n">
        <v>0.026564</v>
      </c>
      <c r="K70" s="94" t="n">
        <v>16</v>
      </c>
      <c r="L70" s="93" t="inlineStr">
        <is>
          <t>20260828</t>
        </is>
      </c>
      <c r="M70" s="93" t="inlineStr">
        <is>
          <t>채택</t>
        </is>
      </c>
      <c r="N70" s="93" t="inlineStr"/>
      <c r="O70" s="93" t="inlineStr">
        <is>
          <t>코스피 배당성장 50</t>
        </is>
      </c>
      <c r="P70" s="93" t="inlineStr">
        <is>
          <t>일반</t>
        </is>
      </c>
      <c r="Q70" s="93" t="inlineStr">
        <is>
          <t>주식</t>
        </is>
      </c>
      <c r="R70" s="93" t="inlineStr">
        <is>
          <t>월배당</t>
        </is>
      </c>
      <c r="S70" s="94" t="n">
        <v>11</v>
      </c>
      <c r="T70">
        <f>IF(AND($J70&lt;&gt;"",OR(조회_주기="전체",$R70=조회_주기),$J70&gt;=조회_최소,$J70&lt;=조회_최대),1,0)</f>
        <v/>
      </c>
      <c r="U70">
        <f>IF($T70=1,$U69+1,$U69)</f>
        <v/>
      </c>
      <c r="V70">
        <f>IF(검색어="",1,IF(ISNUMBER(SEARCH(검색어,$A70)),1,0))</f>
        <v/>
      </c>
      <c r="W70">
        <f>IF($V70=1,$W69+1,$W69)</f>
        <v/>
      </c>
      <c r="X70">
        <f>IFERROR(INDEX($A$4:$A$517,MATCH(67,$W$4:$W$517,0)),"")</f>
        <v/>
      </c>
    </row>
    <row r="71">
      <c r="A71" s="93" t="inlineStr">
        <is>
          <t>KODEX KOFR금리액티브(합성)</t>
        </is>
      </c>
      <c r="B71" s="93" t="inlineStr">
        <is>
          <t>423160</t>
        </is>
      </c>
      <c r="C71" s="93" t="inlineStr">
        <is>
          <t>삼성자산운용(ETF)</t>
        </is>
      </c>
      <c r="D71" s="94" t="n">
        <v>110810</v>
      </c>
      <c r="E71" s="94" t="n">
        <v>3632462610000</v>
      </c>
      <c r="F71" s="94" t="n">
        <v>11265101257</v>
      </c>
      <c r="G71" s="74" t="n">
        <v>0.0005</v>
      </c>
      <c r="H71" s="74" t="n">
        <v>0.0075</v>
      </c>
      <c r="I71" s="74" t="n">
        <v>0.0024</v>
      </c>
      <c r="J71" s="74" t="n">
        <v>0.026081</v>
      </c>
      <c r="K71" s="94" t="n">
        <v>14</v>
      </c>
      <c r="L71" s="93" t="inlineStr">
        <is>
          <t>20260828</t>
        </is>
      </c>
      <c r="M71" s="93" t="inlineStr">
        <is>
          <t>채택</t>
        </is>
      </c>
      <c r="N71" s="93" t="inlineStr"/>
      <c r="O71" s="93" t="inlineStr">
        <is>
          <t>KOFR 인덱스</t>
        </is>
      </c>
      <c r="P71" s="93" t="inlineStr">
        <is>
          <t>일반</t>
        </is>
      </c>
      <c r="Q71" s="93" t="inlineStr">
        <is>
          <t>단기자금(파킹형)</t>
        </is>
      </c>
      <c r="R71" s="93" t="inlineStr">
        <is>
          <t>월배당</t>
        </is>
      </c>
      <c r="S71" s="94" t="n">
        <v>11</v>
      </c>
      <c r="T71">
        <f>IF(AND($J71&lt;&gt;"",OR(조회_주기="전체",$R71=조회_주기),$J71&gt;=조회_최소,$J71&lt;=조회_최대),1,0)</f>
        <v/>
      </c>
      <c r="U71">
        <f>IF($T71=1,$U70+1,$U70)</f>
        <v/>
      </c>
      <c r="V71">
        <f>IF(검색어="",1,IF(ISNUMBER(SEARCH(검색어,$A71)),1,0))</f>
        <v/>
      </c>
      <c r="W71">
        <f>IF($V71=1,$W70+1,$W70)</f>
        <v/>
      </c>
      <c r="X71">
        <f>IFERROR(INDEX($A$4:$A$517,MATCH(68,$W$4:$W$517,0)),"")</f>
        <v/>
      </c>
    </row>
    <row r="72">
      <c r="A72" s="93" t="inlineStr">
        <is>
          <t>KODEX TRF3070</t>
        </is>
      </c>
      <c r="B72" s="93" t="inlineStr">
        <is>
          <t>329650</t>
        </is>
      </c>
      <c r="C72" s="93" t="inlineStr">
        <is>
          <t>삼성자산운용(ETF)</t>
        </is>
      </c>
      <c r="D72" s="94" t="n">
        <v>13960</v>
      </c>
      <c r="E72" s="94" t="n">
        <v>230340000000</v>
      </c>
      <c r="F72" s="94" t="n">
        <v>675695896</v>
      </c>
      <c r="G72" s="74" t="n">
        <v>0.0024</v>
      </c>
      <c r="H72" s="74" t="n">
        <v>0.04849999999999999</v>
      </c>
      <c r="I72" s="74" t="n">
        <v>0.0022</v>
      </c>
      <c r="J72" s="74" t="n">
        <v>0.026003</v>
      </c>
      <c r="K72" s="94" t="n">
        <v>14</v>
      </c>
      <c r="L72" s="93" t="inlineStr">
        <is>
          <t>20260914</t>
        </is>
      </c>
      <c r="M72" s="93" t="inlineStr">
        <is>
          <t>채택</t>
        </is>
      </c>
      <c r="N72" s="93" t="inlineStr"/>
      <c r="O72" s="93" t="inlineStr">
        <is>
          <t>FnGuide TRF 3070 지수</t>
        </is>
      </c>
      <c r="P72" s="93" t="inlineStr">
        <is>
          <t>일반</t>
        </is>
      </c>
      <c r="Q72" s="93" t="inlineStr">
        <is>
          <t>멀티에셋</t>
        </is>
      </c>
      <c r="R72" s="93" t="inlineStr">
        <is>
          <t>월배당</t>
        </is>
      </c>
      <c r="S72" s="94" t="n">
        <v>12</v>
      </c>
      <c r="T72">
        <f>IF(AND($J72&lt;&gt;"",OR(조회_주기="전체",$R72=조회_주기),$J72&gt;=조회_최소,$J72&lt;=조회_최대),1,0)</f>
        <v/>
      </c>
      <c r="U72">
        <f>IF($T72=1,$U71+1,$U71)</f>
        <v/>
      </c>
      <c r="V72">
        <f>IF(검색어="",1,IF(ISNUMBER(SEARCH(검색어,$A72)),1,0))</f>
        <v/>
      </c>
      <c r="W72">
        <f>IF($V72=1,$W71+1,$W71)</f>
        <v/>
      </c>
      <c r="X72">
        <f>IFERROR(INDEX($A$4:$A$517,MATCH(69,$W$4:$W$517,0)),"")</f>
        <v/>
      </c>
    </row>
    <row r="73">
      <c r="A73" s="93" t="inlineStr">
        <is>
          <t>TIGER 차이나CSI300</t>
        </is>
      </c>
      <c r="B73" s="93" t="inlineStr">
        <is>
          <t>192090</t>
        </is>
      </c>
      <c r="C73" s="93" t="inlineStr">
        <is>
          <t>미래에셋자산운용</t>
        </is>
      </c>
      <c r="D73" s="94" t="n">
        <v>12095</v>
      </c>
      <c r="E73" s="94" t="n">
        <v>125183250000</v>
      </c>
      <c r="F73" s="94" t="n">
        <v>763897908</v>
      </c>
      <c r="G73" s="74" t="n">
        <v>0.0063</v>
      </c>
      <c r="H73" s="74" t="n">
        <v>0.2271</v>
      </c>
      <c r="I73" s="74" t="n">
        <v>0.0242</v>
      </c>
      <c r="J73" s="74" t="n">
        <v>0.02563</v>
      </c>
      <c r="K73" s="94" t="n">
        <v>5</v>
      </c>
      <c r="L73" s="93" t="inlineStr">
        <is>
          <t>20251229</t>
        </is>
      </c>
      <c r="M73" s="93" t="inlineStr">
        <is>
          <t>채택</t>
        </is>
      </c>
      <c r="N73" s="93" t="inlineStr"/>
      <c r="O73" s="93" t="inlineStr">
        <is>
          <t>CSI 300 INDEX</t>
        </is>
      </c>
      <c r="P73" s="93" t="inlineStr">
        <is>
          <t>일반</t>
        </is>
      </c>
      <c r="Q73" s="93" t="inlineStr">
        <is>
          <t>주식</t>
        </is>
      </c>
      <c r="R73" s="93" t="inlineStr">
        <is>
          <t>연배당</t>
        </is>
      </c>
      <c r="S73" s="94" t="n">
        <v>1</v>
      </c>
      <c r="T73">
        <f>IF(AND($J73&lt;&gt;"",OR(조회_주기="전체",$R73=조회_주기),$J73&gt;=조회_최소,$J73&lt;=조회_최대),1,0)</f>
        <v/>
      </c>
      <c r="U73">
        <f>IF($T73=1,$U72+1,$U72)</f>
        <v/>
      </c>
      <c r="V73">
        <f>IF(검색어="",1,IF(ISNUMBER(SEARCH(검색어,$A73)),1,0))</f>
        <v/>
      </c>
      <c r="W73">
        <f>IF($V73=1,$W72+1,$W72)</f>
        <v/>
      </c>
      <c r="X73">
        <f>IFERROR(INDEX($A$4:$A$517,MATCH(70,$W$4:$W$517,0)),"")</f>
        <v/>
      </c>
    </row>
    <row r="74">
      <c r="A74" s="93" t="inlineStr">
        <is>
          <t>KODEX 단기변동금리부채권액티브</t>
        </is>
      </c>
      <c r="B74" s="93" t="inlineStr">
        <is>
          <t>273140</t>
        </is>
      </c>
      <c r="C74" s="93" t="inlineStr">
        <is>
          <t>삼성자산운용(ETF)</t>
        </is>
      </c>
      <c r="D74" s="94" t="n">
        <v>114600</v>
      </c>
      <c r="E74" s="94" t="n">
        <v>279738600000</v>
      </c>
      <c r="F74" s="94" t="n">
        <v>505822014</v>
      </c>
      <c r="G74" s="74" t="n">
        <v>0.0015</v>
      </c>
      <c r="H74" s="74" t="n">
        <v>0.0077</v>
      </c>
      <c r="I74" s="74" t="n">
        <v>0.0023</v>
      </c>
      <c r="J74" s="74" t="n">
        <v>0.025532</v>
      </c>
      <c r="K74" s="94" t="n">
        <v>14</v>
      </c>
      <c r="L74" s="93" t="inlineStr">
        <is>
          <t>20260914</t>
        </is>
      </c>
      <c r="M74" s="93" t="inlineStr">
        <is>
          <t>채택</t>
        </is>
      </c>
      <c r="N74" s="93" t="inlineStr"/>
      <c r="O74" s="93" t="inlineStr">
        <is>
          <t>KAP 단기변동금리부 은행채</t>
        </is>
      </c>
      <c r="P74" s="93" t="inlineStr">
        <is>
          <t>일반</t>
        </is>
      </c>
      <c r="Q74" s="93" t="inlineStr">
        <is>
          <t>채권</t>
        </is>
      </c>
      <c r="R74" s="93" t="inlineStr">
        <is>
          <t>월배당</t>
        </is>
      </c>
      <c r="S74" s="94" t="n">
        <v>12</v>
      </c>
      <c r="T74">
        <f>IF(AND($J74&lt;&gt;"",OR(조회_주기="전체",$R74=조회_주기),$J74&gt;=조회_최소,$J74&lt;=조회_최대),1,0)</f>
        <v/>
      </c>
      <c r="U74">
        <f>IF($T74=1,$U73+1,$U73)</f>
        <v/>
      </c>
      <c r="V74">
        <f>IF(검색어="",1,IF(ISNUMBER(SEARCH(검색어,$A74)),1,0))</f>
        <v/>
      </c>
      <c r="W74">
        <f>IF($V74=1,$W73+1,$W73)</f>
        <v/>
      </c>
      <c r="X74">
        <f>IFERROR(INDEX($A$4:$A$517,MATCH(71,$W$4:$W$517,0)),"")</f>
        <v/>
      </c>
    </row>
    <row r="75">
      <c r="A75" s="93" t="inlineStr">
        <is>
          <t>ACE 단기통안채</t>
        </is>
      </c>
      <c r="B75" s="93" t="inlineStr">
        <is>
          <t>190620</t>
        </is>
      </c>
      <c r="C75" s="93" t="inlineStr">
        <is>
          <t>한국투신운용(ETF)</t>
        </is>
      </c>
      <c r="D75" s="94" t="n">
        <v>102070</v>
      </c>
      <c r="E75" s="94" t="n">
        <v>336422720000</v>
      </c>
      <c r="F75" s="94" t="n">
        <v>2396567871</v>
      </c>
      <c r="G75" s="74" t="n">
        <v>0.0007000000000000001</v>
      </c>
      <c r="H75" s="74" t="n">
        <v>0.0255</v>
      </c>
      <c r="I75" s="74" t="n">
        <v>0.0251</v>
      </c>
      <c r="J75" s="74" t="n">
        <v>0.025277</v>
      </c>
      <c r="K75" s="94" t="n">
        <v>5</v>
      </c>
      <c r="L75" s="93" t="inlineStr">
        <is>
          <t>20251229</t>
        </is>
      </c>
      <c r="M75" s="93" t="inlineStr">
        <is>
          <t>채택</t>
        </is>
      </c>
      <c r="N75" s="93" t="inlineStr"/>
      <c r="O75" s="93" t="inlineStr">
        <is>
          <t>KIS MSB 단기 Index</t>
        </is>
      </c>
      <c r="P75" s="93" t="inlineStr">
        <is>
          <t>일반</t>
        </is>
      </c>
      <c r="Q75" s="93" t="inlineStr">
        <is>
          <t>채권</t>
        </is>
      </c>
      <c r="R75" s="93" t="inlineStr">
        <is>
          <t>연배당</t>
        </is>
      </c>
      <c r="S75" s="94" t="n">
        <v>1</v>
      </c>
      <c r="T75">
        <f>IF(AND($J75&lt;&gt;"",OR(조회_주기="전체",$R75=조회_주기),$J75&gt;=조회_최소,$J75&lt;=조회_최대),1,0)</f>
        <v/>
      </c>
      <c r="U75">
        <f>IF($T75=1,$U74+1,$U74)</f>
        <v/>
      </c>
      <c r="V75">
        <f>IF(검색어="",1,IF(ISNUMBER(SEARCH(검색어,$A75)),1,0))</f>
        <v/>
      </c>
      <c r="W75">
        <f>IF($V75=1,$W74+1,$W74)</f>
        <v/>
      </c>
      <c r="X75">
        <f>IFERROR(INDEX($A$4:$A$517,MATCH(72,$W$4:$W$517,0)),"")</f>
        <v/>
      </c>
    </row>
    <row r="76">
      <c r="A76" s="93" t="inlineStr">
        <is>
          <t>KODEX 단기채권</t>
        </is>
      </c>
      <c r="B76" s="93" t="inlineStr">
        <is>
          <t>153130</t>
        </is>
      </c>
      <c r="C76" s="93" t="inlineStr">
        <is>
          <t>삼성자산운용(ETF)</t>
        </is>
      </c>
      <c r="D76" s="94" t="n">
        <v>113145</v>
      </c>
      <c r="E76" s="94" t="n">
        <v>806384415000</v>
      </c>
      <c r="F76" s="94" t="n">
        <v>4069651588</v>
      </c>
      <c r="G76" s="74" t="n">
        <v>0.0015</v>
      </c>
      <c r="H76" s="74" t="n">
        <v>0.007800000000000001</v>
      </c>
      <c r="I76" s="74" t="n">
        <v>0.0022</v>
      </c>
      <c r="J76" s="74" t="n">
        <v>0.025171</v>
      </c>
      <c r="K76" s="94" t="n">
        <v>14</v>
      </c>
      <c r="L76" s="93" t="inlineStr">
        <is>
          <t>20260914</t>
        </is>
      </c>
      <c r="M76" s="93" t="inlineStr">
        <is>
          <t>채택</t>
        </is>
      </c>
      <c r="N76" s="93" t="inlineStr"/>
      <c r="O76" s="93" t="inlineStr">
        <is>
          <t>KRW Cash Index</t>
        </is>
      </c>
      <c r="P76" s="93" t="inlineStr">
        <is>
          <t>일반</t>
        </is>
      </c>
      <c r="Q76" s="93" t="inlineStr">
        <is>
          <t>채권</t>
        </is>
      </c>
      <c r="R76" s="93" t="inlineStr">
        <is>
          <t>월배당</t>
        </is>
      </c>
      <c r="S76" s="94" t="n">
        <v>12</v>
      </c>
      <c r="T76">
        <f>IF(AND($J76&lt;&gt;"",OR(조회_주기="전체",$R76=조회_주기),$J76&gt;=조회_최소,$J76&lt;=조회_최대),1,0)</f>
        <v/>
      </c>
      <c r="U76">
        <f>IF($T76=1,$U75+1,$U75)</f>
        <v/>
      </c>
      <c r="V76">
        <f>IF(검색어="",1,IF(ISNUMBER(SEARCH(검색어,$A76)),1,0))</f>
        <v/>
      </c>
      <c r="W76">
        <f>IF($V76=1,$W75+1,$W75)</f>
        <v/>
      </c>
      <c r="X76">
        <f>IFERROR(INDEX($A$4:$A$517,MATCH(73,$W$4:$W$517,0)),"")</f>
        <v/>
      </c>
    </row>
    <row r="77">
      <c r="A77" s="93" t="inlineStr">
        <is>
          <t>ACE 미국S&amp;P500미국채혼합50액티브</t>
        </is>
      </c>
      <c r="B77" s="93" t="inlineStr">
        <is>
          <t>438080</t>
        </is>
      </c>
      <c r="C77" s="93" t="inlineStr">
        <is>
          <t>한국투자신탁운용</t>
        </is>
      </c>
      <c r="D77" s="94" t="n">
        <v>13990</v>
      </c>
      <c r="E77" s="94" t="n">
        <v>1243711000000</v>
      </c>
      <c r="F77" s="94" t="n">
        <v>7065143714</v>
      </c>
      <c r="G77" s="74" t="n">
        <v>0.0015</v>
      </c>
      <c r="H77" s="74" t="n">
        <v>0.099</v>
      </c>
      <c r="I77" s="74" t="n">
        <v>0.0236</v>
      </c>
      <c r="J77" s="74" t="n">
        <v>0.023874</v>
      </c>
      <c r="K77" s="94" t="n">
        <v>1</v>
      </c>
      <c r="L77" s="93" t="inlineStr">
        <is>
          <t>20251229</t>
        </is>
      </c>
      <c r="M77" s="93" t="inlineStr">
        <is>
          <t>채택</t>
        </is>
      </c>
      <c r="N77" s="93" t="inlineStr"/>
      <c r="O77" s="93" t="inlineStr">
        <is>
          <t>S&amp;P 500 and Short-Term Treasury 50/50 Blend Index (USD)</t>
        </is>
      </c>
      <c r="P77" s="93" t="inlineStr">
        <is>
          <t>일반</t>
        </is>
      </c>
      <c r="Q77" s="93" t="inlineStr">
        <is>
          <t>멀티에셋</t>
        </is>
      </c>
      <c r="R77" s="93" t="inlineStr">
        <is>
          <t>연배당</t>
        </is>
      </c>
      <c r="S77" s="94" t="n">
        <v>1</v>
      </c>
      <c r="T77">
        <f>IF(AND($J77&lt;&gt;"",OR(조회_주기="전체",$R77=조회_주기),$J77&gt;=조회_최소,$J77&lt;=조회_최대),1,0)</f>
        <v/>
      </c>
      <c r="U77">
        <f>IF($T77=1,$U76+1,$U76)</f>
        <v/>
      </c>
      <c r="V77">
        <f>IF(검색어="",1,IF(ISNUMBER(SEARCH(검색어,$A77)),1,0))</f>
        <v/>
      </c>
      <c r="W77">
        <f>IF($V77=1,$W76+1,$W76)</f>
        <v/>
      </c>
      <c r="X77">
        <f>IFERROR(INDEX($A$4:$A$517,MATCH(74,$W$4:$W$517,0)),"")</f>
        <v/>
      </c>
    </row>
    <row r="78">
      <c r="A78" s="93" t="inlineStr">
        <is>
          <t>KODEX 차이나CSI300</t>
        </is>
      </c>
      <c r="B78" s="93" t="inlineStr">
        <is>
          <t>283580</t>
        </is>
      </c>
      <c r="C78" s="93" t="inlineStr">
        <is>
          <t>삼성자산운용(ETF)</t>
        </is>
      </c>
      <c r="D78" s="94" t="n">
        <v>14885</v>
      </c>
      <c r="E78" s="94" t="n">
        <v>245602500000</v>
      </c>
      <c r="F78" s="94" t="n">
        <v>2071838715</v>
      </c>
      <c r="G78" s="74" t="n">
        <v>0.0012</v>
      </c>
      <c r="H78" s="74" t="n">
        <v>0.2214</v>
      </c>
      <c r="I78" s="74" t="n">
        <v>0.007900000000000001</v>
      </c>
      <c r="J78" s="74" t="n">
        <v>0.023312</v>
      </c>
      <c r="K78" s="94" t="n">
        <v>7</v>
      </c>
      <c r="L78" s="93" t="inlineStr">
        <is>
          <t>20260730</t>
        </is>
      </c>
      <c r="M78" s="93" t="inlineStr">
        <is>
          <t>채택</t>
        </is>
      </c>
      <c r="N78" s="93" t="inlineStr"/>
      <c r="O78" s="93" t="inlineStr">
        <is>
          <t>CSI 300 INDEX</t>
        </is>
      </c>
      <c r="P78" s="93" t="inlineStr">
        <is>
          <t>일반</t>
        </is>
      </c>
      <c r="Q78" s="93" t="inlineStr">
        <is>
          <t>주식</t>
        </is>
      </c>
      <c r="R78" s="93" t="inlineStr">
        <is>
          <t>분기배당</t>
        </is>
      </c>
      <c r="S78" s="94" t="n">
        <v>4</v>
      </c>
      <c r="T78">
        <f>IF(AND($J78&lt;&gt;"",OR(조회_주기="전체",$R78=조회_주기),$J78&gt;=조회_최소,$J78&lt;=조회_최대),1,0)</f>
        <v/>
      </c>
      <c r="U78">
        <f>IF($T78=1,$U77+1,$U77)</f>
        <v/>
      </c>
      <c r="V78">
        <f>IF(검색어="",1,IF(ISNUMBER(SEARCH(검색어,$A78)),1,0))</f>
        <v/>
      </c>
      <c r="W78">
        <f>IF($V78=1,$W77+1,$W77)</f>
        <v/>
      </c>
      <c r="X78">
        <f>IFERROR(INDEX($A$4:$A$517,MATCH(75,$W$4:$W$517,0)),"")</f>
        <v/>
      </c>
    </row>
    <row r="79">
      <c r="A79" s="93" t="inlineStr">
        <is>
          <t>SOL 종합채권(AA-이상)액티브</t>
        </is>
      </c>
      <c r="B79" s="93" t="inlineStr">
        <is>
          <t>436140</t>
        </is>
      </c>
      <c r="C79" s="93" t="inlineStr">
        <is>
          <t>신한자산운용</t>
        </is>
      </c>
      <c r="D79" s="94" t="n">
        <v>105760</v>
      </c>
      <c r="E79" s="94" t="n">
        <v>1245958560000</v>
      </c>
      <c r="F79" s="94" t="n">
        <v>1186630162</v>
      </c>
      <c r="G79" s="74" t="n">
        <v>0.0004</v>
      </c>
      <c r="H79" s="74" t="n">
        <v>0.0455</v>
      </c>
      <c r="I79" s="74" t="n">
        <v>0.0212</v>
      </c>
      <c r="J79" s="74" t="n">
        <v>0.022504</v>
      </c>
      <c r="K79" s="94" t="n">
        <v>1</v>
      </c>
      <c r="L79" s="93" t="inlineStr">
        <is>
          <t>20251212</t>
        </is>
      </c>
      <c r="M79" s="93" t="inlineStr">
        <is>
          <t>채택</t>
        </is>
      </c>
      <c r="N79" s="93" t="inlineStr"/>
      <c r="O79" s="93" t="inlineStr">
        <is>
          <t>KAP K-종합채권지수(AA-이상, 총수익)</t>
        </is>
      </c>
      <c r="P79" s="93" t="inlineStr">
        <is>
          <t>일반</t>
        </is>
      </c>
      <c r="Q79" s="93" t="inlineStr">
        <is>
          <t>채권</t>
        </is>
      </c>
      <c r="R79" s="93" t="inlineStr">
        <is>
          <t>연배당</t>
        </is>
      </c>
      <c r="S79" s="94" t="n">
        <v>1</v>
      </c>
      <c r="T79">
        <f>IF(AND($J79&lt;&gt;"",OR(조회_주기="전체",$R79=조회_주기),$J79&gt;=조회_최소,$J79&lt;=조회_최대),1,0)</f>
        <v/>
      </c>
      <c r="U79">
        <f>IF($T79=1,$U78+1,$U78)</f>
        <v/>
      </c>
      <c r="V79">
        <f>IF(검색어="",1,IF(ISNUMBER(SEARCH(검색어,$A79)),1,0))</f>
        <v/>
      </c>
      <c r="W79">
        <f>IF($V79=1,$W78+1,$W78)</f>
        <v/>
      </c>
      <c r="X79">
        <f>IFERROR(INDEX($A$4:$A$517,MATCH(76,$W$4:$W$517,0)),"")</f>
        <v/>
      </c>
    </row>
    <row r="80">
      <c r="A80" s="93" t="inlineStr">
        <is>
          <t>KODEX 삼성전자채권혼합</t>
        </is>
      </c>
      <c r="B80" s="93" t="inlineStr">
        <is>
          <t>448330</t>
        </is>
      </c>
      <c r="C80" s="93" t="inlineStr">
        <is>
          <t>삼성자산운용(ETF)</t>
        </is>
      </c>
      <c r="D80" s="94" t="n">
        <v>17100</v>
      </c>
      <c r="E80" s="94" t="n">
        <v>1263690000000</v>
      </c>
      <c r="F80" s="94" t="n">
        <v>13889200989</v>
      </c>
      <c r="G80" s="74" t="n">
        <v>0.0007000000000000001</v>
      </c>
      <c r="H80" s="74" t="n">
        <v>0.2306</v>
      </c>
      <c r="I80" s="74" t="n">
        <v>0.0021</v>
      </c>
      <c r="J80" s="74" t="n">
        <v>0.02117</v>
      </c>
      <c r="K80" s="94" t="n">
        <v>24</v>
      </c>
      <c r="L80" s="93" t="inlineStr">
        <is>
          <t>20260914</t>
        </is>
      </c>
      <c r="M80" s="93" t="inlineStr">
        <is>
          <t>채택</t>
        </is>
      </c>
      <c r="N80" s="93" t="inlineStr"/>
      <c r="O80" s="93" t="inlineStr">
        <is>
          <t>Wise 삼성전자 채권혼합 지수</t>
        </is>
      </c>
      <c r="P80" s="93" t="inlineStr">
        <is>
          <t>일반</t>
        </is>
      </c>
      <c r="Q80" s="93" t="inlineStr">
        <is>
          <t>멀티에셋</t>
        </is>
      </c>
      <c r="R80" s="93" t="inlineStr">
        <is>
          <t>월배당</t>
        </is>
      </c>
      <c r="S80" s="94" t="n">
        <v>12</v>
      </c>
      <c r="T80">
        <f>IF(AND($J80&lt;&gt;"",OR(조회_주기="전체",$R80=조회_주기),$J80&gt;=조회_최소,$J80&lt;=조회_최대),1,0)</f>
        <v/>
      </c>
      <c r="U80">
        <f>IF($T80=1,$U79+1,$U79)</f>
        <v/>
      </c>
      <c r="V80">
        <f>IF(검색어="",1,IF(ISNUMBER(SEARCH(검색어,$A80)),1,0))</f>
        <v/>
      </c>
      <c r="W80">
        <f>IF($V80=1,$W79+1,$W79)</f>
        <v/>
      </c>
      <c r="X80">
        <f>IFERROR(INDEX($A$4:$A$517,MATCH(77,$W$4:$W$517,0)),"")</f>
        <v/>
      </c>
    </row>
    <row r="81">
      <c r="A81" s="93" t="inlineStr">
        <is>
          <t>TIGER 미국S&amp;P500배당귀족</t>
        </is>
      </c>
      <c r="B81" s="93" t="inlineStr">
        <is>
          <t>429000</t>
        </is>
      </c>
      <c r="C81" s="93" t="inlineStr">
        <is>
          <t>미래에셋자산운용</t>
        </is>
      </c>
      <c r="D81" s="94" t="n">
        <v>13090</v>
      </c>
      <c r="E81" s="94" t="n">
        <v>187187000000</v>
      </c>
      <c r="F81" s="94" t="n">
        <v>1358063540</v>
      </c>
      <c r="G81" s="74" t="n">
        <v>0.0025</v>
      </c>
      <c r="H81" s="74" t="n">
        <v>0.1468</v>
      </c>
      <c r="I81" s="74" t="n">
        <v>0.0015</v>
      </c>
      <c r="J81" s="74" t="n">
        <v>0.020932</v>
      </c>
      <c r="K81" s="94" t="n">
        <v>48</v>
      </c>
      <c r="L81" s="93" t="inlineStr">
        <is>
          <t>20260828</t>
        </is>
      </c>
      <c r="M81" s="93" t="inlineStr">
        <is>
          <t>채택</t>
        </is>
      </c>
      <c r="N81" s="93" t="inlineStr"/>
      <c r="O81" s="93" t="inlineStr">
        <is>
          <t>S&amp;P 500 Dividend Aristocrats Index</t>
        </is>
      </c>
      <c r="P81" s="93" t="inlineStr">
        <is>
          <t>일반</t>
        </is>
      </c>
      <c r="Q81" s="93" t="inlineStr">
        <is>
          <t>주식</t>
        </is>
      </c>
      <c r="R81" s="93" t="inlineStr">
        <is>
          <t>월배당</t>
        </is>
      </c>
      <c r="S81" s="94" t="n">
        <v>11</v>
      </c>
      <c r="T81">
        <f>IF(AND($J81&lt;&gt;"",OR(조회_주기="전체",$R81=조회_주기),$J81&gt;=조회_최소,$J81&lt;=조회_최대),1,0)</f>
        <v/>
      </c>
      <c r="U81">
        <f>IF($T81=1,$U80+1,$U80)</f>
        <v/>
      </c>
      <c r="V81">
        <f>IF(검색어="",1,IF(ISNUMBER(SEARCH(검색어,$A81)),1,0))</f>
        <v/>
      </c>
      <c r="W81">
        <f>IF($V81=1,$W80+1,$W80)</f>
        <v/>
      </c>
      <c r="X81">
        <f>IFERROR(INDEX($A$4:$A$517,MATCH(78,$W$4:$W$517,0)),"")</f>
        <v/>
      </c>
    </row>
    <row r="82">
      <c r="A82" s="93" t="inlineStr">
        <is>
          <t>TIGER 일본엔선물</t>
        </is>
      </c>
      <c r="B82" s="93" t="inlineStr">
        <is>
          <t>292560</t>
        </is>
      </c>
      <c r="C82" s="93" t="inlineStr">
        <is>
          <t>미래에셋자산운용</t>
        </is>
      </c>
      <c r="D82" s="94" t="n">
        <v>8210</v>
      </c>
      <c r="E82" s="94" t="n">
        <v>50081000000</v>
      </c>
      <c r="F82" s="94" t="n">
        <v>655675298</v>
      </c>
      <c r="G82" s="74" t="n">
        <v>0.0025</v>
      </c>
      <c r="H82" s="74" t="n">
        <v>0.103</v>
      </c>
      <c r="I82" s="74" t="n">
        <v>0.0194</v>
      </c>
      <c r="J82" s="74" t="n">
        <v>0.020706</v>
      </c>
      <c r="K82" s="94" t="n">
        <v>1</v>
      </c>
      <c r="L82" s="93" t="inlineStr">
        <is>
          <t>20251229</t>
        </is>
      </c>
      <c r="M82" s="93" t="inlineStr">
        <is>
          <t>채택</t>
        </is>
      </c>
      <c r="N82" s="93" t="inlineStr"/>
      <c r="O82" s="93" t="inlineStr">
        <is>
          <t>엔선물 지수</t>
        </is>
      </c>
      <c r="P82" s="93" t="inlineStr">
        <is>
          <t>일반</t>
        </is>
      </c>
      <c r="Q82" s="93" t="inlineStr">
        <is>
          <t>통화</t>
        </is>
      </c>
      <c r="R82" s="93" t="inlineStr">
        <is>
          <t>연배당</t>
        </is>
      </c>
      <c r="S82" s="94" t="n">
        <v>1</v>
      </c>
      <c r="T82">
        <f>IF(AND($J82&lt;&gt;"",OR(조회_주기="전체",$R82=조회_주기),$J82&gt;=조회_최소,$J82&lt;=조회_최대),1,0)</f>
        <v/>
      </c>
      <c r="U82">
        <f>IF($T82=1,$U81+1,$U81)</f>
        <v/>
      </c>
      <c r="V82">
        <f>IF(검색어="",1,IF(ISNUMBER(SEARCH(검색어,$A82)),1,0))</f>
        <v/>
      </c>
      <c r="W82">
        <f>IF($V82=1,$W81+1,$W81)</f>
        <v/>
      </c>
      <c r="X82">
        <f>IFERROR(INDEX($A$4:$A$517,MATCH(79,$W$4:$W$517,0)),"")</f>
        <v/>
      </c>
    </row>
    <row r="83">
      <c r="A83" s="93" t="inlineStr">
        <is>
          <t>KODEX 미국S&amp;P500</t>
        </is>
      </c>
      <c r="B83" s="93" t="inlineStr">
        <is>
          <t>379800</t>
        </is>
      </c>
      <c r="C83" s="93" t="inlineStr">
        <is>
          <t>삼성자산운용(ETF)</t>
        </is>
      </c>
      <c r="D83" s="94" t="n">
        <v>23690</v>
      </c>
      <c r="E83" s="94" t="n">
        <v>10283829000000</v>
      </c>
      <c r="F83" s="94" t="n">
        <v>666550644921</v>
      </c>
      <c r="G83" s="74" t="n">
        <v>6.2e-05</v>
      </c>
      <c r="H83" s="74" t="n">
        <v>0.1468</v>
      </c>
      <c r="I83" s="74" t="n">
        <v>0.0054</v>
      </c>
      <c r="J83" s="74" t="n">
        <v>0.02022</v>
      </c>
      <c r="K83" s="94" t="n">
        <v>6</v>
      </c>
      <c r="L83" s="93" t="inlineStr">
        <is>
          <t>20260730</t>
        </is>
      </c>
      <c r="M83" s="93" t="inlineStr">
        <is>
          <t>채택</t>
        </is>
      </c>
      <c r="N83" s="93" t="inlineStr"/>
      <c r="O83" s="93" t="inlineStr">
        <is>
          <t>S&amp;P 500</t>
        </is>
      </c>
      <c r="P83" s="93" t="inlineStr">
        <is>
          <t>일반</t>
        </is>
      </c>
      <c r="Q83" s="93" t="inlineStr">
        <is>
          <t>주식</t>
        </is>
      </c>
      <c r="R83" s="93" t="inlineStr">
        <is>
          <t>분기배당</t>
        </is>
      </c>
      <c r="S83" s="94" t="n">
        <v>4</v>
      </c>
      <c r="T83">
        <f>IF(AND($J83&lt;&gt;"",OR(조회_주기="전체",$R83=조회_주기),$J83&gt;=조회_최소,$J83&lt;=조회_최대),1,0)</f>
        <v/>
      </c>
      <c r="U83">
        <f>IF($T83=1,$U82+1,$U82)</f>
        <v/>
      </c>
      <c r="V83">
        <f>IF(검색어="",1,IF(ISNUMBER(SEARCH(검색어,$A83)),1,0))</f>
        <v/>
      </c>
      <c r="W83">
        <f>IF($V83=1,$W82+1,$W82)</f>
        <v/>
      </c>
      <c r="X83">
        <f>IFERROR(INDEX($A$4:$A$517,MATCH(80,$W$4:$W$517,0)),"")</f>
        <v/>
      </c>
    </row>
    <row r="84">
      <c r="A84" s="93" t="inlineStr">
        <is>
          <t>SOL 미국S&amp;P500미국채혼합50</t>
        </is>
      </c>
      <c r="B84" s="93" t="inlineStr">
        <is>
          <t>0080X0</t>
        </is>
      </c>
      <c r="C84" s="93" t="inlineStr">
        <is>
          <t>신한자산운용</t>
        </is>
      </c>
      <c r="D84" s="94" t="n">
        <v>10800</v>
      </c>
      <c r="E84" s="94" t="n">
        <v>75600000000</v>
      </c>
      <c r="F84" s="94" t="n">
        <v>690979405</v>
      </c>
      <c r="G84" s="74" t="n">
        <v>0.0015</v>
      </c>
      <c r="H84" s="74" t="n">
        <v>0.1089</v>
      </c>
      <c r="I84" s="74" t="n">
        <v>0.0019</v>
      </c>
      <c r="J84" s="74" t="n">
        <v>0.019907</v>
      </c>
      <c r="K84" s="94" t="n">
        <v>13</v>
      </c>
      <c r="L84" s="93" t="inlineStr">
        <is>
          <t>20260914</t>
        </is>
      </c>
      <c r="M84" s="93" t="inlineStr">
        <is>
          <t>채택</t>
        </is>
      </c>
      <c r="N84" s="93" t="inlineStr"/>
      <c r="O84" s="93" t="inlineStr">
        <is>
          <t>S&amp;P 500 and iBoxx $ Treasuries 7-10Y 50/50 Blend Index (USD)</t>
        </is>
      </c>
      <c r="P84" s="93" t="inlineStr">
        <is>
          <t>일반</t>
        </is>
      </c>
      <c r="Q84" s="93" t="inlineStr">
        <is>
          <t>멀티에셋</t>
        </is>
      </c>
      <c r="R84" s="93" t="inlineStr">
        <is>
          <t>월배당</t>
        </is>
      </c>
      <c r="S84" s="94" t="n">
        <v>12</v>
      </c>
      <c r="T84">
        <f>IF(AND($J84&lt;&gt;"",OR(조회_주기="전체",$R84=조회_주기),$J84&gt;=조회_최소,$J84&lt;=조회_최대),1,0)</f>
        <v/>
      </c>
      <c r="U84">
        <f>IF($T84=1,$U83+1,$U83)</f>
        <v/>
      </c>
      <c r="V84">
        <f>IF(검색어="",1,IF(ISNUMBER(SEARCH(검색어,$A84)),1,0))</f>
        <v/>
      </c>
      <c r="W84">
        <f>IF($V84=1,$W83+1,$W83)</f>
        <v/>
      </c>
      <c r="X84">
        <f>IFERROR(INDEX($A$4:$A$517,MATCH(81,$W$4:$W$517,0)),"")</f>
        <v/>
      </c>
    </row>
    <row r="85">
      <c r="A85" s="93" t="inlineStr">
        <is>
          <t>KODEX 국고채30년액티브</t>
        </is>
      </c>
      <c r="B85" s="93" t="inlineStr">
        <is>
          <t>439870</t>
        </is>
      </c>
      <c r="C85" s="93" t="inlineStr">
        <is>
          <t>삼성자산운용(ETF)</t>
        </is>
      </c>
      <c r="D85" s="94" t="n">
        <v>87215</v>
      </c>
      <c r="E85" s="94" t="n">
        <v>284233685000</v>
      </c>
      <c r="F85" s="94" t="n">
        <v>663474440</v>
      </c>
      <c r="G85" s="74" t="n">
        <v>0.0005</v>
      </c>
      <c r="H85" s="74" t="n">
        <v>0.1388</v>
      </c>
      <c r="I85" s="74" t="n">
        <v>0.0154</v>
      </c>
      <c r="J85" s="74" t="n">
        <v>0.019526</v>
      </c>
      <c r="K85" s="94" t="n">
        <v>1</v>
      </c>
      <c r="L85" s="93" t="inlineStr">
        <is>
          <t>20251212</t>
        </is>
      </c>
      <c r="M85" s="93" t="inlineStr">
        <is>
          <t>채택</t>
        </is>
      </c>
      <c r="N85" s="93" t="inlineStr"/>
      <c r="O85" s="93" t="inlineStr">
        <is>
          <t>KAP 국고채 30년 총수익 지수</t>
        </is>
      </c>
      <c r="P85" s="93" t="inlineStr">
        <is>
          <t>일반</t>
        </is>
      </c>
      <c r="Q85" s="93" t="inlineStr">
        <is>
          <t>채권</t>
        </is>
      </c>
      <c r="R85" s="93" t="inlineStr">
        <is>
          <t>연배당</t>
        </is>
      </c>
      <c r="S85" s="94" t="n">
        <v>1</v>
      </c>
      <c r="T85">
        <f>IF(AND($J85&lt;&gt;"",OR(조회_주기="전체",$R85=조회_주기),$J85&gt;=조회_최소,$J85&lt;=조회_최대),1,0)</f>
        <v/>
      </c>
      <c r="U85">
        <f>IF($T85=1,$U84+1,$U84)</f>
        <v/>
      </c>
      <c r="V85">
        <f>IF(검색어="",1,IF(ISNUMBER(SEARCH(검색어,$A85)),1,0))</f>
        <v/>
      </c>
      <c r="W85">
        <f>IF($V85=1,$W84+1,$W84)</f>
        <v/>
      </c>
      <c r="X85">
        <f>IFERROR(INDEX($A$4:$A$517,MATCH(82,$W$4:$W$517,0)),"")</f>
        <v/>
      </c>
    </row>
    <row r="86">
      <c r="A86" s="93" t="inlineStr">
        <is>
          <t>ACE 미국나스닥100미국채혼합50액티브</t>
        </is>
      </c>
      <c r="B86" s="93" t="inlineStr">
        <is>
          <t>438100</t>
        </is>
      </c>
      <c r="C86" s="93" t="inlineStr">
        <is>
          <t>한국투자신탁운용</t>
        </is>
      </c>
      <c r="D86" s="94" t="n">
        <v>15110</v>
      </c>
      <c r="E86" s="94" t="n">
        <v>935309000000</v>
      </c>
      <c r="F86" s="94" t="n">
        <v>5270650781</v>
      </c>
      <c r="G86" s="74" t="n">
        <v>0.0015</v>
      </c>
      <c r="H86" s="74" t="n">
        <v>0.114</v>
      </c>
      <c r="I86" s="74" t="n">
        <v>0.0193</v>
      </c>
      <c r="J86" s="74" t="n">
        <v>0.01906</v>
      </c>
      <c r="K86" s="94" t="n">
        <v>1</v>
      </c>
      <c r="L86" s="93" t="inlineStr">
        <is>
          <t>20251229</t>
        </is>
      </c>
      <c r="M86" s="93" t="inlineStr">
        <is>
          <t>채택</t>
        </is>
      </c>
      <c r="N86" s="93" t="inlineStr"/>
      <c r="O86" s="93" t="inlineStr">
        <is>
          <t>Nasdaq-100 US T-Bills 30/70 Index</t>
        </is>
      </c>
      <c r="P86" s="93" t="inlineStr">
        <is>
          <t>일반</t>
        </is>
      </c>
      <c r="Q86" s="93" t="inlineStr">
        <is>
          <t>멀티에셋</t>
        </is>
      </c>
      <c r="R86" s="93" t="inlineStr">
        <is>
          <t>연배당</t>
        </is>
      </c>
      <c r="S86" s="94" t="n">
        <v>1</v>
      </c>
      <c r="T86">
        <f>IF(AND($J86&lt;&gt;"",OR(조회_주기="전체",$R86=조회_주기),$J86&gt;=조회_최소,$J86&lt;=조회_최대),1,0)</f>
        <v/>
      </c>
      <c r="U86">
        <f>IF($T86=1,$U85+1,$U85)</f>
        <v/>
      </c>
      <c r="V86">
        <f>IF(검색어="",1,IF(ISNUMBER(SEARCH(검색어,$A86)),1,0))</f>
        <v/>
      </c>
      <c r="W86">
        <f>IF($V86=1,$W85+1,$W85)</f>
        <v/>
      </c>
      <c r="X86">
        <f>IFERROR(INDEX($A$4:$A$517,MATCH(83,$W$4:$W$517,0)),"")</f>
        <v/>
      </c>
    </row>
    <row r="87">
      <c r="A87" s="93" t="inlineStr">
        <is>
          <t>KODEX TDF2040액티브 적격</t>
        </is>
      </c>
      <c r="B87" s="93" t="inlineStr">
        <is>
          <t>433980</t>
        </is>
      </c>
      <c r="C87" s="93" t="inlineStr">
        <is>
          <t>삼성자산운용(ETF)</t>
        </is>
      </c>
      <c r="D87" s="94" t="n">
        <v>15705</v>
      </c>
      <c r="E87" s="94" t="n">
        <v>189245250000</v>
      </c>
      <c r="F87" s="94" t="n">
        <v>922838510</v>
      </c>
      <c r="G87" s="74" t="n">
        <v>0.0025</v>
      </c>
      <c r="H87" s="74" t="n">
        <v>0.1001</v>
      </c>
      <c r="I87" s="74" t="n">
        <v>0.006500000000000001</v>
      </c>
      <c r="J87" s="74" t="n">
        <v>0.017765</v>
      </c>
      <c r="K87" s="94" t="n">
        <v>11</v>
      </c>
      <c r="L87" s="93" t="inlineStr">
        <is>
          <t>20260730</t>
        </is>
      </c>
      <c r="M87" s="93" t="inlineStr">
        <is>
          <t>채택</t>
        </is>
      </c>
      <c r="N87" s="93" t="inlineStr"/>
      <c r="O87" s="93" t="inlineStr">
        <is>
          <t>Samsung Korea Target Date 2040 Index</t>
        </is>
      </c>
      <c r="P87" s="93" t="inlineStr">
        <is>
          <t>일반</t>
        </is>
      </c>
      <c r="Q87" s="93" t="inlineStr">
        <is>
          <t>멀티에셋</t>
        </is>
      </c>
      <c r="R87" s="93" t="inlineStr">
        <is>
          <t>분기배당</t>
        </is>
      </c>
      <c r="S87" s="94" t="n">
        <v>4</v>
      </c>
      <c r="T87">
        <f>IF(AND($J87&lt;&gt;"",OR(조회_주기="전체",$R87=조회_주기),$J87&gt;=조회_최소,$J87&lt;=조회_최대),1,0)</f>
        <v/>
      </c>
      <c r="U87">
        <f>IF($T87=1,$U86+1,$U86)</f>
        <v/>
      </c>
      <c r="V87">
        <f>IF(검색어="",1,IF(ISNUMBER(SEARCH(검색어,$A87)),1,0))</f>
        <v/>
      </c>
      <c r="W87">
        <f>IF($V87=1,$W86+1,$W86)</f>
        <v/>
      </c>
      <c r="X87">
        <f>IFERROR(INDEX($A$4:$A$517,MATCH(84,$W$4:$W$517,0)),"")</f>
        <v/>
      </c>
    </row>
    <row r="88">
      <c r="A88" s="93" t="inlineStr">
        <is>
          <t>TIGER 국고채30년스트립액티브</t>
        </is>
      </c>
      <c r="B88" s="93" t="inlineStr">
        <is>
          <t>451530</t>
        </is>
      </c>
      <c r="C88" s="93" t="inlineStr">
        <is>
          <t>미래에셋자산운용</t>
        </is>
      </c>
      <c r="D88" s="94" t="n">
        <v>34770</v>
      </c>
      <c r="E88" s="94" t="n">
        <v>137341500000</v>
      </c>
      <c r="F88" s="94" t="n">
        <v>1074351976</v>
      </c>
      <c r="G88" s="74" t="n">
        <v>0.0015</v>
      </c>
      <c r="H88" s="74" t="n">
        <v>0.2054</v>
      </c>
      <c r="I88" s="74" t="n">
        <v>0.0114</v>
      </c>
      <c r="J88" s="74" t="n">
        <v>0.017601</v>
      </c>
      <c r="K88" s="94" t="n">
        <v>1</v>
      </c>
      <c r="L88" s="93" t="inlineStr">
        <is>
          <t>20251127</t>
        </is>
      </c>
      <c r="M88" s="93" t="inlineStr">
        <is>
          <t>채택</t>
        </is>
      </c>
      <c r="N88" s="93" t="inlineStr"/>
      <c r="O88" s="93" t="inlineStr">
        <is>
          <t>KIS STRIP 30Y Index</t>
        </is>
      </c>
      <c r="P88" s="93" t="inlineStr">
        <is>
          <t>일반</t>
        </is>
      </c>
      <c r="Q88" s="93" t="inlineStr">
        <is>
          <t>채권</t>
        </is>
      </c>
      <c r="R88" s="93" t="inlineStr">
        <is>
          <t>연배당</t>
        </is>
      </c>
      <c r="S88" s="94" t="n">
        <v>1</v>
      </c>
      <c r="T88">
        <f>IF(AND($J88&lt;&gt;"",OR(조회_주기="전체",$R88=조회_주기),$J88&gt;=조회_최소,$J88&lt;=조회_최대),1,0)</f>
        <v/>
      </c>
      <c r="U88">
        <f>IF($T88=1,$U87+1,$U87)</f>
        <v/>
      </c>
      <c r="V88">
        <f>IF(검색어="",1,IF(ISNUMBER(SEARCH(검색어,$A88)),1,0))</f>
        <v/>
      </c>
      <c r="W88">
        <f>IF($V88=1,$W87+1,$W87)</f>
        <v/>
      </c>
      <c r="X88">
        <f>IFERROR(INDEX($A$4:$A$517,MATCH(85,$W$4:$W$517,0)),"")</f>
        <v/>
      </c>
    </row>
    <row r="89">
      <c r="A89" s="93" t="inlineStr">
        <is>
          <t>KODEX 200미국채혼합50</t>
        </is>
      </c>
      <c r="B89" s="93" t="inlineStr">
        <is>
          <t>284430</t>
        </is>
      </c>
      <c r="C89" s="93" t="inlineStr">
        <is>
          <t>삼성자산운용(ETF)</t>
        </is>
      </c>
      <c r="D89" s="94" t="n">
        <v>20560</v>
      </c>
      <c r="E89" s="94" t="n">
        <v>1993497600000</v>
      </c>
      <c r="F89" s="94" t="n">
        <v>21856115084</v>
      </c>
      <c r="G89" s="74" t="n">
        <v>0.0035</v>
      </c>
      <c r="H89" s="74" t="n">
        <v>0.25</v>
      </c>
      <c r="I89" s="74" t="n">
        <v>0.0013</v>
      </c>
      <c r="J89" s="74" t="n">
        <v>0.017023</v>
      </c>
      <c r="K89" s="94" t="n">
        <v>14</v>
      </c>
      <c r="L89" s="93" t="inlineStr">
        <is>
          <t>20260914</t>
        </is>
      </c>
      <c r="M89" s="93" t="inlineStr">
        <is>
          <t>채택</t>
        </is>
      </c>
      <c r="N89" s="93" t="inlineStr"/>
      <c r="O89" s="93" t="inlineStr">
        <is>
          <t>코스피 200 미국채 혼합지수</t>
        </is>
      </c>
      <c r="P89" s="93" t="inlineStr">
        <is>
          <t>일반</t>
        </is>
      </c>
      <c r="Q89" s="93" t="inlineStr">
        <is>
          <t>멀티에셋</t>
        </is>
      </c>
      <c r="R89" s="93" t="inlineStr">
        <is>
          <t>월배당</t>
        </is>
      </c>
      <c r="S89" s="94" t="n">
        <v>12</v>
      </c>
      <c r="T89">
        <f>IF(AND($J89&lt;&gt;"",OR(조회_주기="전체",$R89=조회_주기),$J89&gt;=조회_최소,$J89&lt;=조회_최대),1,0)</f>
        <v/>
      </c>
      <c r="U89">
        <f>IF($T89=1,$U88+1,$U88)</f>
        <v/>
      </c>
      <c r="V89">
        <f>IF(검색어="",1,IF(ISNUMBER(SEARCH(검색어,$A89)),1,0))</f>
        <v/>
      </c>
      <c r="W89">
        <f>IF($V89=1,$W88+1,$W88)</f>
        <v/>
      </c>
      <c r="X89">
        <f>IFERROR(INDEX($A$4:$A$517,MATCH(86,$W$4:$W$517,0)),"")</f>
        <v/>
      </c>
    </row>
    <row r="90">
      <c r="A90" s="93" t="inlineStr">
        <is>
          <t>TIGER 여행레저</t>
        </is>
      </c>
      <c r="B90" s="93" t="inlineStr">
        <is>
          <t>228800</t>
        </is>
      </c>
      <c r="C90" s="93" t="inlineStr">
        <is>
          <t>미래에셋자산운용</t>
        </is>
      </c>
      <c r="D90" s="94" t="n">
        <v>2645</v>
      </c>
      <c r="E90" s="94" t="n">
        <v>68002950000</v>
      </c>
      <c r="F90" s="94" t="n">
        <v>642158461</v>
      </c>
      <c r="G90" s="74" t="n">
        <v>0.005</v>
      </c>
      <c r="H90" s="74" t="n">
        <v>0.3287</v>
      </c>
      <c r="I90" s="74" t="n">
        <v>0.013</v>
      </c>
      <c r="J90" s="74" t="n">
        <v>0.017013</v>
      </c>
      <c r="K90" s="94" t="n">
        <v>5</v>
      </c>
      <c r="L90" s="93" t="inlineStr">
        <is>
          <t>20260429</t>
        </is>
      </c>
      <c r="M90" s="93" t="inlineStr">
        <is>
          <t>채택</t>
        </is>
      </c>
      <c r="N90" s="93" t="inlineStr"/>
      <c r="O90" s="93" t="inlineStr">
        <is>
          <t>WISE 여행레저 지수</t>
        </is>
      </c>
      <c r="P90" s="93" t="inlineStr">
        <is>
          <t>일반</t>
        </is>
      </c>
      <c r="Q90" s="93" t="inlineStr">
        <is>
          <t>주식</t>
        </is>
      </c>
      <c r="R90" s="93" t="inlineStr">
        <is>
          <t>연배당</t>
        </is>
      </c>
      <c r="S90" s="94" t="n">
        <v>1</v>
      </c>
      <c r="T90">
        <f>IF(AND($J90&lt;&gt;"",OR(조회_주기="전체",$R90=조회_주기),$J90&gt;=조회_최소,$J90&lt;=조회_최대),1,0)</f>
        <v/>
      </c>
      <c r="U90">
        <f>IF($T90=1,$U89+1,$U89)</f>
        <v/>
      </c>
      <c r="V90">
        <f>IF(검색어="",1,IF(ISNUMBER(SEARCH(검색어,$A90)),1,0))</f>
        <v/>
      </c>
      <c r="W90">
        <f>IF($V90=1,$W89+1,$W89)</f>
        <v/>
      </c>
      <c r="X90">
        <f>IFERROR(INDEX($A$4:$A$517,MATCH(87,$W$4:$W$517,0)),"")</f>
        <v/>
      </c>
    </row>
    <row r="91">
      <c r="A91" s="93" t="inlineStr">
        <is>
          <t>1Q 단기금융채액티브</t>
        </is>
      </c>
      <c r="B91" s="93" t="inlineStr">
        <is>
          <t>463290</t>
        </is>
      </c>
      <c r="C91" s="93" t="inlineStr">
        <is>
          <t>하나자산운용</t>
        </is>
      </c>
      <c r="D91" s="94" t="n">
        <v>109395</v>
      </c>
      <c r="E91" s="94" t="n">
        <v>126132435000</v>
      </c>
      <c r="F91" s="94" t="n">
        <v>606070988</v>
      </c>
      <c r="G91" s="74" t="n">
        <v>0.0008</v>
      </c>
      <c r="H91" s="74" t="n">
        <v>0.0168</v>
      </c>
      <c r="I91" s="74" t="n">
        <v>0.0167</v>
      </c>
      <c r="J91" s="74" t="n">
        <v>0.016628</v>
      </c>
      <c r="K91" s="94" t="n">
        <v>1</v>
      </c>
      <c r="L91" s="93" t="inlineStr">
        <is>
          <t>20251229</t>
        </is>
      </c>
      <c r="M91" s="93" t="inlineStr">
        <is>
          <t>채택</t>
        </is>
      </c>
      <c r="N91" s="93" t="inlineStr"/>
      <c r="O91" s="93" t="inlineStr">
        <is>
          <t>MK Money Market지수</t>
        </is>
      </c>
      <c r="P91" s="93" t="inlineStr">
        <is>
          <t>일반</t>
        </is>
      </c>
      <c r="Q91" s="93" t="inlineStr">
        <is>
          <t>채권</t>
        </is>
      </c>
      <c r="R91" s="93" t="inlineStr">
        <is>
          <t>연배당</t>
        </is>
      </c>
      <c r="S91" s="94" t="n">
        <v>1</v>
      </c>
      <c r="T91">
        <f>IF(AND($J91&lt;&gt;"",OR(조회_주기="전체",$R91=조회_주기),$J91&gt;=조회_최소,$J91&lt;=조회_최대),1,0)</f>
        <v/>
      </c>
      <c r="U91">
        <f>IF($T91=1,$U90+1,$U90)</f>
        <v/>
      </c>
      <c r="V91">
        <f>IF(검색어="",1,IF(ISNUMBER(SEARCH(검색어,$A91)),1,0))</f>
        <v/>
      </c>
      <c r="W91">
        <f>IF($V91=1,$W90+1,$W90)</f>
        <v/>
      </c>
      <c r="X91">
        <f>IFERROR(INDEX($A$4:$A$517,MATCH(88,$W$4:$W$517,0)),"")</f>
        <v/>
      </c>
    </row>
    <row r="92">
      <c r="A92" s="93" t="inlineStr">
        <is>
          <t>KODEX TDF2050액티브 적격</t>
        </is>
      </c>
      <c r="B92" s="93" t="inlineStr">
        <is>
          <t>434060</t>
        </is>
      </c>
      <c r="C92" s="93" t="inlineStr">
        <is>
          <t>삼성자산운용(ETF)</t>
        </is>
      </c>
      <c r="D92" s="94" t="n">
        <v>16615</v>
      </c>
      <c r="E92" s="94" t="n">
        <v>628047000000</v>
      </c>
      <c r="F92" s="94" t="n">
        <v>2354097119</v>
      </c>
      <c r="G92" s="74" t="n">
        <v>0.003</v>
      </c>
      <c r="H92" s="74" t="n">
        <v>0.1237</v>
      </c>
      <c r="I92" s="74" t="n">
        <v>0.006999999999999999</v>
      </c>
      <c r="J92" s="74" t="n">
        <v>0.016431</v>
      </c>
      <c r="K92" s="94" t="n">
        <v>11</v>
      </c>
      <c r="L92" s="93" t="inlineStr">
        <is>
          <t>20260730</t>
        </is>
      </c>
      <c r="M92" s="93" t="inlineStr">
        <is>
          <t>채택</t>
        </is>
      </c>
      <c r="N92" s="93" t="inlineStr"/>
      <c r="O92" s="93" t="inlineStr">
        <is>
          <t>Samsung Korea Target Date 2050 Index</t>
        </is>
      </c>
      <c r="P92" s="93" t="inlineStr">
        <is>
          <t>일반</t>
        </is>
      </c>
      <c r="Q92" s="93" t="inlineStr">
        <is>
          <t>멀티에셋</t>
        </is>
      </c>
      <c r="R92" s="93" t="inlineStr">
        <is>
          <t>분기배당</t>
        </is>
      </c>
      <c r="S92" s="94" t="n">
        <v>4</v>
      </c>
      <c r="T92">
        <f>IF(AND($J92&lt;&gt;"",OR(조회_주기="전체",$R92=조회_주기),$J92&gt;=조회_최소,$J92&lt;=조회_최대),1,0)</f>
        <v/>
      </c>
      <c r="U92">
        <f>IF($T92=1,$U91+1,$U91)</f>
        <v/>
      </c>
      <c r="V92">
        <f>IF(검색어="",1,IF(ISNUMBER(SEARCH(검색어,$A92)),1,0))</f>
        <v/>
      </c>
      <c r="W92">
        <f>IF($V92=1,$W91+1,$W91)</f>
        <v/>
      </c>
      <c r="X92">
        <f>IFERROR(INDEX($A$4:$A$517,MATCH(89,$W$4:$W$517,0)),"")</f>
        <v/>
      </c>
    </row>
    <row r="93">
      <c r="A93" s="93" t="inlineStr">
        <is>
          <t>TIGER 토탈월드스탁액티브</t>
        </is>
      </c>
      <c r="B93" s="93" t="inlineStr">
        <is>
          <t>0060H0</t>
        </is>
      </c>
      <c r="C93" s="93" t="inlineStr">
        <is>
          <t>미래에셋자산운용</t>
        </is>
      </c>
      <c r="D93" s="94" t="n">
        <v>12590</v>
      </c>
      <c r="E93" s="94" t="n">
        <v>395326000000</v>
      </c>
      <c r="F93" s="94" t="n">
        <v>1905539656</v>
      </c>
      <c r="G93" s="74" t="n">
        <v>0.0025</v>
      </c>
      <c r="H93" s="74" t="n">
        <v>0.1353</v>
      </c>
      <c r="I93" s="74" t="n">
        <v>0.004099999999999999</v>
      </c>
      <c r="J93" s="74" t="n">
        <v>0.016362</v>
      </c>
      <c r="K93" s="94" t="n">
        <v>5</v>
      </c>
      <c r="L93" s="93" t="inlineStr">
        <is>
          <t>20260730</t>
        </is>
      </c>
      <c r="M93" s="93" t="inlineStr">
        <is>
          <t>채택</t>
        </is>
      </c>
      <c r="N93" s="93" t="inlineStr"/>
      <c r="O93" s="93" t="inlineStr">
        <is>
          <t>FTSE GLOBAL ALL CAP INDEX</t>
        </is>
      </c>
      <c r="P93" s="93" t="inlineStr">
        <is>
          <t>일반</t>
        </is>
      </c>
      <c r="Q93" s="93" t="inlineStr">
        <is>
          <t>주식</t>
        </is>
      </c>
      <c r="R93" s="93" t="inlineStr">
        <is>
          <t>분기배당</t>
        </is>
      </c>
      <c r="S93" s="94" t="n">
        <v>4</v>
      </c>
      <c r="T93">
        <f>IF(AND($J93&lt;&gt;"",OR(조회_주기="전체",$R93=조회_주기),$J93&gt;=조회_최소,$J93&lt;=조회_최대),1,0)</f>
        <v/>
      </c>
      <c r="U93">
        <f>IF($T93=1,$U92+1,$U92)</f>
        <v/>
      </c>
      <c r="V93">
        <f>IF(검색어="",1,IF(ISNUMBER(SEARCH(검색어,$A93)),1,0))</f>
        <v/>
      </c>
      <c r="W93">
        <f>IF($V93=1,$W92+1,$W92)</f>
        <v/>
      </c>
      <c r="X93">
        <f>IFERROR(INDEX($A$4:$A$517,MATCH(90,$W$4:$W$517,0)),"")</f>
        <v/>
      </c>
    </row>
    <row r="94">
      <c r="A94" s="93" t="inlineStr">
        <is>
          <t>1Q 미국S&amp;P500미국채혼합50액티브</t>
        </is>
      </c>
      <c r="B94" s="93" t="inlineStr">
        <is>
          <t>0052S0</t>
        </is>
      </c>
      <c r="C94" s="93" t="inlineStr">
        <is>
          <t>하나자산운용</t>
        </is>
      </c>
      <c r="D94" s="94" t="n">
        <v>11525</v>
      </c>
      <c r="E94" s="94" t="n">
        <v>321547500000</v>
      </c>
      <c r="F94" s="94" t="n">
        <v>2366861033</v>
      </c>
      <c r="G94" s="74" t="n">
        <v>0.0015</v>
      </c>
      <c r="H94" s="74" t="n">
        <v>0.1103</v>
      </c>
      <c r="I94" s="74" t="n">
        <v>0.005</v>
      </c>
      <c r="J94" s="74" t="n">
        <v>0.016226</v>
      </c>
      <c r="K94" s="94" t="n">
        <v>4</v>
      </c>
      <c r="L94" s="93" t="inlineStr">
        <is>
          <t>20260730</t>
        </is>
      </c>
      <c r="M94" s="93" t="inlineStr">
        <is>
          <t>채택</t>
        </is>
      </c>
      <c r="N94" s="93" t="inlineStr"/>
      <c r="O94" s="93" t="inlineStr">
        <is>
          <t>S&amp;P 500 and Short-Term Treasury 50/50 Blend Index (USD)</t>
        </is>
      </c>
      <c r="P94" s="93" t="inlineStr">
        <is>
          <t>일반</t>
        </is>
      </c>
      <c r="Q94" s="93" t="inlineStr">
        <is>
          <t>멀티에셋</t>
        </is>
      </c>
      <c r="R94" s="93" t="inlineStr">
        <is>
          <t>분기배당</t>
        </is>
      </c>
      <c r="S94" s="94" t="n">
        <v>4</v>
      </c>
      <c r="T94">
        <f>IF(AND($J94&lt;&gt;"",OR(조회_주기="전체",$R94=조회_주기),$J94&gt;=조회_최소,$J94&lt;=조회_최대),1,0)</f>
        <v/>
      </c>
      <c r="U94">
        <f>IF($T94=1,$U93+1,$U93)</f>
        <v/>
      </c>
      <c r="V94">
        <f>IF(검색어="",1,IF(ISNUMBER(SEARCH(검색어,$A94)),1,0))</f>
        <v/>
      </c>
      <c r="W94">
        <f>IF($V94=1,$W93+1,$W93)</f>
        <v/>
      </c>
      <c r="X94">
        <f>IFERROR(INDEX($A$4:$A$517,MATCH(91,$W$4:$W$517,0)),"")</f>
        <v/>
      </c>
    </row>
    <row r="95">
      <c r="A95" s="93" t="inlineStr">
        <is>
          <t>RISE 버크셔포트폴리오TOP10</t>
        </is>
      </c>
      <c r="B95" s="93" t="inlineStr">
        <is>
          <t>475350</t>
        </is>
      </c>
      <c r="C95" s="93" t="inlineStr">
        <is>
          <t>KB자산운용</t>
        </is>
      </c>
      <c r="D95" s="94" t="n">
        <v>14750</v>
      </c>
      <c r="E95" s="94" t="n">
        <v>74487500000</v>
      </c>
      <c r="F95" s="94" t="n">
        <v>611386146</v>
      </c>
      <c r="G95" s="74" t="n">
        <v>0.0001</v>
      </c>
      <c r="H95" s="74" t="n">
        <v>0.1393</v>
      </c>
      <c r="I95" s="74" t="n">
        <v>0.0054</v>
      </c>
      <c r="J95" s="74" t="n">
        <v>0.016068</v>
      </c>
      <c r="K95" s="94" t="n">
        <v>2</v>
      </c>
      <c r="L95" s="93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Solactive Berkshire Portfolio Top10 Index PR</t>
        </is>
      </c>
      <c r="P95" s="93" t="inlineStr">
        <is>
          <t>일반</t>
        </is>
      </c>
      <c r="Q95" s="93" t="inlineStr">
        <is>
          <t>주식</t>
        </is>
      </c>
      <c r="R95" s="93" t="inlineStr">
        <is>
          <t>연배당</t>
        </is>
      </c>
      <c r="S95" s="94" t="n">
        <v>2</v>
      </c>
      <c r="T95">
        <f>IF(AND($J95&lt;&gt;"",OR(조회_주기="전체",$R95=조회_주기),$J95&gt;=조회_최소,$J95&lt;=조회_최대),1,0)</f>
        <v/>
      </c>
      <c r="U95">
        <f>IF($T95=1,$U94+1,$U94)</f>
        <v/>
      </c>
      <c r="V95">
        <f>IF(검색어="",1,IF(ISNUMBER(SEARCH(검색어,$A95)),1,0))</f>
        <v/>
      </c>
      <c r="W95">
        <f>IF($V95=1,$W94+1,$W94)</f>
        <v/>
      </c>
      <c r="X95">
        <f>IFERROR(INDEX($A$4:$A$517,MATCH(92,$W$4:$W$517,0)),"")</f>
        <v/>
      </c>
    </row>
    <row r="96">
      <c r="A96" s="93" t="inlineStr">
        <is>
          <t>KODEX 종합채권(AA-이상)액티브</t>
        </is>
      </c>
      <c r="B96" s="93" t="inlineStr">
        <is>
          <t>273130</t>
        </is>
      </c>
      <c r="C96" s="93" t="inlineStr">
        <is>
          <t>삼성자산운용(ETF)</t>
        </is>
      </c>
      <c r="D96" s="94" t="n">
        <v>109640</v>
      </c>
      <c r="E96" s="94" t="n">
        <v>3506067920000</v>
      </c>
      <c r="F96" s="94" t="n">
        <v>3401185714</v>
      </c>
      <c r="G96" s="74" t="n">
        <v>0.00045</v>
      </c>
      <c r="H96" s="74" t="n">
        <v>0.04099999999999999</v>
      </c>
      <c r="I96" s="74" t="n">
        <v>0.0149</v>
      </c>
      <c r="J96" s="74" t="n">
        <v>0.015752</v>
      </c>
      <c r="K96" s="94" t="n">
        <v>1</v>
      </c>
      <c r="L96" s="93" t="inlineStr">
        <is>
          <t>20251212</t>
        </is>
      </c>
      <c r="M96" s="93" t="inlineStr">
        <is>
          <t>채택</t>
        </is>
      </c>
      <c r="N96" s="93" t="inlineStr"/>
      <c r="O96" s="93" t="inlineStr">
        <is>
          <t>KAP 한국종합채권</t>
        </is>
      </c>
      <c r="P96" s="93" t="inlineStr">
        <is>
          <t>일반</t>
        </is>
      </c>
      <c r="Q96" s="93" t="inlineStr">
        <is>
          <t>채권</t>
        </is>
      </c>
      <c r="R96" s="93" t="inlineStr">
        <is>
          <t>연배당</t>
        </is>
      </c>
      <c r="S96" s="94" t="n">
        <v>1</v>
      </c>
      <c r="T96">
        <f>IF(AND($J96&lt;&gt;"",OR(조회_주기="전체",$R96=조회_주기),$J96&gt;=조회_최소,$J96&lt;=조회_최대),1,0)</f>
        <v/>
      </c>
      <c r="U96">
        <f>IF($T96=1,$U95+1,$U95)</f>
        <v/>
      </c>
      <c r="V96">
        <f>IF(검색어="",1,IF(ISNUMBER(SEARCH(검색어,$A96)),1,0))</f>
        <v/>
      </c>
      <c r="W96">
        <f>IF($V96=1,$W95+1,$W95)</f>
        <v/>
      </c>
      <c r="X96">
        <f>IFERROR(INDEX($A$4:$A$517,MATCH(93,$W$4:$W$517,0)),"")</f>
        <v/>
      </c>
    </row>
    <row r="97">
      <c r="A97" s="93" t="inlineStr">
        <is>
          <t>KODEX 국고채10년액티브</t>
        </is>
      </c>
      <c r="B97" s="93" t="inlineStr">
        <is>
          <t>471230</t>
        </is>
      </c>
      <c r="C97" s="93" t="inlineStr">
        <is>
          <t>삼성자산운용(ETF)</t>
        </is>
      </c>
      <c r="D97" s="94" t="n">
        <v>102655</v>
      </c>
      <c r="E97" s="94" t="n">
        <v>445112080000</v>
      </c>
      <c r="F97" s="94" t="n">
        <v>2185779961</v>
      </c>
      <c r="G97" s="74" t="n">
        <v>0.00015</v>
      </c>
      <c r="H97" s="74" t="n">
        <v>0.0659</v>
      </c>
      <c r="I97" s="74" t="n">
        <v>0.0147</v>
      </c>
      <c r="J97" s="74" t="n">
        <v>0.015713</v>
      </c>
      <c r="K97" s="94" t="n">
        <v>1</v>
      </c>
      <c r="L97" s="93" t="inlineStr">
        <is>
          <t>20251212</t>
        </is>
      </c>
      <c r="M97" s="93" t="inlineStr">
        <is>
          <t>채택</t>
        </is>
      </c>
      <c r="N97" s="93" t="inlineStr"/>
      <c r="O97" s="93" t="inlineStr">
        <is>
          <t>KAP 국고채 10년 지수(TR)</t>
        </is>
      </c>
      <c r="P97" s="93" t="inlineStr">
        <is>
          <t>일반</t>
        </is>
      </c>
      <c r="Q97" s="93" t="inlineStr">
        <is>
          <t>채권</t>
        </is>
      </c>
      <c r="R97" s="93" t="inlineStr">
        <is>
          <t>연배당</t>
        </is>
      </c>
      <c r="S97" s="94" t="n">
        <v>1</v>
      </c>
      <c r="T97">
        <f>IF(AND($J97&lt;&gt;"",OR(조회_주기="전체",$R97=조회_주기),$J97&gt;=조회_최소,$J97&lt;=조회_최대),1,0)</f>
        <v/>
      </c>
      <c r="U97">
        <f>IF($T97=1,$U96+1,$U96)</f>
        <v/>
      </c>
      <c r="V97">
        <f>IF(검색어="",1,IF(ISNUMBER(SEARCH(검색어,$A97)),1,0))</f>
        <v/>
      </c>
      <c r="W97">
        <f>IF($V97=1,$W96+1,$W96)</f>
        <v/>
      </c>
      <c r="X97">
        <f>IFERROR(INDEX($A$4:$A$517,MATCH(94,$W$4:$W$517,0)),"")</f>
        <v/>
      </c>
    </row>
    <row r="98">
      <c r="A98" s="93" t="inlineStr">
        <is>
          <t>SOL 초단기채권액티브</t>
        </is>
      </c>
      <c r="B98" s="93" t="inlineStr">
        <is>
          <t>469830</t>
        </is>
      </c>
      <c r="C98" s="93" t="inlineStr">
        <is>
          <t>신한자산운용</t>
        </is>
      </c>
      <c r="D98" s="94" t="n">
        <v>54465</v>
      </c>
      <c r="E98" s="94" t="n">
        <v>1042895820000</v>
      </c>
      <c r="F98" s="94" t="n">
        <v>12211006281</v>
      </c>
      <c r="G98" s="74" t="n">
        <v>0.0005</v>
      </c>
      <c r="H98" s="74" t="n">
        <v>0.0161</v>
      </c>
      <c r="I98" s="74" t="n">
        <v>0.0158</v>
      </c>
      <c r="J98" s="74" t="n">
        <v>0.015606</v>
      </c>
      <c r="K98" s="94" t="n">
        <v>1</v>
      </c>
      <c r="L98" s="93" t="inlineStr">
        <is>
          <t>20251212</t>
        </is>
      </c>
      <c r="M98" s="93" t="inlineStr">
        <is>
          <t>채택</t>
        </is>
      </c>
      <c r="N98" s="93" t="inlineStr"/>
      <c r="O98" s="93" t="inlineStr">
        <is>
          <t>KAP 단기자금시장 지수</t>
        </is>
      </c>
      <c r="P98" s="93" t="inlineStr">
        <is>
          <t>일반</t>
        </is>
      </c>
      <c r="Q98" s="93" t="inlineStr">
        <is>
          <t>단기자금(파킹형)</t>
        </is>
      </c>
      <c r="R98" s="93" t="inlineStr">
        <is>
          <t>연배당</t>
        </is>
      </c>
      <c r="S98" s="94" t="n">
        <v>1</v>
      </c>
      <c r="T98">
        <f>IF(AND($J98&lt;&gt;"",OR(조회_주기="전체",$R98=조회_주기),$J98&gt;=조회_최소,$J98&lt;=조회_최대),1,0)</f>
        <v/>
      </c>
      <c r="U98">
        <f>IF($T98=1,$U97+1,$U97)</f>
        <v/>
      </c>
      <c r="V98">
        <f>IF(검색어="",1,IF(ISNUMBER(SEARCH(검색어,$A98)),1,0))</f>
        <v/>
      </c>
      <c r="W98">
        <f>IF($V98=1,$W97+1,$W97)</f>
        <v/>
      </c>
      <c r="X98">
        <f>IFERROR(INDEX($A$4:$A$517,MATCH(95,$W$4:$W$517,0)),"")</f>
        <v/>
      </c>
    </row>
    <row r="99">
      <c r="A99" s="93" t="inlineStr">
        <is>
          <t>PLUS 미국S&amp;P500미국채혼합50액티브</t>
        </is>
      </c>
      <c r="B99" s="93" t="inlineStr">
        <is>
          <t>0057H0</t>
        </is>
      </c>
      <c r="C99" s="93" t="inlineStr">
        <is>
          <t>한화자산운용</t>
        </is>
      </c>
      <c r="D99" s="94" t="n">
        <v>11605</v>
      </c>
      <c r="E99" s="94" t="n">
        <v>80074500000</v>
      </c>
      <c r="F99" s="94" t="n">
        <v>1034728230</v>
      </c>
      <c r="G99" s="74" t="n">
        <v>0.0015</v>
      </c>
      <c r="H99" s="74" t="n">
        <v>0.1017</v>
      </c>
      <c r="I99" s="74" t="n">
        <v>0.001</v>
      </c>
      <c r="J99" s="74" t="n">
        <v>0.015424</v>
      </c>
      <c r="K99" s="94" t="n">
        <v>10</v>
      </c>
      <c r="L99" s="93" t="inlineStr">
        <is>
          <t>20260828</t>
        </is>
      </c>
      <c r="M99" s="93" t="inlineStr">
        <is>
          <t>채택</t>
        </is>
      </c>
      <c r="N99" s="93" t="inlineStr"/>
      <c r="O99" s="93" t="inlineStr">
        <is>
          <t>S&amp;P500 and U.S. Treasury Bill 0-3 Month 50/50 Blend Index (U</t>
        </is>
      </c>
      <c r="P99" s="93" t="inlineStr">
        <is>
          <t>일반</t>
        </is>
      </c>
      <c r="Q99" s="93" t="inlineStr">
        <is>
          <t>멀티에셋</t>
        </is>
      </c>
      <c r="R99" s="93" t="inlineStr">
        <is>
          <t>월배당</t>
        </is>
      </c>
      <c r="S99" s="94" t="n">
        <v>10</v>
      </c>
      <c r="T99">
        <f>IF(AND($J99&lt;&gt;"",OR(조회_주기="전체",$R99=조회_주기),$J99&gt;=조회_최소,$J99&lt;=조회_최대),1,0)</f>
        <v/>
      </c>
      <c r="U99">
        <f>IF($T99=1,$U98+1,$U98)</f>
        <v/>
      </c>
      <c r="V99">
        <f>IF(검색어="",1,IF(ISNUMBER(SEARCH(검색어,$A99)),1,0))</f>
        <v/>
      </c>
      <c r="W99">
        <f>IF($V99=1,$W98+1,$W98)</f>
        <v/>
      </c>
      <c r="X99">
        <f>IFERROR(INDEX($A$4:$A$517,MATCH(96,$W$4:$W$517,0)),"")</f>
        <v/>
      </c>
    </row>
    <row r="100">
      <c r="A100" s="93" t="inlineStr">
        <is>
          <t>KODEX 인도Nifty50</t>
        </is>
      </c>
      <c r="B100" s="93" t="inlineStr">
        <is>
          <t>453810</t>
        </is>
      </c>
      <c r="C100" s="93" t="inlineStr">
        <is>
          <t>삼성자산운용(ETF)</t>
        </is>
      </c>
      <c r="D100" s="94" t="n">
        <v>11275</v>
      </c>
      <c r="E100" s="94" t="n">
        <v>328666250000</v>
      </c>
      <c r="F100" s="94" t="n">
        <v>1735858487</v>
      </c>
      <c r="G100" s="74" t="n">
        <v>0.0019</v>
      </c>
      <c r="H100" s="74" t="n">
        <v>0.1739</v>
      </c>
      <c r="I100" s="74" t="n">
        <v>0.0062</v>
      </c>
      <c r="J100" s="74" t="n">
        <v>0.015344</v>
      </c>
      <c r="K100" s="94" t="n">
        <v>13</v>
      </c>
      <c r="L100" s="93" t="inlineStr">
        <is>
          <t>20260730</t>
        </is>
      </c>
      <c r="M100" s="93" t="inlineStr">
        <is>
          <t>채택</t>
        </is>
      </c>
      <c r="N100" s="93" t="inlineStr"/>
      <c r="O100" s="93" t="inlineStr">
        <is>
          <t>CNX NIFTY INDEX</t>
        </is>
      </c>
      <c r="P100" s="93" t="inlineStr">
        <is>
          <t>일반</t>
        </is>
      </c>
      <c r="Q100" s="93" t="inlineStr">
        <is>
          <t>주식</t>
        </is>
      </c>
      <c r="R100" s="93" t="inlineStr">
        <is>
          <t>분기배당</t>
        </is>
      </c>
      <c r="S100" s="94" t="n">
        <v>4</v>
      </c>
      <c r="T100">
        <f>IF(AND($J100&lt;&gt;"",OR(조회_주기="전체",$R100=조회_주기),$J100&gt;=조회_최소,$J100&lt;=조회_최대),1,0)</f>
        <v/>
      </c>
      <c r="U100">
        <f>IF($T100=1,$U99+1,$U99)</f>
        <v/>
      </c>
      <c r="V100">
        <f>IF(검색어="",1,IF(ISNUMBER(SEARCH(검색어,$A100)),1,0))</f>
        <v/>
      </c>
      <c r="W100">
        <f>IF($V100=1,$W99+1,$W99)</f>
        <v/>
      </c>
      <c r="X100">
        <f>IFERROR(INDEX($A$4:$A$517,MATCH(97,$W$4:$W$517,0)),"")</f>
        <v/>
      </c>
    </row>
    <row r="101">
      <c r="A101" s="93" t="inlineStr">
        <is>
          <t>KODEX TDF2060액티브 적격</t>
        </is>
      </c>
      <c r="B101" s="93" t="inlineStr">
        <is>
          <t>0082V0</t>
        </is>
      </c>
      <c r="C101" s="93" t="inlineStr">
        <is>
          <t>삼성자산운용(ETF)</t>
        </is>
      </c>
      <c r="D101" s="94" t="n">
        <v>11135</v>
      </c>
      <c r="E101" s="94" t="n">
        <v>185397750000</v>
      </c>
      <c r="F101" s="94" t="n">
        <v>1035883467</v>
      </c>
      <c r="G101" s="74" t="n">
        <v>0.003</v>
      </c>
      <c r="H101" s="74" t="n">
        <v>0.1197</v>
      </c>
      <c r="I101" s="74" t="n">
        <v>0.0071</v>
      </c>
      <c r="J101" s="74" t="n">
        <v>0.015267</v>
      </c>
      <c r="K101" s="94" t="n">
        <v>4</v>
      </c>
      <c r="L101" s="93" t="inlineStr">
        <is>
          <t>20260730</t>
        </is>
      </c>
      <c r="M101" s="93" t="inlineStr">
        <is>
          <t>채택</t>
        </is>
      </c>
      <c r="N101" s="93" t="inlineStr"/>
      <c r="O101" s="93" t="inlineStr">
        <is>
          <t>Samsung Korea Target Date 2060 Index</t>
        </is>
      </c>
      <c r="P101" s="93" t="inlineStr">
        <is>
          <t>일반</t>
        </is>
      </c>
      <c r="Q101" s="93" t="inlineStr">
        <is>
          <t>멀티에셋</t>
        </is>
      </c>
      <c r="R101" s="93" t="inlineStr">
        <is>
          <t>분기배당</t>
        </is>
      </c>
      <c r="S101" s="94" t="n">
        <v>4</v>
      </c>
      <c r="T101">
        <f>IF(AND($J101&lt;&gt;"",OR(조회_주기="전체",$R101=조회_주기),$J101&gt;=조회_최소,$J101&lt;=조회_최대),1,0)</f>
        <v/>
      </c>
      <c r="U101">
        <f>IF($T101=1,$U100+1,$U100)</f>
        <v/>
      </c>
      <c r="V101">
        <f>IF(검색어="",1,IF(ISNUMBER(SEARCH(검색어,$A101)),1,0))</f>
        <v/>
      </c>
      <c r="W101">
        <f>IF($V101=1,$W100+1,$W100)</f>
        <v/>
      </c>
      <c r="X101">
        <f>IFERROR(INDEX($A$4:$A$517,MATCH(98,$W$4:$W$517,0)),"")</f>
        <v/>
      </c>
    </row>
    <row r="102">
      <c r="A102" s="93" t="inlineStr">
        <is>
          <t>TIGER 차이나전기차SOLACTIVE</t>
        </is>
      </c>
      <c r="B102" s="93" t="inlineStr">
        <is>
          <t>371460</t>
        </is>
      </c>
      <c r="C102" s="93" t="inlineStr">
        <is>
          <t>미래에셋자산운용</t>
        </is>
      </c>
      <c r="D102" s="94" t="n">
        <v>9365</v>
      </c>
      <c r="E102" s="94" t="n">
        <v>672407000000</v>
      </c>
      <c r="F102" s="94" t="n">
        <v>2619172147</v>
      </c>
      <c r="G102" s="74" t="n">
        <v>0.0049</v>
      </c>
      <c r="H102" s="74" t="n">
        <v>0.2929</v>
      </c>
      <c r="I102" s="74" t="n">
        <v>0.011</v>
      </c>
      <c r="J102" s="74" t="n">
        <v>0.014949</v>
      </c>
      <c r="K102" s="94" t="n">
        <v>1</v>
      </c>
      <c r="L102" s="93" t="inlineStr">
        <is>
          <t>20251229</t>
        </is>
      </c>
      <c r="M102" s="93" t="inlineStr">
        <is>
          <t>채택</t>
        </is>
      </c>
      <c r="N102" s="93" t="inlineStr"/>
      <c r="O102" s="93" t="inlineStr">
        <is>
          <t>Solactive China Electric Vehicle and Battery Index PR</t>
        </is>
      </c>
      <c r="P102" s="93" t="inlineStr">
        <is>
          <t>일반</t>
        </is>
      </c>
      <c r="Q102" s="93" t="inlineStr">
        <is>
          <t>주식</t>
        </is>
      </c>
      <c r="R102" s="93" t="inlineStr">
        <is>
          <t>연배당</t>
        </is>
      </c>
      <c r="S102" s="94" t="n">
        <v>1</v>
      </c>
      <c r="T102">
        <f>IF(AND($J102&lt;&gt;"",OR(조회_주기="전체",$R102=조회_주기),$J102&gt;=조회_최소,$J102&lt;=조회_최대),1,0)</f>
        <v/>
      </c>
      <c r="U102">
        <f>IF($T102=1,$U101+1,$U101)</f>
        <v/>
      </c>
      <c r="V102">
        <f>IF(검색어="",1,IF(ISNUMBER(SEARCH(검색어,$A102)),1,0))</f>
        <v/>
      </c>
      <c r="W102">
        <f>IF($V102=1,$W101+1,$W101)</f>
        <v/>
      </c>
      <c r="X102">
        <f>IFERROR(INDEX($A$4:$A$517,MATCH(99,$W$4:$W$517,0)),"")</f>
        <v/>
      </c>
    </row>
    <row r="103">
      <c r="A103" s="93" t="inlineStr">
        <is>
          <t>TIGER 미국S&amp;P500동일가중</t>
        </is>
      </c>
      <c r="B103" s="93" t="inlineStr">
        <is>
          <t>488500</t>
        </is>
      </c>
      <c r="C103" s="93" t="inlineStr">
        <is>
          <t>미래에셋자산운용</t>
        </is>
      </c>
      <c r="D103" s="94" t="n">
        <v>12405</v>
      </c>
      <c r="E103" s="94" t="n">
        <v>112265250000</v>
      </c>
      <c r="F103" s="94" t="n">
        <v>982443482</v>
      </c>
      <c r="G103" s="74" t="n">
        <v>0.002</v>
      </c>
      <c r="H103" s="74" t="n">
        <v>0.1389</v>
      </c>
      <c r="I103" s="74" t="n">
        <v>0.0037</v>
      </c>
      <c r="J103" s="74" t="n">
        <v>0.014752</v>
      </c>
      <c r="K103" s="94" t="n">
        <v>8</v>
      </c>
      <c r="L103" s="93" t="inlineStr">
        <is>
          <t>20260730</t>
        </is>
      </c>
      <c r="M103" s="93" t="inlineStr">
        <is>
          <t>채택</t>
        </is>
      </c>
      <c r="N103" s="93" t="inlineStr"/>
      <c r="O103" s="93" t="inlineStr">
        <is>
          <t>S&amp;P 500 EQUAL WEIGHTED</t>
        </is>
      </c>
      <c r="P103" s="93" t="inlineStr">
        <is>
          <t>일반</t>
        </is>
      </c>
      <c r="Q103" s="93" t="inlineStr">
        <is>
          <t>주식</t>
        </is>
      </c>
      <c r="R103" s="93" t="inlineStr">
        <is>
          <t>분기배당</t>
        </is>
      </c>
      <c r="S103" s="94" t="n">
        <v>4</v>
      </c>
      <c r="T103">
        <f>IF(AND($J103&lt;&gt;"",OR(조회_주기="전체",$R103=조회_주기),$J103&gt;=조회_최소,$J103&lt;=조회_최대),1,0)</f>
        <v/>
      </c>
      <c r="U103">
        <f>IF($T103=1,$U102+1,$U102)</f>
        <v/>
      </c>
      <c r="V103">
        <f>IF(검색어="",1,IF(ISNUMBER(SEARCH(검색어,$A103)),1,0))</f>
        <v/>
      </c>
      <c r="W103">
        <f>IF($V103=1,$W102+1,$W102)</f>
        <v/>
      </c>
      <c r="X103">
        <f>IFERROR(INDEX($A$4:$A$517,MATCH(100,$W$4:$W$517,0)),"")</f>
        <v/>
      </c>
    </row>
    <row r="104">
      <c r="A104" s="93" t="inlineStr">
        <is>
          <t>TIGER 테슬라채권혼합Fn</t>
        </is>
      </c>
      <c r="B104" s="93" t="inlineStr">
        <is>
          <t>447770</t>
        </is>
      </c>
      <c r="C104" s="93" t="inlineStr">
        <is>
          <t>미래에셋자산운용</t>
        </is>
      </c>
      <c r="D104" s="94" t="n">
        <v>13760</v>
      </c>
      <c r="E104" s="94" t="n">
        <v>436880000000</v>
      </c>
      <c r="F104" s="94" t="n">
        <v>2247029472</v>
      </c>
      <c r="G104" s="74" t="n">
        <v>0.0025</v>
      </c>
      <c r="H104" s="74" t="n">
        <v>0.1461</v>
      </c>
      <c r="I104" s="74" t="n">
        <v>0.0049</v>
      </c>
      <c r="J104" s="74" t="n">
        <v>0.014535</v>
      </c>
      <c r="K104" s="94" t="n">
        <v>11</v>
      </c>
      <c r="L104" s="93" t="inlineStr">
        <is>
          <t>20260730</t>
        </is>
      </c>
      <c r="M104" s="93" t="inlineStr">
        <is>
          <t>채택</t>
        </is>
      </c>
      <c r="N104" s="93" t="inlineStr"/>
      <c r="O104" s="93" t="inlineStr">
        <is>
          <t>FnGuide 테슬라채권혼합 지수</t>
        </is>
      </c>
      <c r="P104" s="93" t="inlineStr">
        <is>
          <t>일반</t>
        </is>
      </c>
      <c r="Q104" s="93" t="inlineStr">
        <is>
          <t>멀티에셋</t>
        </is>
      </c>
      <c r="R104" s="93" t="inlineStr">
        <is>
          <t>분기배당</t>
        </is>
      </c>
      <c r="S104" s="94" t="n">
        <v>4</v>
      </c>
      <c r="T104">
        <f>IF(AND($J104&lt;&gt;"",OR(조회_주기="전체",$R104=조회_주기),$J104&gt;=조회_최소,$J104&lt;=조회_최대),1,0)</f>
        <v/>
      </c>
      <c r="U104">
        <f>IF($T104=1,$U103+1,$U103)</f>
        <v/>
      </c>
      <c r="V104">
        <f>IF(검색어="",1,IF(ISNUMBER(SEARCH(검색어,$A104)),1,0))</f>
        <v/>
      </c>
      <c r="W104">
        <f>IF($V104=1,$W103+1,$W103)</f>
        <v/>
      </c>
      <c r="X104">
        <f>IFERROR(INDEX($A$4:$A$517,MATCH(101,$W$4:$W$517,0)),"")</f>
        <v/>
      </c>
    </row>
    <row r="105">
      <c r="A105" s="93" t="inlineStr">
        <is>
          <t>KODEX 미국S&amp;P500헬스케어</t>
        </is>
      </c>
      <c r="B105" s="93" t="inlineStr">
        <is>
          <t>453640</t>
        </is>
      </c>
      <c r="C105" s="93" t="inlineStr">
        <is>
          <t>삼성자산운용(ETF)</t>
        </is>
      </c>
      <c r="D105" s="94" t="n">
        <v>14045</v>
      </c>
      <c r="E105" s="94" t="n">
        <v>60393500000</v>
      </c>
      <c r="F105" s="94" t="n">
        <v>600931620</v>
      </c>
      <c r="G105" s="74" t="n">
        <v>0.0025</v>
      </c>
      <c r="H105" s="74" t="n">
        <v>0.1842</v>
      </c>
      <c r="I105" s="74" t="n">
        <v>0.0038</v>
      </c>
      <c r="J105" s="74" t="n">
        <v>0.014454</v>
      </c>
      <c r="K105" s="94" t="n">
        <v>13</v>
      </c>
      <c r="L105" s="93" t="inlineStr">
        <is>
          <t>20260730</t>
        </is>
      </c>
      <c r="M105" s="93" t="inlineStr">
        <is>
          <t>채택</t>
        </is>
      </c>
      <c r="N105" s="93" t="inlineStr"/>
      <c r="O105" s="93" t="inlineStr">
        <is>
          <t>S&amp;P Health Care Select Sector Index</t>
        </is>
      </c>
      <c r="P105" s="93" t="inlineStr">
        <is>
          <t>일반</t>
        </is>
      </c>
      <c r="Q105" s="93" t="inlineStr">
        <is>
          <t>주식</t>
        </is>
      </c>
      <c r="R105" s="93" t="inlineStr">
        <is>
          <t>분기배당</t>
        </is>
      </c>
      <c r="S105" s="94" t="n">
        <v>4</v>
      </c>
      <c r="T105">
        <f>IF(AND($J105&lt;&gt;"",OR(조회_주기="전체",$R105=조회_주기),$J105&gt;=조회_최소,$J105&lt;=조회_최대),1,0)</f>
        <v/>
      </c>
      <c r="U105">
        <f>IF($T105=1,$U104+1,$U104)</f>
        <v/>
      </c>
      <c r="V105">
        <f>IF(검색어="",1,IF(ISNUMBER(SEARCH(검색어,$A105)),1,0))</f>
        <v/>
      </c>
      <c r="W105">
        <f>IF($V105=1,$W104+1,$W104)</f>
        <v/>
      </c>
      <c r="X105">
        <f>IFERROR(INDEX($A$4:$A$517,MATCH(102,$W$4:$W$517,0)),"")</f>
        <v/>
      </c>
    </row>
    <row r="106">
      <c r="A106" s="93" t="inlineStr">
        <is>
          <t>KODEX 머니마켓액티브</t>
        </is>
      </c>
      <c r="B106" s="93" t="inlineStr">
        <is>
          <t>488770</t>
        </is>
      </c>
      <c r="C106" s="93" t="inlineStr">
        <is>
          <t>삼성자산운용(ETF)</t>
        </is>
      </c>
      <c r="D106" s="94" t="n">
        <v>105545</v>
      </c>
      <c r="E106" s="94" t="n">
        <v>8889316535000</v>
      </c>
      <c r="F106" s="94" t="n">
        <v>76896749869</v>
      </c>
      <c r="G106" s="74" t="n">
        <v>0.0005</v>
      </c>
      <c r="H106" s="74" t="n">
        <v>0.0146</v>
      </c>
      <c r="I106" s="74" t="n">
        <v>0.0143</v>
      </c>
      <c r="J106" s="74" t="n">
        <v>0.014193</v>
      </c>
      <c r="K106" s="94" t="n">
        <v>1</v>
      </c>
      <c r="L106" s="93" t="inlineStr">
        <is>
          <t>20251212</t>
        </is>
      </c>
      <c r="M106" s="93" t="inlineStr">
        <is>
          <t>채택</t>
        </is>
      </c>
      <c r="N106" s="93" t="inlineStr"/>
      <c r="O106" s="93" t="inlineStr">
        <is>
          <t>KAP MMF 지수</t>
        </is>
      </c>
      <c r="P106" s="93" t="inlineStr">
        <is>
          <t>일반</t>
        </is>
      </c>
      <c r="Q106" s="93" t="inlineStr">
        <is>
          <t>단기자금(파킹형)</t>
        </is>
      </c>
      <c r="R106" s="93" t="inlineStr">
        <is>
          <t>연배당</t>
        </is>
      </c>
      <c r="S106" s="94" t="n">
        <v>1</v>
      </c>
      <c r="T106">
        <f>IF(AND($J106&lt;&gt;"",OR(조회_주기="전체",$R106=조회_주기),$J106&gt;=조회_최소,$J106&lt;=조회_최대),1,0)</f>
        <v/>
      </c>
      <c r="U106">
        <f>IF($T106=1,$U105+1,$U105)</f>
        <v/>
      </c>
      <c r="V106">
        <f>IF(검색어="",1,IF(ISNUMBER(SEARCH(검색어,$A106)),1,0))</f>
        <v/>
      </c>
      <c r="W106">
        <f>IF($V106=1,$W105+1,$W105)</f>
        <v/>
      </c>
      <c r="X106">
        <f>IFERROR(INDEX($A$4:$A$517,MATCH(103,$W$4:$W$517,0)),"")</f>
        <v/>
      </c>
    </row>
    <row r="107">
      <c r="A107" s="93" t="inlineStr">
        <is>
          <t>RISE 머니마켓액티브</t>
        </is>
      </c>
      <c r="B107" s="93" t="inlineStr">
        <is>
          <t>455890</t>
        </is>
      </c>
      <c r="C107" s="93" t="inlineStr">
        <is>
          <t>KB자산운용</t>
        </is>
      </c>
      <c r="D107" s="94" t="n">
        <v>55555</v>
      </c>
      <c r="E107" s="94" t="n">
        <v>3127524280000</v>
      </c>
      <c r="F107" s="94" t="n">
        <v>12189303875</v>
      </c>
      <c r="G107" s="74" t="n">
        <v>0.0005</v>
      </c>
      <c r="H107" s="74" t="n">
        <v>0.0142</v>
      </c>
      <c r="I107" s="74" t="n">
        <v>0.0139</v>
      </c>
      <c r="J107" s="74" t="n">
        <v>0.01377</v>
      </c>
      <c r="K107" s="94" t="n">
        <v>1</v>
      </c>
      <c r="L107" s="93" t="inlineStr">
        <is>
          <t>20251212</t>
        </is>
      </c>
      <c r="M107" s="93" t="inlineStr">
        <is>
          <t>채택</t>
        </is>
      </c>
      <c r="N107" s="93" t="inlineStr"/>
      <c r="O107" s="93" t="inlineStr">
        <is>
          <t>KIS 시가평가 MMF 지수</t>
        </is>
      </c>
      <c r="P107" s="93" t="inlineStr">
        <is>
          <t>일반</t>
        </is>
      </c>
      <c r="Q107" s="93" t="inlineStr">
        <is>
          <t>단기자금(파킹형)</t>
        </is>
      </c>
      <c r="R107" s="93" t="inlineStr">
        <is>
          <t>연배당</t>
        </is>
      </c>
      <c r="S107" s="94" t="n">
        <v>1</v>
      </c>
      <c r="T107">
        <f>IF(AND($J107&lt;&gt;"",OR(조회_주기="전체",$R107=조회_주기),$J107&gt;=조회_최소,$J107&lt;=조회_최대),1,0)</f>
        <v/>
      </c>
      <c r="U107">
        <f>IF($T107=1,$U106+1,$U106)</f>
        <v/>
      </c>
      <c r="V107">
        <f>IF(검색어="",1,IF(ISNUMBER(SEARCH(검색어,$A107)),1,0))</f>
        <v/>
      </c>
      <c r="W107">
        <f>IF($V107=1,$W106+1,$W106)</f>
        <v/>
      </c>
      <c r="X107">
        <f>IFERROR(INDEX($A$4:$A$517,MATCH(104,$W$4:$W$517,0)),"")</f>
        <v/>
      </c>
    </row>
    <row r="108">
      <c r="A108" s="93" t="inlineStr">
        <is>
          <t>KODEX MSCI선진국</t>
        </is>
      </c>
      <c r="B108" s="93" t="inlineStr">
        <is>
          <t>251350</t>
        </is>
      </c>
      <c r="C108" s="93" t="inlineStr">
        <is>
          <t>삼성자산운용(ETF)</t>
        </is>
      </c>
      <c r="D108" s="94" t="n">
        <v>38660</v>
      </c>
      <c r="E108" s="94" t="n">
        <v>494848000000</v>
      </c>
      <c r="F108" s="94" t="n">
        <v>1289285210</v>
      </c>
      <c r="G108" s="74" t="n">
        <v>0.003</v>
      </c>
      <c r="H108" s="74" t="n">
        <v>0.1321</v>
      </c>
      <c r="I108" s="74" t="n">
        <v>0.004500000000000001</v>
      </c>
      <c r="J108" s="74" t="n">
        <v>0.013502</v>
      </c>
      <c r="K108" s="94" t="n">
        <v>14</v>
      </c>
      <c r="L108" s="93" t="inlineStr">
        <is>
          <t>20260730</t>
        </is>
      </c>
      <c r="M108" s="93" t="inlineStr">
        <is>
          <t>채택</t>
        </is>
      </c>
      <c r="N108" s="93" t="inlineStr"/>
      <c r="O108" s="93" t="inlineStr">
        <is>
          <t>MSCI World Markets Index</t>
        </is>
      </c>
      <c r="P108" s="93" t="inlineStr">
        <is>
          <t>일반</t>
        </is>
      </c>
      <c r="Q108" s="93" t="inlineStr">
        <is>
          <t>주식</t>
        </is>
      </c>
      <c r="R108" s="93" t="inlineStr">
        <is>
          <t>분기배당</t>
        </is>
      </c>
      <c r="S108" s="94" t="n">
        <v>4</v>
      </c>
      <c r="T108">
        <f>IF(AND($J108&lt;&gt;"",OR(조회_주기="전체",$R108=조회_주기),$J108&gt;=조회_최소,$J108&lt;=조회_최대),1,0)</f>
        <v/>
      </c>
      <c r="U108">
        <f>IF($T108=1,$U107+1,$U107)</f>
        <v/>
      </c>
      <c r="V108">
        <f>IF(검색어="",1,IF(ISNUMBER(SEARCH(검색어,$A108)),1,0))</f>
        <v/>
      </c>
      <c r="W108">
        <f>IF($V108=1,$W107+1,$W107)</f>
        <v/>
      </c>
      <c r="X108">
        <f>IFERROR(INDEX($A$4:$A$517,MATCH(105,$W$4:$W$517,0)),"")</f>
        <v/>
      </c>
    </row>
    <row r="109">
      <c r="A109" s="93" t="inlineStr">
        <is>
          <t>TIGER 미국다우존스30</t>
        </is>
      </c>
      <c r="B109" s="93" t="inlineStr">
        <is>
          <t>245340</t>
        </is>
      </c>
      <c r="C109" s="93" t="inlineStr">
        <is>
          <t>미래에셋자산운용</t>
        </is>
      </c>
      <c r="D109" s="94" t="n">
        <v>34880</v>
      </c>
      <c r="E109" s="94" t="n">
        <v>141612800000</v>
      </c>
      <c r="F109" s="94" t="n">
        <v>879880897</v>
      </c>
      <c r="G109" s="74" t="n">
        <v>0.0035</v>
      </c>
      <c r="H109" s="74" t="n">
        <v>0.1453</v>
      </c>
      <c r="I109" s="74" t="n">
        <v>0.001</v>
      </c>
      <c r="J109" s="74" t="n">
        <v>0.013475</v>
      </c>
      <c r="K109" s="94" t="n">
        <v>52</v>
      </c>
      <c r="L109" s="93" t="inlineStr">
        <is>
          <t>20260828</t>
        </is>
      </c>
      <c r="M109" s="93" t="inlineStr">
        <is>
          <t>채택</t>
        </is>
      </c>
      <c r="N109" s="93" t="inlineStr"/>
      <c r="O109" s="93" t="inlineStr">
        <is>
          <t>DowJones Industrial Average Index</t>
        </is>
      </c>
      <c r="P109" s="93" t="inlineStr">
        <is>
          <t>일반</t>
        </is>
      </c>
      <c r="Q109" s="93" t="inlineStr">
        <is>
          <t>주식</t>
        </is>
      </c>
      <c r="R109" s="93" t="inlineStr">
        <is>
          <t>월배당</t>
        </is>
      </c>
      <c r="S109" s="94" t="n">
        <v>11</v>
      </c>
      <c r="T109">
        <f>IF(AND($J109&lt;&gt;"",OR(조회_주기="전체",$R109=조회_주기),$J109&gt;=조회_최소,$J109&lt;=조회_최대),1,0)</f>
        <v/>
      </c>
      <c r="U109">
        <f>IF($T109=1,$U108+1,$U108)</f>
        <v/>
      </c>
      <c r="V109">
        <f>IF(검색어="",1,IF(ISNUMBER(SEARCH(검색어,$A109)),1,0))</f>
        <v/>
      </c>
      <c r="W109">
        <f>IF($V109=1,$W108+1,$W108)</f>
        <v/>
      </c>
      <c r="X109">
        <f>IFERROR(INDEX($A$4:$A$517,MATCH(106,$W$4:$W$517,0)),"")</f>
        <v/>
      </c>
    </row>
    <row r="110">
      <c r="A110" s="93" t="inlineStr">
        <is>
          <t>TIGER 종합채권(AA-이상)액티브</t>
        </is>
      </c>
      <c r="B110" s="93" t="inlineStr">
        <is>
          <t>451540</t>
        </is>
      </c>
      <c r="C110" s="93" t="inlineStr">
        <is>
          <t>미래에셋자산운용</t>
        </is>
      </c>
      <c r="D110" s="94" t="n">
        <v>52800</v>
      </c>
      <c r="E110" s="94" t="n">
        <v>1032768000000</v>
      </c>
      <c r="F110" s="94" t="n">
        <v>866133098</v>
      </c>
      <c r="G110" s="74" t="n">
        <v>0.0003</v>
      </c>
      <c r="H110" s="74" t="n">
        <v>0.0429</v>
      </c>
      <c r="I110" s="74" t="n">
        <v>0.0125</v>
      </c>
      <c r="J110" s="74" t="n">
        <v>0.013258</v>
      </c>
      <c r="K110" s="94" t="n">
        <v>1</v>
      </c>
      <c r="L110" s="93" t="inlineStr">
        <is>
          <t>20251127</t>
        </is>
      </c>
      <c r="M110" s="93" t="inlineStr">
        <is>
          <t>채택</t>
        </is>
      </c>
      <c r="N110" s="93" t="inlineStr"/>
      <c r="O110" s="93" t="inlineStr">
        <is>
          <t>KIS 종합채권형 지수(AA-이상)</t>
        </is>
      </c>
      <c r="P110" s="93" t="inlineStr">
        <is>
          <t>일반</t>
        </is>
      </c>
      <c r="Q110" s="93" t="inlineStr">
        <is>
          <t>채권</t>
        </is>
      </c>
      <c r="R110" s="93" t="inlineStr">
        <is>
          <t>연배당</t>
        </is>
      </c>
      <c r="S110" s="94" t="n">
        <v>1</v>
      </c>
      <c r="T110">
        <f>IF(AND($J110&lt;&gt;"",OR(조회_주기="전체",$R110=조회_주기),$J110&gt;=조회_최소,$J110&lt;=조회_최대),1,0)</f>
        <v/>
      </c>
      <c r="U110">
        <f>IF($T110=1,$U109+1,$U109)</f>
        <v/>
      </c>
      <c r="V110">
        <f>IF(검색어="",1,IF(ISNUMBER(SEARCH(검색어,$A110)),1,0))</f>
        <v/>
      </c>
      <c r="W110">
        <f>IF($V110=1,$W109+1,$W109)</f>
        <v/>
      </c>
      <c r="X110">
        <f>IFERROR(INDEX($A$4:$A$517,MATCH(107,$W$4:$W$517,0)),"")</f>
        <v/>
      </c>
    </row>
    <row r="111">
      <c r="A111" s="93" t="inlineStr">
        <is>
          <t>SOL 중단기회사채(A-이상)액티브</t>
        </is>
      </c>
      <c r="B111" s="93" t="inlineStr">
        <is>
          <t>0016X0</t>
        </is>
      </c>
      <c r="C111" s="93" t="inlineStr">
        <is>
          <t>신한자산운용</t>
        </is>
      </c>
      <c r="D111" s="94" t="n">
        <v>51465</v>
      </c>
      <c r="E111" s="94" t="n">
        <v>427777080000</v>
      </c>
      <c r="F111" s="94" t="n">
        <v>505351479</v>
      </c>
      <c r="G111" s="74" t="n">
        <v>0.0005</v>
      </c>
      <c r="H111" s="74" t="n">
        <v>0.0157</v>
      </c>
      <c r="I111" s="74" t="n">
        <v>0.0132</v>
      </c>
      <c r="J111" s="74" t="n">
        <v>0.013116</v>
      </c>
      <c r="K111" s="94" t="n">
        <v>1</v>
      </c>
      <c r="L111" s="93" t="inlineStr">
        <is>
          <t>20251212</t>
        </is>
      </c>
      <c r="M111" s="93" t="inlineStr">
        <is>
          <t>채택</t>
        </is>
      </c>
      <c r="N111" s="93" t="inlineStr"/>
      <c r="O111" s="93" t="inlineStr">
        <is>
          <t>KIS 중단기크레딧플러스채권(AA+~A-)지수(총수익)</t>
        </is>
      </c>
      <c r="P111" s="93" t="inlineStr">
        <is>
          <t>일반</t>
        </is>
      </c>
      <c r="Q111" s="93" t="inlineStr">
        <is>
          <t>채권</t>
        </is>
      </c>
      <c r="R111" s="93" t="inlineStr">
        <is>
          <t>연배당</t>
        </is>
      </c>
      <c r="S111" s="94" t="n">
        <v>1</v>
      </c>
      <c r="T111">
        <f>IF(AND($J111&lt;&gt;"",OR(조회_주기="전체",$R111=조회_주기),$J111&gt;=조회_최소,$J111&lt;=조회_최대),1,0)</f>
        <v/>
      </c>
      <c r="U111">
        <f>IF($T111=1,$U110+1,$U110)</f>
        <v/>
      </c>
      <c r="V111">
        <f>IF(검색어="",1,IF(ISNUMBER(SEARCH(검색어,$A111)),1,0))</f>
        <v/>
      </c>
      <c r="W111">
        <f>IF($V111=1,$W110+1,$W110)</f>
        <v/>
      </c>
      <c r="X111">
        <f>IFERROR(INDEX($A$4:$A$517,MATCH(108,$W$4:$W$517,0)),"")</f>
        <v/>
      </c>
    </row>
    <row r="112">
      <c r="A112" s="93" t="inlineStr">
        <is>
          <t>KODEX 국고채3년</t>
        </is>
      </c>
      <c r="B112" s="93" t="inlineStr">
        <is>
          <t>114260</t>
        </is>
      </c>
      <c r="C112" s="93" t="inlineStr">
        <is>
          <t>삼성자산운용(ETF)</t>
        </is>
      </c>
      <c r="D112" s="94" t="n">
        <v>61550</v>
      </c>
      <c r="E112" s="94" t="n">
        <v>492153800000</v>
      </c>
      <c r="F112" s="94" t="n">
        <v>1453046891</v>
      </c>
      <c r="G112" s="74" t="n">
        <v>0.0015</v>
      </c>
      <c r="H112" s="74" t="n">
        <v>0.0258</v>
      </c>
      <c r="I112" s="74" t="n">
        <v>0.013</v>
      </c>
      <c r="J112" s="74" t="n">
        <v>0.013111</v>
      </c>
      <c r="K112" s="94" t="n">
        <v>1</v>
      </c>
      <c r="L112" s="93" t="inlineStr">
        <is>
          <t>20251212</t>
        </is>
      </c>
      <c r="M112" s="93" t="inlineStr">
        <is>
          <t>채택</t>
        </is>
      </c>
      <c r="N112" s="93" t="inlineStr"/>
      <c r="O112" s="93" t="inlineStr">
        <is>
          <t>MKF TB Index</t>
        </is>
      </c>
      <c r="P112" s="93" t="inlineStr">
        <is>
          <t>일반</t>
        </is>
      </c>
      <c r="Q112" s="93" t="inlineStr">
        <is>
          <t>채권</t>
        </is>
      </c>
      <c r="R112" s="93" t="inlineStr">
        <is>
          <t>연배당</t>
        </is>
      </c>
      <c r="S112" s="94" t="n">
        <v>1</v>
      </c>
      <c r="T112">
        <f>IF(AND($J112&lt;&gt;"",OR(조회_주기="전체",$R112=조회_주기),$J112&gt;=조회_최소,$J112&lt;=조회_최대),1,0)</f>
        <v/>
      </c>
      <c r="U112">
        <f>IF($T112=1,$U111+1,$U111)</f>
        <v/>
      </c>
      <c r="V112">
        <f>IF(검색어="",1,IF(ISNUMBER(SEARCH(검색어,$A112)),1,0))</f>
        <v/>
      </c>
      <c r="W112">
        <f>IF($V112=1,$W111+1,$W111)</f>
        <v/>
      </c>
      <c r="X112">
        <f>IFERROR(INDEX($A$4:$A$517,MATCH(109,$W$4:$W$517,0)),"")</f>
        <v/>
      </c>
    </row>
    <row r="113">
      <c r="A113" s="93" t="inlineStr">
        <is>
          <t>ACE 머니마켓액티브</t>
        </is>
      </c>
      <c r="B113" s="93" t="inlineStr">
        <is>
          <t>487340</t>
        </is>
      </c>
      <c r="C113" s="93" t="inlineStr">
        <is>
          <t>한국투신운용(ETF)</t>
        </is>
      </c>
      <c r="D113" s="94" t="n">
        <v>106030</v>
      </c>
      <c r="E113" s="94" t="n">
        <v>875171620000</v>
      </c>
      <c r="F113" s="94" t="n">
        <v>2224188180</v>
      </c>
      <c r="G113" s="74" t="n">
        <v>0.0005</v>
      </c>
      <c r="H113" s="74" t="n">
        <v>0.0135</v>
      </c>
      <c r="I113" s="74" t="n">
        <v>0.0132</v>
      </c>
      <c r="J113" s="74" t="n">
        <v>0.012987</v>
      </c>
      <c r="K113" s="94" t="n">
        <v>1</v>
      </c>
      <c r="L113" s="93" t="inlineStr">
        <is>
          <t>20251127</t>
        </is>
      </c>
      <c r="M113" s="93" t="inlineStr">
        <is>
          <t>채택</t>
        </is>
      </c>
      <c r="N113" s="93" t="inlineStr"/>
      <c r="O113" s="93" t="inlineStr">
        <is>
          <t>MK-KAP 머니마켓 총수익 지수</t>
        </is>
      </c>
      <c r="P113" s="93" t="inlineStr">
        <is>
          <t>일반</t>
        </is>
      </c>
      <c r="Q113" s="93" t="inlineStr">
        <is>
          <t>단기자금(파킹형)</t>
        </is>
      </c>
      <c r="R113" s="93" t="inlineStr">
        <is>
          <t>연배당</t>
        </is>
      </c>
      <c r="S113" s="94" t="n">
        <v>1</v>
      </c>
      <c r="T113">
        <f>IF(AND($J113&lt;&gt;"",OR(조회_주기="전체",$R113=조회_주기),$J113&gt;=조회_최소,$J113&lt;=조회_최대),1,0)</f>
        <v/>
      </c>
      <c r="U113">
        <f>IF($T113=1,$U112+1,$U112)</f>
        <v/>
      </c>
      <c r="V113">
        <f>IF(검색어="",1,IF(ISNUMBER(SEARCH(검색어,$A113)),1,0))</f>
        <v/>
      </c>
      <c r="W113">
        <f>IF($V113=1,$W112+1,$W112)</f>
        <v/>
      </c>
      <c r="X113">
        <f>IFERROR(INDEX($A$4:$A$517,MATCH(110,$W$4:$W$517,0)),"")</f>
        <v/>
      </c>
    </row>
    <row r="114">
      <c r="A114" s="93" t="inlineStr">
        <is>
          <t>ACE 종합채권(AA-이상)액티브</t>
        </is>
      </c>
      <c r="B114" s="93" t="inlineStr">
        <is>
          <t>356540</t>
        </is>
      </c>
      <c r="C114" s="93" t="inlineStr">
        <is>
          <t>한국투신운용(ETF)</t>
        </is>
      </c>
      <c r="D114" s="94" t="n">
        <v>100980</v>
      </c>
      <c r="E114" s="94" t="n">
        <v>1135621080000</v>
      </c>
      <c r="F114" s="94" t="n">
        <v>761078753</v>
      </c>
      <c r="G114" s="74" t="n">
        <v>0.0002</v>
      </c>
      <c r="H114" s="74" t="n">
        <v>0.0418</v>
      </c>
      <c r="I114" s="74" t="n">
        <v>0.0122</v>
      </c>
      <c r="J114" s="74" t="n">
        <v>0.012894</v>
      </c>
      <c r="K114" s="94" t="n">
        <v>1</v>
      </c>
      <c r="L114" s="93" t="inlineStr">
        <is>
          <t>20251127</t>
        </is>
      </c>
      <c r="M114" s="93" t="inlineStr">
        <is>
          <t>채택</t>
        </is>
      </c>
      <c r="N114" s="93" t="inlineStr"/>
      <c r="O114" s="93" t="inlineStr">
        <is>
          <t>KIS 종합채권AA-이상</t>
        </is>
      </c>
      <c r="P114" s="93" t="inlineStr">
        <is>
          <t>일반</t>
        </is>
      </c>
      <c r="Q114" s="93" t="inlineStr">
        <is>
          <t>채권</t>
        </is>
      </c>
      <c r="R114" s="93" t="inlineStr">
        <is>
          <t>연배당</t>
        </is>
      </c>
      <c r="S114" s="94" t="n">
        <v>1</v>
      </c>
      <c r="T114">
        <f>IF(AND($J114&lt;&gt;"",OR(조회_주기="전체",$R114=조회_주기),$J114&gt;=조회_최소,$J114&lt;=조회_최대),1,0)</f>
        <v/>
      </c>
      <c r="U114">
        <f>IF($T114=1,$U113+1,$U113)</f>
        <v/>
      </c>
      <c r="V114">
        <f>IF(검색어="",1,IF(ISNUMBER(SEARCH(검색어,$A114)),1,0))</f>
        <v/>
      </c>
      <c r="W114">
        <f>IF($V114=1,$W113+1,$W113)</f>
        <v/>
      </c>
      <c r="X114">
        <f>IFERROR(INDEX($A$4:$A$517,MATCH(111,$W$4:$W$517,0)),"")</f>
        <v/>
      </c>
    </row>
    <row r="115">
      <c r="A115" s="93" t="inlineStr">
        <is>
          <t>PLUS 머니마켓액티브</t>
        </is>
      </c>
      <c r="B115" s="93" t="inlineStr">
        <is>
          <t>477050</t>
        </is>
      </c>
      <c r="C115" s="93" t="inlineStr">
        <is>
          <t>한화자산운용</t>
        </is>
      </c>
      <c r="D115" s="94" t="n">
        <v>53590</v>
      </c>
      <c r="E115" s="94" t="n">
        <v>526896880000</v>
      </c>
      <c r="F115" s="94" t="n">
        <v>1203919238</v>
      </c>
      <c r="G115" s="74" t="n">
        <v>0.0005</v>
      </c>
      <c r="H115" s="74" t="n">
        <v>0.0133</v>
      </c>
      <c r="I115" s="74" t="n">
        <v>0.013</v>
      </c>
      <c r="J115" s="74" t="n">
        <v>0.012857</v>
      </c>
      <c r="K115" s="94" t="n">
        <v>1</v>
      </c>
      <c r="L115" s="93" t="inlineStr">
        <is>
          <t>20251212</t>
        </is>
      </c>
      <c r="M115" s="93" t="inlineStr">
        <is>
          <t>채택</t>
        </is>
      </c>
      <c r="N115" s="93" t="inlineStr"/>
      <c r="O115" s="93" t="inlineStr">
        <is>
          <t>KAP 시가평가 MMF 지수(총수익)</t>
        </is>
      </c>
      <c r="P115" s="93" t="inlineStr">
        <is>
          <t>일반</t>
        </is>
      </c>
      <c r="Q115" s="93" t="inlineStr">
        <is>
          <t>단기자금(파킹형)</t>
        </is>
      </c>
      <c r="R115" s="93" t="inlineStr">
        <is>
          <t>연배당</t>
        </is>
      </c>
      <c r="S115" s="94" t="n">
        <v>1</v>
      </c>
      <c r="T115">
        <f>IF(AND($J115&lt;&gt;"",OR(조회_주기="전체",$R115=조회_주기),$J115&gt;=조회_최소,$J115&lt;=조회_최대),1,0)</f>
        <v/>
      </c>
      <c r="U115">
        <f>IF($T115=1,$U114+1,$U114)</f>
        <v/>
      </c>
      <c r="V115">
        <f>IF(검색어="",1,IF(ISNUMBER(SEARCH(검색어,$A115)),1,0))</f>
        <v/>
      </c>
      <c r="W115">
        <f>IF($V115=1,$W114+1,$W114)</f>
        <v/>
      </c>
      <c r="X115">
        <f>IFERROR(INDEX($A$4:$A$517,MATCH(112,$W$4:$W$517,0)),"")</f>
        <v/>
      </c>
    </row>
    <row r="116">
      <c r="A116" s="93" t="inlineStr">
        <is>
          <t>RISE 단기국공채액티브</t>
        </is>
      </c>
      <c r="B116" s="93" t="inlineStr">
        <is>
          <t>272560</t>
        </is>
      </c>
      <c r="C116" s="93" t="inlineStr">
        <is>
          <t>KB자산운용</t>
        </is>
      </c>
      <c r="D116" s="94" t="n">
        <v>114920</v>
      </c>
      <c r="E116" s="94" t="n">
        <v>157440400000</v>
      </c>
      <c r="F116" s="94" t="n">
        <v>538638182</v>
      </c>
      <c r="G116" s="74" t="n">
        <v>0.0007000000000000001</v>
      </c>
      <c r="H116" s="74" t="n">
        <v>0.0134</v>
      </c>
      <c r="I116" s="74" t="n">
        <v>0.0129</v>
      </c>
      <c r="J116" s="74" t="n">
        <v>0.012844</v>
      </c>
      <c r="K116" s="94" t="n">
        <v>1</v>
      </c>
      <c r="L116" s="93" t="inlineStr">
        <is>
          <t>20251212</t>
        </is>
      </c>
      <c r="M116" s="93" t="inlineStr">
        <is>
          <t>채택</t>
        </is>
      </c>
      <c r="N116" s="93" t="inlineStr"/>
      <c r="O116" s="93" t="inlineStr">
        <is>
          <t>KIS 종합채권 국공채 3M-1.5Y</t>
        </is>
      </c>
      <c r="P116" s="93" t="inlineStr">
        <is>
          <t>일반</t>
        </is>
      </c>
      <c r="Q116" s="93" t="inlineStr">
        <is>
          <t>채권</t>
        </is>
      </c>
      <c r="R116" s="93" t="inlineStr">
        <is>
          <t>연배당</t>
        </is>
      </c>
      <c r="S116" s="94" t="n">
        <v>1</v>
      </c>
      <c r="T116">
        <f>IF(AND($J116&lt;&gt;"",OR(조회_주기="전체",$R116=조회_주기),$J116&gt;=조회_최소,$J116&lt;=조회_최대),1,0)</f>
        <v/>
      </c>
      <c r="U116">
        <f>IF($T116=1,$U115+1,$U115)</f>
        <v/>
      </c>
      <c r="V116">
        <f>IF(검색어="",1,IF(ISNUMBER(SEARCH(검색어,$A116)),1,0))</f>
        <v/>
      </c>
      <c r="W116">
        <f>IF($V116=1,$W115+1,$W115)</f>
        <v/>
      </c>
      <c r="X116">
        <f>IFERROR(INDEX($A$4:$A$517,MATCH(113,$W$4:$W$517,0)),"")</f>
        <v/>
      </c>
    </row>
    <row r="117">
      <c r="A117" s="93" t="inlineStr">
        <is>
          <t>TIGER 인도니프티50</t>
        </is>
      </c>
      <c r="B117" s="93" t="inlineStr">
        <is>
          <t>453870</t>
        </is>
      </c>
      <c r="C117" s="93" t="inlineStr">
        <is>
          <t>미래에셋자산운용</t>
        </is>
      </c>
      <c r="D117" s="94" t="n">
        <v>11080</v>
      </c>
      <c r="E117" s="94" t="n">
        <v>277000000000</v>
      </c>
      <c r="F117" s="94" t="n">
        <v>1033066665</v>
      </c>
      <c r="G117" s="74" t="n">
        <v>0.0019</v>
      </c>
      <c r="H117" s="74" t="n">
        <v>0.1773</v>
      </c>
      <c r="I117" s="74" t="n">
        <v>0.004099999999999999</v>
      </c>
      <c r="J117" s="74" t="n">
        <v>0.012635</v>
      </c>
      <c r="K117" s="94" t="n">
        <v>13</v>
      </c>
      <c r="L117" s="93" t="inlineStr">
        <is>
          <t>20260730</t>
        </is>
      </c>
      <c r="M117" s="93" t="inlineStr">
        <is>
          <t>채택</t>
        </is>
      </c>
      <c r="N117" s="93" t="inlineStr"/>
      <c r="O117" s="93" t="inlineStr">
        <is>
          <t>CNX NIFTY INDEX</t>
        </is>
      </c>
      <c r="P117" s="93" t="inlineStr">
        <is>
          <t>일반</t>
        </is>
      </c>
      <c r="Q117" s="93" t="inlineStr">
        <is>
          <t>주식</t>
        </is>
      </c>
      <c r="R117" s="93" t="inlineStr">
        <is>
          <t>분기배당</t>
        </is>
      </c>
      <c r="S117" s="94" t="n">
        <v>4</v>
      </c>
      <c r="T117">
        <f>IF(AND($J117&lt;&gt;"",OR(조회_주기="전체",$R117=조회_주기),$J117&gt;=조회_최소,$J117&lt;=조회_최대),1,0)</f>
        <v/>
      </c>
      <c r="U117">
        <f>IF($T117=1,$U116+1,$U116)</f>
        <v/>
      </c>
      <c r="V117">
        <f>IF(검색어="",1,IF(ISNUMBER(SEARCH(검색어,$A117)),1,0))</f>
        <v/>
      </c>
      <c r="W117">
        <f>IF($V117=1,$W116+1,$W116)</f>
        <v/>
      </c>
      <c r="X117">
        <f>IFERROR(INDEX($A$4:$A$517,MATCH(114,$W$4:$W$517,0)),"")</f>
        <v/>
      </c>
    </row>
    <row r="118">
      <c r="A118" s="93" t="inlineStr">
        <is>
          <t>RISE 단기통안채</t>
        </is>
      </c>
      <c r="B118" s="93" t="inlineStr">
        <is>
          <t>196230</t>
        </is>
      </c>
      <c r="C118" s="93" t="inlineStr">
        <is>
          <t>KB자산운용</t>
        </is>
      </c>
      <c r="D118" s="94" t="n">
        <v>117000</v>
      </c>
      <c r="E118" s="94" t="n">
        <v>261846000000</v>
      </c>
      <c r="F118" s="94" t="n">
        <v>605001250</v>
      </c>
      <c r="G118" s="74" t="n">
        <v>0.0013</v>
      </c>
      <c r="H118" s="74" t="n">
        <v>0.0127</v>
      </c>
      <c r="I118" s="74" t="n">
        <v>0.0125</v>
      </c>
      <c r="J118" s="74" t="n">
        <v>0.012462</v>
      </c>
      <c r="K118" s="94" t="n">
        <v>1</v>
      </c>
      <c r="L118" s="93" t="inlineStr">
        <is>
          <t>20251212</t>
        </is>
      </c>
      <c r="M118" s="93" t="inlineStr">
        <is>
          <t>채택</t>
        </is>
      </c>
      <c r="N118" s="93" t="inlineStr"/>
      <c r="O118" s="93" t="inlineStr">
        <is>
          <t>KIS MSB 5M Index</t>
        </is>
      </c>
      <c r="P118" s="93" t="inlineStr">
        <is>
          <t>일반</t>
        </is>
      </c>
      <c r="Q118" s="93" t="inlineStr">
        <is>
          <t>채권</t>
        </is>
      </c>
      <c r="R118" s="93" t="inlineStr">
        <is>
          <t>연배당</t>
        </is>
      </c>
      <c r="S118" s="94" t="n">
        <v>1</v>
      </c>
      <c r="T118">
        <f>IF(AND($J118&lt;&gt;"",OR(조회_주기="전체",$R118=조회_주기),$J118&gt;=조회_최소,$J118&lt;=조회_최대),1,0)</f>
        <v/>
      </c>
      <c r="U118">
        <f>IF($T118=1,$U117+1,$U117)</f>
        <v/>
      </c>
      <c r="V118">
        <f>IF(검색어="",1,IF(ISNUMBER(SEARCH(검색어,$A118)),1,0))</f>
        <v/>
      </c>
      <c r="W118">
        <f>IF($V118=1,$W117+1,$W117)</f>
        <v/>
      </c>
      <c r="X118">
        <f>IFERROR(INDEX($A$4:$A$517,MATCH(115,$W$4:$W$517,0)),"")</f>
        <v/>
      </c>
    </row>
    <row r="119">
      <c r="A119" s="93" t="inlineStr">
        <is>
          <t>TIGER TDF2045 적격</t>
        </is>
      </c>
      <c r="B119" s="93" t="inlineStr">
        <is>
          <t>0025N0</t>
        </is>
      </c>
      <c r="C119" s="93" t="inlineStr">
        <is>
          <t>미래에셋자산운용</t>
        </is>
      </c>
      <c r="D119" s="94" t="n">
        <v>11915</v>
      </c>
      <c r="E119" s="94" t="n">
        <v>781028250000</v>
      </c>
      <c r="F119" s="94" t="n">
        <v>3866329445</v>
      </c>
      <c r="G119" s="74" t="n">
        <v>0.0019</v>
      </c>
      <c r="H119" s="74" t="n">
        <v>0.1186</v>
      </c>
      <c r="I119" s="74" t="n">
        <v>0.012</v>
      </c>
      <c r="J119" s="74" t="n">
        <v>0.01175</v>
      </c>
      <c r="K119" s="94" t="n">
        <v>1</v>
      </c>
      <c r="L119" s="93" t="inlineStr">
        <is>
          <t>20251229</t>
        </is>
      </c>
      <c r="M119" s="93" t="inlineStr">
        <is>
          <t>채택</t>
        </is>
      </c>
      <c r="N119" s="93" t="inlineStr"/>
      <c r="O119" s="93" t="inlineStr">
        <is>
          <t>S&amp;P Korea Target Date 2045 Global Index</t>
        </is>
      </c>
      <c r="P119" s="93" t="inlineStr">
        <is>
          <t>일반</t>
        </is>
      </c>
      <c r="Q119" s="93" t="inlineStr">
        <is>
          <t>멀티에셋</t>
        </is>
      </c>
      <c r="R119" s="93" t="inlineStr">
        <is>
          <t>연배당</t>
        </is>
      </c>
      <c r="S119" s="94" t="n">
        <v>1</v>
      </c>
      <c r="T119">
        <f>IF(AND($J119&lt;&gt;"",OR(조회_주기="전체",$R119=조회_주기),$J119&gt;=조회_최소,$J119&lt;=조회_최대),1,0)</f>
        <v/>
      </c>
      <c r="U119">
        <f>IF($T119=1,$U118+1,$U118)</f>
        <v/>
      </c>
      <c r="V119">
        <f>IF(검색어="",1,IF(ISNUMBER(SEARCH(검색어,$A119)),1,0))</f>
        <v/>
      </c>
      <c r="W119">
        <f>IF($V119=1,$W118+1,$W118)</f>
        <v/>
      </c>
      <c r="X119">
        <f>IFERROR(INDEX($A$4:$A$517,MATCH(116,$W$4:$W$517,0)),"")</f>
        <v/>
      </c>
    </row>
    <row r="120">
      <c r="A120" s="93" t="inlineStr">
        <is>
          <t>KODEX 차이나항셍테크</t>
        </is>
      </c>
      <c r="B120" s="93" t="inlineStr">
        <is>
          <t>372330</t>
        </is>
      </c>
      <c r="C120" s="93" t="inlineStr">
        <is>
          <t>삼성자산운용(ETF)</t>
        </is>
      </c>
      <c r="D120" s="94" t="n">
        <v>6480</v>
      </c>
      <c r="E120" s="94" t="n">
        <v>108216000000</v>
      </c>
      <c r="F120" s="94" t="n">
        <v>971169694</v>
      </c>
      <c r="G120" s="74" t="n">
        <v>0.0012</v>
      </c>
      <c r="H120" s="74" t="n">
        <v>0.2958</v>
      </c>
      <c r="I120" s="74" t="n">
        <v>0.0066</v>
      </c>
      <c r="J120" s="74" t="n">
        <v>0.011728</v>
      </c>
      <c r="K120" s="94" t="n">
        <v>9</v>
      </c>
      <c r="L120" s="93" t="inlineStr">
        <is>
          <t>20260730</t>
        </is>
      </c>
      <c r="M120" s="93" t="inlineStr">
        <is>
          <t>채택</t>
        </is>
      </c>
      <c r="N120" s="93" t="inlineStr"/>
      <c r="O120" s="93" t="inlineStr">
        <is>
          <t>항셍 테크</t>
        </is>
      </c>
      <c r="P120" s="93" t="inlineStr">
        <is>
          <t>일반</t>
        </is>
      </c>
      <c r="Q120" s="93" t="inlineStr">
        <is>
          <t>주식</t>
        </is>
      </c>
      <c r="R120" s="93" t="inlineStr">
        <is>
          <t>분기배당</t>
        </is>
      </c>
      <c r="S120" s="94" t="n">
        <v>4</v>
      </c>
      <c r="T120">
        <f>IF(AND($J120&lt;&gt;"",OR(조회_주기="전체",$R120=조회_주기),$J120&gt;=조회_최소,$J120&lt;=조회_최대),1,0)</f>
        <v/>
      </c>
      <c r="U120">
        <f>IF($T120=1,$U119+1,$U119)</f>
        <v/>
      </c>
      <c r="V120">
        <f>IF(검색어="",1,IF(ISNUMBER(SEARCH(검색어,$A120)),1,0))</f>
        <v/>
      </c>
      <c r="W120">
        <f>IF($V120=1,$W119+1,$W119)</f>
        <v/>
      </c>
      <c r="X120">
        <f>IFERROR(INDEX($A$4:$A$517,MATCH(117,$W$4:$W$517,0)),"")</f>
        <v/>
      </c>
    </row>
    <row r="121">
      <c r="A121" s="93" t="inlineStr">
        <is>
          <t>TIGER 미국나스닥100채권혼합50</t>
        </is>
      </c>
      <c r="B121" s="93" t="inlineStr">
        <is>
          <t>435420</t>
        </is>
      </c>
      <c r="C121" s="93" t="inlineStr">
        <is>
          <t>미래에셋자산운용</t>
        </is>
      </c>
      <c r="D121" s="94" t="n">
        <v>13980</v>
      </c>
      <c r="E121" s="94" t="n">
        <v>503280000000</v>
      </c>
      <c r="F121" s="94" t="n">
        <v>3803126241</v>
      </c>
      <c r="G121" s="74" t="n">
        <v>0.0025</v>
      </c>
      <c r="H121" s="74" t="n">
        <v>0.09539999999999998</v>
      </c>
      <c r="I121" s="74" t="n">
        <v>0.003</v>
      </c>
      <c r="J121" s="74" t="n">
        <v>0.011445</v>
      </c>
      <c r="K121" s="94" t="n">
        <v>11</v>
      </c>
      <c r="L121" s="93" t="inlineStr">
        <is>
          <t>20260730</t>
        </is>
      </c>
      <c r="M121" s="93" t="inlineStr">
        <is>
          <t>채택</t>
        </is>
      </c>
      <c r="N121" s="93" t="inlineStr"/>
      <c r="O121" s="93" t="inlineStr">
        <is>
          <t>FnGuide 나스닥100채권혼합50 지수</t>
        </is>
      </c>
      <c r="P121" s="93" t="inlineStr">
        <is>
          <t>일반</t>
        </is>
      </c>
      <c r="Q121" s="93" t="inlineStr">
        <is>
          <t>멀티에셋</t>
        </is>
      </c>
      <c r="R121" s="93" t="inlineStr">
        <is>
          <t>분기배당</t>
        </is>
      </c>
      <c r="S121" s="94" t="n">
        <v>4</v>
      </c>
      <c r="T121">
        <f>IF(AND($J121&lt;&gt;"",OR(조회_주기="전체",$R121=조회_주기),$J121&gt;=조회_최소,$J121&lt;=조회_최대),1,0)</f>
        <v/>
      </c>
      <c r="U121">
        <f>IF($T121=1,$U120+1,$U120)</f>
        <v/>
      </c>
      <c r="V121">
        <f>IF(검색어="",1,IF(ISNUMBER(SEARCH(검색어,$A121)),1,0))</f>
        <v/>
      </c>
      <c r="W121">
        <f>IF($V121=1,$W120+1,$W120)</f>
        <v/>
      </c>
      <c r="X121">
        <f>IFERROR(INDEX($A$4:$A$517,MATCH(118,$W$4:$W$517,0)),"")</f>
        <v/>
      </c>
    </row>
    <row r="122">
      <c r="A122" s="93" t="inlineStr">
        <is>
          <t>RISE 미국S&amp;P500</t>
        </is>
      </c>
      <c r="B122" s="93" t="inlineStr">
        <is>
          <t>379780</t>
        </is>
      </c>
      <c r="C122" s="93" t="inlineStr">
        <is>
          <t>KB자산운용</t>
        </is>
      </c>
      <c r="D122" s="94" t="n">
        <v>22780</v>
      </c>
      <c r="E122" s="94" t="n">
        <v>1494368000000</v>
      </c>
      <c r="F122" s="94" t="n">
        <v>5777109533</v>
      </c>
      <c r="G122" s="74" t="n">
        <v>4.7e-05</v>
      </c>
      <c r="H122" s="74" t="n">
        <v>0.1456</v>
      </c>
      <c r="I122" s="74" t="n">
        <v>0.0027</v>
      </c>
      <c r="J122" s="74" t="n">
        <v>0.011326</v>
      </c>
      <c r="K122" s="94" t="n">
        <v>18</v>
      </c>
      <c r="L122" s="93" t="inlineStr">
        <is>
          <t>20260629</t>
        </is>
      </c>
      <c r="M122" s="93" t="inlineStr">
        <is>
          <t>채택</t>
        </is>
      </c>
      <c r="N122" s="93" t="inlineStr"/>
      <c r="O122" s="93" t="inlineStr">
        <is>
          <t>S&amp;P 500</t>
        </is>
      </c>
      <c r="P122" s="93" t="inlineStr">
        <is>
          <t>일반</t>
        </is>
      </c>
      <c r="Q122" s="93" t="inlineStr">
        <is>
          <t>주식</t>
        </is>
      </c>
      <c r="R122" s="93" t="inlineStr">
        <is>
          <t>분기배당</t>
        </is>
      </c>
      <c r="S122" s="94" t="n">
        <v>3</v>
      </c>
      <c r="T122">
        <f>IF(AND($J122&lt;&gt;"",OR(조회_주기="전체",$R122=조회_주기),$J122&gt;=조회_최소,$J122&lt;=조회_최대),1,0)</f>
        <v/>
      </c>
      <c r="U122">
        <f>IF($T122=1,$U121+1,$U121)</f>
        <v/>
      </c>
      <c r="V122">
        <f>IF(검색어="",1,IF(ISNUMBER(SEARCH(검색어,$A122)),1,0))</f>
        <v/>
      </c>
      <c r="W122">
        <f>IF($V122=1,$W121+1,$W121)</f>
        <v/>
      </c>
      <c r="X122">
        <f>IFERROR(INDEX($A$4:$A$517,MATCH(119,$W$4:$W$517,0)),"")</f>
        <v/>
      </c>
    </row>
    <row r="123">
      <c r="A123" s="93" t="inlineStr">
        <is>
          <t>TIGER 차이나항셍테크</t>
        </is>
      </c>
      <c r="B123" s="93" t="inlineStr">
        <is>
          <t>371160</t>
        </is>
      </c>
      <c r="C123" s="93" t="inlineStr">
        <is>
          <t>미래에셋자산운용</t>
        </is>
      </c>
      <c r="D123" s="94" t="n">
        <v>6485</v>
      </c>
      <c r="E123" s="94" t="n">
        <v>529500250000</v>
      </c>
      <c r="F123" s="94" t="n">
        <v>4610182419</v>
      </c>
      <c r="G123" s="74" t="n">
        <v>0.0009</v>
      </c>
      <c r="H123" s="74" t="n">
        <v>0.2971</v>
      </c>
      <c r="I123" s="74" t="n">
        <v>0.0033</v>
      </c>
      <c r="J123" s="74" t="n">
        <v>0.010794</v>
      </c>
      <c r="K123" s="94" t="n">
        <v>6</v>
      </c>
      <c r="L123" s="93" t="inlineStr">
        <is>
          <t>20260730</t>
        </is>
      </c>
      <c r="M123" s="93" t="inlineStr">
        <is>
          <t>채택</t>
        </is>
      </c>
      <c r="N123" s="93" t="inlineStr"/>
      <c r="O123" s="93" t="inlineStr">
        <is>
          <t>항셍 테크</t>
        </is>
      </c>
      <c r="P123" s="93" t="inlineStr">
        <is>
          <t>일반</t>
        </is>
      </c>
      <c r="Q123" s="93" t="inlineStr">
        <is>
          <t>주식</t>
        </is>
      </c>
      <c r="R123" s="93" t="inlineStr">
        <is>
          <t>분기배당</t>
        </is>
      </c>
      <c r="S123" s="94" t="n">
        <v>4</v>
      </c>
      <c r="T123">
        <f>IF(AND($J123&lt;&gt;"",OR(조회_주기="전체",$R123=조회_주기),$J123&gt;=조회_최소,$J123&lt;=조회_최대),1,0)</f>
        <v/>
      </c>
      <c r="U123">
        <f>IF($T123=1,$U122+1,$U122)</f>
        <v/>
      </c>
      <c r="V123">
        <f>IF(검색어="",1,IF(ISNUMBER(SEARCH(검색어,$A123)),1,0))</f>
        <v/>
      </c>
      <c r="W123">
        <f>IF($V123=1,$W122+1,$W122)</f>
        <v/>
      </c>
      <c r="X123">
        <f>IFERROR(INDEX($A$4:$A$517,MATCH(120,$W$4:$W$517,0)),"")</f>
        <v/>
      </c>
    </row>
    <row r="124">
      <c r="A124" s="93" t="inlineStr">
        <is>
          <t>KODEX 국채선물3년인버스</t>
        </is>
      </c>
      <c r="B124" s="93" t="inlineStr">
        <is>
          <t>292770</t>
        </is>
      </c>
      <c r="C124" s="93" t="inlineStr">
        <is>
          <t>삼성자산운용(ETF)</t>
        </is>
      </c>
      <c r="D124" s="94" t="n">
        <v>58120</v>
      </c>
      <c r="E124" s="94" t="n">
        <v>62420880000</v>
      </c>
      <c r="F124" s="94" t="n">
        <v>744493637</v>
      </c>
      <c r="G124" s="74" t="n">
        <v>0.0007000000000000001</v>
      </c>
      <c r="H124" s="74" t="n">
        <v>0.0261</v>
      </c>
      <c r="I124" s="74" t="n">
        <v>0.011</v>
      </c>
      <c r="J124" s="74" t="n">
        <v>0.010754</v>
      </c>
      <c r="K124" s="94" t="n">
        <v>1</v>
      </c>
      <c r="L124" s="93" t="inlineStr">
        <is>
          <t>20251229</t>
        </is>
      </c>
      <c r="M124" s="93" t="inlineStr">
        <is>
          <t>채택</t>
        </is>
      </c>
      <c r="N124" s="93" t="inlineStr"/>
      <c r="O124" s="93" t="inlineStr">
        <is>
          <t>F-KTB</t>
        </is>
      </c>
      <c r="P124" s="93" t="inlineStr">
        <is>
          <t>일반</t>
        </is>
      </c>
      <c r="Q124" s="93" t="inlineStr">
        <is>
          <t>채권</t>
        </is>
      </c>
      <c r="R124" s="93" t="inlineStr">
        <is>
          <t>연배당</t>
        </is>
      </c>
      <c r="S124" s="94" t="n">
        <v>1</v>
      </c>
      <c r="T124">
        <f>IF(AND($J124&lt;&gt;"",OR(조회_주기="전체",$R124=조회_주기),$J124&gt;=조회_최소,$J124&lt;=조회_최대),1,0)</f>
        <v/>
      </c>
      <c r="U124">
        <f>IF($T124=1,$U123+1,$U123)</f>
        <v/>
      </c>
      <c r="V124">
        <f>IF(검색어="",1,IF(ISNUMBER(SEARCH(검색어,$A124)),1,0))</f>
        <v/>
      </c>
      <c r="W124">
        <f>IF($V124=1,$W123+1,$W123)</f>
        <v/>
      </c>
      <c r="X124">
        <f>IFERROR(INDEX($A$4:$A$517,MATCH(121,$W$4:$W$517,0)),"")</f>
        <v/>
      </c>
    </row>
    <row r="125">
      <c r="A125" s="93" t="inlineStr">
        <is>
          <t>PLUS 국채선물3년</t>
        </is>
      </c>
      <c r="B125" s="93" t="inlineStr">
        <is>
          <t>298340</t>
        </is>
      </c>
      <c r="C125" s="93" t="inlineStr">
        <is>
          <t>한화자산운용</t>
        </is>
      </c>
      <c r="D125" s="94" t="n">
        <v>56305</v>
      </c>
      <c r="E125" s="94" t="n">
        <v>72520840000</v>
      </c>
      <c r="F125" s="94" t="n">
        <v>1139741239</v>
      </c>
      <c r="G125" s="74" t="n">
        <v>0.001</v>
      </c>
      <c r="H125" s="74" t="n">
        <v>0.0261</v>
      </c>
      <c r="I125" s="74" t="n">
        <v>0.0106</v>
      </c>
      <c r="J125" s="74" t="n">
        <v>0.010692</v>
      </c>
      <c r="K125" s="94" t="n">
        <v>1</v>
      </c>
      <c r="L125" s="93" t="inlineStr">
        <is>
          <t>20251212</t>
        </is>
      </c>
      <c r="M125" s="93" t="inlineStr">
        <is>
          <t>채택</t>
        </is>
      </c>
      <c r="N125" s="93" t="inlineStr"/>
      <c r="O125" s="93" t="inlineStr">
        <is>
          <t>F-KTB</t>
        </is>
      </c>
      <c r="P125" s="93" t="inlineStr">
        <is>
          <t>일반</t>
        </is>
      </c>
      <c r="Q125" s="93" t="inlineStr">
        <is>
          <t>채권</t>
        </is>
      </c>
      <c r="R125" s="93" t="inlineStr">
        <is>
          <t>연배당</t>
        </is>
      </c>
      <c r="S125" s="94" t="n">
        <v>1</v>
      </c>
      <c r="T125">
        <f>IF(AND($J125&lt;&gt;"",OR(조회_주기="전체",$R125=조회_주기),$J125&gt;=조회_최소,$J125&lt;=조회_최대),1,0)</f>
        <v/>
      </c>
      <c r="U125">
        <f>IF($T125=1,$U124+1,$U124)</f>
        <v/>
      </c>
      <c r="V125">
        <f>IF(검색어="",1,IF(ISNUMBER(SEARCH(검색어,$A125)),1,0))</f>
        <v/>
      </c>
      <c r="W125">
        <f>IF($V125=1,$W124+1,$W124)</f>
        <v/>
      </c>
      <c r="X125">
        <f>IFERROR(INDEX($A$4:$A$517,MATCH(122,$W$4:$W$517,0)),"")</f>
        <v/>
      </c>
    </row>
    <row r="126">
      <c r="A126" s="93" t="inlineStr">
        <is>
          <t>KODEX 미국나스닥100</t>
        </is>
      </c>
      <c r="B126" s="93" t="inlineStr">
        <is>
          <t>379810</t>
        </is>
      </c>
      <c r="C126" s="93" t="inlineStr">
        <is>
          <t>삼성자산운용(ETF)</t>
        </is>
      </c>
      <c r="D126" s="94" t="n">
        <v>26655</v>
      </c>
      <c r="E126" s="94" t="n">
        <v>9246619500000</v>
      </c>
      <c r="F126" s="94" t="n">
        <v>388250538140</v>
      </c>
      <c r="G126" s="74" t="n">
        <v>6.2e-05</v>
      </c>
      <c r="H126" s="74" t="n">
        <v>0.206</v>
      </c>
      <c r="I126" s="74" t="n">
        <v>0.0031</v>
      </c>
      <c r="J126" s="74" t="n">
        <v>0.01058</v>
      </c>
      <c r="K126" s="94" t="n">
        <v>6</v>
      </c>
      <c r="L126" s="93" t="inlineStr">
        <is>
          <t>20260730</t>
        </is>
      </c>
      <c r="M126" s="93" t="inlineStr">
        <is>
          <t>채택</t>
        </is>
      </c>
      <c r="N126" s="93" t="inlineStr"/>
      <c r="O126" s="93" t="inlineStr">
        <is>
          <t>나스닥 100</t>
        </is>
      </c>
      <c r="P126" s="93" t="inlineStr">
        <is>
          <t>일반</t>
        </is>
      </c>
      <c r="Q126" s="93" t="inlineStr">
        <is>
          <t>주식</t>
        </is>
      </c>
      <c r="R126" s="93" t="inlineStr">
        <is>
          <t>분기배당</t>
        </is>
      </c>
      <c r="S126" s="94" t="n">
        <v>4</v>
      </c>
      <c r="T126">
        <f>IF(AND($J126&lt;&gt;"",OR(조회_주기="전체",$R126=조회_주기),$J126&gt;=조회_최소,$J126&lt;=조회_최대),1,0)</f>
        <v/>
      </c>
      <c r="U126">
        <f>IF($T126=1,$U125+1,$U125)</f>
        <v/>
      </c>
      <c r="V126">
        <f>IF(검색어="",1,IF(ISNUMBER(SEARCH(검색어,$A126)),1,0))</f>
        <v/>
      </c>
      <c r="W126">
        <f>IF($V126=1,$W125+1,$W125)</f>
        <v/>
      </c>
      <c r="X126">
        <f>IFERROR(INDEX($A$4:$A$517,MATCH(123,$W$4:$W$517,0)),"")</f>
        <v/>
      </c>
    </row>
    <row r="127">
      <c r="A127" s="93" t="inlineStr">
        <is>
          <t>TIGER 일본니케이225</t>
        </is>
      </c>
      <c r="B127" s="93" t="inlineStr">
        <is>
          <t>241180</t>
        </is>
      </c>
      <c r="C127" s="93" t="inlineStr">
        <is>
          <t>미래에셋자산운용</t>
        </is>
      </c>
      <c r="D127" s="94" t="n">
        <v>34230</v>
      </c>
      <c r="E127" s="94" t="n">
        <v>391591200000</v>
      </c>
      <c r="F127" s="94" t="n">
        <v>2088918065</v>
      </c>
      <c r="G127" s="74" t="n">
        <v>0.0035</v>
      </c>
      <c r="H127" s="74" t="n">
        <v>0.3246</v>
      </c>
      <c r="I127" s="74" t="n">
        <v>0.0122</v>
      </c>
      <c r="J127" s="74" t="n">
        <v>0.010225</v>
      </c>
      <c r="K127" s="94" t="n">
        <v>4</v>
      </c>
      <c r="L127" s="93" t="inlineStr">
        <is>
          <t>20251229</t>
        </is>
      </c>
      <c r="M127" s="93" t="inlineStr">
        <is>
          <t>채택</t>
        </is>
      </c>
      <c r="N127" s="93" t="inlineStr"/>
      <c r="O127" s="93" t="inlineStr">
        <is>
          <t>니케이225</t>
        </is>
      </c>
      <c r="P127" s="93" t="inlineStr">
        <is>
          <t>일반</t>
        </is>
      </c>
      <c r="Q127" s="93" t="inlineStr">
        <is>
          <t>주식</t>
        </is>
      </c>
      <c r="R127" s="93" t="inlineStr">
        <is>
          <t>연배당</t>
        </is>
      </c>
      <c r="S127" s="94" t="n">
        <v>1</v>
      </c>
      <c r="T127">
        <f>IF(AND($J127&lt;&gt;"",OR(조회_주기="전체",$R127=조회_주기),$J127&gt;=조회_최소,$J127&lt;=조회_최대),1,0)</f>
        <v/>
      </c>
      <c r="U127">
        <f>IF($T127=1,$U126+1,$U126)</f>
        <v/>
      </c>
      <c r="V127">
        <f>IF(검색어="",1,IF(ISNUMBER(SEARCH(검색어,$A127)),1,0))</f>
        <v/>
      </c>
      <c r="W127">
        <f>IF($V127=1,$W126+1,$W126)</f>
        <v/>
      </c>
      <c r="X127">
        <f>IFERROR(INDEX($A$4:$A$517,MATCH(124,$W$4:$W$517,0)),"")</f>
        <v/>
      </c>
    </row>
    <row r="128">
      <c r="A128" s="93" t="inlineStr">
        <is>
          <t>KIWOOM 미국S&amp;P500</t>
        </is>
      </c>
      <c r="B128" s="93" t="inlineStr">
        <is>
          <t>449770</t>
        </is>
      </c>
      <c r="C128" s="93" t="inlineStr">
        <is>
          <t>키움투자자산운용</t>
        </is>
      </c>
      <c r="D128" s="94" t="n">
        <v>20850</v>
      </c>
      <c r="E128" s="94" t="n">
        <v>87570000000</v>
      </c>
      <c r="F128" s="94" t="n">
        <v>2301510056</v>
      </c>
      <c r="G128" s="74" t="n">
        <v>0.00021</v>
      </c>
      <c r="H128" s="74" t="n">
        <v>0.1459</v>
      </c>
      <c r="I128" s="74" t="n">
        <v>0.0022</v>
      </c>
      <c r="J128" s="74" t="n">
        <v>0.010168</v>
      </c>
      <c r="K128" s="94" t="n">
        <v>13</v>
      </c>
      <c r="L128" s="93" t="inlineStr">
        <is>
          <t>20260730</t>
        </is>
      </c>
      <c r="M128" s="93" t="inlineStr">
        <is>
          <t>채택</t>
        </is>
      </c>
      <c r="N128" s="93" t="inlineStr"/>
      <c r="O128" s="93" t="inlineStr">
        <is>
          <t>S&amp;P 500</t>
        </is>
      </c>
      <c r="P128" s="93" t="inlineStr">
        <is>
          <t>일반</t>
        </is>
      </c>
      <c r="Q128" s="93" t="inlineStr">
        <is>
          <t>주식</t>
        </is>
      </c>
      <c r="R128" s="93" t="inlineStr">
        <is>
          <t>분기배당</t>
        </is>
      </c>
      <c r="S128" s="94" t="n">
        <v>4</v>
      </c>
      <c r="T128">
        <f>IF(AND($J128&lt;&gt;"",OR(조회_주기="전체",$R128=조회_주기),$J128&gt;=조회_최소,$J128&lt;=조회_최대),1,0)</f>
        <v/>
      </c>
      <c r="U128">
        <f>IF($T128=1,$U127+1,$U127)</f>
        <v/>
      </c>
      <c r="V128">
        <f>IF(검색어="",1,IF(ISNUMBER(SEARCH(검색어,$A128)),1,0))</f>
        <v/>
      </c>
      <c r="W128">
        <f>IF($V128=1,$W127+1,$W127)</f>
        <v/>
      </c>
      <c r="X128">
        <f>IFERROR(INDEX($A$4:$A$517,MATCH(125,$W$4:$W$517,0)),"")</f>
        <v/>
      </c>
    </row>
    <row r="129">
      <c r="A129" s="93" t="inlineStr">
        <is>
          <t>TIGER 단기통안채</t>
        </is>
      </c>
      <c r="B129" s="93" t="inlineStr">
        <is>
          <t>157450</t>
        </is>
      </c>
      <c r="C129" s="93" t="inlineStr">
        <is>
          <t>미래에셋자산운용</t>
        </is>
      </c>
      <c r="D129" s="94" t="n">
        <v>112665</v>
      </c>
      <c r="E129" s="94" t="n">
        <v>1299928770000</v>
      </c>
      <c r="F129" s="94" t="n">
        <v>2476134824</v>
      </c>
      <c r="G129" s="74" t="n">
        <v>0.0009</v>
      </c>
      <c r="H129" s="74" t="n">
        <v>0.0104</v>
      </c>
      <c r="I129" s="74" t="n">
        <v>0.0101</v>
      </c>
      <c r="J129" s="74" t="n">
        <v>0.010039</v>
      </c>
      <c r="K129" s="94" t="n">
        <v>1</v>
      </c>
      <c r="L129" s="93" t="inlineStr">
        <is>
          <t>20251127</t>
        </is>
      </c>
      <c r="M129" s="93" t="inlineStr">
        <is>
          <t>채택</t>
        </is>
      </c>
      <c r="N129" s="93" t="inlineStr"/>
      <c r="O129" s="93" t="inlineStr">
        <is>
          <t>KIS 통안채 6개월 지수</t>
        </is>
      </c>
      <c r="P129" s="93" t="inlineStr">
        <is>
          <t>일반</t>
        </is>
      </c>
      <c r="Q129" s="93" t="inlineStr">
        <is>
          <t>채권</t>
        </is>
      </c>
      <c r="R129" s="93" t="inlineStr">
        <is>
          <t>연배당</t>
        </is>
      </c>
      <c r="S129" s="94" t="n">
        <v>1</v>
      </c>
      <c r="T129">
        <f>IF(AND($J129&lt;&gt;"",OR(조회_주기="전체",$R129=조회_주기),$J129&gt;=조회_최소,$J129&lt;=조회_최대),1,0)</f>
        <v/>
      </c>
      <c r="U129">
        <f>IF($T129=1,$U128+1,$U128)</f>
        <v/>
      </c>
      <c r="V129">
        <f>IF(검색어="",1,IF(ISNUMBER(SEARCH(검색어,$A129)),1,0))</f>
        <v/>
      </c>
      <c r="W129">
        <f>IF($V129=1,$W128+1,$W128)</f>
        <v/>
      </c>
      <c r="X129">
        <f>IFERROR(INDEX($A$4:$A$517,MATCH(126,$W$4:$W$517,0)),"")</f>
        <v/>
      </c>
    </row>
    <row r="130">
      <c r="A130" s="93" t="inlineStr">
        <is>
          <t>TIGER 미국S&amp;P500</t>
        </is>
      </c>
      <c r="B130" s="93" t="inlineStr">
        <is>
          <t>360750</t>
        </is>
      </c>
      <c r="C130" s="93" t="inlineStr">
        <is>
          <t>미래에셋자산운용</t>
        </is>
      </c>
      <c r="D130" s="94" t="n">
        <v>26055</v>
      </c>
      <c r="E130" s="94" t="n">
        <v>20705908500000</v>
      </c>
      <c r="F130" s="94" t="n">
        <v>984605214149</v>
      </c>
      <c r="G130" s="74" t="n">
        <v>6.8e-05</v>
      </c>
      <c r="H130" s="74" t="n">
        <v>0.1459</v>
      </c>
      <c r="I130" s="74" t="n">
        <v>0.0025</v>
      </c>
      <c r="J130" s="74" t="n">
        <v>0.00971</v>
      </c>
      <c r="K130" s="94" t="n">
        <v>20</v>
      </c>
      <c r="L130" s="93" t="inlineStr">
        <is>
          <t>20260730</t>
        </is>
      </c>
      <c r="M130" s="93" t="inlineStr">
        <is>
          <t>채택</t>
        </is>
      </c>
      <c r="N130" s="93" t="inlineStr"/>
      <c r="O130" s="93" t="inlineStr">
        <is>
          <t>S&amp;P 500</t>
        </is>
      </c>
      <c r="P130" s="93" t="inlineStr">
        <is>
          <t>일반</t>
        </is>
      </c>
      <c r="Q130" s="93" t="inlineStr">
        <is>
          <t>주식</t>
        </is>
      </c>
      <c r="R130" s="93" t="inlineStr">
        <is>
          <t>분기배당</t>
        </is>
      </c>
      <c r="S130" s="94" t="n">
        <v>4</v>
      </c>
      <c r="T130">
        <f>IF(AND($J130&lt;&gt;"",OR(조회_주기="전체",$R130=조회_주기),$J130&gt;=조회_최소,$J130&lt;=조회_최대),1,0)</f>
        <v/>
      </c>
      <c r="U130">
        <f>IF($T130=1,$U129+1,$U129)</f>
        <v/>
      </c>
      <c r="V130">
        <f>IF(검색어="",1,IF(ISNUMBER(SEARCH(검색어,$A130)),1,0))</f>
        <v/>
      </c>
      <c r="W130">
        <f>IF($V130=1,$W129+1,$W129)</f>
        <v/>
      </c>
      <c r="X130">
        <f>IFERROR(INDEX($A$4:$A$517,MATCH(127,$W$4:$W$517,0)),"")</f>
        <v/>
      </c>
    </row>
    <row r="131">
      <c r="A131" s="93" t="inlineStr">
        <is>
          <t>ACE 미국S&amp;P500</t>
        </is>
      </c>
      <c r="B131" s="93" t="inlineStr">
        <is>
          <t>360200</t>
        </is>
      </c>
      <c r="C131" s="93" t="inlineStr">
        <is>
          <t>한국투신운용(ETF)</t>
        </is>
      </c>
      <c r="D131" s="94" t="n">
        <v>26350</v>
      </c>
      <c r="E131" s="94" t="n">
        <v>3970945000000</v>
      </c>
      <c r="F131" s="94" t="n">
        <v>20863155968</v>
      </c>
      <c r="G131" s="74" t="n">
        <v>4.7e-05</v>
      </c>
      <c r="H131" s="74" t="n">
        <v>0.1459</v>
      </c>
      <c r="I131" s="74" t="n">
        <v>0.0024</v>
      </c>
      <c r="J131" s="74" t="n">
        <v>0.009602000000000001</v>
      </c>
      <c r="K131" s="94" t="n">
        <v>20</v>
      </c>
      <c r="L131" s="93" t="inlineStr">
        <is>
          <t>20260730</t>
        </is>
      </c>
      <c r="M131" s="93" t="inlineStr">
        <is>
          <t>채택</t>
        </is>
      </c>
      <c r="N131" s="93" t="inlineStr"/>
      <c r="O131" s="93" t="inlineStr">
        <is>
          <t>S&amp;P 500</t>
        </is>
      </c>
      <c r="P131" s="93" t="inlineStr">
        <is>
          <t>일반</t>
        </is>
      </c>
      <c r="Q131" s="93" t="inlineStr">
        <is>
          <t>주식</t>
        </is>
      </c>
      <c r="R131" s="93" t="inlineStr">
        <is>
          <t>분기배당</t>
        </is>
      </c>
      <c r="S131" s="94" t="n">
        <v>4</v>
      </c>
      <c r="T131">
        <f>IF(AND($J131&lt;&gt;"",OR(조회_주기="전체",$R131=조회_주기),$J131&gt;=조회_최소,$J131&lt;=조회_최대),1,0)</f>
        <v/>
      </c>
      <c r="U131">
        <f>IF($T131=1,$U130+1,$U130)</f>
        <v/>
      </c>
      <c r="V131">
        <f>IF(검색어="",1,IF(ISNUMBER(SEARCH(검색어,$A131)),1,0))</f>
        <v/>
      </c>
      <c r="W131">
        <f>IF($V131=1,$W130+1,$W130)</f>
        <v/>
      </c>
      <c r="X131">
        <f>IFERROR(INDEX($A$4:$A$517,MATCH(128,$W$4:$W$517,0)),"")</f>
        <v/>
      </c>
    </row>
    <row r="132">
      <c r="A132" s="93" t="inlineStr">
        <is>
          <t>1Q 미국S&amp;P500</t>
        </is>
      </c>
      <c r="B132" s="93" t="inlineStr">
        <is>
          <t>0026S0</t>
        </is>
      </c>
      <c r="C132" s="93" t="inlineStr">
        <is>
          <t>하나자산운용</t>
        </is>
      </c>
      <c r="D132" s="94" t="n">
        <v>12715</v>
      </c>
      <c r="E132" s="94" t="n">
        <v>339490500000</v>
      </c>
      <c r="F132" s="94" t="n">
        <v>2608302347</v>
      </c>
      <c r="G132" s="74" t="n">
        <v>5.5e-05</v>
      </c>
      <c r="H132" s="74" t="n">
        <v>0.1453</v>
      </c>
      <c r="I132" s="74" t="n">
        <v>0.0022</v>
      </c>
      <c r="J132" s="74" t="n">
        <v>0.009594999999999999</v>
      </c>
      <c r="K132" s="94" t="n">
        <v>6</v>
      </c>
      <c r="L132" s="93" t="inlineStr">
        <is>
          <t>20260914</t>
        </is>
      </c>
      <c r="M132" s="93" t="inlineStr">
        <is>
          <t>채택</t>
        </is>
      </c>
      <c r="N132" s="93" t="inlineStr"/>
      <c r="O132" s="93" t="inlineStr">
        <is>
          <t>S&amp;P 500</t>
        </is>
      </c>
      <c r="P132" s="93" t="inlineStr">
        <is>
          <t>일반</t>
        </is>
      </c>
      <c r="Q132" s="93" t="inlineStr">
        <is>
          <t>주식</t>
        </is>
      </c>
      <c r="R132" s="93" t="inlineStr">
        <is>
          <t>분기배당</t>
        </is>
      </c>
      <c r="S132" s="94" t="n">
        <v>4</v>
      </c>
      <c r="T132">
        <f>IF(AND($J132&lt;&gt;"",OR(조회_주기="전체",$R132=조회_주기),$J132&gt;=조회_최소,$J132&lt;=조회_최대),1,0)</f>
        <v/>
      </c>
      <c r="U132">
        <f>IF($T132=1,$U131+1,$U131)</f>
        <v/>
      </c>
      <c r="V132">
        <f>IF(검색어="",1,IF(ISNUMBER(SEARCH(검색어,$A132)),1,0))</f>
        <v/>
      </c>
      <c r="W132">
        <f>IF($V132=1,$W131+1,$W131)</f>
        <v/>
      </c>
      <c r="X132">
        <f>IFERROR(INDEX($A$4:$A$517,MATCH(129,$W$4:$W$517,0)),"")</f>
        <v/>
      </c>
    </row>
    <row r="133">
      <c r="A133" s="93" t="inlineStr">
        <is>
          <t>KODEX 미국달러선물</t>
        </is>
      </c>
      <c r="B133" s="93" t="inlineStr">
        <is>
          <t>261240</t>
        </is>
      </c>
      <c r="C133" s="93" t="inlineStr">
        <is>
          <t>삼성자산운용(ETF)</t>
        </is>
      </c>
      <c r="D133" s="94" t="n">
        <v>14290</v>
      </c>
      <c r="E133" s="94" t="n">
        <v>63590500000</v>
      </c>
      <c r="F133" s="94" t="n">
        <v>1418412157</v>
      </c>
      <c r="G133" s="74" t="n">
        <v>0.0025</v>
      </c>
      <c r="H133" s="74" t="n">
        <v>0.1056</v>
      </c>
      <c r="I133" s="74" t="n">
        <v>0.0092</v>
      </c>
      <c r="J133" s="74" t="n">
        <v>0.009447000000000001</v>
      </c>
      <c r="K133" s="94" t="n">
        <v>1</v>
      </c>
      <c r="L133" s="93" t="inlineStr">
        <is>
          <t>20251229</t>
        </is>
      </c>
      <c r="M133" s="93" t="inlineStr">
        <is>
          <t>채택</t>
        </is>
      </c>
      <c r="N133" s="93" t="inlineStr"/>
      <c r="O133" s="93" t="inlineStr">
        <is>
          <t>F-USDKRW</t>
        </is>
      </c>
      <c r="P133" s="93" t="inlineStr">
        <is>
          <t>일반</t>
        </is>
      </c>
      <c r="Q133" s="93" t="inlineStr">
        <is>
          <t>통화</t>
        </is>
      </c>
      <c r="R133" s="93" t="inlineStr">
        <is>
          <t>연배당</t>
        </is>
      </c>
      <c r="S133" s="94" t="n">
        <v>1</v>
      </c>
      <c r="T133">
        <f>IF(AND($J133&lt;&gt;"",OR(조회_주기="전체",$R133=조회_주기),$J133&gt;=조회_최소,$J133&lt;=조회_최대),1,0)</f>
        <v/>
      </c>
      <c r="U133">
        <f>IF($T133=1,$U132+1,$U132)</f>
        <v/>
      </c>
      <c r="V133">
        <f>IF(검색어="",1,IF(ISNUMBER(SEARCH(검색어,$A133)),1,0))</f>
        <v/>
      </c>
      <c r="W133">
        <f>IF($V133=1,$W132+1,$W132)</f>
        <v/>
      </c>
      <c r="X133">
        <f>IFERROR(INDEX($A$4:$A$517,MATCH(130,$W$4:$W$517,0)),"")</f>
        <v/>
      </c>
    </row>
    <row r="134">
      <c r="A134" s="93" t="inlineStr">
        <is>
          <t>KODEX 미국S&amp;P500(H)</t>
        </is>
      </c>
      <c r="B134" s="93" t="inlineStr">
        <is>
          <t>449180</t>
        </is>
      </c>
      <c r="C134" s="93" t="inlineStr">
        <is>
          <t>삼성자산운용(ETF)</t>
        </is>
      </c>
      <c r="D134" s="94" t="n">
        <v>16965</v>
      </c>
      <c r="E134" s="94" t="n">
        <v>1028079000000</v>
      </c>
      <c r="F134" s="94" t="n">
        <v>7672285848</v>
      </c>
      <c r="G134" s="74" t="n">
        <v>9.900000000000001e-05</v>
      </c>
      <c r="H134" s="74" t="n">
        <v>0.1299</v>
      </c>
      <c r="I134" s="74" t="n">
        <v>0.0024</v>
      </c>
      <c r="J134" s="74" t="n">
        <v>0.009431</v>
      </c>
      <c r="K134" s="94" t="n">
        <v>14</v>
      </c>
      <c r="L134" s="93" t="inlineStr">
        <is>
          <t>20260730</t>
        </is>
      </c>
      <c r="M134" s="93" t="inlineStr">
        <is>
          <t>채택</t>
        </is>
      </c>
      <c r="N134" s="93" t="inlineStr"/>
      <c r="O134" s="93" t="inlineStr">
        <is>
          <t>S&amp;P 500</t>
        </is>
      </c>
      <c r="P134" s="93" t="inlineStr">
        <is>
          <t>일반</t>
        </is>
      </c>
      <c r="Q134" s="93" t="inlineStr">
        <is>
          <t>주식</t>
        </is>
      </c>
      <c r="R134" s="93" t="inlineStr">
        <is>
          <t>분기배당</t>
        </is>
      </c>
      <c r="S134" s="94" t="n">
        <v>4</v>
      </c>
      <c r="T134">
        <f>IF(AND($J134&lt;&gt;"",OR(조회_주기="전체",$R134=조회_주기),$J134&gt;=조회_최소,$J134&lt;=조회_최대),1,0)</f>
        <v/>
      </c>
      <c r="U134">
        <f>IF($T134=1,$U133+1,$U133)</f>
        <v/>
      </c>
      <c r="V134">
        <f>IF(검색어="",1,IF(ISNUMBER(SEARCH(검색어,$A134)),1,0))</f>
        <v/>
      </c>
      <c r="W134">
        <f>IF($V134=1,$W133+1,$W133)</f>
        <v/>
      </c>
      <c r="X134">
        <f>IFERROR(INDEX($A$4:$A$517,MATCH(131,$W$4:$W$517,0)),"")</f>
        <v/>
      </c>
    </row>
    <row r="135">
      <c r="A135" s="93" t="inlineStr">
        <is>
          <t>RISE TDF2050액티브 적격</t>
        </is>
      </c>
      <c r="B135" s="93" t="inlineStr">
        <is>
          <t>442570</t>
        </is>
      </c>
      <c r="C135" s="93" t="inlineStr">
        <is>
          <t>KB자산운용</t>
        </is>
      </c>
      <c r="D135" s="94" t="n">
        <v>17220</v>
      </c>
      <c r="E135" s="94" t="n">
        <v>341817000000</v>
      </c>
      <c r="F135" s="94" t="n">
        <v>2758858464</v>
      </c>
      <c r="G135" s="74" t="n">
        <v>0.0001</v>
      </c>
      <c r="H135" s="74" t="n">
        <v>0.1326</v>
      </c>
      <c r="I135" s="74" t="n">
        <v>0.0032</v>
      </c>
      <c r="J135" s="74" t="n">
        <v>0.009350000000000001</v>
      </c>
      <c r="K135" s="94" t="n">
        <v>2</v>
      </c>
      <c r="L135" s="93" t="inlineStr">
        <is>
          <t>20260730</t>
        </is>
      </c>
      <c r="M135" s="93" t="inlineStr">
        <is>
          <t>채택</t>
        </is>
      </c>
      <c r="N135" s="93" t="inlineStr"/>
      <c r="O135" s="93" t="inlineStr">
        <is>
          <t>iSelect Tactical Asset Allocation TDF 2050 PR Index</t>
        </is>
      </c>
      <c r="P135" s="93" t="inlineStr">
        <is>
          <t>일반</t>
        </is>
      </c>
      <c r="Q135" s="93" t="inlineStr">
        <is>
          <t>멀티에셋</t>
        </is>
      </c>
      <c r="R135" s="93" t="inlineStr">
        <is>
          <t>연배당</t>
        </is>
      </c>
      <c r="S135" s="94" t="n">
        <v>2</v>
      </c>
      <c r="T135">
        <f>IF(AND($J135&lt;&gt;"",OR(조회_주기="전체",$R135=조회_주기),$J135&gt;=조회_최소,$J135&lt;=조회_최대),1,0)</f>
        <v/>
      </c>
      <c r="U135">
        <f>IF($T135=1,$U134+1,$U134)</f>
        <v/>
      </c>
      <c r="V135">
        <f>IF(검색어="",1,IF(ISNUMBER(SEARCH(검색어,$A135)),1,0))</f>
        <v/>
      </c>
      <c r="W135">
        <f>IF($V135=1,$W134+1,$W134)</f>
        <v/>
      </c>
      <c r="X135">
        <f>IFERROR(INDEX($A$4:$A$517,MATCH(132,$W$4:$W$517,0)),"")</f>
        <v/>
      </c>
    </row>
    <row r="136">
      <c r="A136" s="93" t="inlineStr">
        <is>
          <t>TIGER 미국S&amp;P500(H)</t>
        </is>
      </c>
      <c r="B136" s="93" t="inlineStr">
        <is>
          <t>448290</t>
        </is>
      </c>
      <c r="C136" s="93" t="inlineStr">
        <is>
          <t>미래에셋자산운용</t>
        </is>
      </c>
      <c r="D136" s="94" t="n">
        <v>17585</v>
      </c>
      <c r="E136" s="94" t="n">
        <v>483587500000</v>
      </c>
      <c r="F136" s="94" t="n">
        <v>2332147744</v>
      </c>
      <c r="G136" s="74" t="n">
        <v>0.0007000000000000001</v>
      </c>
      <c r="H136" s="74" t="n">
        <v>0.1297</v>
      </c>
      <c r="I136" s="74" t="n">
        <v>0.0024</v>
      </c>
      <c r="J136" s="74" t="n">
        <v>0.009268999999999999</v>
      </c>
      <c r="K136" s="94" t="n">
        <v>6</v>
      </c>
      <c r="L136" s="93" t="inlineStr">
        <is>
          <t>20260730</t>
        </is>
      </c>
      <c r="M136" s="93" t="inlineStr">
        <is>
          <t>채택</t>
        </is>
      </c>
      <c r="N136" s="93" t="inlineStr"/>
      <c r="O136" s="93" t="inlineStr">
        <is>
          <t>S&amp;P 500</t>
        </is>
      </c>
      <c r="P136" s="93" t="inlineStr">
        <is>
          <t>일반</t>
        </is>
      </c>
      <c r="Q136" s="93" t="inlineStr">
        <is>
          <t>주식</t>
        </is>
      </c>
      <c r="R136" s="93" t="inlineStr">
        <is>
          <t>분기배당</t>
        </is>
      </c>
      <c r="S136" s="94" t="n">
        <v>4</v>
      </c>
      <c r="T136">
        <f>IF(AND($J136&lt;&gt;"",OR(조회_주기="전체",$R136=조회_주기),$J136&gt;=조회_최소,$J136&lt;=조회_최대),1,0)</f>
        <v/>
      </c>
      <c r="U136">
        <f>IF($T136=1,$U135+1,$U135)</f>
        <v/>
      </c>
      <c r="V136">
        <f>IF(검색어="",1,IF(ISNUMBER(SEARCH(검색어,$A136)),1,0))</f>
        <v/>
      </c>
      <c r="W136">
        <f>IF($V136=1,$W135+1,$W135)</f>
        <v/>
      </c>
      <c r="X136">
        <f>IFERROR(INDEX($A$4:$A$517,MATCH(133,$W$4:$W$517,0)),"")</f>
        <v/>
      </c>
    </row>
    <row r="137">
      <c r="A137" s="93" t="inlineStr">
        <is>
          <t>SOL 미국S&amp;P500</t>
        </is>
      </c>
      <c r="B137" s="93" t="inlineStr">
        <is>
          <t>433330</t>
        </is>
      </c>
      <c r="C137" s="93" t="inlineStr">
        <is>
          <t>신한자산운용</t>
        </is>
      </c>
      <c r="D137" s="94" t="n">
        <v>21765</v>
      </c>
      <c r="E137" s="94" t="n">
        <v>300357000000</v>
      </c>
      <c r="F137" s="94" t="n">
        <v>2027463053</v>
      </c>
      <c r="G137" s="74" t="n">
        <v>4.7e-05</v>
      </c>
      <c r="H137" s="74" t="n">
        <v>0.1453</v>
      </c>
      <c r="I137" s="74" t="n">
        <v>0.0009</v>
      </c>
      <c r="J137" s="74" t="n">
        <v>0.009004999999999999</v>
      </c>
      <c r="K137" s="94" t="n">
        <v>50</v>
      </c>
      <c r="L137" s="93" t="inlineStr">
        <is>
          <t>20260828</t>
        </is>
      </c>
      <c r="M137" s="93" t="inlineStr">
        <is>
          <t>채택</t>
        </is>
      </c>
      <c r="N137" s="93" t="inlineStr"/>
      <c r="O137" s="93" t="inlineStr">
        <is>
          <t>S&amp;P 500</t>
        </is>
      </c>
      <c r="P137" s="93" t="inlineStr">
        <is>
          <t>일반</t>
        </is>
      </c>
      <c r="Q137" s="93" t="inlineStr">
        <is>
          <t>주식</t>
        </is>
      </c>
      <c r="R137" s="93" t="inlineStr">
        <is>
          <t>월배당</t>
        </is>
      </c>
      <c r="S137" s="94" t="n">
        <v>11</v>
      </c>
      <c r="T137">
        <f>IF(AND($J137&lt;&gt;"",OR(조회_주기="전체",$R137=조회_주기),$J137&gt;=조회_최소,$J137&lt;=조회_최대),1,0)</f>
        <v/>
      </c>
      <c r="U137">
        <f>IF($T137=1,$U136+1,$U136)</f>
        <v/>
      </c>
      <c r="V137">
        <f>IF(검색어="",1,IF(ISNUMBER(SEARCH(검색어,$A137)),1,0))</f>
        <v/>
      </c>
      <c r="W137">
        <f>IF($V137=1,$W136+1,$W136)</f>
        <v/>
      </c>
      <c r="X137">
        <f>IFERROR(INDEX($A$4:$A$517,MATCH(134,$W$4:$W$517,0)),"")</f>
        <v/>
      </c>
    </row>
    <row r="138">
      <c r="A138" s="93" t="inlineStr">
        <is>
          <t>ACE 엔비디아채권혼합</t>
        </is>
      </c>
      <c r="B138" s="93" t="inlineStr">
        <is>
          <t>448540</t>
        </is>
      </c>
      <c r="C138" s="93" t="inlineStr">
        <is>
          <t>한국투신운용(ETF)</t>
        </is>
      </c>
      <c r="D138" s="94" t="n">
        <v>26270</v>
      </c>
      <c r="E138" s="94" t="n">
        <v>244311000000</v>
      </c>
      <c r="F138" s="94" t="n">
        <v>902735641</v>
      </c>
      <c r="G138" s="74" t="n">
        <v>0.0007000000000000001</v>
      </c>
      <c r="H138" s="74" t="n">
        <v>0.1194</v>
      </c>
      <c r="I138" s="74" t="n">
        <v>0.0092</v>
      </c>
      <c r="J138" s="74" t="n">
        <v>0.008869</v>
      </c>
      <c r="K138" s="94" t="n">
        <v>1</v>
      </c>
      <c r="L138" s="93" t="inlineStr">
        <is>
          <t>20251229</t>
        </is>
      </c>
      <c r="M138" s="93" t="inlineStr">
        <is>
          <t>채택</t>
        </is>
      </c>
      <c r="N138" s="93" t="inlineStr"/>
      <c r="O138" s="93" t="inlineStr">
        <is>
          <t>Bloomberg Blended NVIDIA and Korean Bond Index</t>
        </is>
      </c>
      <c r="P138" s="93" t="inlineStr">
        <is>
          <t>일반</t>
        </is>
      </c>
      <c r="Q138" s="93" t="inlineStr">
        <is>
          <t>멀티에셋</t>
        </is>
      </c>
      <c r="R138" s="93" t="inlineStr">
        <is>
          <t>연배당</t>
        </is>
      </c>
      <c r="S138" s="94" t="n">
        <v>1</v>
      </c>
      <c r="T138">
        <f>IF(AND($J138&lt;&gt;"",OR(조회_주기="전체",$R138=조회_주기),$J138&gt;=조회_최소,$J138&lt;=조회_최대),1,0)</f>
        <v/>
      </c>
      <c r="U138">
        <f>IF($T138=1,$U137+1,$U137)</f>
        <v/>
      </c>
      <c r="V138">
        <f>IF(검색어="",1,IF(ISNUMBER(SEARCH(검색어,$A138)),1,0))</f>
        <v/>
      </c>
      <c r="W138">
        <f>IF($V138=1,$W137+1,$W137)</f>
        <v/>
      </c>
      <c r="X138">
        <f>IFERROR(INDEX($A$4:$A$517,MATCH(135,$W$4:$W$517,0)),"")</f>
        <v/>
      </c>
    </row>
    <row r="139">
      <c r="A139" s="93" t="inlineStr">
        <is>
          <t>1Q 머니마켓액티브</t>
        </is>
      </c>
      <c r="B139" s="93" t="inlineStr">
        <is>
          <t>479080</t>
        </is>
      </c>
      <c r="C139" s="93" t="inlineStr">
        <is>
          <t>하나자산운용</t>
        </is>
      </c>
      <c r="D139" s="94" t="n">
        <v>53850</v>
      </c>
      <c r="E139" s="94" t="n">
        <v>868062000000</v>
      </c>
      <c r="F139" s="94" t="n">
        <v>2820058012</v>
      </c>
      <c r="G139" s="74" t="n">
        <v>0.0005</v>
      </c>
      <c r="H139" s="74" t="n">
        <v>0.0089</v>
      </c>
      <c r="I139" s="74" t="n">
        <v>0.0086</v>
      </c>
      <c r="J139" s="74" t="n">
        <v>0.008449</v>
      </c>
      <c r="K139" s="94" t="n">
        <v>1</v>
      </c>
      <c r="L139" s="93" t="inlineStr">
        <is>
          <t>20251113</t>
        </is>
      </c>
      <c r="M139" s="93" t="inlineStr">
        <is>
          <t>채택</t>
        </is>
      </c>
      <c r="N139" s="93" t="inlineStr"/>
      <c r="O139" s="93" t="inlineStr">
        <is>
          <t>KIS-하나 MMF지수</t>
        </is>
      </c>
      <c r="P139" s="93" t="inlineStr">
        <is>
          <t>일반</t>
        </is>
      </c>
      <c r="Q139" s="93" t="inlineStr">
        <is>
          <t>단기자금(파킹형)</t>
        </is>
      </c>
      <c r="R139" s="93" t="inlineStr">
        <is>
          <t>연배당</t>
        </is>
      </c>
      <c r="S139" s="94" t="n">
        <v>1</v>
      </c>
      <c r="T139">
        <f>IF(AND($J139&lt;&gt;"",OR(조회_주기="전체",$R139=조회_주기),$J139&gt;=조회_최소,$J139&lt;=조회_최대),1,0)</f>
        <v/>
      </c>
      <c r="U139">
        <f>IF($T139=1,$U138+1,$U138)</f>
        <v/>
      </c>
      <c r="V139">
        <f>IF(검색어="",1,IF(ISNUMBER(SEARCH(검색어,$A139)),1,0))</f>
        <v/>
      </c>
      <c r="W139">
        <f>IF($V139=1,$W138+1,$W138)</f>
        <v/>
      </c>
      <c r="X139">
        <f>IFERROR(INDEX($A$4:$A$517,MATCH(136,$W$4:$W$517,0)),"")</f>
        <v/>
      </c>
    </row>
    <row r="140">
      <c r="A140" s="93" t="inlineStr">
        <is>
          <t>TIGER 미국달러단기채권액티브</t>
        </is>
      </c>
      <c r="B140" s="93" t="inlineStr">
        <is>
          <t>329750</t>
        </is>
      </c>
      <c r="C140" s="93" t="inlineStr">
        <is>
          <t>미래에셋자산운용</t>
        </is>
      </c>
      <c r="D140" s="94" t="n">
        <v>13065</v>
      </c>
      <c r="E140" s="94" t="n">
        <v>695188650000</v>
      </c>
      <c r="F140" s="94" t="n">
        <v>5318767654</v>
      </c>
      <c r="G140" s="74" t="n">
        <v>0.003</v>
      </c>
      <c r="H140" s="74" t="n">
        <v>0.1042</v>
      </c>
      <c r="I140" s="74" t="n">
        <v>0.007800000000000001</v>
      </c>
      <c r="J140" s="74" t="n">
        <v>0.008113</v>
      </c>
      <c r="K140" s="94" t="n">
        <v>4</v>
      </c>
      <c r="L140" s="93" t="inlineStr">
        <is>
          <t>20251127</t>
        </is>
      </c>
      <c r="M140" s="93" t="inlineStr">
        <is>
          <t>채택</t>
        </is>
      </c>
      <c r="N140" s="93" t="inlineStr"/>
      <c r="O140" s="93" t="inlineStr">
        <is>
          <t>KIS U.S. TREASURY BOND 0-1Y</t>
        </is>
      </c>
      <c r="P140" s="93" t="inlineStr">
        <is>
          <t>일반</t>
        </is>
      </c>
      <c r="Q140" s="93" t="inlineStr">
        <is>
          <t>채권</t>
        </is>
      </c>
      <c r="R140" s="93" t="inlineStr">
        <is>
          <t>연배당</t>
        </is>
      </c>
      <c r="S140" s="94" t="n">
        <v>1</v>
      </c>
      <c r="T140">
        <f>IF(AND($J140&lt;&gt;"",OR(조회_주기="전체",$R140=조회_주기),$J140&gt;=조회_최소,$J140&lt;=조회_최대),1,0)</f>
        <v/>
      </c>
      <c r="U140">
        <f>IF($T140=1,$U139+1,$U139)</f>
        <v/>
      </c>
      <c r="V140">
        <f>IF(검색어="",1,IF(ISNUMBER(SEARCH(검색어,$A140)),1,0))</f>
        <v/>
      </c>
      <c r="W140">
        <f>IF($V140=1,$W139+1,$W139)</f>
        <v/>
      </c>
      <c r="X140">
        <f>IFERROR(INDEX($A$4:$A$517,MATCH(137,$W$4:$W$517,0)),"")</f>
        <v/>
      </c>
    </row>
    <row r="141">
      <c r="A141" s="93" t="inlineStr">
        <is>
          <t>RISE 글로벌자산배분액티브</t>
        </is>
      </c>
      <c r="B141" s="93" t="inlineStr">
        <is>
          <t>461490</t>
        </is>
      </c>
      <c r="C141" s="93" t="inlineStr">
        <is>
          <t>KB자산운용</t>
        </is>
      </c>
      <c r="D141" s="94" t="n">
        <v>14585</v>
      </c>
      <c r="E141" s="94" t="n">
        <v>280032000000</v>
      </c>
      <c r="F141" s="94" t="n">
        <v>1028741944</v>
      </c>
      <c r="G141" s="74" t="n">
        <v>0.0001</v>
      </c>
      <c r="H141" s="74" t="n">
        <v>0.0786</v>
      </c>
      <c r="I141" s="74" t="n">
        <v>0.0009</v>
      </c>
      <c r="J141" s="74" t="n">
        <v>0.007748000000000001</v>
      </c>
      <c r="K141" s="94" t="n">
        <v>2</v>
      </c>
      <c r="L141" s="93" t="inlineStr">
        <is>
          <t>20260429</t>
        </is>
      </c>
      <c r="M141" s="93" t="inlineStr">
        <is>
          <t>채택</t>
        </is>
      </c>
      <c r="N141" s="93" t="inlineStr"/>
      <c r="O141" s="93" t="inlineStr">
        <is>
          <t>Bloomberg Multi-Asset Weighted KRW ETFs Index</t>
        </is>
      </c>
      <c r="P141" s="93" t="inlineStr">
        <is>
          <t>일반</t>
        </is>
      </c>
      <c r="Q141" s="93" t="inlineStr">
        <is>
          <t>멀티에셋</t>
        </is>
      </c>
      <c r="R141" s="93" t="inlineStr">
        <is>
          <t>연배당</t>
        </is>
      </c>
      <c r="S141" s="94" t="n">
        <v>2</v>
      </c>
      <c r="T141">
        <f>IF(AND($J141&lt;&gt;"",OR(조회_주기="전체",$R141=조회_주기),$J141&gt;=조회_최소,$J141&lt;=조회_최대),1,0)</f>
        <v/>
      </c>
      <c r="U141">
        <f>IF($T141=1,$U140+1,$U140)</f>
        <v/>
      </c>
      <c r="V141">
        <f>IF(검색어="",1,IF(ISNUMBER(SEARCH(검색어,$A141)),1,0))</f>
        <v/>
      </c>
      <c r="W141">
        <f>IF($V141=1,$W140+1,$W140)</f>
        <v/>
      </c>
      <c r="X141">
        <f>IFERROR(INDEX($A$4:$A$517,MATCH(138,$W$4:$W$517,0)),"")</f>
        <v/>
      </c>
    </row>
    <row r="142">
      <c r="A142" s="93" t="inlineStr">
        <is>
          <t>TIGER 미국S&amp;P500레버리지(합성 H)</t>
        </is>
      </c>
      <c r="B142" s="93" t="inlineStr">
        <is>
          <t>225040</t>
        </is>
      </c>
      <c r="C142" s="93" t="inlineStr">
        <is>
          <t>미래에셋자산운용</t>
        </is>
      </c>
      <c r="D142" s="94" t="n">
        <v>66085</v>
      </c>
      <c r="E142" s="94" t="n">
        <v>55511400000</v>
      </c>
      <c r="F142" s="94" t="n">
        <v>592815790</v>
      </c>
      <c r="G142" s="74" t="n">
        <v>0.0025</v>
      </c>
      <c r="H142" s="74" t="n">
        <v>0.2654</v>
      </c>
      <c r="I142" s="74" t="n">
        <v>0.008800000000000001</v>
      </c>
      <c r="J142" s="74" t="n">
        <v>0.007717000000000001</v>
      </c>
      <c r="K142" s="94" t="n">
        <v>1</v>
      </c>
      <c r="L142" s="93" t="inlineStr">
        <is>
          <t>20251229</t>
        </is>
      </c>
      <c r="M142" s="93" t="inlineStr">
        <is>
          <t>채택</t>
        </is>
      </c>
      <c r="N142" s="93" t="inlineStr"/>
      <c r="O142" s="93" t="inlineStr">
        <is>
          <t>S&amp;P 500</t>
        </is>
      </c>
      <c r="P142" s="93" t="inlineStr">
        <is>
          <t>일반</t>
        </is>
      </c>
      <c r="Q142" s="93" t="inlineStr">
        <is>
          <t>주식</t>
        </is>
      </c>
      <c r="R142" s="93" t="inlineStr">
        <is>
          <t>연배당</t>
        </is>
      </c>
      <c r="S142" s="94" t="n">
        <v>1</v>
      </c>
      <c r="T142">
        <f>IF(AND($J142&lt;&gt;"",OR(조회_주기="전체",$R142=조회_주기),$J142&gt;=조회_최소,$J142&lt;=조회_최대),1,0)</f>
        <v/>
      </c>
      <c r="U142">
        <f>IF($T142=1,$U141+1,$U141)</f>
        <v/>
      </c>
      <c r="V142">
        <f>IF(검색어="",1,IF(ISNUMBER(SEARCH(검색어,$A142)),1,0))</f>
        <v/>
      </c>
      <c r="W142">
        <f>IF($V142=1,$W141+1,$W141)</f>
        <v/>
      </c>
      <c r="X142">
        <f>IFERROR(INDEX($A$4:$A$517,MATCH(139,$W$4:$W$517,0)),"")</f>
        <v/>
      </c>
    </row>
    <row r="143">
      <c r="A143" s="93" t="inlineStr">
        <is>
          <t>TIGER 단기채권액티브</t>
        </is>
      </c>
      <c r="B143" s="93" t="inlineStr">
        <is>
          <t>272580</t>
        </is>
      </c>
      <c r="C143" s="93" t="inlineStr">
        <is>
          <t>미래에셋자산운용</t>
        </is>
      </c>
      <c r="D143" s="94" t="n">
        <v>57155</v>
      </c>
      <c r="E143" s="94" t="n">
        <v>786795730000</v>
      </c>
      <c r="F143" s="94" t="n">
        <v>3261956557</v>
      </c>
      <c r="G143" s="74" t="n">
        <v>0.0007000000000000001</v>
      </c>
      <c r="H143" s="74" t="n">
        <v>0.008</v>
      </c>
      <c r="I143" s="74" t="n">
        <v>0.007800000000000001</v>
      </c>
      <c r="J143" s="74" t="n">
        <v>0.007645999999999999</v>
      </c>
      <c r="K143" s="94" t="n">
        <v>1</v>
      </c>
      <c r="L143" s="93" t="inlineStr">
        <is>
          <t>20251127</t>
        </is>
      </c>
      <c r="M143" s="93" t="inlineStr">
        <is>
          <t>채택</t>
        </is>
      </c>
      <c r="N143" s="93" t="inlineStr"/>
      <c r="O143" s="93" t="inlineStr">
        <is>
          <t>KIS 통안채 6개월 플러스 지수</t>
        </is>
      </c>
      <c r="P143" s="93" t="inlineStr">
        <is>
          <t>일반</t>
        </is>
      </c>
      <c r="Q143" s="93" t="inlineStr">
        <is>
          <t>채권</t>
        </is>
      </c>
      <c r="R143" s="93" t="inlineStr">
        <is>
          <t>연배당</t>
        </is>
      </c>
      <c r="S143" s="94" t="n">
        <v>1</v>
      </c>
      <c r="T143">
        <f>IF(AND($J143&lt;&gt;"",OR(조회_주기="전체",$R143=조회_주기),$J143&gt;=조회_최소,$J143&lt;=조회_최대),1,0)</f>
        <v/>
      </c>
      <c r="U143">
        <f>IF($T143=1,$U142+1,$U142)</f>
        <v/>
      </c>
      <c r="V143">
        <f>IF(검색어="",1,IF(ISNUMBER(SEARCH(검색어,$A143)),1,0))</f>
        <v/>
      </c>
      <c r="W143">
        <f>IF($V143=1,$W142+1,$W142)</f>
        <v/>
      </c>
      <c r="X143">
        <f>IFERROR(INDEX($A$4:$A$517,MATCH(140,$W$4:$W$517,0)),"")</f>
        <v/>
      </c>
    </row>
    <row r="144">
      <c r="A144" s="93" t="inlineStr">
        <is>
          <t>KODEX 미국S&amp;P500액티브</t>
        </is>
      </c>
      <c r="B144" s="93" t="inlineStr">
        <is>
          <t>0041E0</t>
        </is>
      </c>
      <c r="C144" s="93" t="inlineStr">
        <is>
          <t>삼성자산운용(ETF)</t>
        </is>
      </c>
      <c r="D144" s="94" t="n">
        <v>15975</v>
      </c>
      <c r="E144" s="94" t="n">
        <v>138982500000</v>
      </c>
      <c r="F144" s="94" t="n">
        <v>1883281455</v>
      </c>
      <c r="G144" s="74" t="n">
        <v>0.004500000000000001</v>
      </c>
      <c r="H144" s="74" t="n">
        <v>0.2221</v>
      </c>
      <c r="I144" s="74" t="n">
        <v>0.0012</v>
      </c>
      <c r="J144" s="74" t="n">
        <v>0.007512</v>
      </c>
      <c r="K144" s="94" t="n">
        <v>5</v>
      </c>
      <c r="L144" s="93" t="inlineStr">
        <is>
          <t>20260730</t>
        </is>
      </c>
      <c r="M144" s="93" t="inlineStr">
        <is>
          <t>채택</t>
        </is>
      </c>
      <c r="N144" s="93" t="inlineStr"/>
      <c r="O144" s="93" t="inlineStr">
        <is>
          <t>S&amp;P 500</t>
        </is>
      </c>
      <c r="P144" s="93" t="inlineStr">
        <is>
          <t>일반</t>
        </is>
      </c>
      <c r="Q144" s="93" t="inlineStr">
        <is>
          <t>주식</t>
        </is>
      </c>
      <c r="R144" s="93" t="inlineStr">
        <is>
          <t>분기배당</t>
        </is>
      </c>
      <c r="S144" s="94" t="n">
        <v>4</v>
      </c>
      <c r="T144">
        <f>IF(AND($J144&lt;&gt;"",OR(조회_주기="전체",$R144=조회_주기),$J144&gt;=조회_최소,$J144&lt;=조회_최대),1,0)</f>
        <v/>
      </c>
      <c r="U144">
        <f>IF($T144=1,$U143+1,$U143)</f>
        <v/>
      </c>
      <c r="V144">
        <f>IF(검색어="",1,IF(ISNUMBER(SEARCH(검색어,$A144)),1,0))</f>
        <v/>
      </c>
      <c r="W144">
        <f>IF($V144=1,$W143+1,$W143)</f>
        <v/>
      </c>
      <c r="X144">
        <f>IFERROR(INDEX($A$4:$A$517,MATCH(141,$W$4:$W$517,0)),"")</f>
        <v/>
      </c>
    </row>
    <row r="145">
      <c r="A145" s="93" t="inlineStr">
        <is>
          <t>ACE 우량회사채(AA-이상)액티브</t>
        </is>
      </c>
      <c r="B145" s="93" t="inlineStr">
        <is>
          <t>0099L0</t>
        </is>
      </c>
      <c r="C145" s="93" t="inlineStr">
        <is>
          <t>한국투신운용(ETF)</t>
        </is>
      </c>
      <c r="D145" s="94" t="n">
        <v>99390</v>
      </c>
      <c r="E145" s="94" t="n">
        <v>174330060000</v>
      </c>
      <c r="F145" s="94" t="n">
        <v>1706450571</v>
      </c>
      <c r="G145" s="74" t="n">
        <v>0.00095</v>
      </c>
      <c r="H145" s="74" t="n">
        <v>0.0186</v>
      </c>
      <c r="I145" s="74" t="n">
        <v>0.0075</v>
      </c>
      <c r="J145" s="74" t="n">
        <v>0.007486</v>
      </c>
      <c r="K145" s="94" t="n">
        <v>1</v>
      </c>
      <c r="L145" s="93" t="inlineStr">
        <is>
          <t>20251127</t>
        </is>
      </c>
      <c r="M145" s="93" t="inlineStr">
        <is>
          <t>채택</t>
        </is>
      </c>
      <c r="N145" s="93" t="inlineStr"/>
      <c r="O145" s="93" t="inlineStr">
        <is>
          <t>KIS 1~3년 우량크레딧(AA-이상) 총수익지수</t>
        </is>
      </c>
      <c r="P145" s="93" t="inlineStr">
        <is>
          <t>일반</t>
        </is>
      </c>
      <c r="Q145" s="93" t="inlineStr">
        <is>
          <t>채권</t>
        </is>
      </c>
      <c r="R145" s="93" t="inlineStr">
        <is>
          <t>연배당</t>
        </is>
      </c>
      <c r="S145" s="94" t="n">
        <v>1</v>
      </c>
      <c r="T145">
        <f>IF(AND($J145&lt;&gt;"",OR(조회_주기="전체",$R145=조회_주기),$J145&gt;=조회_최소,$J145&lt;=조회_최대),1,0)</f>
        <v/>
      </c>
      <c r="U145">
        <f>IF($T145=1,$U144+1,$U144)</f>
        <v/>
      </c>
      <c r="V145">
        <f>IF(검색어="",1,IF(ISNUMBER(SEARCH(검색어,$A145)),1,0))</f>
        <v/>
      </c>
      <c r="W145">
        <f>IF($V145=1,$W144+1,$W144)</f>
        <v/>
      </c>
      <c r="X145">
        <f>IFERROR(INDEX($A$4:$A$517,MATCH(142,$W$4:$W$517,0)),"")</f>
        <v/>
      </c>
    </row>
    <row r="146">
      <c r="A146" s="93" t="inlineStr">
        <is>
          <t>1Q CD금리액티브(합성)</t>
        </is>
      </c>
      <c r="B146" s="93" t="inlineStr">
        <is>
          <t>491610</t>
        </is>
      </c>
      <c r="C146" s="93" t="inlineStr">
        <is>
          <t>하나자산운용</t>
        </is>
      </c>
      <c r="D146" s="94" t="n">
        <v>105000</v>
      </c>
      <c r="E146" s="94" t="n">
        <v>145215000000</v>
      </c>
      <c r="F146" s="94" t="n">
        <v>684060200</v>
      </c>
      <c r="G146" s="74" t="n">
        <v>0.0002</v>
      </c>
      <c r="H146" s="74" t="n">
        <v>0.0075</v>
      </c>
      <c r="I146" s="74" t="n">
        <v>0.0072</v>
      </c>
      <c r="J146" s="74" t="n">
        <v>0.007067</v>
      </c>
      <c r="K146" s="94" t="n">
        <v>1</v>
      </c>
      <c r="L146" s="93" t="inlineStr">
        <is>
          <t>20251113</t>
        </is>
      </c>
      <c r="M146" s="93" t="inlineStr">
        <is>
          <t>채택</t>
        </is>
      </c>
      <c r="N146" s="93" t="inlineStr"/>
      <c r="O146" s="93" t="inlineStr">
        <is>
          <t>KIS-하나 CD금리 총수익지수</t>
        </is>
      </c>
      <c r="P146" s="93" t="inlineStr">
        <is>
          <t>일반</t>
        </is>
      </c>
      <c r="Q146" s="93" t="inlineStr">
        <is>
          <t>단기자금(파킹형)</t>
        </is>
      </c>
      <c r="R146" s="93" t="inlineStr">
        <is>
          <t>연배당</t>
        </is>
      </c>
      <c r="S146" s="94" t="n">
        <v>1</v>
      </c>
      <c r="T146">
        <f>IF(AND($J146&lt;&gt;"",OR(조회_주기="전체",$R146=조회_주기),$J146&gt;=조회_최소,$J146&lt;=조회_최대),1,0)</f>
        <v/>
      </c>
      <c r="U146">
        <f>IF($T146=1,$U145+1,$U145)</f>
        <v/>
      </c>
      <c r="V146">
        <f>IF(검색어="",1,IF(ISNUMBER(SEARCH(검색어,$A146)),1,0))</f>
        <v/>
      </c>
      <c r="W146">
        <f>IF($V146=1,$W145+1,$W145)</f>
        <v/>
      </c>
      <c r="X146">
        <f>IFERROR(INDEX($A$4:$A$517,MATCH(143,$W$4:$W$517,0)),"")</f>
        <v/>
      </c>
    </row>
    <row r="147">
      <c r="A147" s="93" t="inlineStr">
        <is>
          <t>TIGER 머니마켓액티브</t>
        </is>
      </c>
      <c r="B147" s="93" t="inlineStr">
        <is>
          <t>0043B0</t>
        </is>
      </c>
      <c r="C147" s="93" t="inlineStr">
        <is>
          <t>미래에셋자산운용</t>
        </is>
      </c>
      <c r="D147" s="94" t="n">
        <v>103690</v>
      </c>
      <c r="E147" s="94" t="n">
        <v>3052737290000</v>
      </c>
      <c r="F147" s="94" t="n">
        <v>14973474067</v>
      </c>
      <c r="G147" s="74" t="n">
        <v>0.0004</v>
      </c>
      <c r="H147" s="74" t="n">
        <v>0.0073</v>
      </c>
      <c r="I147" s="74" t="n">
        <v>0.0071</v>
      </c>
      <c r="J147" s="74" t="n">
        <v>0.006953</v>
      </c>
      <c r="K147" s="94" t="n">
        <v>1</v>
      </c>
      <c r="L147" s="93" t="inlineStr">
        <is>
          <t>20251127</t>
        </is>
      </c>
      <c r="M147" s="93" t="inlineStr">
        <is>
          <t>채택</t>
        </is>
      </c>
      <c r="N147" s="93" t="inlineStr"/>
      <c r="O147" s="93" t="inlineStr">
        <is>
          <t>KIS-미래에셋 MMF지수</t>
        </is>
      </c>
      <c r="P147" s="93" t="inlineStr">
        <is>
          <t>일반</t>
        </is>
      </c>
      <c r="Q147" s="93" t="inlineStr">
        <is>
          <t>단기자금(파킹형)</t>
        </is>
      </c>
      <c r="R147" s="93" t="inlineStr">
        <is>
          <t>연배당</t>
        </is>
      </c>
      <c r="S147" s="94" t="n">
        <v>1</v>
      </c>
      <c r="T147">
        <f>IF(AND($J147&lt;&gt;"",OR(조회_주기="전체",$R147=조회_주기),$J147&gt;=조회_최소,$J147&lt;=조회_최대),1,0)</f>
        <v/>
      </c>
      <c r="U147">
        <f>IF($T147=1,$U146+1,$U146)</f>
        <v/>
      </c>
      <c r="V147">
        <f>IF(검색어="",1,IF(ISNUMBER(SEARCH(검색어,$A147)),1,0))</f>
        <v/>
      </c>
      <c r="W147">
        <f>IF($V147=1,$W146+1,$W146)</f>
        <v/>
      </c>
      <c r="X147">
        <f>IFERROR(INDEX($A$4:$A$517,MATCH(144,$W$4:$W$517,0)),"")</f>
        <v/>
      </c>
    </row>
    <row r="148">
      <c r="A148" s="93" t="inlineStr">
        <is>
          <t>TIGER 글로벌AI&amp;로보틱스 INDXX</t>
        </is>
      </c>
      <c r="B148" s="93" t="inlineStr">
        <is>
          <t>464310</t>
        </is>
      </c>
      <c r="C148" s="93" t="inlineStr">
        <is>
          <t>미래에셋자산운용</t>
        </is>
      </c>
      <c r="D148" s="94" t="n">
        <v>13340</v>
      </c>
      <c r="E148" s="94" t="n">
        <v>104052000000</v>
      </c>
      <c r="F148" s="94" t="n">
        <v>580569797</v>
      </c>
      <c r="G148" s="74" t="n">
        <v>0.0049</v>
      </c>
      <c r="H148" s="74" t="n">
        <v>0.2586</v>
      </c>
      <c r="I148" s="74" t="n">
        <v>0.0059</v>
      </c>
      <c r="J148" s="74" t="n">
        <v>0.006672</v>
      </c>
      <c r="K148" s="94" t="n">
        <v>1</v>
      </c>
      <c r="L148" s="93" t="inlineStr">
        <is>
          <t>20251229</t>
        </is>
      </c>
      <c r="M148" s="93" t="inlineStr">
        <is>
          <t>채택</t>
        </is>
      </c>
      <c r="N148" s="93" t="inlineStr"/>
      <c r="O148" s="93" t="inlineStr">
        <is>
          <t>Indxx Global Robotics &amp; Artificial Intelligence Thematic Ind</t>
        </is>
      </c>
      <c r="P148" s="93" t="inlineStr">
        <is>
          <t>일반</t>
        </is>
      </c>
      <c r="Q148" s="93" t="inlineStr">
        <is>
          <t>주식</t>
        </is>
      </c>
      <c r="R148" s="93" t="inlineStr">
        <is>
          <t>연배당</t>
        </is>
      </c>
      <c r="S148" s="94" t="n">
        <v>1</v>
      </c>
      <c r="T148">
        <f>IF(AND($J148&lt;&gt;"",OR(조회_주기="전체",$R148=조회_주기),$J148&gt;=조회_최소,$J148&lt;=조회_최대),1,0)</f>
        <v/>
      </c>
      <c r="U148">
        <f>IF($T148=1,$U147+1,$U147)</f>
        <v/>
      </c>
      <c r="V148">
        <f>IF(검색어="",1,IF(ISNUMBER(SEARCH(검색어,$A148)),1,0))</f>
        <v/>
      </c>
      <c r="W148">
        <f>IF($V148=1,$W147+1,$W147)</f>
        <v/>
      </c>
      <c r="X148">
        <f>IFERROR(INDEX($A$4:$A$517,MATCH(145,$W$4:$W$517,0)),"")</f>
        <v/>
      </c>
    </row>
    <row r="149">
      <c r="A149" s="93" t="inlineStr">
        <is>
          <t>KODEX 한국대만IT프리미어</t>
        </is>
      </c>
      <c r="B149" s="93" t="inlineStr">
        <is>
          <t>298770</t>
        </is>
      </c>
      <c r="C149" s="93" t="inlineStr">
        <is>
          <t>삼성자산운용(ETF)</t>
        </is>
      </c>
      <c r="D149" s="94" t="n">
        <v>79980</v>
      </c>
      <c r="E149" s="94" t="n">
        <v>87978000000</v>
      </c>
      <c r="F149" s="94" t="n">
        <v>1958721651</v>
      </c>
      <c r="G149" s="74" t="n">
        <v>0.005500000000000001</v>
      </c>
      <c r="H149" s="74" t="n">
        <v>0.3497999999999999</v>
      </c>
      <c r="I149" s="74" t="n">
        <v>0.0016</v>
      </c>
      <c r="J149" s="74" t="n">
        <v>0.006452</v>
      </c>
      <c r="K149" s="94" t="n">
        <v>14</v>
      </c>
      <c r="L149" s="93" t="inlineStr">
        <is>
          <t>20260730</t>
        </is>
      </c>
      <c r="M149" s="93" t="inlineStr">
        <is>
          <t>채택</t>
        </is>
      </c>
      <c r="N149" s="93" t="inlineStr"/>
      <c r="O149" s="93" t="inlineStr">
        <is>
          <t>한국대만IT프리미어증권상장지수</t>
        </is>
      </c>
      <c r="P149" s="93" t="inlineStr">
        <is>
          <t>일반</t>
        </is>
      </c>
      <c r="Q149" s="93" t="inlineStr">
        <is>
          <t>주식</t>
        </is>
      </c>
      <c r="R149" s="93" t="inlineStr">
        <is>
          <t>분기배당</t>
        </is>
      </c>
      <c r="S149" s="94" t="n">
        <v>4</v>
      </c>
      <c r="T149">
        <f>IF(AND($J149&lt;&gt;"",OR(조회_주기="전체",$R149=조회_주기),$J149&gt;=조회_최소,$J149&lt;=조회_최대),1,0)</f>
        <v/>
      </c>
      <c r="U149">
        <f>IF($T149=1,$U148+1,$U148)</f>
        <v/>
      </c>
      <c r="V149">
        <f>IF(검색어="",1,IF(ISNUMBER(SEARCH(검색어,$A149)),1,0))</f>
        <v/>
      </c>
      <c r="W149">
        <f>IF($V149=1,$W148+1,$W148)</f>
        <v/>
      </c>
      <c r="X149">
        <f>IFERROR(INDEX($A$4:$A$517,MATCH(146,$W$4:$W$517,0)),"")</f>
        <v/>
      </c>
    </row>
    <row r="150">
      <c r="A150" s="93" t="inlineStr">
        <is>
          <t>TIGER 우량회사채액티브</t>
        </is>
      </c>
      <c r="B150" s="93" t="inlineStr">
        <is>
          <t>438330</t>
        </is>
      </c>
      <c r="C150" s="93" t="inlineStr">
        <is>
          <t>미래에셋자산운용</t>
        </is>
      </c>
      <c r="D150" s="94" t="n">
        <v>115310</v>
      </c>
      <c r="E150" s="94" t="n">
        <v>499868850000</v>
      </c>
      <c r="F150" s="94" t="n">
        <v>1126355121</v>
      </c>
      <c r="G150" s="74" t="n">
        <v>0.001</v>
      </c>
      <c r="H150" s="74" t="n">
        <v>0.0213</v>
      </c>
      <c r="I150" s="74" t="n">
        <v>0.002</v>
      </c>
      <c r="J150" s="74" t="n">
        <v>0.006088</v>
      </c>
      <c r="K150" s="94" t="n">
        <v>8</v>
      </c>
      <c r="L150" s="93" t="inlineStr">
        <is>
          <t>20251127</t>
        </is>
      </c>
      <c r="M150" s="93" t="inlineStr">
        <is>
          <t>채택</t>
        </is>
      </c>
      <c r="N150" s="93" t="inlineStr"/>
      <c r="O150" s="93" t="inlineStr">
        <is>
          <t>KIS 투자등급회사채 지수</t>
        </is>
      </c>
      <c r="P150" s="93" t="inlineStr">
        <is>
          <t>일반</t>
        </is>
      </c>
      <c r="Q150" s="93" t="inlineStr">
        <is>
          <t>채권</t>
        </is>
      </c>
      <c r="R150" s="93" t="inlineStr">
        <is>
          <t>연배당</t>
        </is>
      </c>
      <c r="S150" s="94" t="n">
        <v>2</v>
      </c>
      <c r="T150">
        <f>IF(AND($J150&lt;&gt;"",OR(조회_주기="전체",$R150=조회_주기),$J150&gt;=조회_최소,$J150&lt;=조회_최대),1,0)</f>
        <v/>
      </c>
      <c r="U150">
        <f>IF($T150=1,$U149+1,$U149)</f>
        <v/>
      </c>
      <c r="V150">
        <f>IF(검색어="",1,IF(ISNUMBER(SEARCH(검색어,$A150)),1,0))</f>
        <v/>
      </c>
      <c r="W150">
        <f>IF($V150=1,$W149+1,$W149)</f>
        <v/>
      </c>
      <c r="X150">
        <f>IFERROR(INDEX($A$4:$A$517,MATCH(147,$W$4:$W$517,0)),"")</f>
        <v/>
      </c>
    </row>
    <row r="151">
      <c r="A151" s="93" t="inlineStr">
        <is>
          <t>TIGER KOFR금리액티브(합성)</t>
        </is>
      </c>
      <c r="B151" s="93" t="inlineStr">
        <is>
          <t>449170</t>
        </is>
      </c>
      <c r="C151" s="93" t="inlineStr">
        <is>
          <t>미래에셋자산운용</t>
        </is>
      </c>
      <c r="D151" s="94" t="n">
        <v>111905</v>
      </c>
      <c r="E151" s="94" t="n">
        <v>2386150315000</v>
      </c>
      <c r="F151" s="94" t="n">
        <v>8731302541</v>
      </c>
      <c r="G151" s="74" t="n">
        <v>0.0003</v>
      </c>
      <c r="H151" s="74" t="n">
        <v>0.0064</v>
      </c>
      <c r="I151" s="74" t="n">
        <v>0.0062</v>
      </c>
      <c r="J151" s="74" t="n">
        <v>0.006077</v>
      </c>
      <c r="K151" s="94" t="n">
        <v>1</v>
      </c>
      <c r="L151" s="93" t="inlineStr">
        <is>
          <t>20251127</t>
        </is>
      </c>
      <c r="M151" s="93" t="inlineStr">
        <is>
          <t>채택</t>
        </is>
      </c>
      <c r="N151" s="93" t="inlineStr"/>
      <c r="O151" s="93" t="inlineStr">
        <is>
          <t>KOFR 인덱스</t>
        </is>
      </c>
      <c r="P151" s="93" t="inlineStr">
        <is>
          <t>일반</t>
        </is>
      </c>
      <c r="Q151" s="93" t="inlineStr">
        <is>
          <t>단기자금(파킹형)</t>
        </is>
      </c>
      <c r="R151" s="93" t="inlineStr">
        <is>
          <t>연배당</t>
        </is>
      </c>
      <c r="S151" s="94" t="n">
        <v>1</v>
      </c>
      <c r="T151">
        <f>IF(AND($J151&lt;&gt;"",OR(조회_주기="전체",$R151=조회_주기),$J151&gt;=조회_최소,$J151&lt;=조회_최대),1,0)</f>
        <v/>
      </c>
      <c r="U151">
        <f>IF($T151=1,$U150+1,$U150)</f>
        <v/>
      </c>
      <c r="V151">
        <f>IF(검색어="",1,IF(ISNUMBER(SEARCH(검색어,$A151)),1,0))</f>
        <v/>
      </c>
      <c r="W151">
        <f>IF($V151=1,$W150+1,$W150)</f>
        <v/>
      </c>
      <c r="X151">
        <f>IFERROR(INDEX($A$4:$A$517,MATCH(148,$W$4:$W$517,0)),"")</f>
        <v/>
      </c>
    </row>
    <row r="152">
      <c r="A152" s="93" t="inlineStr">
        <is>
          <t>RISE 미국나스닥100</t>
        </is>
      </c>
      <c r="B152" s="93" t="inlineStr">
        <is>
          <t>368590</t>
        </is>
      </c>
      <c r="C152" s="93" t="inlineStr">
        <is>
          <t>KB자산운용</t>
        </is>
      </c>
      <c r="D152" s="94" t="n">
        <v>29725</v>
      </c>
      <c r="E152" s="94" t="n">
        <v>1578397500000</v>
      </c>
      <c r="F152" s="94" t="n">
        <v>8304539352</v>
      </c>
      <c r="G152" s="74" t="n">
        <v>6.2e-05</v>
      </c>
      <c r="H152" s="74" t="n">
        <v>0.2054</v>
      </c>
      <c r="I152" s="74" t="n">
        <v>0.0015</v>
      </c>
      <c r="J152" s="74" t="n">
        <v>0.005887</v>
      </c>
      <c r="K152" s="94" t="n">
        <v>18</v>
      </c>
      <c r="L152" s="93" t="inlineStr">
        <is>
          <t>20260629</t>
        </is>
      </c>
      <c r="M152" s="93" t="inlineStr">
        <is>
          <t>채택</t>
        </is>
      </c>
      <c r="N152" s="93" t="inlineStr"/>
      <c r="O152" s="93" t="inlineStr">
        <is>
          <t>나스닥 100</t>
        </is>
      </c>
      <c r="P152" s="93" t="inlineStr">
        <is>
          <t>일반</t>
        </is>
      </c>
      <c r="Q152" s="93" t="inlineStr">
        <is>
          <t>주식</t>
        </is>
      </c>
      <c r="R152" s="93" t="inlineStr">
        <is>
          <t>분기배당</t>
        </is>
      </c>
      <c r="S152" s="94" t="n">
        <v>3</v>
      </c>
      <c r="T152">
        <f>IF(AND($J152&lt;&gt;"",OR(조회_주기="전체",$R152=조회_주기),$J152&gt;=조회_최소,$J152&lt;=조회_최대),1,0)</f>
        <v/>
      </c>
      <c r="U152">
        <f>IF($T152=1,$U151+1,$U151)</f>
        <v/>
      </c>
      <c r="V152">
        <f>IF(검색어="",1,IF(ISNUMBER(SEARCH(검색어,$A152)),1,0))</f>
        <v/>
      </c>
      <c r="W152">
        <f>IF($V152=1,$W151+1,$W151)</f>
        <v/>
      </c>
      <c r="X152">
        <f>IFERROR(INDEX($A$4:$A$517,MATCH(149,$W$4:$W$517,0)),"")</f>
        <v/>
      </c>
    </row>
    <row r="153">
      <c r="A153" s="93" t="inlineStr">
        <is>
          <t>TIGER CD1년금리액티브(합성)</t>
        </is>
      </c>
      <c r="B153" s="93" t="inlineStr">
        <is>
          <t>475630</t>
        </is>
      </c>
      <c r="C153" s="93" t="inlineStr">
        <is>
          <t>미래에셋자산운용</t>
        </is>
      </c>
      <c r="D153" s="94" t="n">
        <v>1077625</v>
      </c>
      <c r="E153" s="94" t="n">
        <v>1572039350000</v>
      </c>
      <c r="F153" s="94" t="n">
        <v>51205770283</v>
      </c>
      <c r="G153" s="74" t="n">
        <v>9.8e-05</v>
      </c>
      <c r="H153" s="74" t="n">
        <v>0.006</v>
      </c>
      <c r="I153" s="74" t="n">
        <v>0.0058</v>
      </c>
      <c r="J153" s="74" t="n">
        <v>0.005691000000000001</v>
      </c>
      <c r="K153" s="94" t="n">
        <v>1</v>
      </c>
      <c r="L153" s="93" t="inlineStr">
        <is>
          <t>20251127</t>
        </is>
      </c>
      <c r="M153" s="93" t="inlineStr">
        <is>
          <t>채택</t>
        </is>
      </c>
      <c r="N153" s="93" t="inlineStr"/>
      <c r="O153" s="93" t="inlineStr">
        <is>
          <t>KIS CD 1Y 총수익지수</t>
        </is>
      </c>
      <c r="P153" s="93" t="inlineStr">
        <is>
          <t>일반</t>
        </is>
      </c>
      <c r="Q153" s="93" t="inlineStr">
        <is>
          <t>단기자금(파킹형)</t>
        </is>
      </c>
      <c r="R153" s="93" t="inlineStr">
        <is>
          <t>연배당</t>
        </is>
      </c>
      <c r="S153" s="94" t="n">
        <v>1</v>
      </c>
      <c r="T153">
        <f>IF(AND($J153&lt;&gt;"",OR(조회_주기="전체",$R153=조회_주기),$J153&gt;=조회_최소,$J153&lt;=조회_최대),1,0)</f>
        <v/>
      </c>
      <c r="U153">
        <f>IF($T153=1,$U152+1,$U152)</f>
        <v/>
      </c>
      <c r="V153">
        <f>IF(검색어="",1,IF(ISNUMBER(SEARCH(검색어,$A153)),1,0))</f>
        <v/>
      </c>
      <c r="W153">
        <f>IF($V153=1,$W152+1,$W152)</f>
        <v/>
      </c>
      <c r="X153">
        <f>IFERROR(INDEX($A$4:$A$517,MATCH(150,$W$4:$W$517,0)),"")</f>
        <v/>
      </c>
    </row>
    <row r="154">
      <c r="A154" s="93" t="inlineStr">
        <is>
          <t>TIGER 미국30년국채스트립액티브(합성 H)</t>
        </is>
      </c>
      <c r="B154" s="93" t="inlineStr">
        <is>
          <t>458250</t>
        </is>
      </c>
      <c r="C154" s="93" t="inlineStr">
        <is>
          <t>미래에셋자산운용</t>
        </is>
      </c>
      <c r="D154" s="94" t="n">
        <v>34135</v>
      </c>
      <c r="E154" s="94" t="n">
        <v>377396560000</v>
      </c>
      <c r="F154" s="94" t="n">
        <v>2663105722</v>
      </c>
      <c r="G154" s="74" t="n">
        <v>0.0015</v>
      </c>
      <c r="H154" s="74" t="n">
        <v>0.151</v>
      </c>
      <c r="I154" s="74" t="n">
        <v>0.004699999999999999</v>
      </c>
      <c r="J154" s="74" t="n">
        <v>0.005477999999999999</v>
      </c>
      <c r="K154" s="94" t="n">
        <v>1</v>
      </c>
      <c r="L154" s="93" t="inlineStr">
        <is>
          <t>20251127</t>
        </is>
      </c>
      <c r="M154" s="93" t="inlineStr">
        <is>
          <t>채택</t>
        </is>
      </c>
      <c r="N154" s="93" t="inlineStr"/>
      <c r="O154" s="93" t="inlineStr">
        <is>
          <t>ICE BofA Long US Treasury Principal STRIPS Index</t>
        </is>
      </c>
      <c r="P154" s="93" t="inlineStr">
        <is>
          <t>일반</t>
        </is>
      </c>
      <c r="Q154" s="93" t="inlineStr">
        <is>
          <t>채권</t>
        </is>
      </c>
      <c r="R154" s="93" t="inlineStr">
        <is>
          <t>연배당</t>
        </is>
      </c>
      <c r="S154" s="94" t="n">
        <v>1</v>
      </c>
      <c r="T154">
        <f>IF(AND($J154&lt;&gt;"",OR(조회_주기="전체",$R154=조회_주기),$J154&gt;=조회_최소,$J154&lt;=조회_최대),1,0)</f>
        <v/>
      </c>
      <c r="U154">
        <f>IF($T154=1,$U153+1,$U153)</f>
        <v/>
      </c>
      <c r="V154">
        <f>IF(검색어="",1,IF(ISNUMBER(SEARCH(검색어,$A154)),1,0))</f>
        <v/>
      </c>
      <c r="W154">
        <f>IF($V154=1,$W153+1,$W153)</f>
        <v/>
      </c>
      <c r="X154">
        <f>IFERROR(INDEX($A$4:$A$517,MATCH(151,$W$4:$W$517,0)),"")</f>
        <v/>
      </c>
    </row>
    <row r="155">
      <c r="A155" s="93" t="inlineStr">
        <is>
          <t>KODEX 미국나스닥100(H)</t>
        </is>
      </c>
      <c r="B155" s="93" t="inlineStr">
        <is>
          <t>449190</t>
        </is>
      </c>
      <c r="C155" s="93" t="inlineStr">
        <is>
          <t>삼성자산운용(ETF)</t>
        </is>
      </c>
      <c r="D155" s="94" t="n">
        <v>21915</v>
      </c>
      <c r="E155" s="94" t="n">
        <v>552258000000</v>
      </c>
      <c r="F155" s="94" t="n">
        <v>5810905096</v>
      </c>
      <c r="G155" s="74" t="n">
        <v>9.900000000000001e-05</v>
      </c>
      <c r="H155" s="74" t="n">
        <v>0.1989</v>
      </c>
      <c r="I155" s="74" t="n">
        <v>0.0016</v>
      </c>
      <c r="J155" s="74" t="n">
        <v>0.005384</v>
      </c>
      <c r="K155" s="94" t="n">
        <v>14</v>
      </c>
      <c r="L155" s="93" t="inlineStr">
        <is>
          <t>20260730</t>
        </is>
      </c>
      <c r="M155" s="93" t="inlineStr">
        <is>
          <t>채택</t>
        </is>
      </c>
      <c r="N155" s="93" t="inlineStr"/>
      <c r="O155" s="93" t="inlineStr">
        <is>
          <t>나스닥 100</t>
        </is>
      </c>
      <c r="P155" s="93" t="inlineStr">
        <is>
          <t>일반</t>
        </is>
      </c>
      <c r="Q155" s="93" t="inlineStr">
        <is>
          <t>주식</t>
        </is>
      </c>
      <c r="R155" s="93" t="inlineStr">
        <is>
          <t>분기배당</t>
        </is>
      </c>
      <c r="S155" s="94" t="n">
        <v>4</v>
      </c>
      <c r="T155">
        <f>IF(AND($J155&lt;&gt;"",OR(조회_주기="전체",$R155=조회_주기),$J155&gt;=조회_최소,$J155&lt;=조회_최대),1,0)</f>
        <v/>
      </c>
      <c r="U155">
        <f>IF($T155=1,$U154+1,$U154)</f>
        <v/>
      </c>
      <c r="V155">
        <f>IF(검색어="",1,IF(ISNUMBER(SEARCH(검색어,$A155)),1,0))</f>
        <v/>
      </c>
      <c r="W155">
        <f>IF($V155=1,$W154+1,$W154)</f>
        <v/>
      </c>
      <c r="X155">
        <f>IFERROR(INDEX($A$4:$A$517,MATCH(152,$W$4:$W$517,0)),"")</f>
        <v/>
      </c>
    </row>
    <row r="156">
      <c r="A156" s="93" t="inlineStr">
        <is>
          <t>TIGER 미국채10년선물</t>
        </is>
      </c>
      <c r="B156" s="93" t="inlineStr">
        <is>
          <t>305080</t>
        </is>
      </c>
      <c r="C156" s="93" t="inlineStr">
        <is>
          <t>미래에셋자산운용</t>
        </is>
      </c>
      <c r="D156" s="94" t="n">
        <v>12075</v>
      </c>
      <c r="E156" s="94" t="n">
        <v>216142500000</v>
      </c>
      <c r="F156" s="94" t="n">
        <v>1001949463</v>
      </c>
      <c r="G156" s="74" t="n">
        <v>0.0029</v>
      </c>
      <c r="H156" s="74" t="n">
        <v>0.1082</v>
      </c>
      <c r="I156" s="74" t="n">
        <v>0.0048</v>
      </c>
      <c r="J156" s="74" t="n">
        <v>0.005383</v>
      </c>
      <c r="K156" s="94" t="n">
        <v>1</v>
      </c>
      <c r="L156" s="93" t="inlineStr">
        <is>
          <t>20251127</t>
        </is>
      </c>
      <c r="M156" s="93" t="inlineStr">
        <is>
          <t>채택</t>
        </is>
      </c>
      <c r="N156" s="93" t="inlineStr"/>
      <c r="O156" s="93" t="inlineStr">
        <is>
          <t>S&amp;P 10-Year U.S. Treasury Note Futures Excess Return Index</t>
        </is>
      </c>
      <c r="P156" s="93" t="inlineStr">
        <is>
          <t>일반</t>
        </is>
      </c>
      <c r="Q156" s="93" t="inlineStr">
        <is>
          <t>채권</t>
        </is>
      </c>
      <c r="R156" s="93" t="inlineStr">
        <is>
          <t>연배당</t>
        </is>
      </c>
      <c r="S156" s="94" t="n">
        <v>1</v>
      </c>
      <c r="T156">
        <f>IF(AND($J156&lt;&gt;"",OR(조회_주기="전체",$R156=조회_주기),$J156&gt;=조회_최소,$J156&lt;=조회_최대),1,0)</f>
        <v/>
      </c>
      <c r="U156">
        <f>IF($T156=1,$U155+1,$U155)</f>
        <v/>
      </c>
      <c r="V156">
        <f>IF(검색어="",1,IF(ISNUMBER(SEARCH(검색어,$A156)),1,0))</f>
        <v/>
      </c>
      <c r="W156">
        <f>IF($V156=1,$W155+1,$W155)</f>
        <v/>
      </c>
      <c r="X156">
        <f>IFERROR(INDEX($A$4:$A$517,MATCH(153,$W$4:$W$517,0)),"")</f>
        <v/>
      </c>
    </row>
    <row r="157">
      <c r="A157" s="93" t="inlineStr">
        <is>
          <t>KODEX 골드선물(H)</t>
        </is>
      </c>
      <c r="B157" s="93" t="inlineStr">
        <is>
          <t>132030</t>
        </is>
      </c>
      <c r="C157" s="93" t="inlineStr">
        <is>
          <t>삼성자산운용(ETF)</t>
        </is>
      </c>
      <c r="D157" s="94" t="n">
        <v>24155</v>
      </c>
      <c r="E157" s="94" t="n">
        <v>364740500000</v>
      </c>
      <c r="F157" s="94" t="n">
        <v>3018764757</v>
      </c>
      <c r="G157" s="74" t="n">
        <v>0.0068</v>
      </c>
      <c r="H157" s="74" t="n">
        <v>0.2894</v>
      </c>
      <c r="I157" s="74" t="n">
        <v>0.0049</v>
      </c>
      <c r="J157" s="74" t="n">
        <v>0.005382</v>
      </c>
      <c r="K157" s="94" t="n">
        <v>1</v>
      </c>
      <c r="L157" s="93" t="inlineStr">
        <is>
          <t>20251229</t>
        </is>
      </c>
      <c r="M157" s="93" t="inlineStr">
        <is>
          <t>채택</t>
        </is>
      </c>
      <c r="N157" s="93" t="inlineStr"/>
      <c r="O157" s="93" t="inlineStr">
        <is>
          <t>S&amp;P GSCI Gold Index TR CME</t>
        </is>
      </c>
      <c r="P157" s="93" t="inlineStr">
        <is>
          <t>일반</t>
        </is>
      </c>
      <c r="Q157" s="93" t="inlineStr">
        <is>
          <t>원자재</t>
        </is>
      </c>
      <c r="R157" s="93" t="inlineStr">
        <is>
          <t>연배당</t>
        </is>
      </c>
      <c r="S157" s="94" t="n">
        <v>1</v>
      </c>
      <c r="T157">
        <f>IF(AND($J157&lt;&gt;"",OR(조회_주기="전체",$R157=조회_주기),$J157&gt;=조회_최소,$J157&lt;=조회_최대),1,0)</f>
        <v/>
      </c>
      <c r="U157">
        <f>IF($T157=1,$U156+1,$U156)</f>
        <v/>
      </c>
      <c r="V157">
        <f>IF(검색어="",1,IF(ISNUMBER(SEARCH(검색어,$A157)),1,0))</f>
        <v/>
      </c>
      <c r="W157">
        <f>IF($V157=1,$W156+1,$W156)</f>
        <v/>
      </c>
      <c r="X157">
        <f>IFERROR(INDEX($A$4:$A$517,MATCH(154,$W$4:$W$517,0)),"")</f>
        <v/>
      </c>
    </row>
    <row r="158">
      <c r="A158" s="93" t="inlineStr">
        <is>
          <t>TIGER 국채3년</t>
        </is>
      </c>
      <c r="B158" s="93" t="inlineStr">
        <is>
          <t>114820</t>
        </is>
      </c>
      <c r="C158" s="93" t="inlineStr">
        <is>
          <t>미래에셋자산운용</t>
        </is>
      </c>
      <c r="D158" s="94" t="n">
        <v>104695</v>
      </c>
      <c r="E158" s="94" t="n">
        <v>122283760000</v>
      </c>
      <c r="F158" s="94" t="n">
        <v>920983941</v>
      </c>
      <c r="G158" s="74" t="n">
        <v>0.0015</v>
      </c>
      <c r="H158" s="74" t="n">
        <v>0.0222</v>
      </c>
      <c r="I158" s="74" t="n">
        <v>0.0052</v>
      </c>
      <c r="J158" s="74" t="n">
        <v>0.005282</v>
      </c>
      <c r="K158" s="94" t="n">
        <v>17</v>
      </c>
      <c r="L158" s="93" t="inlineStr">
        <is>
          <t>20251127</t>
        </is>
      </c>
      <c r="M158" s="93" t="inlineStr">
        <is>
          <t>채택</t>
        </is>
      </c>
      <c r="N158" s="93" t="inlineStr"/>
      <c r="O158" s="93" t="inlineStr">
        <is>
          <t>KTB Index</t>
        </is>
      </c>
      <c r="P158" s="93" t="inlineStr">
        <is>
          <t>일반</t>
        </is>
      </c>
      <c r="Q158" s="93" t="inlineStr">
        <is>
          <t>채권</t>
        </is>
      </c>
      <c r="R158" s="93" t="inlineStr">
        <is>
          <t>연배당</t>
        </is>
      </c>
      <c r="S158" s="94" t="n">
        <v>1</v>
      </c>
      <c r="T158">
        <f>IF(AND($J158&lt;&gt;"",OR(조회_주기="전체",$R158=조회_주기),$J158&gt;=조회_최소,$J158&lt;=조회_최대),1,0)</f>
        <v/>
      </c>
      <c r="U158">
        <f>IF($T158=1,$U157+1,$U157)</f>
        <v/>
      </c>
      <c r="V158">
        <f>IF(검색어="",1,IF(ISNUMBER(SEARCH(검색어,$A158)),1,0))</f>
        <v/>
      </c>
      <c r="W158">
        <f>IF($V158=1,$W157+1,$W157)</f>
        <v/>
      </c>
      <c r="X158">
        <f>IFERROR(INDEX($A$4:$A$517,MATCH(155,$W$4:$W$517,0)),"")</f>
        <v/>
      </c>
    </row>
    <row r="159">
      <c r="A159" s="93" t="inlineStr">
        <is>
          <t>TIGER 미국나스닥100</t>
        </is>
      </c>
      <c r="B159" s="93" t="inlineStr">
        <is>
          <t>133690</t>
        </is>
      </c>
      <c r="C159" s="93" t="inlineStr">
        <is>
          <t>미래에셋자산운용</t>
        </is>
      </c>
      <c r="D159" s="94" t="n">
        <v>178260</v>
      </c>
      <c r="E159" s="94" t="n">
        <v>11665334400000</v>
      </c>
      <c r="F159" s="94" t="n">
        <v>518710757307</v>
      </c>
      <c r="G159" s="74" t="n">
        <v>6.8e-05</v>
      </c>
      <c r="H159" s="74" t="n">
        <v>0.2056</v>
      </c>
      <c r="I159" s="74" t="n">
        <v>0.0014</v>
      </c>
      <c r="J159" s="74" t="n">
        <v>0.005255999999999999</v>
      </c>
      <c r="K159" s="94" t="n">
        <v>20</v>
      </c>
      <c r="L159" s="93" t="inlineStr">
        <is>
          <t>20260730</t>
        </is>
      </c>
      <c r="M159" s="93" t="inlineStr">
        <is>
          <t>채택</t>
        </is>
      </c>
      <c r="N159" s="93" t="inlineStr"/>
      <c r="O159" s="93" t="inlineStr">
        <is>
          <t>나스닥 100</t>
        </is>
      </c>
      <c r="P159" s="93" t="inlineStr">
        <is>
          <t>일반</t>
        </is>
      </c>
      <c r="Q159" s="93" t="inlineStr">
        <is>
          <t>주식</t>
        </is>
      </c>
      <c r="R159" s="93" t="inlineStr">
        <is>
          <t>분기배당</t>
        </is>
      </c>
      <c r="S159" s="94" t="n">
        <v>4</v>
      </c>
      <c r="T159">
        <f>IF(AND($J159&lt;&gt;"",OR(조회_주기="전체",$R159=조회_주기),$J159&gt;=조회_최소,$J159&lt;=조회_최대),1,0)</f>
        <v/>
      </c>
      <c r="U159">
        <f>IF($T159=1,$U158+1,$U158)</f>
        <v/>
      </c>
      <c r="V159">
        <f>IF(검색어="",1,IF(ISNUMBER(SEARCH(검색어,$A159)),1,0))</f>
        <v/>
      </c>
      <c r="W159">
        <f>IF($V159=1,$W158+1,$W158)</f>
        <v/>
      </c>
      <c r="X159">
        <f>IFERROR(INDEX($A$4:$A$517,MATCH(156,$W$4:$W$517,0)),"")</f>
        <v/>
      </c>
    </row>
    <row r="160">
      <c r="A160" s="93" t="inlineStr">
        <is>
          <t>ACE 미국나스닥100</t>
        </is>
      </c>
      <c r="B160" s="93" t="inlineStr">
        <is>
          <t>367380</t>
        </is>
      </c>
      <c r="C160" s="93" t="inlineStr">
        <is>
          <t>한국투신운용(ETF)</t>
        </is>
      </c>
      <c r="D160" s="94" t="n">
        <v>30640</v>
      </c>
      <c r="E160" s="94" t="n">
        <v>3468448000000</v>
      </c>
      <c r="F160" s="94" t="n">
        <v>21746039753</v>
      </c>
      <c r="G160" s="74" t="n">
        <v>6.2e-05</v>
      </c>
      <c r="H160" s="74" t="n">
        <v>0.2055</v>
      </c>
      <c r="I160" s="74" t="n">
        <v>0.0015</v>
      </c>
      <c r="J160" s="74" t="n">
        <v>0.005254999999999999</v>
      </c>
      <c r="K160" s="94" t="n">
        <v>20</v>
      </c>
      <c r="L160" s="93" t="inlineStr">
        <is>
          <t>20260730</t>
        </is>
      </c>
      <c r="M160" s="93" t="inlineStr">
        <is>
          <t>채택</t>
        </is>
      </c>
      <c r="N160" s="93" t="inlineStr"/>
      <c r="O160" s="93" t="inlineStr">
        <is>
          <t>나스닥 100</t>
        </is>
      </c>
      <c r="P160" s="93" t="inlineStr">
        <is>
          <t>일반</t>
        </is>
      </c>
      <c r="Q160" s="93" t="inlineStr">
        <is>
          <t>주식</t>
        </is>
      </c>
      <c r="R160" s="93" t="inlineStr">
        <is>
          <t>분기배당</t>
        </is>
      </c>
      <c r="S160" s="94" t="n">
        <v>4</v>
      </c>
      <c r="T160">
        <f>IF(AND($J160&lt;&gt;"",OR(조회_주기="전체",$R160=조회_주기),$J160&gt;=조회_최소,$J160&lt;=조회_최대),1,0)</f>
        <v/>
      </c>
      <c r="U160">
        <f>IF($T160=1,$U159+1,$U159)</f>
        <v/>
      </c>
      <c r="V160">
        <f>IF(검색어="",1,IF(ISNUMBER(SEARCH(검색어,$A160)),1,0))</f>
        <v/>
      </c>
      <c r="W160">
        <f>IF($V160=1,$W159+1,$W159)</f>
        <v/>
      </c>
      <c r="X160">
        <f>IFERROR(INDEX($A$4:$A$517,MATCH(157,$W$4:$W$517,0)),"")</f>
        <v/>
      </c>
    </row>
    <row r="161">
      <c r="A161" s="93" t="inlineStr">
        <is>
          <t>TIGER 미국나스닥100(H)</t>
        </is>
      </c>
      <c r="B161" s="93" t="inlineStr">
        <is>
          <t>448300</t>
        </is>
      </c>
      <c r="C161" s="93" t="inlineStr">
        <is>
          <t>미래에셋자산운용</t>
        </is>
      </c>
      <c r="D161" s="94" t="n">
        <v>22625</v>
      </c>
      <c r="E161" s="94" t="n">
        <v>409512500000</v>
      </c>
      <c r="F161" s="94" t="n">
        <v>2669243861</v>
      </c>
      <c r="G161" s="74" t="n">
        <v>0.0007000000000000001</v>
      </c>
      <c r="H161" s="74" t="n">
        <v>0.1983</v>
      </c>
      <c r="I161" s="74" t="n">
        <v>0.0014</v>
      </c>
      <c r="J161" s="74" t="n">
        <v>0.005039</v>
      </c>
      <c r="K161" s="94" t="n">
        <v>6</v>
      </c>
      <c r="L161" s="93" t="inlineStr">
        <is>
          <t>20260730</t>
        </is>
      </c>
      <c r="M161" s="93" t="inlineStr">
        <is>
          <t>채택</t>
        </is>
      </c>
      <c r="N161" s="93" t="inlineStr"/>
      <c r="O161" s="93" t="inlineStr">
        <is>
          <t>나스닥 100</t>
        </is>
      </c>
      <c r="P161" s="93" t="inlineStr">
        <is>
          <t>일반</t>
        </is>
      </c>
      <c r="Q161" s="93" t="inlineStr">
        <is>
          <t>주식</t>
        </is>
      </c>
      <c r="R161" s="93" t="inlineStr">
        <is>
          <t>분기배당</t>
        </is>
      </c>
      <c r="S161" s="94" t="n">
        <v>4</v>
      </c>
      <c r="T161">
        <f>IF(AND($J161&lt;&gt;"",OR(조회_주기="전체",$R161=조회_주기),$J161&gt;=조회_최소,$J161&lt;=조회_최대),1,0)</f>
        <v/>
      </c>
      <c r="U161">
        <f>IF($T161=1,$U160+1,$U160)</f>
        <v/>
      </c>
      <c r="V161">
        <f>IF(검색어="",1,IF(ISNUMBER(SEARCH(검색어,$A161)),1,0))</f>
        <v/>
      </c>
      <c r="W161">
        <f>IF($V161=1,$W160+1,$W160)</f>
        <v/>
      </c>
      <c r="X161">
        <f>IFERROR(INDEX($A$4:$A$517,MATCH(158,$W$4:$W$517,0)),"")</f>
        <v/>
      </c>
    </row>
    <row r="162">
      <c r="A162" s="93" t="inlineStr">
        <is>
          <t>1Q 미국나스닥100</t>
        </is>
      </c>
      <c r="B162" s="93" t="inlineStr">
        <is>
          <t>0069M0</t>
        </is>
      </c>
      <c r="C162" s="93" t="inlineStr">
        <is>
          <t>하나자산운용</t>
        </is>
      </c>
      <c r="D162" s="94" t="n">
        <v>13320</v>
      </c>
      <c r="E162" s="94" t="n">
        <v>191808000000</v>
      </c>
      <c r="F162" s="94" t="n">
        <v>2168527523</v>
      </c>
      <c r="G162" s="74" t="n">
        <v>5.5e-05</v>
      </c>
      <c r="H162" s="74" t="n">
        <v>0.2051</v>
      </c>
      <c r="I162" s="74" t="n">
        <v>0.0011</v>
      </c>
      <c r="J162" s="74" t="n">
        <v>0.00503</v>
      </c>
      <c r="K162" s="94" t="n">
        <v>5</v>
      </c>
      <c r="L162" s="93" t="inlineStr">
        <is>
          <t>20260914</t>
        </is>
      </c>
      <c r="M162" s="93" t="inlineStr">
        <is>
          <t>채택</t>
        </is>
      </c>
      <c r="N162" s="93" t="inlineStr"/>
      <c r="O162" s="93" t="inlineStr">
        <is>
          <t>나스닥 100</t>
        </is>
      </c>
      <c r="P162" s="93" t="inlineStr">
        <is>
          <t>일반</t>
        </is>
      </c>
      <c r="Q162" s="93" t="inlineStr">
        <is>
          <t>주식</t>
        </is>
      </c>
      <c r="R162" s="93" t="inlineStr">
        <is>
          <t>분기배당</t>
        </is>
      </c>
      <c r="S162" s="94" t="n">
        <v>4</v>
      </c>
      <c r="T162">
        <f>IF(AND($J162&lt;&gt;"",OR(조회_주기="전체",$R162=조회_주기),$J162&gt;=조회_최소,$J162&lt;=조회_최대),1,0)</f>
        <v/>
      </c>
      <c r="U162">
        <f>IF($T162=1,$U161+1,$U161)</f>
        <v/>
      </c>
      <c r="V162">
        <f>IF(검색어="",1,IF(ISNUMBER(SEARCH(검색어,$A162)),1,0))</f>
        <v/>
      </c>
      <c r="W162">
        <f>IF($V162=1,$W161+1,$W161)</f>
        <v/>
      </c>
      <c r="X162">
        <f>IFERROR(INDEX($A$4:$A$517,MATCH(159,$W$4:$W$517,0)),"")</f>
        <v/>
      </c>
    </row>
    <row r="163">
      <c r="A163" s="93" t="inlineStr">
        <is>
          <t>TIGER 미국나스닥바이오</t>
        </is>
      </c>
      <c r="B163" s="93" t="inlineStr">
        <is>
          <t>203780</t>
        </is>
      </c>
      <c r="C163" s="93" t="inlineStr">
        <is>
          <t>미래에셋자산운용</t>
        </is>
      </c>
      <c r="D163" s="94" t="n">
        <v>34580</v>
      </c>
      <c r="E163" s="94" t="n">
        <v>103048400000</v>
      </c>
      <c r="F163" s="94" t="n">
        <v>1172985738</v>
      </c>
      <c r="G163" s="74" t="n">
        <v>0.003</v>
      </c>
      <c r="H163" s="74" t="n">
        <v>0.2191</v>
      </c>
      <c r="I163" s="74" t="n">
        <v>0.0052</v>
      </c>
      <c r="J163" s="74" t="n">
        <v>0.004627</v>
      </c>
      <c r="K163" s="94" t="n">
        <v>5</v>
      </c>
      <c r="L163" s="93" t="inlineStr">
        <is>
          <t>20251229</t>
        </is>
      </c>
      <c r="M163" s="93" t="inlineStr">
        <is>
          <t>채택</t>
        </is>
      </c>
      <c r="N163" s="93" t="inlineStr"/>
      <c r="O163" s="93" t="inlineStr">
        <is>
          <t>나스닥 생명과학</t>
        </is>
      </c>
      <c r="P163" s="93" t="inlineStr">
        <is>
          <t>일반</t>
        </is>
      </c>
      <c r="Q163" s="93" t="inlineStr">
        <is>
          <t>주식</t>
        </is>
      </c>
      <c r="R163" s="93" t="inlineStr">
        <is>
          <t>연배당</t>
        </is>
      </c>
      <c r="S163" s="94" t="n">
        <v>1</v>
      </c>
      <c r="T163">
        <f>IF(AND($J163&lt;&gt;"",OR(조회_주기="전체",$R163=조회_주기),$J163&gt;=조회_최소,$J163&lt;=조회_최대),1,0)</f>
        <v/>
      </c>
      <c r="U163">
        <f>IF($T163=1,$U162+1,$U162)</f>
        <v/>
      </c>
      <c r="V163">
        <f>IF(검색어="",1,IF(ISNUMBER(SEARCH(검색어,$A163)),1,0))</f>
        <v/>
      </c>
      <c r="W163">
        <f>IF($V163=1,$W162+1,$W162)</f>
        <v/>
      </c>
      <c r="X163">
        <f>IFERROR(INDEX($A$4:$A$517,MATCH(160,$W$4:$W$517,0)),"")</f>
        <v/>
      </c>
    </row>
    <row r="164">
      <c r="A164" s="93" t="inlineStr">
        <is>
          <t>TIME 글로벌우주테크&amp;방산액티브</t>
        </is>
      </c>
      <c r="B164" s="93" t="inlineStr">
        <is>
          <t>478150</t>
        </is>
      </c>
      <c r="C164" s="93" t="inlineStr">
        <is>
          <t>타임폴리오자산운용</t>
        </is>
      </c>
      <c r="D164" s="94" t="n">
        <v>18390</v>
      </c>
      <c r="E164" s="94" t="n">
        <v>222519000000</v>
      </c>
      <c r="F164" s="94" t="n">
        <v>1873626046</v>
      </c>
      <c r="G164" s="74" t="n">
        <v>0.008</v>
      </c>
      <c r="H164" s="74" t="n">
        <v>0.2715</v>
      </c>
      <c r="I164" s="74" t="n">
        <v>0.0042</v>
      </c>
      <c r="J164" s="74" t="n">
        <v>0.004622</v>
      </c>
      <c r="K164" s="94" t="n">
        <v>1</v>
      </c>
      <c r="L164" s="93" t="inlineStr">
        <is>
          <t>20251229</t>
        </is>
      </c>
      <c r="M164" s="93" t="inlineStr">
        <is>
          <t>채택</t>
        </is>
      </c>
      <c r="N164" s="93" t="inlineStr"/>
      <c r="O164" s="93" t="inlineStr">
        <is>
          <t>Solactive Aerospace and Defense USD Index PR</t>
        </is>
      </c>
      <c r="P164" s="93" t="inlineStr">
        <is>
          <t>일반</t>
        </is>
      </c>
      <c r="Q164" s="93" t="inlineStr">
        <is>
          <t>주식</t>
        </is>
      </c>
      <c r="R164" s="93" t="inlineStr">
        <is>
          <t>연배당</t>
        </is>
      </c>
      <c r="S164" s="94" t="n">
        <v>1</v>
      </c>
      <c r="T164">
        <f>IF(AND($J164&lt;&gt;"",OR(조회_주기="전체",$R164=조회_주기),$J164&gt;=조회_최소,$J164&lt;=조회_최대),1,0)</f>
        <v/>
      </c>
      <c r="U164">
        <f>IF($T164=1,$U163+1,$U163)</f>
        <v/>
      </c>
      <c r="V164">
        <f>IF(검색어="",1,IF(ISNUMBER(SEARCH(검색어,$A164)),1,0))</f>
        <v/>
      </c>
      <c r="W164">
        <f>IF($V164=1,$W163+1,$W163)</f>
        <v/>
      </c>
      <c r="X164">
        <f>IFERROR(INDEX($A$4:$A$517,MATCH(161,$W$4:$W$517,0)),"")</f>
        <v/>
      </c>
    </row>
    <row r="165">
      <c r="A165" s="93" t="inlineStr">
        <is>
          <t>KODEX 미국S&amp;P500테크놀로지</t>
        </is>
      </c>
      <c r="B165" s="93" t="inlineStr">
        <is>
          <t>463680</t>
        </is>
      </c>
      <c r="C165" s="93" t="inlineStr">
        <is>
          <t>삼성자산운용(ETF)</t>
        </is>
      </c>
      <c r="D165" s="94" t="n">
        <v>22200</v>
      </c>
      <c r="E165" s="94" t="n">
        <v>127650000000</v>
      </c>
      <c r="F165" s="94" t="n">
        <v>964674541</v>
      </c>
      <c r="G165" s="74" t="n">
        <v>0.0025</v>
      </c>
      <c r="H165" s="74" t="n">
        <v>0.2658</v>
      </c>
      <c r="I165" s="74" t="n">
        <v>0.0011</v>
      </c>
      <c r="J165" s="74" t="n">
        <v>0.004595</v>
      </c>
      <c r="K165" s="94" t="n">
        <v>12</v>
      </c>
      <c r="L165" s="93" t="inlineStr">
        <is>
          <t>20260730</t>
        </is>
      </c>
      <c r="M165" s="93" t="inlineStr">
        <is>
          <t>채택</t>
        </is>
      </c>
      <c r="N165" s="93" t="inlineStr"/>
      <c r="O165" s="93" t="inlineStr">
        <is>
          <t>Technology Select Sector Index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분기배당</t>
        </is>
      </c>
      <c r="S165" s="94" t="n">
        <v>4</v>
      </c>
      <c r="T165">
        <f>IF(AND($J165&lt;&gt;"",OR(조회_주기="전체",$R165=조회_주기),$J165&gt;=조회_최소,$J165&lt;=조회_최대),1,0)</f>
        <v/>
      </c>
      <c r="U165">
        <f>IF($T165=1,$U164+1,$U164)</f>
        <v/>
      </c>
      <c r="V165">
        <f>IF(검색어="",1,IF(ISNUMBER(SEARCH(검색어,$A165)),1,0))</f>
        <v/>
      </c>
      <c r="W165">
        <f>IF($V165=1,$W164+1,$W164)</f>
        <v/>
      </c>
      <c r="X165">
        <f>IFERROR(INDEX($A$4:$A$517,MATCH(162,$W$4:$W$517,0)),"")</f>
        <v/>
      </c>
    </row>
    <row r="166">
      <c r="A166" s="93" t="inlineStr">
        <is>
          <t>KODEX 미국빅테크10(H)</t>
        </is>
      </c>
      <c r="B166" s="93" t="inlineStr">
        <is>
          <t>314250</t>
        </is>
      </c>
      <c r="C166" s="93" t="inlineStr">
        <is>
          <t>삼성자산운용(ETF)</t>
        </is>
      </c>
      <c r="D166" s="94" t="n">
        <v>62275</v>
      </c>
      <c r="E166" s="94" t="n">
        <v>651396500000</v>
      </c>
      <c r="F166" s="94" t="n">
        <v>3620583354</v>
      </c>
      <c r="G166" s="74" t="n">
        <v>0.004500000000000001</v>
      </c>
      <c r="H166" s="74" t="n">
        <v>0.2294</v>
      </c>
      <c r="I166" s="74" t="n">
        <v>0.0013</v>
      </c>
      <c r="J166" s="74" t="n">
        <v>0.004576</v>
      </c>
      <c r="K166" s="94" t="n">
        <v>4</v>
      </c>
      <c r="L166" s="93" t="inlineStr">
        <is>
          <t>20260730</t>
        </is>
      </c>
      <c r="M166" s="93" t="inlineStr">
        <is>
          <t>채택</t>
        </is>
      </c>
      <c r="N166" s="93" t="inlineStr"/>
      <c r="O166" s="93" t="inlineStr">
        <is>
          <t>NYSE FANG+TM Index</t>
        </is>
      </c>
      <c r="P166" s="93" t="inlineStr">
        <is>
          <t>일반</t>
        </is>
      </c>
      <c r="Q166" s="93" t="inlineStr">
        <is>
          <t>주식</t>
        </is>
      </c>
      <c r="R166" s="93" t="inlineStr">
        <is>
          <t>분기배당</t>
        </is>
      </c>
      <c r="S166" s="94" t="n">
        <v>4</v>
      </c>
      <c r="T166">
        <f>IF(AND($J166&lt;&gt;"",OR(조회_주기="전체",$R166=조회_주기),$J166&gt;=조회_최소,$J166&lt;=조회_최대),1,0)</f>
        <v/>
      </c>
      <c r="U166">
        <f>IF($T166=1,$U165+1,$U165)</f>
        <v/>
      </c>
      <c r="V166">
        <f>IF(검색어="",1,IF(ISNUMBER(SEARCH(검색어,$A166)),1,0))</f>
        <v/>
      </c>
      <c r="W166">
        <f>IF($V166=1,$W165+1,$W165)</f>
        <v/>
      </c>
      <c r="X166">
        <f>IFERROR(INDEX($A$4:$A$517,MATCH(163,$W$4:$W$517,0)),"")</f>
        <v/>
      </c>
    </row>
    <row r="167">
      <c r="A167" s="93" t="inlineStr">
        <is>
          <t>SOL 미국나스닥100</t>
        </is>
      </c>
      <c r="B167" s="93" t="inlineStr">
        <is>
          <t>476030</t>
        </is>
      </c>
      <c r="C167" s="93" t="inlineStr">
        <is>
          <t>신한자산운용</t>
        </is>
      </c>
      <c r="D167" s="94" t="n">
        <v>16885</v>
      </c>
      <c r="E167" s="94" t="n">
        <v>132547250000</v>
      </c>
      <c r="F167" s="94" t="n">
        <v>1404738439</v>
      </c>
      <c r="G167" s="74" t="n">
        <v>5.5e-05</v>
      </c>
      <c r="H167" s="74" t="n">
        <v>0.2053</v>
      </c>
      <c r="I167" s="74" t="n">
        <v>0.001</v>
      </c>
      <c r="J167" s="74" t="n">
        <v>0.004501</v>
      </c>
      <c r="K167" s="94" t="n">
        <v>9</v>
      </c>
      <c r="L167" s="93" t="inlineStr">
        <is>
          <t>20260730</t>
        </is>
      </c>
      <c r="M167" s="93" t="inlineStr">
        <is>
          <t>채택</t>
        </is>
      </c>
      <c r="N167" s="93" t="inlineStr"/>
      <c r="O167" s="93" t="inlineStr">
        <is>
          <t>나스닥 100</t>
        </is>
      </c>
      <c r="P167" s="93" t="inlineStr">
        <is>
          <t>일반</t>
        </is>
      </c>
      <c r="Q167" s="93" t="inlineStr">
        <is>
          <t>주식</t>
        </is>
      </c>
      <c r="R167" s="93" t="inlineStr">
        <is>
          <t>분기배당</t>
        </is>
      </c>
      <c r="S167" s="94" t="n">
        <v>4</v>
      </c>
      <c r="T167">
        <f>IF(AND($J167&lt;&gt;"",OR(조회_주기="전체",$R167=조회_주기),$J167&gt;=조회_최소,$J167&lt;=조회_최대),1,0)</f>
        <v/>
      </c>
      <c r="U167">
        <f>IF($T167=1,$U166+1,$U166)</f>
        <v/>
      </c>
      <c r="V167">
        <f>IF(검색어="",1,IF(ISNUMBER(SEARCH(검색어,$A167)),1,0))</f>
        <v/>
      </c>
      <c r="W167">
        <f>IF($V167=1,$W166+1,$W166)</f>
        <v/>
      </c>
      <c r="X167">
        <f>IFERROR(INDEX($A$4:$A$517,MATCH(164,$W$4:$W$517,0)),"")</f>
        <v/>
      </c>
    </row>
    <row r="168">
      <c r="A168" s="93" t="inlineStr">
        <is>
          <t>SOL 미국TOP5채권혼합50</t>
        </is>
      </c>
      <c r="B168" s="93" t="inlineStr">
        <is>
          <t>447620</t>
        </is>
      </c>
      <c r="C168" s="93" t="inlineStr">
        <is>
          <t>신한자산운용</t>
        </is>
      </c>
      <c r="D168" s="94" t="n">
        <v>15890</v>
      </c>
      <c r="E168" s="94" t="n">
        <v>123942000000</v>
      </c>
      <c r="F168" s="94" t="n">
        <v>961481612</v>
      </c>
      <c r="G168" s="74" t="n">
        <v>0.0025</v>
      </c>
      <c r="H168" s="74" t="n">
        <v>0.09570000000000001</v>
      </c>
      <c r="I168" s="74" t="n">
        <v>0.004099999999999999</v>
      </c>
      <c r="J168" s="74" t="n">
        <v>0.004091</v>
      </c>
      <c r="K168" s="94" t="n">
        <v>4</v>
      </c>
      <c r="L168" s="93" t="inlineStr">
        <is>
          <t>20260429</t>
        </is>
      </c>
      <c r="M168" s="93" t="inlineStr">
        <is>
          <t>채택</t>
        </is>
      </c>
      <c r="N168" s="93" t="inlineStr"/>
      <c r="O168" s="93" t="inlineStr">
        <is>
          <t>Solactive US Top 5 Balanced 50 Index</t>
        </is>
      </c>
      <c r="P168" s="93" t="inlineStr">
        <is>
          <t>일반</t>
        </is>
      </c>
      <c r="Q168" s="93" t="inlineStr">
        <is>
          <t>멀티에셋</t>
        </is>
      </c>
      <c r="R168" s="93" t="inlineStr">
        <is>
          <t>연배당</t>
        </is>
      </c>
      <c r="S168" s="94" t="n">
        <v>1</v>
      </c>
      <c r="T168">
        <f>IF(AND($J168&lt;&gt;"",OR(조회_주기="전체",$R168=조회_주기),$J168&gt;=조회_최소,$J168&lt;=조회_최대),1,0)</f>
        <v/>
      </c>
      <c r="U168">
        <f>IF($T168=1,$U167+1,$U167)</f>
        <v/>
      </c>
      <c r="V168">
        <f>IF(검색어="",1,IF(ISNUMBER(SEARCH(검색어,$A168)),1,0))</f>
        <v/>
      </c>
      <c r="W168">
        <f>IF($V168=1,$W167+1,$W167)</f>
        <v/>
      </c>
      <c r="X168">
        <f>IFERROR(INDEX($A$4:$A$517,MATCH(165,$W$4:$W$517,0)),"")</f>
        <v/>
      </c>
    </row>
    <row r="169">
      <c r="A169" s="93" t="inlineStr">
        <is>
          <t>KODEX 미국AI테크TOP10</t>
        </is>
      </c>
      <c r="B169" s="93" t="inlineStr">
        <is>
          <t>485540</t>
        </is>
      </c>
      <c r="C169" s="93" t="inlineStr">
        <is>
          <t>삼성자산운용(ETF)</t>
        </is>
      </c>
      <c r="D169" s="94" t="n">
        <v>15110</v>
      </c>
      <c r="E169" s="94" t="n">
        <v>308999500000</v>
      </c>
      <c r="F169" s="94" t="n">
        <v>3561982268</v>
      </c>
      <c r="G169" s="74" t="n">
        <v>0.003</v>
      </c>
      <c r="H169" s="74" t="n">
        <v>0.2448</v>
      </c>
      <c r="I169" s="74" t="n">
        <v>0.0013</v>
      </c>
      <c r="J169" s="74" t="n">
        <v>0.003971</v>
      </c>
      <c r="K169" s="94" t="n">
        <v>8</v>
      </c>
      <c r="L169" s="93" t="inlineStr">
        <is>
          <t>20260730</t>
        </is>
      </c>
      <c r="M169" s="93" t="inlineStr">
        <is>
          <t>채택</t>
        </is>
      </c>
      <c r="N169" s="93" t="inlineStr"/>
      <c r="O169" s="93" t="inlineStr">
        <is>
          <t>KEDI US AI Tech Top 10 Index (PR)</t>
        </is>
      </c>
      <c r="P169" s="93" t="inlineStr">
        <is>
          <t>일반</t>
        </is>
      </c>
      <c r="Q169" s="93" t="inlineStr">
        <is>
          <t>주식</t>
        </is>
      </c>
      <c r="R169" s="93" t="inlineStr">
        <is>
          <t>분기배당</t>
        </is>
      </c>
      <c r="S169" s="94" t="n">
        <v>4</v>
      </c>
      <c r="T169">
        <f>IF(AND($J169&lt;&gt;"",OR(조회_주기="전체",$R169=조회_주기),$J169&gt;=조회_최소,$J169&lt;=조회_최대),1,0)</f>
        <v/>
      </c>
      <c r="U169">
        <f>IF($T169=1,$U168+1,$U168)</f>
        <v/>
      </c>
      <c r="V169">
        <f>IF(검색어="",1,IF(ISNUMBER(SEARCH(검색어,$A169)),1,0))</f>
        <v/>
      </c>
      <c r="W169">
        <f>IF($V169=1,$W168+1,$W168)</f>
        <v/>
      </c>
      <c r="X169">
        <f>IFERROR(INDEX($A$4:$A$517,MATCH(166,$W$4:$W$517,0)),"")</f>
        <v/>
      </c>
    </row>
    <row r="170">
      <c r="A170" s="93" t="inlineStr">
        <is>
          <t>TIGER 미국테크TOP10채권혼합</t>
        </is>
      </c>
      <c r="B170" s="93" t="inlineStr">
        <is>
          <t>472170</t>
        </is>
      </c>
      <c r="C170" s="93" t="inlineStr">
        <is>
          <t>미래에셋자산운용</t>
        </is>
      </c>
      <c r="D170" s="94" t="n">
        <v>13860</v>
      </c>
      <c r="E170" s="94" t="n">
        <v>332640000000</v>
      </c>
      <c r="F170" s="94" t="n">
        <v>1644303050</v>
      </c>
      <c r="G170" s="74" t="n">
        <v>0.0025</v>
      </c>
      <c r="H170" s="74" t="n">
        <v>0.1045</v>
      </c>
      <c r="I170" s="74" t="n">
        <v>0.0036</v>
      </c>
      <c r="J170" s="74" t="n">
        <v>0.00368</v>
      </c>
      <c r="K170" s="94" t="n">
        <v>3</v>
      </c>
      <c r="L170" s="93" t="inlineStr">
        <is>
          <t>20251127</t>
        </is>
      </c>
      <c r="M170" s="93" t="inlineStr">
        <is>
          <t>채택</t>
        </is>
      </c>
      <c r="N170" s="93" t="inlineStr"/>
      <c r="O170" s="93" t="inlineStr">
        <is>
          <t>FnGuide 미국테크TOP10채권혼합 지수</t>
        </is>
      </c>
      <c r="P170" s="93" t="inlineStr">
        <is>
          <t>일반</t>
        </is>
      </c>
      <c r="Q170" s="93" t="inlineStr">
        <is>
          <t>멀티에셋</t>
        </is>
      </c>
      <c r="R170" s="93" t="inlineStr">
        <is>
          <t>연배당</t>
        </is>
      </c>
      <c r="S170" s="94" t="n">
        <v>1</v>
      </c>
      <c r="T170">
        <f>IF(AND($J170&lt;&gt;"",OR(조회_주기="전체",$R170=조회_주기),$J170&gt;=조회_최소,$J170&lt;=조회_최대),1,0)</f>
        <v/>
      </c>
      <c r="U170">
        <f>IF($T170=1,$U169+1,$U169)</f>
        <v/>
      </c>
      <c r="V170">
        <f>IF(검색어="",1,IF(ISNUMBER(SEARCH(검색어,$A170)),1,0))</f>
        <v/>
      </c>
      <c r="W170">
        <f>IF($V170=1,$W169+1,$W169)</f>
        <v/>
      </c>
      <c r="X170">
        <f>IFERROR(INDEX($A$4:$A$517,MATCH(167,$W$4:$W$517,0)),"")</f>
        <v/>
      </c>
    </row>
    <row r="171">
      <c r="A171" s="93" t="inlineStr">
        <is>
          <t>RISE 미국AI밸류체인TOP3Plus</t>
        </is>
      </c>
      <c r="B171" s="93" t="inlineStr">
        <is>
          <t>485690</t>
        </is>
      </c>
      <c r="C171" s="93" t="inlineStr">
        <is>
          <t>KB자산운용</t>
        </is>
      </c>
      <c r="D171" s="94" t="n">
        <v>21770</v>
      </c>
      <c r="E171" s="94" t="n">
        <v>80549000000</v>
      </c>
      <c r="F171" s="94" t="n">
        <v>539107504</v>
      </c>
      <c r="G171" s="74" t="n">
        <v>0.0001</v>
      </c>
      <c r="H171" s="74" t="n">
        <v>0.3419</v>
      </c>
      <c r="I171" s="74" t="n">
        <v>0.0015</v>
      </c>
      <c r="J171" s="74" t="n">
        <v>0.003445</v>
      </c>
      <c r="K171" s="94" t="n">
        <v>2</v>
      </c>
      <c r="L171" s="93" t="inlineStr">
        <is>
          <t>20260730</t>
        </is>
      </c>
      <c r="M171" s="93" t="inlineStr">
        <is>
          <t>채택</t>
        </is>
      </c>
      <c r="N171" s="93" t="inlineStr"/>
      <c r="O171" s="93" t="inlineStr">
        <is>
          <t>KEDI US AI Value Chain TOP3Plus Index</t>
        </is>
      </c>
      <c r="P171" s="93" t="inlineStr">
        <is>
          <t>일반</t>
        </is>
      </c>
      <c r="Q171" s="93" t="inlineStr">
        <is>
          <t>주식</t>
        </is>
      </c>
      <c r="R171" s="93" t="inlineStr">
        <is>
          <t>연배당</t>
        </is>
      </c>
      <c r="S171" s="94" t="n">
        <v>2</v>
      </c>
      <c r="T171">
        <f>IF(AND($J171&lt;&gt;"",OR(조회_주기="전체",$R171=조회_주기),$J171&gt;=조회_최소,$J171&lt;=조회_최대),1,0)</f>
        <v/>
      </c>
      <c r="U171">
        <f>IF($T171=1,$U170+1,$U170)</f>
        <v/>
      </c>
      <c r="V171">
        <f>IF(검색어="",1,IF(ISNUMBER(SEARCH(검색어,$A171)),1,0))</f>
        <v/>
      </c>
      <c r="W171">
        <f>IF($V171=1,$W170+1,$W170)</f>
        <v/>
      </c>
      <c r="X171">
        <f>IFERROR(INDEX($A$4:$A$517,MATCH(168,$W$4:$W$517,0)),"")</f>
        <v/>
      </c>
    </row>
    <row r="172">
      <c r="A172" s="93" t="inlineStr">
        <is>
          <t>KODEX 미국휴머노이드로봇</t>
        </is>
      </c>
      <c r="B172" s="93" t="inlineStr">
        <is>
          <t>0038A0</t>
        </is>
      </c>
      <c r="C172" s="93" t="inlineStr">
        <is>
          <t>삼성자산운용(ETF)</t>
        </is>
      </c>
      <c r="D172" s="94" t="n">
        <v>14945</v>
      </c>
      <c r="E172" s="94" t="n">
        <v>283207750000</v>
      </c>
      <c r="F172" s="94" t="n">
        <v>2482034627</v>
      </c>
      <c r="G172" s="74" t="n">
        <v>0.004500000000000001</v>
      </c>
      <c r="H172" s="74" t="n">
        <v>0.2893</v>
      </c>
      <c r="I172" s="74" t="n">
        <v>0.001</v>
      </c>
      <c r="J172" s="74" t="n">
        <v>0.003413</v>
      </c>
      <c r="K172" s="94" t="n">
        <v>5</v>
      </c>
      <c r="L172" s="93" t="inlineStr">
        <is>
          <t>20260730</t>
        </is>
      </c>
      <c r="M172" s="93" t="inlineStr">
        <is>
          <t>채택</t>
        </is>
      </c>
      <c r="N172" s="93" t="inlineStr"/>
      <c r="O172" s="93" t="inlineStr">
        <is>
          <t>iSelect U.S. Humanoid Robot Index</t>
        </is>
      </c>
      <c r="P172" s="93" t="inlineStr">
        <is>
          <t>일반</t>
        </is>
      </c>
      <c r="Q172" s="93" t="inlineStr">
        <is>
          <t>주식</t>
        </is>
      </c>
      <c r="R172" s="93" t="inlineStr">
        <is>
          <t>분기배당</t>
        </is>
      </c>
      <c r="S172" s="94" t="n">
        <v>4</v>
      </c>
      <c r="T172">
        <f>IF(AND($J172&lt;&gt;"",OR(조회_주기="전체",$R172=조회_주기),$J172&gt;=조회_최소,$J172&lt;=조회_최대),1,0)</f>
        <v/>
      </c>
      <c r="U172">
        <f>IF($T172=1,$U171+1,$U171)</f>
        <v/>
      </c>
      <c r="V172">
        <f>IF(검색어="",1,IF(ISNUMBER(SEARCH(검색어,$A172)),1,0))</f>
        <v/>
      </c>
      <c r="W172">
        <f>IF($V172=1,$W171+1,$W171)</f>
        <v/>
      </c>
      <c r="X172">
        <f>IFERROR(INDEX($A$4:$A$517,MATCH(169,$W$4:$W$517,0)),"")</f>
        <v/>
      </c>
    </row>
    <row r="173">
      <c r="A173" s="93" t="inlineStr">
        <is>
          <t>TIGER 글로벌AI플랫폼액티브</t>
        </is>
      </c>
      <c r="B173" s="93" t="inlineStr">
        <is>
          <t>412770</t>
        </is>
      </c>
      <c r="C173" s="93" t="inlineStr">
        <is>
          <t>미래에셋자산운용</t>
        </is>
      </c>
      <c r="D173" s="94" t="n">
        <v>12160</v>
      </c>
      <c r="E173" s="94" t="n">
        <v>70649600000</v>
      </c>
      <c r="F173" s="94" t="n">
        <v>1317316477</v>
      </c>
      <c r="G173" s="74" t="n">
        <v>0.007900000000000001</v>
      </c>
      <c r="H173" s="74" t="n">
        <v>0.3376</v>
      </c>
      <c r="I173" s="74" t="n">
        <v>0.0029</v>
      </c>
      <c r="J173" s="74" t="n">
        <v>0.003289</v>
      </c>
      <c r="K173" s="94" t="n">
        <v>1</v>
      </c>
      <c r="L173" s="93" t="inlineStr">
        <is>
          <t>20251229</t>
        </is>
      </c>
      <c r="M173" s="93" t="inlineStr">
        <is>
          <t>채택</t>
        </is>
      </c>
      <c r="N173" s="93" t="inlineStr"/>
      <c r="O173" s="93" t="inlineStr">
        <is>
          <t>Indxx Global Metaverse PR Index</t>
        </is>
      </c>
      <c r="P173" s="93" t="inlineStr">
        <is>
          <t>일반</t>
        </is>
      </c>
      <c r="Q173" s="93" t="inlineStr">
        <is>
          <t>주식</t>
        </is>
      </c>
      <c r="R173" s="93" t="inlineStr">
        <is>
          <t>연배당</t>
        </is>
      </c>
      <c r="S173" s="94" t="n">
        <v>1</v>
      </c>
      <c r="T173">
        <f>IF(AND($J173&lt;&gt;"",OR(조회_주기="전체",$R173=조회_주기),$J173&gt;=조회_최소,$J173&lt;=조회_최대),1,0)</f>
        <v/>
      </c>
      <c r="U173">
        <f>IF($T173=1,$U172+1,$U172)</f>
        <v/>
      </c>
      <c r="V173">
        <f>IF(검색어="",1,IF(ISNUMBER(SEARCH(검색어,$A173)),1,0))</f>
        <v/>
      </c>
      <c r="W173">
        <f>IF($V173=1,$W172+1,$W172)</f>
        <v/>
      </c>
      <c r="X173">
        <f>IFERROR(INDEX($A$4:$A$517,MATCH(170,$W$4:$W$517,0)),"")</f>
        <v/>
      </c>
    </row>
    <row r="174">
      <c r="A174" s="93" t="inlineStr">
        <is>
          <t>RISE 미국휴머노이드로봇</t>
        </is>
      </c>
      <c r="B174" s="93" t="inlineStr">
        <is>
          <t>0036R0</t>
        </is>
      </c>
      <c r="C174" s="93" t="inlineStr">
        <is>
          <t>KB자산운용</t>
        </is>
      </c>
      <c r="D174" s="94" t="n">
        <v>19290</v>
      </c>
      <c r="E174" s="94" t="n">
        <v>108024000000</v>
      </c>
      <c r="F174" s="94" t="n">
        <v>749388670</v>
      </c>
      <c r="G174" s="74" t="n">
        <v>0.004</v>
      </c>
      <c r="H174" s="74" t="n">
        <v>0.2987</v>
      </c>
      <c r="I174" s="74" t="n">
        <v>0.002</v>
      </c>
      <c r="J174" s="74" t="n">
        <v>0.00311</v>
      </c>
      <c r="K174" s="94" t="n">
        <v>2</v>
      </c>
      <c r="L174" s="93" t="inlineStr">
        <is>
          <t>20260730</t>
        </is>
      </c>
      <c r="M174" s="93" t="inlineStr">
        <is>
          <t>채택</t>
        </is>
      </c>
      <c r="N174" s="93" t="inlineStr"/>
      <c r="O174" s="93" t="inlineStr">
        <is>
          <t>KEDI U.S. Humanoid Robot Index (Price Return)</t>
        </is>
      </c>
      <c r="P174" s="93" t="inlineStr">
        <is>
          <t>일반</t>
        </is>
      </c>
      <c r="Q174" s="93" t="inlineStr">
        <is>
          <t>주식</t>
        </is>
      </c>
      <c r="R174" s="93" t="inlineStr">
        <is>
          <t>연배당</t>
        </is>
      </c>
      <c r="S174" s="94" t="n">
        <v>2</v>
      </c>
      <c r="T174">
        <f>IF(AND($J174&lt;&gt;"",OR(조회_주기="전체",$R174=조회_주기),$J174&gt;=조회_최소,$J174&lt;=조회_최대),1,0)</f>
        <v/>
      </c>
      <c r="U174">
        <f>IF($T174=1,$U173+1,$U173)</f>
        <v/>
      </c>
      <c r="V174">
        <f>IF(검색어="",1,IF(ISNUMBER(SEARCH(검색어,$A174)),1,0))</f>
        <v/>
      </c>
      <c r="W174">
        <f>IF($V174=1,$W173+1,$W173)</f>
        <v/>
      </c>
      <c r="X174">
        <f>IFERROR(INDEX($A$4:$A$517,MATCH(171,$W$4:$W$517,0)),"")</f>
        <v/>
      </c>
    </row>
    <row r="175">
      <c r="A175" s="93" t="inlineStr">
        <is>
          <t>ACE 베트남VN30(합성)</t>
        </is>
      </c>
      <c r="B175" s="93" t="inlineStr">
        <is>
          <t>245710</t>
        </is>
      </c>
      <c r="C175" s="93" t="inlineStr">
        <is>
          <t>한국투신운용(ETF)</t>
        </is>
      </c>
      <c r="D175" s="94" t="n">
        <v>29045</v>
      </c>
      <c r="E175" s="94" t="n">
        <v>374680500000</v>
      </c>
      <c r="F175" s="94" t="n">
        <v>846881472</v>
      </c>
      <c r="G175" s="74" t="n">
        <v>0.006999999999999999</v>
      </c>
      <c r="H175" s="74" t="n">
        <v>0.2496</v>
      </c>
      <c r="I175" s="74" t="n">
        <v>0.003</v>
      </c>
      <c r="J175" s="74" t="n">
        <v>0.003064</v>
      </c>
      <c r="K175" s="94" t="n">
        <v>1</v>
      </c>
      <c r="L175" s="93" t="inlineStr">
        <is>
          <t>20251229</t>
        </is>
      </c>
      <c r="M175" s="93" t="inlineStr">
        <is>
          <t>채택</t>
        </is>
      </c>
      <c r="N175" s="93" t="inlineStr"/>
      <c r="O175" s="93" t="inlineStr">
        <is>
          <t>베트남 호치민 VN30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연배당</t>
        </is>
      </c>
      <c r="S175" s="94" t="n">
        <v>1</v>
      </c>
      <c r="T175">
        <f>IF(AND($J175&lt;&gt;"",OR(조회_주기="전체",$R175=조회_주기),$J175&gt;=조회_최소,$J175&lt;=조회_최대),1,0)</f>
        <v/>
      </c>
      <c r="U175">
        <f>IF($T175=1,$U174+1,$U174)</f>
        <v/>
      </c>
      <c r="V175">
        <f>IF(검색어="",1,IF(ISNUMBER(SEARCH(검색어,$A175)),1,0))</f>
        <v/>
      </c>
      <c r="W175">
        <f>IF($V175=1,$W174+1,$W174)</f>
        <v/>
      </c>
      <c r="X175">
        <f>IFERROR(INDEX($A$4:$A$517,MATCH(172,$W$4:$W$517,0)),"")</f>
        <v/>
      </c>
    </row>
    <row r="176">
      <c r="A176" s="93" t="inlineStr">
        <is>
          <t>TIGER 미국테크TOP10 INDXX</t>
        </is>
      </c>
      <c r="B176" s="93" t="inlineStr">
        <is>
          <t>381170</t>
        </is>
      </c>
      <c r="C176" s="93" t="inlineStr">
        <is>
          <t>미래에셋자산운용</t>
        </is>
      </c>
      <c r="D176" s="94" t="n">
        <v>30985</v>
      </c>
      <c r="E176" s="94" t="n">
        <v>3826647500000</v>
      </c>
      <c r="F176" s="94" t="n">
        <v>24074298365</v>
      </c>
      <c r="G176" s="74" t="n">
        <v>0.0049</v>
      </c>
      <c r="H176" s="74" t="n">
        <v>0.2095</v>
      </c>
      <c r="I176" s="74" t="n">
        <v>0.0025</v>
      </c>
      <c r="J176" s="74" t="n">
        <v>0.002485</v>
      </c>
      <c r="K176" s="94" t="n">
        <v>1</v>
      </c>
      <c r="L176" s="93" t="inlineStr">
        <is>
          <t>20251229</t>
        </is>
      </c>
      <c r="M176" s="93" t="inlineStr">
        <is>
          <t>채택</t>
        </is>
      </c>
      <c r="N176" s="93" t="inlineStr"/>
      <c r="O176" s="93" t="inlineStr">
        <is>
          <t>Indxx US Tech Top10 Index</t>
        </is>
      </c>
      <c r="P176" s="93" t="inlineStr">
        <is>
          <t>일반</t>
        </is>
      </c>
      <c r="Q176" s="93" t="inlineStr">
        <is>
          <t>주식</t>
        </is>
      </c>
      <c r="R176" s="93" t="inlineStr">
        <is>
          <t>연배당</t>
        </is>
      </c>
      <c r="S176" s="94" t="n">
        <v>1</v>
      </c>
      <c r="T176">
        <f>IF(AND($J176&lt;&gt;"",OR(조회_주기="전체",$R176=조회_주기),$J176&gt;=조회_최소,$J176&lt;=조회_최대),1,0)</f>
        <v/>
      </c>
      <c r="U176">
        <f>IF($T176=1,$U175+1,$U175)</f>
        <v/>
      </c>
      <c r="V176">
        <f>IF(검색어="",1,IF(ISNUMBER(SEARCH(검색어,$A176)),1,0))</f>
        <v/>
      </c>
      <c r="W176">
        <f>IF($V176=1,$W175+1,$W175)</f>
        <v/>
      </c>
      <c r="X176">
        <f>IFERROR(INDEX($A$4:$A$517,MATCH(173,$W$4:$W$517,0)),"")</f>
        <v/>
      </c>
    </row>
    <row r="177">
      <c r="A177" s="93" t="inlineStr">
        <is>
          <t>KODEX 미국나스닥AI테크액티브</t>
        </is>
      </c>
      <c r="B177" s="93" t="inlineStr">
        <is>
          <t>411420</t>
        </is>
      </c>
      <c r="C177" s="93" t="inlineStr">
        <is>
          <t>삼성자산운용(ETF)</t>
        </is>
      </c>
      <c r="D177" s="94" t="n">
        <v>26420</v>
      </c>
      <c r="E177" s="94" t="n">
        <v>128137000000</v>
      </c>
      <c r="F177" s="94" t="n">
        <v>1500837826</v>
      </c>
      <c r="G177" s="74" t="n">
        <v>0.005</v>
      </c>
      <c r="H177" s="74" t="n">
        <v>0.3307</v>
      </c>
      <c r="I177" s="74" t="n">
        <v>0.0014</v>
      </c>
      <c r="J177" s="74" t="n">
        <v>0.002422</v>
      </c>
      <c r="K177" s="94" t="n">
        <v>6</v>
      </c>
      <c r="L177" s="93" t="inlineStr">
        <is>
          <t>20260730</t>
        </is>
      </c>
      <c r="M177" s="93" t="inlineStr">
        <is>
          <t>채택</t>
        </is>
      </c>
      <c r="N177" s="93" t="inlineStr"/>
      <c r="O177" s="93" t="inlineStr">
        <is>
          <t>Nasdaq Yewno Metaverse Index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분기배당</t>
        </is>
      </c>
      <c r="S177" s="94" t="n">
        <v>4</v>
      </c>
      <c r="T177">
        <f>IF(AND($J177&lt;&gt;"",OR(조회_주기="전체",$R177=조회_주기),$J177&gt;=조회_최소,$J177&lt;=조회_최대),1,0)</f>
        <v/>
      </c>
      <c r="U177">
        <f>IF($T177=1,$U176+1,$U176)</f>
        <v/>
      </c>
      <c r="V177">
        <f>IF(검색어="",1,IF(ISNUMBER(SEARCH(검색어,$A177)),1,0))</f>
        <v/>
      </c>
      <c r="W177">
        <f>IF($V177=1,$W176+1,$W176)</f>
        <v/>
      </c>
      <c r="X177">
        <f>IFERROR(INDEX($A$4:$A$517,MATCH(174,$W$4:$W$517,0)),"")</f>
        <v/>
      </c>
    </row>
    <row r="178">
      <c r="A178" s="93" t="inlineStr">
        <is>
          <t>TIGER 미국테크TOP10 INDXX(H)</t>
        </is>
      </c>
      <c r="B178" s="93" t="inlineStr">
        <is>
          <t>472160</t>
        </is>
      </c>
      <c r="C178" s="93" t="inlineStr">
        <is>
          <t>미래에셋자산운용</t>
        </is>
      </c>
      <c r="D178" s="94" t="n">
        <v>18870</v>
      </c>
      <c r="E178" s="94" t="n">
        <v>227383500000</v>
      </c>
      <c r="F178" s="94" t="n">
        <v>3788669096</v>
      </c>
      <c r="G178" s="74" t="n">
        <v>0.0049</v>
      </c>
      <c r="H178" s="74" t="n">
        <v>0.2038</v>
      </c>
      <c r="I178" s="74" t="n">
        <v>0.0025</v>
      </c>
      <c r="J178" s="74" t="n">
        <v>0.002385</v>
      </c>
      <c r="K178" s="94" t="n">
        <v>1</v>
      </c>
      <c r="L178" s="93" t="inlineStr">
        <is>
          <t>20251229</t>
        </is>
      </c>
      <c r="M178" s="93" t="inlineStr">
        <is>
          <t>채택</t>
        </is>
      </c>
      <c r="N178" s="93" t="inlineStr"/>
      <c r="O178" s="93" t="inlineStr">
        <is>
          <t>Indxx US Tech Top10 Index</t>
        </is>
      </c>
      <c r="P178" s="93" t="inlineStr">
        <is>
          <t>일반</t>
        </is>
      </c>
      <c r="Q178" s="93" t="inlineStr">
        <is>
          <t>주식</t>
        </is>
      </c>
      <c r="R178" s="93" t="inlineStr">
        <is>
          <t>연배당</t>
        </is>
      </c>
      <c r="S178" s="94" t="n">
        <v>1</v>
      </c>
      <c r="T178">
        <f>IF(AND($J178&lt;&gt;"",OR(조회_주기="전체",$R178=조회_주기),$J178&gt;=조회_최소,$J178&lt;=조회_최대),1,0)</f>
        <v/>
      </c>
      <c r="U178">
        <f>IF($T178=1,$U177+1,$U177)</f>
        <v/>
      </c>
      <c r="V178">
        <f>IF(검색어="",1,IF(ISNUMBER(SEARCH(검색어,$A178)),1,0))</f>
        <v/>
      </c>
      <c r="W178">
        <f>IF($V178=1,$W177+1,$W177)</f>
        <v/>
      </c>
      <c r="X178">
        <f>IFERROR(INDEX($A$4:$A$517,MATCH(175,$W$4:$W$517,0)),"")</f>
        <v/>
      </c>
    </row>
    <row r="179">
      <c r="A179" s="93" t="inlineStr">
        <is>
          <t>TIGER 미국AI빅테크10</t>
        </is>
      </c>
      <c r="B179" s="93" t="inlineStr">
        <is>
          <t>490090</t>
        </is>
      </c>
      <c r="C179" s="93" t="inlineStr">
        <is>
          <t>미래에셋자산운용</t>
        </is>
      </c>
      <c r="D179" s="94" t="n">
        <v>15880</v>
      </c>
      <c r="E179" s="94" t="n">
        <v>210410000000</v>
      </c>
      <c r="F179" s="94" t="n">
        <v>2560587489</v>
      </c>
      <c r="G179" s="74" t="n">
        <v>0.003</v>
      </c>
      <c r="H179" s="74" t="n">
        <v>0.2146</v>
      </c>
      <c r="I179" s="74" t="n">
        <v>0.0025</v>
      </c>
      <c r="J179" s="74" t="n">
        <v>0.00233</v>
      </c>
      <c r="K179" s="94" t="n">
        <v>1</v>
      </c>
      <c r="L179" s="93" t="inlineStr">
        <is>
          <t>20251229</t>
        </is>
      </c>
      <c r="M179" s="93" t="inlineStr">
        <is>
          <t>채택</t>
        </is>
      </c>
      <c r="N179" s="93" t="inlineStr"/>
      <c r="O179" s="93" t="inlineStr">
        <is>
          <t>KEDI US AI Big Tech 10 Index PR</t>
        </is>
      </c>
      <c r="P179" s="93" t="inlineStr">
        <is>
          <t>일반</t>
        </is>
      </c>
      <c r="Q179" s="93" t="inlineStr">
        <is>
          <t>주식</t>
        </is>
      </c>
      <c r="R179" s="93" t="inlineStr">
        <is>
          <t>연배당</t>
        </is>
      </c>
      <c r="S179" s="94" t="n">
        <v>1</v>
      </c>
      <c r="T179">
        <f>IF(AND($J179&lt;&gt;"",OR(조회_주기="전체",$R179=조회_주기),$J179&gt;=조회_최소,$J179&lt;=조회_최대),1,0)</f>
        <v/>
      </c>
      <c r="U179">
        <f>IF($T179=1,$U178+1,$U178)</f>
        <v/>
      </c>
      <c r="V179">
        <f>IF(검색어="",1,IF(ISNUMBER(SEARCH(검색어,$A179)),1,0))</f>
        <v/>
      </c>
      <c r="W179">
        <f>IF($V179=1,$W178+1,$W178)</f>
        <v/>
      </c>
      <c r="X179">
        <f>IFERROR(INDEX($A$4:$A$517,MATCH(176,$W$4:$W$517,0)),"")</f>
        <v/>
      </c>
    </row>
    <row r="180">
      <c r="A180" s="93" t="inlineStr">
        <is>
          <t>KODEX 미국서학개미</t>
        </is>
      </c>
      <c r="B180" s="93" t="inlineStr">
        <is>
          <t>473460</t>
        </is>
      </c>
      <c r="C180" s="93" t="inlineStr">
        <is>
          <t>삼성자산운용(ETF)</t>
        </is>
      </c>
      <c r="D180" s="94" t="n">
        <v>23280</v>
      </c>
      <c r="E180" s="94" t="n">
        <v>176928000000</v>
      </c>
      <c r="F180" s="94" t="n">
        <v>1108553310</v>
      </c>
      <c r="G180" s="74" t="n">
        <v>0.0025</v>
      </c>
      <c r="H180" s="74" t="n">
        <v>0.3182</v>
      </c>
      <c r="I180" s="74" t="n">
        <v>0.0007000000000000001</v>
      </c>
      <c r="J180" s="74" t="n">
        <v>0.002234</v>
      </c>
      <c r="K180" s="94" t="n">
        <v>7</v>
      </c>
      <c r="L180" s="93" t="inlineStr">
        <is>
          <t>20260730</t>
        </is>
      </c>
      <c r="M180" s="93" t="inlineStr">
        <is>
          <t>채택</t>
        </is>
      </c>
      <c r="N180" s="93" t="inlineStr"/>
      <c r="O180" s="93" t="inlineStr">
        <is>
          <t>iSelect 서학개미 PR 지수</t>
        </is>
      </c>
      <c r="P180" s="93" t="inlineStr">
        <is>
          <t>일반</t>
        </is>
      </c>
      <c r="Q180" s="93" t="inlineStr">
        <is>
          <t>주식</t>
        </is>
      </c>
      <c r="R180" s="93" t="inlineStr">
        <is>
          <t>분기배당</t>
        </is>
      </c>
      <c r="S180" s="94" t="n">
        <v>4</v>
      </c>
      <c r="T180">
        <f>IF(AND($J180&lt;&gt;"",OR(조회_주기="전체",$R180=조회_주기),$J180&gt;=조회_최소,$J180&lt;=조회_최대),1,0)</f>
        <v/>
      </c>
      <c r="U180">
        <f>IF($T180=1,$U179+1,$U179)</f>
        <v/>
      </c>
      <c r="V180">
        <f>IF(검색어="",1,IF(ISNUMBER(SEARCH(검색어,$A180)),1,0))</f>
        <v/>
      </c>
      <c r="W180">
        <f>IF($V180=1,$W179+1,$W179)</f>
        <v/>
      </c>
      <c r="X180">
        <f>IFERROR(INDEX($A$4:$A$517,MATCH(177,$W$4:$W$517,0)),"")</f>
        <v/>
      </c>
    </row>
    <row r="181">
      <c r="A181" s="93" t="inlineStr">
        <is>
          <t>ACE 미국빅테크TOP7 Plus</t>
        </is>
      </c>
      <c r="B181" s="93" t="inlineStr">
        <is>
          <t>465580</t>
        </is>
      </c>
      <c r="C181" s="93" t="inlineStr">
        <is>
          <t>한국투신운용(ETF)</t>
        </is>
      </c>
      <c r="D181" s="94" t="n">
        <v>24280</v>
      </c>
      <c r="E181" s="94" t="n">
        <v>1085316000000</v>
      </c>
      <c r="F181" s="94" t="n">
        <v>16084852107</v>
      </c>
      <c r="G181" s="74" t="n">
        <v>0.003</v>
      </c>
      <c r="H181" s="74" t="n">
        <v>0.2134</v>
      </c>
      <c r="I181" s="74" t="n">
        <v>0.0024</v>
      </c>
      <c r="J181" s="74" t="n">
        <v>0.002224</v>
      </c>
      <c r="K181" s="94" t="n">
        <v>1</v>
      </c>
      <c r="L181" s="93" t="inlineStr">
        <is>
          <t>20251229</t>
        </is>
      </c>
      <c r="M181" s="93" t="inlineStr">
        <is>
          <t>채택</t>
        </is>
      </c>
      <c r="N181" s="93" t="inlineStr"/>
      <c r="O181" s="93" t="inlineStr">
        <is>
          <t>Solactive US Big Tech Top 7 Plus Index PR</t>
        </is>
      </c>
      <c r="P181" s="93" t="inlineStr">
        <is>
          <t>일반</t>
        </is>
      </c>
      <c r="Q181" s="93" t="inlineStr">
        <is>
          <t>주식</t>
        </is>
      </c>
      <c r="R181" s="93" t="inlineStr">
        <is>
          <t>연배당</t>
        </is>
      </c>
      <c r="S181" s="94" t="n">
        <v>1</v>
      </c>
      <c r="T181">
        <f>IF(AND($J181&lt;&gt;"",OR(조회_주기="전체",$R181=조회_주기),$J181&gt;=조회_최소,$J181&lt;=조회_최대),1,0)</f>
        <v/>
      </c>
      <c r="U181">
        <f>IF($T181=1,$U180+1,$U180)</f>
        <v/>
      </c>
      <c r="V181">
        <f>IF(검색어="",1,IF(ISNUMBER(SEARCH(검색어,$A181)),1,0))</f>
        <v/>
      </c>
      <c r="W181">
        <f>IF($V181=1,$W180+1,$W180)</f>
        <v/>
      </c>
      <c r="X181">
        <f>IFERROR(INDEX($A$4:$A$517,MATCH(178,$W$4:$W$517,0)),"")</f>
        <v/>
      </c>
    </row>
    <row r="182">
      <c r="A182" s="93" t="inlineStr">
        <is>
          <t>TIME 미국S&amp;P500액티브</t>
        </is>
      </c>
      <c r="B182" s="93" t="inlineStr">
        <is>
          <t>426020</t>
        </is>
      </c>
      <c r="C182" s="93" t="inlineStr">
        <is>
          <t>타임폴리오자산운용</t>
        </is>
      </c>
      <c r="D182" s="94" t="n">
        <v>31775</v>
      </c>
      <c r="E182" s="94" t="n">
        <v>402271500000</v>
      </c>
      <c r="F182" s="94" t="n">
        <v>3383120521</v>
      </c>
      <c r="G182" s="74" t="n">
        <v>0.008</v>
      </c>
      <c r="H182" s="74" t="n">
        <v>0.2178</v>
      </c>
      <c r="I182" s="74" t="n">
        <v>0.0019</v>
      </c>
      <c r="J182" s="74" t="n">
        <v>0.001699</v>
      </c>
      <c r="K182" s="94" t="n">
        <v>1</v>
      </c>
      <c r="L182" s="93" t="inlineStr">
        <is>
          <t>20251229</t>
        </is>
      </c>
      <c r="M182" s="93" t="inlineStr">
        <is>
          <t>채택</t>
        </is>
      </c>
      <c r="N182" s="93" t="inlineStr"/>
      <c r="O182" s="93" t="inlineStr">
        <is>
          <t>S&amp;P 500</t>
        </is>
      </c>
      <c r="P182" s="93" t="inlineStr">
        <is>
          <t>일반</t>
        </is>
      </c>
      <c r="Q182" s="93" t="inlineStr">
        <is>
          <t>주식</t>
        </is>
      </c>
      <c r="R182" s="93" t="inlineStr">
        <is>
          <t>연배당</t>
        </is>
      </c>
      <c r="S182" s="94" t="n">
        <v>1</v>
      </c>
      <c r="T182">
        <f>IF(AND($J182&lt;&gt;"",OR(조회_주기="전체",$R182=조회_주기),$J182&gt;=조회_최소,$J182&lt;=조회_최대),1,0)</f>
        <v/>
      </c>
      <c r="U182">
        <f>IF($T182=1,$U181+1,$U181)</f>
        <v/>
      </c>
      <c r="V182">
        <f>IF(검색어="",1,IF(ISNUMBER(SEARCH(검색어,$A182)),1,0))</f>
        <v/>
      </c>
      <c r="W182">
        <f>IF($V182=1,$W181+1,$W181)</f>
        <v/>
      </c>
      <c r="X182">
        <f>IFERROR(INDEX($A$4:$A$517,MATCH(179,$W$4:$W$517,0)),"")</f>
        <v/>
      </c>
    </row>
    <row r="183">
      <c r="A183" s="93" t="inlineStr">
        <is>
          <t>TIME 미국나스닥100채권혼합50액티브</t>
        </is>
      </c>
      <c r="B183" s="93" t="inlineStr">
        <is>
          <t>0019K0</t>
        </is>
      </c>
      <c r="C183" s="93" t="inlineStr">
        <is>
          <t>타임폴리오자산운용</t>
        </is>
      </c>
      <c r="D183" s="94" t="n">
        <v>13175</v>
      </c>
      <c r="E183" s="94" t="n">
        <v>563231250000</v>
      </c>
      <c r="F183" s="94" t="n">
        <v>6885283262</v>
      </c>
      <c r="G183" s="74" t="n">
        <v>0.0025</v>
      </c>
      <c r="H183" s="74" t="n">
        <v>0.1877</v>
      </c>
      <c r="I183" s="74" t="n">
        <v>0.0018</v>
      </c>
      <c r="J183" s="74" t="n">
        <v>0.001594</v>
      </c>
      <c r="K183" s="94" t="n">
        <v>1</v>
      </c>
      <c r="L183" s="93" t="inlineStr">
        <is>
          <t>20251229</t>
        </is>
      </c>
      <c r="M183" s="93" t="inlineStr">
        <is>
          <t>채택</t>
        </is>
      </c>
      <c r="N183" s="93" t="inlineStr"/>
      <c r="O183" s="93" t="inlineStr">
        <is>
          <t>FnGuide 미국 나스닥100 단기채권혼합 지수</t>
        </is>
      </c>
      <c r="P183" s="93" t="inlineStr">
        <is>
          <t>일반</t>
        </is>
      </c>
      <c r="Q183" s="93" t="inlineStr">
        <is>
          <t>멀티에셋</t>
        </is>
      </c>
      <c r="R183" s="93" t="inlineStr">
        <is>
          <t>연배당</t>
        </is>
      </c>
      <c r="S183" s="94" t="n">
        <v>1</v>
      </c>
      <c r="T183">
        <f>IF(AND($J183&lt;&gt;"",OR(조회_주기="전체",$R183=조회_주기),$J183&gt;=조회_최소,$J183&lt;=조회_최대),1,0)</f>
        <v/>
      </c>
      <c r="U183">
        <f>IF($T183=1,$U182+1,$U182)</f>
        <v/>
      </c>
      <c r="V183">
        <f>IF(검색어="",1,IF(ISNUMBER(SEARCH(검색어,$A183)),1,0))</f>
        <v/>
      </c>
      <c r="W183">
        <f>IF($V183=1,$W182+1,$W182)</f>
        <v/>
      </c>
      <c r="X183">
        <f>IFERROR(INDEX($A$4:$A$517,MATCH(180,$W$4:$W$517,0)),"")</f>
        <v/>
      </c>
    </row>
    <row r="184">
      <c r="A184" s="93" t="inlineStr">
        <is>
          <t>TIGER CD금리투자KIS(합성)</t>
        </is>
      </c>
      <c r="B184" s="93" t="inlineStr">
        <is>
          <t>357870</t>
        </is>
      </c>
      <c r="C184" s="93" t="inlineStr">
        <is>
          <t>미래에셋자산운용</t>
        </is>
      </c>
      <c r="D184" s="94" t="n">
        <v>58080</v>
      </c>
      <c r="E184" s="94" t="n">
        <v>3380604480000</v>
      </c>
      <c r="F184" s="94" t="n">
        <v>13442207552</v>
      </c>
      <c r="G184" s="74" t="n">
        <v>0.0003</v>
      </c>
      <c r="H184" s="74" t="n">
        <v>0.0016</v>
      </c>
      <c r="I184" s="74" t="n">
        <v>0.0011</v>
      </c>
      <c r="J184" s="74" t="n">
        <v>0.001119</v>
      </c>
      <c r="K184" s="94" t="n">
        <v>1</v>
      </c>
      <c r="L184" s="93" t="inlineStr">
        <is>
          <t>20251127</t>
        </is>
      </c>
      <c r="M184" s="93" t="inlineStr">
        <is>
          <t>채택</t>
        </is>
      </c>
      <c r="N184" s="93" t="inlineStr"/>
      <c r="O184" s="93" t="inlineStr">
        <is>
          <t>KIS CD 금리투자</t>
        </is>
      </c>
      <c r="P184" s="93" t="inlineStr">
        <is>
          <t>일반</t>
        </is>
      </c>
      <c r="Q184" s="93" t="inlineStr">
        <is>
          <t>단기자금(파킹형)</t>
        </is>
      </c>
      <c r="R184" s="93" t="inlineStr">
        <is>
          <t>연배당</t>
        </is>
      </c>
      <c r="S184" s="94" t="n">
        <v>1</v>
      </c>
      <c r="T184">
        <f>IF(AND($J184&lt;&gt;"",OR(조회_주기="전체",$R184=조회_주기),$J184&gt;=조회_최소,$J184&lt;=조회_최대),1,0)</f>
        <v/>
      </c>
      <c r="U184">
        <f>IF($T184=1,$U183+1,$U183)</f>
        <v/>
      </c>
      <c r="V184">
        <f>IF(검색어="",1,IF(ISNUMBER(SEARCH(검색어,$A184)),1,0))</f>
        <v/>
      </c>
      <c r="W184">
        <f>IF($V184=1,$W183+1,$W183)</f>
        <v/>
      </c>
      <c r="X184">
        <f>IFERROR(INDEX($A$4:$A$517,MATCH(181,$W$4:$W$517,0)),"")</f>
        <v/>
      </c>
    </row>
    <row r="185">
      <c r="A185" s="93" t="inlineStr">
        <is>
          <t>RISE 삼성그룹Top3채권혼합</t>
        </is>
      </c>
      <c r="B185" s="93" t="inlineStr">
        <is>
          <t>448630</t>
        </is>
      </c>
      <c r="C185" s="93" t="inlineStr">
        <is>
          <t>KB자산운용</t>
        </is>
      </c>
      <c r="D185" s="94" t="n">
        <v>15100</v>
      </c>
      <c r="E185" s="94" t="n">
        <v>324650000000</v>
      </c>
      <c r="F185" s="94" t="n">
        <v>2160096502</v>
      </c>
      <c r="G185" s="74" t="n">
        <v>0.002</v>
      </c>
      <c r="H185" s="74" t="n">
        <v>0.1946</v>
      </c>
      <c r="I185" s="74" t="n">
        <v>0.0007000000000000001</v>
      </c>
      <c r="J185" s="74" t="n">
        <v>0.000728</v>
      </c>
      <c r="K185" s="94" t="n">
        <v>4</v>
      </c>
      <c r="L185" s="93" t="inlineStr">
        <is>
          <t>20260429</t>
        </is>
      </c>
      <c r="M185" s="93" t="inlineStr">
        <is>
          <t>채택</t>
        </is>
      </c>
      <c r="N185" s="93" t="inlineStr"/>
      <c r="O185" s="93" t="inlineStr">
        <is>
          <t>Bloomberg Blended Samsung Group Fixed Top 3 Equity and Korea</t>
        </is>
      </c>
      <c r="P185" s="93" t="inlineStr">
        <is>
          <t>일반</t>
        </is>
      </c>
      <c r="Q185" s="93" t="inlineStr">
        <is>
          <t>멀티에셋</t>
        </is>
      </c>
      <c r="R185" s="93" t="inlineStr">
        <is>
          <t>연배당</t>
        </is>
      </c>
      <c r="S185" s="94" t="n">
        <v>1</v>
      </c>
      <c r="T185">
        <f>IF(AND($J185&lt;&gt;"",OR(조회_주기="전체",$R185=조회_주기),$J185&gt;=조회_최소,$J185&lt;=조회_최대),1,0)</f>
        <v/>
      </c>
      <c r="U185">
        <f>IF($T185=1,$U184+1,$U184)</f>
        <v/>
      </c>
      <c r="V185">
        <f>IF(검색어="",1,IF(ISNUMBER(SEARCH(검색어,$A185)),1,0))</f>
        <v/>
      </c>
      <c r="W185">
        <f>IF($V185=1,$W184+1,$W184)</f>
        <v/>
      </c>
      <c r="X185">
        <f>IFERROR(INDEX($A$4:$A$517,MATCH(182,$W$4:$W$517,0)),"")</f>
        <v/>
      </c>
    </row>
    <row r="186">
      <c r="A186" s="93" t="inlineStr">
        <is>
          <t>TIGER 미국달러SOFR금리액티브(합성)</t>
        </is>
      </c>
      <c r="B186" s="93" t="inlineStr">
        <is>
          <t>456610</t>
        </is>
      </c>
      <c r="C186" s="93" t="inlineStr">
        <is>
          <t>미래에셋자산운용</t>
        </is>
      </c>
      <c r="D186" s="94" t="n">
        <v>60120</v>
      </c>
      <c r="E186" s="94" t="n">
        <v>724566240000</v>
      </c>
      <c r="F186" s="94" t="n">
        <v>2179803358</v>
      </c>
      <c r="G186" s="74" t="n">
        <v>0.0005</v>
      </c>
      <c r="H186" s="74" t="n">
        <v>0.1035</v>
      </c>
      <c r="I186" s="74" t="n">
        <v>0.0007000000000000001</v>
      </c>
      <c r="J186" s="74" t="n">
        <v>0.000682</v>
      </c>
      <c r="K186" s="94" t="n">
        <v>1</v>
      </c>
      <c r="L186" s="93" t="inlineStr">
        <is>
          <t>20251127</t>
        </is>
      </c>
      <c r="M186" s="93" t="inlineStr">
        <is>
          <t>채택</t>
        </is>
      </c>
      <c r="N186" s="93" t="inlineStr"/>
      <c r="O186" s="93" t="inlineStr">
        <is>
          <t>Solactive SOFR Daily Total Return Index</t>
        </is>
      </c>
      <c r="P186" s="93" t="inlineStr">
        <is>
          <t>일반</t>
        </is>
      </c>
      <c r="Q186" s="93" t="inlineStr">
        <is>
          <t>단기자금(파킹형)</t>
        </is>
      </c>
      <c r="R186" s="93" t="inlineStr">
        <is>
          <t>연배당</t>
        </is>
      </c>
      <c r="S186" s="94" t="n">
        <v>1</v>
      </c>
      <c r="T186">
        <f>IF(AND($J186&lt;&gt;"",OR(조회_주기="전체",$R186=조회_주기),$J186&gt;=조회_최소,$J186&lt;=조회_최대),1,0)</f>
        <v/>
      </c>
      <c r="U186">
        <f>IF($T186=1,$U185+1,$U185)</f>
        <v/>
      </c>
      <c r="V186">
        <f>IF(검색어="",1,IF(ISNUMBER(SEARCH(검색어,$A186)),1,0))</f>
        <v/>
      </c>
      <c r="W186">
        <f>IF($V186=1,$W185+1,$W185)</f>
        <v/>
      </c>
      <c r="X186">
        <f>IFERROR(INDEX($A$4:$A$517,MATCH(183,$W$4:$W$517,0)),"")</f>
        <v/>
      </c>
    </row>
    <row r="187">
      <c r="A187" s="93" t="inlineStr">
        <is>
          <t>SOL 국제금</t>
        </is>
      </c>
      <c r="B187" s="93" t="inlineStr">
        <is>
          <t>0066W0</t>
        </is>
      </c>
      <c r="C187" s="93" t="inlineStr">
        <is>
          <t>신한자산운용</t>
        </is>
      </c>
      <c r="D187" s="94" t="n">
        <v>12600</v>
      </c>
      <c r="E187" s="94" t="n">
        <v>90720000000</v>
      </c>
      <c r="F187" s="94" t="n">
        <v>962027493</v>
      </c>
      <c r="G187" s="74" t="n">
        <v>0.0005</v>
      </c>
      <c r="H187" s="74" t="n">
        <v>0.2935</v>
      </c>
      <c r="I187" s="74" t="n">
        <v>0.0002</v>
      </c>
      <c r="J187" s="74" t="n">
        <v>0.000238</v>
      </c>
      <c r="K187" s="94" t="n">
        <v>1</v>
      </c>
      <c r="L187" s="93" t="inlineStr">
        <is>
          <t>20251229</t>
        </is>
      </c>
      <c r="M187" s="93" t="inlineStr">
        <is>
          <t>채택</t>
        </is>
      </c>
      <c r="N187" s="93" t="inlineStr"/>
      <c r="O187" s="93" t="inlineStr">
        <is>
          <t>KEDI Global Physical Gold ETF Index (PR)</t>
        </is>
      </c>
      <c r="P187" s="93" t="inlineStr">
        <is>
          <t>일반</t>
        </is>
      </c>
      <c r="Q187" s="93" t="inlineStr">
        <is>
          <t>원자재</t>
        </is>
      </c>
      <c r="R187" s="93" t="inlineStr">
        <is>
          <t>연배당</t>
        </is>
      </c>
      <c r="S187" s="94" t="n">
        <v>1</v>
      </c>
      <c r="T187">
        <f>IF(AND($J187&lt;&gt;"",OR(조회_주기="전체",$R187=조회_주기),$J187&gt;=조회_최소,$J187&lt;=조회_최대),1,0)</f>
        <v/>
      </c>
      <c r="U187">
        <f>IF($T187=1,$U186+1,$U186)</f>
        <v/>
      </c>
      <c r="V187">
        <f>IF(검색어="",1,IF(ISNUMBER(SEARCH(검색어,$A187)),1,0))</f>
        <v/>
      </c>
      <c r="W187">
        <f>IF($V187=1,$W186+1,$W186)</f>
        <v/>
      </c>
      <c r="X187">
        <f>IFERROR(INDEX($A$4:$A$517,MATCH(184,$W$4:$W$517,0)),"")</f>
        <v/>
      </c>
    </row>
    <row r="188">
      <c r="A188" s="93" t="inlineStr">
        <is>
          <t>RISE CD금리액티브(합성)</t>
        </is>
      </c>
      <c r="B188" s="93" t="inlineStr">
        <is>
          <t>477080</t>
        </is>
      </c>
      <c r="C188" s="93" t="inlineStr">
        <is>
          <t>KB자산운용</t>
        </is>
      </c>
      <c r="D188" s="94" t="n">
        <v>107620</v>
      </c>
      <c r="E188" s="94" t="n">
        <v>1545961300000</v>
      </c>
      <c r="F188" s="94" t="n">
        <v>837809302</v>
      </c>
      <c r="G188" s="74" t="n">
        <v>0.0002</v>
      </c>
      <c r="H188" s="74" t="n">
        <v>0.001</v>
      </c>
      <c r="I188" s="74" t="n">
        <v>0.0002</v>
      </c>
      <c r="J188" s="74" t="n">
        <v>0.000149</v>
      </c>
      <c r="K188" s="94" t="n">
        <v>1</v>
      </c>
      <c r="L188" s="93" t="inlineStr">
        <is>
          <t>20251212</t>
        </is>
      </c>
      <c r="M188" s="93" t="inlineStr">
        <is>
          <t>채택</t>
        </is>
      </c>
      <c r="N188" s="93" t="inlineStr"/>
      <c r="O188" s="93" t="inlineStr">
        <is>
          <t>FnGuide CD금리투자 지수</t>
        </is>
      </c>
      <c r="P188" s="93" t="inlineStr">
        <is>
          <t>일반</t>
        </is>
      </c>
      <c r="Q188" s="93" t="inlineStr">
        <is>
          <t>단기자금(파킹형)</t>
        </is>
      </c>
      <c r="R188" s="93" t="inlineStr">
        <is>
          <t>연배당</t>
        </is>
      </c>
      <c r="S188" s="94" t="n">
        <v>1</v>
      </c>
      <c r="T188">
        <f>IF(AND($J188&lt;&gt;"",OR(조회_주기="전체",$R188=조회_주기),$J188&gt;=조회_최소,$J188&lt;=조회_최대),1,0)</f>
        <v/>
      </c>
      <c r="U188">
        <f>IF($T188=1,$U187+1,$U187)</f>
        <v/>
      </c>
      <c r="V188">
        <f>IF(검색어="",1,IF(ISNUMBER(SEARCH(검색어,$A188)),1,0))</f>
        <v/>
      </c>
      <c r="W188">
        <f>IF($V188=1,$W187+1,$W187)</f>
        <v/>
      </c>
      <c r="X188">
        <f>IFERROR(INDEX($A$4:$A$517,MATCH(185,$W$4:$W$517,0)),"")</f>
        <v/>
      </c>
    </row>
    <row r="189">
      <c r="A189" s="93" t="inlineStr">
        <is>
          <t>TIGER 구리실물</t>
        </is>
      </c>
      <c r="B189" s="93" t="inlineStr">
        <is>
          <t>160580</t>
        </is>
      </c>
      <c r="C189" s="93" t="inlineStr">
        <is>
          <t>미래에셋자산운용</t>
        </is>
      </c>
      <c r="D189" s="94" t="n">
        <v>16200</v>
      </c>
      <c r="E189" s="94" t="n">
        <v>155115000000</v>
      </c>
      <c r="F189" s="94" t="n">
        <v>1239562721</v>
      </c>
      <c r="G189" s="74" t="n">
        <v>0.0083</v>
      </c>
      <c r="H189" s="74" t="n">
        <v>0.238</v>
      </c>
      <c r="I189" s="74" t="n">
        <v>0.0001</v>
      </c>
      <c r="J189" s="74" t="n">
        <v>0.000123</v>
      </c>
      <c r="K189" s="94" t="n">
        <v>1</v>
      </c>
      <c r="L189" s="93" t="inlineStr">
        <is>
          <t>20251229</t>
        </is>
      </c>
      <c r="M189" s="93" t="inlineStr">
        <is>
          <t>채택</t>
        </is>
      </c>
      <c r="N189" s="93" t="inlineStr"/>
      <c r="O189" s="93" t="inlineStr">
        <is>
          <t>Cash Copper</t>
        </is>
      </c>
      <c r="P189" s="93" t="inlineStr">
        <is>
          <t>일반</t>
        </is>
      </c>
      <c r="Q189" s="93" t="inlineStr">
        <is>
          <t>원자재</t>
        </is>
      </c>
      <c r="R189" s="93" t="inlineStr">
        <is>
          <t>연배당</t>
        </is>
      </c>
      <c r="S189" s="94" t="n">
        <v>1</v>
      </c>
      <c r="T189">
        <f>IF(AND($J189&lt;&gt;"",OR(조회_주기="전체",$R189=조회_주기),$J189&gt;=조회_최소,$J189&lt;=조회_최대),1,0)</f>
        <v/>
      </c>
      <c r="U189">
        <f>IF($T189=1,$U188+1,$U188)</f>
        <v/>
      </c>
      <c r="V189">
        <f>IF(검색어="",1,IF(ISNUMBER(SEARCH(검색어,$A189)),1,0))</f>
        <v/>
      </c>
      <c r="W189">
        <f>IF($V189=1,$W188+1,$W188)</f>
        <v/>
      </c>
      <c r="X189">
        <f>IFERROR(INDEX($A$4:$A$517,MATCH(186,$W$4:$W$517,0)),"")</f>
        <v/>
      </c>
    </row>
    <row r="190">
      <c r="A190" s="93" t="inlineStr">
        <is>
          <t>ACE 미국달러SOFR금리(합성)</t>
        </is>
      </c>
      <c r="B190" s="93" t="inlineStr">
        <is>
          <t>456880</t>
        </is>
      </c>
      <c r="C190" s="93" t="inlineStr">
        <is>
          <t>한국투신운용(ETF)</t>
        </is>
      </c>
      <c r="D190" s="94" t="n">
        <v>12165</v>
      </c>
      <c r="E190" s="94" t="n">
        <v>335510700000</v>
      </c>
      <c r="F190" s="94" t="n">
        <v>893990314</v>
      </c>
      <c r="G190" s="74" t="n">
        <v>0.0005</v>
      </c>
      <c r="H190" s="74" t="n">
        <v>0.104</v>
      </c>
      <c r="I190" s="74" t="n">
        <v>0.0001</v>
      </c>
      <c r="J190" s="74" t="n">
        <v>8.2e-05</v>
      </c>
      <c r="K190" s="94" t="n">
        <v>1</v>
      </c>
      <c r="L190" s="93" t="inlineStr">
        <is>
          <t>20251229</t>
        </is>
      </c>
      <c r="M190" s="93" t="inlineStr">
        <is>
          <t>채택</t>
        </is>
      </c>
      <c r="N190" s="93" t="inlineStr"/>
      <c r="O190" s="93" t="inlineStr">
        <is>
          <t>Solactive SOFR Daily Total Return Index</t>
        </is>
      </c>
      <c r="P190" s="93" t="inlineStr">
        <is>
          <t>일반</t>
        </is>
      </c>
      <c r="Q190" s="93" t="inlineStr">
        <is>
          <t>단기자금(파킹형)</t>
        </is>
      </c>
      <c r="R190" s="93" t="inlineStr">
        <is>
          <t>연배당</t>
        </is>
      </c>
      <c r="S190" s="94" t="n">
        <v>1</v>
      </c>
      <c r="T190">
        <f>IF(AND($J190&lt;&gt;"",OR(조회_주기="전체",$R190=조회_주기),$J190&gt;=조회_최소,$J190&lt;=조회_최대),1,0)</f>
        <v/>
      </c>
      <c r="U190">
        <f>IF($T190=1,$U189+1,$U189)</f>
        <v/>
      </c>
      <c r="V190">
        <f>IF(검색어="",1,IF(ISNUMBER(SEARCH(검색어,$A190)),1,0))</f>
        <v/>
      </c>
      <c r="W190">
        <f>IF($V190=1,$W189+1,$W189)</f>
        <v/>
      </c>
      <c r="X190">
        <f>IFERROR(INDEX($A$4:$A$517,MATCH(187,$W$4:$W$517,0)),"")</f>
        <v/>
      </c>
    </row>
    <row r="191">
      <c r="A191" s="93" t="inlineStr">
        <is>
          <t>TIGER KRX금현물</t>
        </is>
      </c>
      <c r="B191" s="93" t="inlineStr">
        <is>
          <t>0072R0</t>
        </is>
      </c>
      <c r="C191" s="93" t="inlineStr">
        <is>
          <t>미래에셋자산운용</t>
        </is>
      </c>
      <c r="D191" s="94" t="n">
        <v>12800</v>
      </c>
      <c r="E191" s="94" t="n">
        <v>1192960000000</v>
      </c>
      <c r="F191" s="94" t="n">
        <v>9800380390</v>
      </c>
      <c r="G191" s="74" t="n">
        <v>0.0015</v>
      </c>
      <c r="H191" s="74" t="n">
        <v>0.3194</v>
      </c>
      <c r="I191" s="74" t="n">
        <v>0.0001</v>
      </c>
      <c r="J191" s="74" t="n">
        <v>7.8e-05</v>
      </c>
      <c r="K191" s="94" t="n">
        <v>1</v>
      </c>
      <c r="L191" s="93" t="inlineStr">
        <is>
          <t>20251229</t>
        </is>
      </c>
      <c r="M191" s="93" t="inlineStr">
        <is>
          <t>채택</t>
        </is>
      </c>
      <c r="N191" s="93" t="inlineStr"/>
      <c r="O191" s="93" t="inlineStr">
        <is>
          <t>KRX 금현물지수</t>
        </is>
      </c>
      <c r="P191" s="93" t="inlineStr">
        <is>
          <t>일반</t>
        </is>
      </c>
      <c r="Q191" s="93" t="inlineStr">
        <is>
          <t>원자재</t>
        </is>
      </c>
      <c r="R191" s="93" t="inlineStr">
        <is>
          <t>연배당</t>
        </is>
      </c>
      <c r="S191" s="94" t="n">
        <v>1</v>
      </c>
      <c r="T191">
        <f>IF(AND($J191&lt;&gt;"",OR(조회_주기="전체",$R191=조회_주기),$J191&gt;=조회_최소,$J191&lt;=조회_최대),1,0)</f>
        <v/>
      </c>
      <c r="U191">
        <f>IF($T191=1,$U190+1,$U190)</f>
        <v/>
      </c>
      <c r="V191">
        <f>IF(검색어="",1,IF(ISNUMBER(SEARCH(검색어,$A191)),1,0))</f>
        <v/>
      </c>
      <c r="W191">
        <f>IF($V191=1,$W190+1,$W190)</f>
        <v/>
      </c>
      <c r="X191">
        <f>IFERROR(INDEX($A$4:$A$517,MATCH(188,$W$4:$W$517,0)),"")</f>
        <v/>
      </c>
    </row>
    <row r="192">
      <c r="A192" s="93" t="inlineStr">
        <is>
          <t>ACE KRX금현물</t>
        </is>
      </c>
      <c r="B192" s="93" t="inlineStr">
        <is>
          <t>411060</t>
        </is>
      </c>
      <c r="C192" s="93" t="inlineStr">
        <is>
          <t>한국투자신탁운용</t>
        </is>
      </c>
      <c r="D192" s="94" t="n">
        <v>26825</v>
      </c>
      <c r="E192" s="94" t="n">
        <v>4010337500000</v>
      </c>
      <c r="F192" s="94" t="n">
        <v>25367766400</v>
      </c>
      <c r="G192" s="74" t="n">
        <v>0.0019</v>
      </c>
      <c r="H192" s="74" t="n">
        <v>0.3193</v>
      </c>
      <c r="I192" s="74" t="n">
        <v>0</v>
      </c>
      <c r="J192" s="74" t="n">
        <v>3.7e-05</v>
      </c>
      <c r="K192" s="94" t="n">
        <v>1</v>
      </c>
      <c r="L192" s="93" t="inlineStr">
        <is>
          <t>20251229</t>
        </is>
      </c>
      <c r="M192" s="93" t="inlineStr">
        <is>
          <t>채택</t>
        </is>
      </c>
      <c r="N192" s="93" t="inlineStr"/>
      <c r="O192" s="93" t="inlineStr">
        <is>
          <t>KRX 금현물지수</t>
        </is>
      </c>
      <c r="P192" s="93" t="inlineStr">
        <is>
          <t>일반</t>
        </is>
      </c>
      <c r="Q192" s="93" t="inlineStr">
        <is>
          <t>원자재</t>
        </is>
      </c>
      <c r="R192" s="93" t="inlineStr">
        <is>
          <t>연배당</t>
        </is>
      </c>
      <c r="S192" s="94" t="n">
        <v>1</v>
      </c>
      <c r="T192">
        <f>IF(AND($J192&lt;&gt;"",OR(조회_주기="전체",$R192=조회_주기),$J192&gt;=조회_최소,$J192&lt;=조회_최대),1,0)</f>
        <v/>
      </c>
      <c r="U192">
        <f>IF($T192=1,$U191+1,$U191)</f>
        <v/>
      </c>
      <c r="V192">
        <f>IF(검색어="",1,IF(ISNUMBER(SEARCH(검색어,$A192)),1,0))</f>
        <v/>
      </c>
      <c r="W192">
        <f>IF($V192=1,$W191+1,$W191)</f>
        <v/>
      </c>
      <c r="X192">
        <f>IFERROR(INDEX($A$4:$A$517,MATCH(189,$W$4:$W$517,0)),"")</f>
        <v/>
      </c>
    </row>
    <row r="193">
      <c r="A193" s="95" t="inlineStr">
        <is>
          <t>ACE 미국반도체데일리타겟커버드콜(합성)</t>
        </is>
      </c>
      <c r="B193" s="95" t="inlineStr">
        <is>
          <t>480040</t>
        </is>
      </c>
      <c r="C193" s="95" t="inlineStr">
        <is>
          <t>한국투신운용(ETF)</t>
        </is>
      </c>
      <c r="D193" s="96" t="n">
        <v>13665</v>
      </c>
      <c r="E193" s="96" t="n">
        <v>185844000000</v>
      </c>
      <c r="F193" s="96" t="n">
        <v>3463871851</v>
      </c>
      <c r="G193" s="97" t="n">
        <v>0.004500000000000001</v>
      </c>
      <c r="H193" s="97" t="n">
        <v>0.4414</v>
      </c>
      <c r="I193" s="97" t="n">
        <v>0.0303</v>
      </c>
      <c r="J193" s="97" t="n">
        <v>0.254812</v>
      </c>
      <c r="K193" s="96" t="n">
        <v>29</v>
      </c>
      <c r="L193" s="95" t="inlineStr">
        <is>
          <t>20260914</t>
        </is>
      </c>
      <c r="M193" s="95" t="inlineStr">
        <is>
          <t>제외</t>
        </is>
      </c>
      <c r="N193" s="95" t="inlineStr">
        <is>
          <t>변동성 44.1%(1년 기준, 기준 35% 초과)</t>
        </is>
      </c>
      <c r="O193" s="95" t="inlineStr">
        <is>
          <t>Bloomberg US Listed Semiconductor Premium(QQQ) Decrement 15%</t>
        </is>
      </c>
      <c r="P193" s="95" t="inlineStr">
        <is>
          <t>커버드콜</t>
        </is>
      </c>
      <c r="Q193" s="95" t="inlineStr">
        <is>
          <t>주식</t>
        </is>
      </c>
      <c r="R193" s="95" t="inlineStr">
        <is>
          <t>월배당</t>
        </is>
      </c>
      <c r="S193" s="96" t="n">
        <v>12</v>
      </c>
      <c r="T193">
        <f>IF(AND($J193&lt;&gt;"",OR(조회_주기="전체",$R193=조회_주기),$J193&gt;=조회_최소,$J193&lt;=조회_최대),1,0)</f>
        <v/>
      </c>
      <c r="U193">
        <f>IF($T193=1,$U192+1,$U192)</f>
        <v/>
      </c>
      <c r="V193">
        <f>IF(검색어="",1,IF(ISNUMBER(SEARCH(검색어,$A193)),1,0))</f>
        <v/>
      </c>
      <c r="W193">
        <f>IF($V193=1,$W192+1,$W192)</f>
        <v/>
      </c>
      <c r="X193">
        <f>IFERROR(INDEX($A$4:$A$517,MATCH(190,$W$4:$W$517,0)),"")</f>
        <v/>
      </c>
    </row>
    <row r="194">
      <c r="A194" s="95" t="inlineStr">
        <is>
          <t>RISE 코리아밸류업위클리고정커버드콜</t>
        </is>
      </c>
      <c r="B194" s="95" t="inlineStr">
        <is>
          <t>0094M0</t>
        </is>
      </c>
      <c r="C194" s="95" t="inlineStr">
        <is>
          <t>KB자산운용</t>
        </is>
      </c>
      <c r="D194" s="96" t="n">
        <v>17040</v>
      </c>
      <c r="E194" s="96" t="n">
        <v>341652000000</v>
      </c>
      <c r="F194" s="96" t="n">
        <v>9670902755</v>
      </c>
      <c r="G194" s="97" t="n">
        <v>0.003</v>
      </c>
      <c r="H194" s="97" t="n">
        <v>0.4583</v>
      </c>
      <c r="I194" s="97" t="n">
        <v>0.0299</v>
      </c>
      <c r="J194" s="97" t="n">
        <v>0.246479</v>
      </c>
      <c r="K194" s="96" t="n">
        <v>12</v>
      </c>
      <c r="L194" s="95" t="inlineStr">
        <is>
          <t>20260914</t>
        </is>
      </c>
      <c r="M194" s="95" t="inlineStr">
        <is>
          <t>제외</t>
        </is>
      </c>
      <c r="N194" s="95" t="inlineStr">
        <is>
          <t>변동성 45.8%(1년 기준, 기준 35% 초과)</t>
        </is>
      </c>
      <c r="O194" s="95" t="inlineStr">
        <is>
          <t>코리아 밸류업 위클리 커버드콜 30% 지수</t>
        </is>
      </c>
      <c r="P194" s="95" t="inlineStr">
        <is>
          <t>커버드콜</t>
        </is>
      </c>
      <c r="Q194" s="95" t="inlineStr">
        <is>
          <t>주식</t>
        </is>
      </c>
      <c r="R194" s="95" t="inlineStr">
        <is>
          <t>월배당</t>
        </is>
      </c>
      <c r="S194" s="96" t="n">
        <v>12</v>
      </c>
      <c r="T194">
        <f>IF(AND($J194&lt;&gt;"",OR(조회_주기="전체",$R194=조회_주기),$J194&gt;=조회_최소,$J194&lt;=조회_최대),1,0)</f>
        <v/>
      </c>
      <c r="U194">
        <f>IF($T194=1,$U193+1,$U193)</f>
        <v/>
      </c>
      <c r="V194">
        <f>IF(검색어="",1,IF(ISNUMBER(SEARCH(검색어,$A194)),1,0))</f>
        <v/>
      </c>
      <c r="W194">
        <f>IF($V194=1,$W193+1,$W193)</f>
        <v/>
      </c>
      <c r="X194">
        <f>IFERROR(INDEX($A$4:$A$517,MATCH(191,$W$4:$W$517,0)),"")</f>
        <v/>
      </c>
    </row>
    <row r="195">
      <c r="A195" s="95" t="inlineStr">
        <is>
          <t>TIGER 배당커버드콜액티브</t>
        </is>
      </c>
      <c r="B195" s="95" t="inlineStr">
        <is>
          <t>472150</t>
        </is>
      </c>
      <c r="C195" s="95" t="inlineStr">
        <is>
          <t>미래에셋자산운용</t>
        </is>
      </c>
      <c r="D195" s="96" t="n">
        <v>19985</v>
      </c>
      <c r="E195" s="96" t="n">
        <v>2469946150000</v>
      </c>
      <c r="F195" s="96" t="n">
        <v>100512065912</v>
      </c>
      <c r="G195" s="97" t="n">
        <v>0.005</v>
      </c>
      <c r="H195" s="97" t="n">
        <v>0.5732</v>
      </c>
      <c r="I195" s="97" t="n">
        <v>0.0197</v>
      </c>
      <c r="J195" s="97" t="n">
        <v>0.219415</v>
      </c>
      <c r="K195" s="96" t="n">
        <v>33</v>
      </c>
      <c r="L195" s="95" t="inlineStr">
        <is>
          <t>20260828</t>
        </is>
      </c>
      <c r="M195" s="95" t="inlineStr">
        <is>
          <t>제외</t>
        </is>
      </c>
      <c r="N195" s="95" t="inlineStr">
        <is>
          <t>변동성 57.3%(1년 기준, 기준 35% 초과)</t>
        </is>
      </c>
      <c r="O195" s="95" t="inlineStr">
        <is>
          <t>코스피 200 커버드콜 5% OTM</t>
        </is>
      </c>
      <c r="P195" s="95" t="inlineStr">
        <is>
          <t>커버드콜</t>
        </is>
      </c>
      <c r="Q195" s="95" t="inlineStr">
        <is>
          <t>주식</t>
        </is>
      </c>
      <c r="R195" s="95" t="inlineStr">
        <is>
          <t>월배당</t>
        </is>
      </c>
      <c r="S195" s="96" t="n">
        <v>11</v>
      </c>
      <c r="T195">
        <f>IF(AND($J195&lt;&gt;"",OR(조회_주기="전체",$R195=조회_주기),$J195&gt;=조회_최소,$J195&lt;=조회_최대),1,0)</f>
        <v/>
      </c>
      <c r="U195">
        <f>IF($T195=1,$U194+1,$U194)</f>
        <v/>
      </c>
      <c r="V195">
        <f>IF(검색어="",1,IF(ISNUMBER(SEARCH(검색어,$A195)),1,0))</f>
        <v/>
      </c>
      <c r="W195">
        <f>IF($V195=1,$W194+1,$W194)</f>
        <v/>
      </c>
      <c r="X195">
        <f>IFERROR(INDEX($A$4:$A$517,MATCH(192,$W$4:$W$517,0)),"")</f>
        <v/>
      </c>
    </row>
    <row r="196">
      <c r="A196" s="95" t="inlineStr">
        <is>
          <t>RISE 200위클리커버드콜</t>
        </is>
      </c>
      <c r="B196" s="95" t="inlineStr">
        <is>
          <t>475720</t>
        </is>
      </c>
      <c r="C196" s="95" t="inlineStr">
        <is>
          <t>KB자산운용</t>
        </is>
      </c>
      <c r="D196" s="96" t="n">
        <v>12500</v>
      </c>
      <c r="E196" s="96" t="n">
        <v>830625000000</v>
      </c>
      <c r="F196" s="96" t="n">
        <v>12445368259</v>
      </c>
      <c r="G196" s="97" t="n">
        <v>0.003</v>
      </c>
      <c r="H196" s="97" t="n">
        <v>0.4327</v>
      </c>
      <c r="I196" s="97" t="n">
        <v>0.0185</v>
      </c>
      <c r="J196" s="97" t="n">
        <v>0.1976</v>
      </c>
      <c r="K196" s="96" t="n">
        <v>30</v>
      </c>
      <c r="L196" s="95" t="inlineStr">
        <is>
          <t>20260828</t>
        </is>
      </c>
      <c r="M196" s="95" t="inlineStr">
        <is>
          <t>제외</t>
        </is>
      </c>
      <c r="N196" s="95" t="inlineStr">
        <is>
          <t>변동성 43.3%(1년 기준, 기준 35% 초과)</t>
        </is>
      </c>
      <c r="O196" s="95" t="inlineStr">
        <is>
          <t>코스피 200 위클리 커버드콜 ATM 지수</t>
        </is>
      </c>
      <c r="P196" s="95" t="inlineStr">
        <is>
          <t>커버드콜</t>
        </is>
      </c>
      <c r="Q196" s="95" t="inlineStr">
        <is>
          <t>주식</t>
        </is>
      </c>
      <c r="R196" s="95" t="inlineStr">
        <is>
          <t>월배당</t>
        </is>
      </c>
      <c r="S196" s="96" t="n">
        <v>11</v>
      </c>
      <c r="T196">
        <f>IF(AND($J196&lt;&gt;"",OR(조회_주기="전체",$R196=조회_주기),$J196&gt;=조회_최소,$J196&lt;=조회_최대),1,0)</f>
        <v/>
      </c>
      <c r="U196">
        <f>IF($T196=1,$U195+1,$U195)</f>
        <v/>
      </c>
      <c r="V196">
        <f>IF(검색어="",1,IF(ISNUMBER(SEARCH(검색어,$A196)),1,0))</f>
        <v/>
      </c>
      <c r="W196">
        <f>IF($V196=1,$W195+1,$W195)</f>
        <v/>
      </c>
      <c r="X196">
        <f>IFERROR(INDEX($A$4:$A$517,MATCH(193,$W$4:$W$517,0)),"")</f>
        <v/>
      </c>
    </row>
    <row r="197">
      <c r="A197" s="95" t="inlineStr">
        <is>
          <t>RISE 테슬라미국채타겟커버드콜혼합(합성)</t>
        </is>
      </c>
      <c r="B197" s="95" t="inlineStr">
        <is>
          <t>0013R0</t>
        </is>
      </c>
      <c r="C197" s="95" t="inlineStr">
        <is>
          <t>KB자산운용</t>
        </is>
      </c>
      <c r="D197" s="96" t="n">
        <v>7755</v>
      </c>
      <c r="E197" s="96" t="n">
        <v>27918000000</v>
      </c>
      <c r="F197" s="96" t="n">
        <v>157568963</v>
      </c>
      <c r="G197" s="97" t="n">
        <v>0.0025</v>
      </c>
      <c r="H197" s="97" t="n">
        <v>0.186</v>
      </c>
      <c r="I197" s="97" t="n">
        <v>0.0129</v>
      </c>
      <c r="J197" s="97" t="n">
        <v>0.180529</v>
      </c>
      <c r="K197" s="96" t="n">
        <v>18</v>
      </c>
      <c r="L197" s="95" t="inlineStr">
        <is>
          <t>20260828</t>
        </is>
      </c>
      <c r="M197" s="95" t="inlineStr">
        <is>
          <t>제외</t>
        </is>
      </c>
      <c r="N197" s="95" t="inlineStr">
        <is>
          <t>순자산 279억(기준 300억 미만), 60일 거래대금 1.6억(기준 5억 미만)</t>
        </is>
      </c>
      <c r="O197" s="95" t="inlineStr">
        <is>
          <t>KEDI Tesla U.S. 30Y Treasury 15% Target Premium Balanced Ind</t>
        </is>
      </c>
      <c r="P197" s="95" t="inlineStr">
        <is>
          <t>커버드콜</t>
        </is>
      </c>
      <c r="Q197" s="95" t="inlineStr">
        <is>
          <t>멀티에셋</t>
        </is>
      </c>
      <c r="R197" s="95" t="inlineStr">
        <is>
          <t>월배당</t>
        </is>
      </c>
      <c r="S197" s="96" t="n">
        <v>11</v>
      </c>
      <c r="T197">
        <f>IF(AND($J197&lt;&gt;"",OR(조회_주기="전체",$R197=조회_주기),$J197&gt;=조회_최소,$J197&lt;=조회_최대),1,0)</f>
        <v/>
      </c>
      <c r="U197">
        <f>IF($T197=1,$U196+1,$U196)</f>
        <v/>
      </c>
      <c r="V197">
        <f>IF(검색어="",1,IF(ISNUMBER(SEARCH(검색어,$A197)),1,0))</f>
        <v/>
      </c>
      <c r="W197">
        <f>IF($V197=1,$W196+1,$W196)</f>
        <v/>
      </c>
      <c r="X197">
        <f>IFERROR(INDEX($A$4:$A$517,MATCH(194,$W$4:$W$517,0)),"")</f>
        <v/>
      </c>
    </row>
    <row r="198">
      <c r="A198" s="95" t="inlineStr">
        <is>
          <t>RISE 미국배당100데일리고정커버드콜</t>
        </is>
      </c>
      <c r="B198" s="95" t="inlineStr">
        <is>
          <t>490600</t>
        </is>
      </c>
      <c r="C198" s="95" t="inlineStr">
        <is>
          <t>KB자산운용</t>
        </is>
      </c>
      <c r="D198" s="96" t="n">
        <v>8855</v>
      </c>
      <c r="E198" s="96" t="n">
        <v>169573250000</v>
      </c>
      <c r="F198" s="96" t="n">
        <v>2326968788</v>
      </c>
      <c r="G198" s="97" t="n">
        <v>0.0025</v>
      </c>
      <c r="H198" s="97" t="n">
        <v>0.1458</v>
      </c>
      <c r="I198" s="97" t="n">
        <v>0.01</v>
      </c>
      <c r="J198" s="97" t="n">
        <v>0.178091</v>
      </c>
      <c r="K198" s="96" t="n">
        <v>24</v>
      </c>
      <c r="L198" s="95" t="inlineStr">
        <is>
          <t>20260914</t>
        </is>
      </c>
      <c r="M198" s="95" t="inlineStr">
        <is>
          <t>제외</t>
        </is>
      </c>
      <c r="N198" s="95" t="inlineStr">
        <is>
          <t>분배율 대조 불일치(연분배율 계산 17.8091% vs ETFCHECK 16.4540%)</t>
        </is>
      </c>
      <c r="O198" s="95" t="inlineStr">
        <is>
          <t>KEDI U.S. Dividend100 90% Participation + Daily Options Prem</t>
        </is>
      </c>
      <c r="P198" s="95" t="inlineStr">
        <is>
          <t>커버드콜</t>
        </is>
      </c>
      <c r="Q198" s="95" t="inlineStr">
        <is>
          <t>주식</t>
        </is>
      </c>
      <c r="R198" s="95" t="inlineStr">
        <is>
          <t>월배당</t>
        </is>
      </c>
      <c r="S198" s="96" t="n">
        <v>12</v>
      </c>
      <c r="T198">
        <f>IF(AND($J198&lt;&gt;"",OR(조회_주기="전체",$R198=조회_주기),$J198&gt;=조회_최소,$J198&lt;=조회_최대),1,0)</f>
        <v/>
      </c>
      <c r="U198">
        <f>IF($T198=1,$U197+1,$U197)</f>
        <v/>
      </c>
      <c r="V198">
        <f>IF(검색어="",1,IF(ISNUMBER(SEARCH(검색어,$A198)),1,0))</f>
        <v/>
      </c>
      <c r="W198">
        <f>IF($V198=1,$W197+1,$W197)</f>
        <v/>
      </c>
      <c r="X198">
        <f>IFERROR(INDEX($A$4:$A$517,MATCH(195,$W$4:$W$517,0)),"")</f>
        <v/>
      </c>
    </row>
    <row r="199">
      <c r="A199" s="95" t="inlineStr">
        <is>
          <t>KODEX 200타겟위클리커버드콜</t>
        </is>
      </c>
      <c r="B199" s="95" t="inlineStr">
        <is>
          <t>498400</t>
        </is>
      </c>
      <c r="C199" s="95" t="inlineStr">
        <is>
          <t>삼성자산운용(ETF)</t>
        </is>
      </c>
      <c r="D199" s="96" t="n">
        <v>19850</v>
      </c>
      <c r="E199" s="96" t="n">
        <v>5859720000000</v>
      </c>
      <c r="F199" s="96" t="n">
        <v>173222729292</v>
      </c>
      <c r="G199" s="97" t="n">
        <v>0.0039</v>
      </c>
      <c r="H199" s="97" t="n">
        <v>0.5656</v>
      </c>
      <c r="I199" s="97" t="n">
        <v>0.0145</v>
      </c>
      <c r="J199" s="97" t="n">
        <v>0.157481</v>
      </c>
      <c r="K199" s="96" t="n">
        <v>21</v>
      </c>
      <c r="L199" s="95" t="inlineStr">
        <is>
          <t>20260914</t>
        </is>
      </c>
      <c r="M199" s="95" t="inlineStr">
        <is>
          <t>제외</t>
        </is>
      </c>
      <c r="N199" s="95" t="inlineStr">
        <is>
          <t>변동성 56.6%(1년 기준, 기준 35% 초과)</t>
        </is>
      </c>
      <c r="O199" s="95" t="inlineStr">
        <is>
          <t>코스피 200 타겟 15% 위클리 커버드콜 지수</t>
        </is>
      </c>
      <c r="P199" s="95" t="inlineStr">
        <is>
          <t>커버드콜</t>
        </is>
      </c>
      <c r="Q199" s="95" t="inlineStr">
        <is>
          <t>주식</t>
        </is>
      </c>
      <c r="R199" s="95" t="inlineStr">
        <is>
          <t>월배당</t>
        </is>
      </c>
      <c r="S199" s="96" t="n">
        <v>12</v>
      </c>
      <c r="T199">
        <f>IF(AND($J199&lt;&gt;"",OR(조회_주기="전체",$R199=조회_주기),$J199&gt;=조회_최소,$J199&lt;=조회_최대),1,0)</f>
        <v/>
      </c>
      <c r="U199">
        <f>IF($T199=1,$U198+1,$U198)</f>
        <v/>
      </c>
      <c r="V199">
        <f>IF(검색어="",1,IF(ISNUMBER(SEARCH(검색어,$A199)),1,0))</f>
        <v/>
      </c>
      <c r="W199">
        <f>IF($V199=1,$W198+1,$W198)</f>
        <v/>
      </c>
      <c r="X199">
        <f>IFERROR(INDEX($A$4:$A$517,MATCH(196,$W$4:$W$517,0)),"")</f>
        <v/>
      </c>
    </row>
    <row r="200">
      <c r="A200" s="95" t="inlineStr">
        <is>
          <t>RISE 차이나테크TOP10위클리타겟커버드콜</t>
        </is>
      </c>
      <c r="B200" s="95" t="inlineStr">
        <is>
          <t>0094L0</t>
        </is>
      </c>
      <c r="C200" s="95" t="inlineStr">
        <is>
          <t>KB자산운용</t>
        </is>
      </c>
      <c r="D200" s="96" t="n">
        <v>7000</v>
      </c>
      <c r="E200" s="96" t="n">
        <v>9800000000</v>
      </c>
      <c r="F200" s="96" t="n">
        <v>59602840</v>
      </c>
      <c r="G200" s="97" t="n">
        <v>0.003</v>
      </c>
      <c r="H200" s="97" t="n">
        <v>0.2786</v>
      </c>
      <c r="I200" s="97" t="n">
        <v>0.0097</v>
      </c>
      <c r="J200" s="97" t="n">
        <v>0.155714</v>
      </c>
      <c r="K200" s="96" t="n">
        <v>12</v>
      </c>
      <c r="L200" s="95" t="inlineStr">
        <is>
          <t>20260828</t>
        </is>
      </c>
      <c r="M200" s="95" t="inlineStr">
        <is>
          <t>제외</t>
        </is>
      </c>
      <c r="N200" s="95" t="inlineStr">
        <is>
          <t>순자산 98억(기준 300억 미만), 60일 거래대금 0.6억(기준 5억 미만)</t>
        </is>
      </c>
      <c r="O200" s="95" t="inlineStr">
        <is>
          <t>Bloomberg China Tech Select Top 10 + 12% Target Premium Week</t>
        </is>
      </c>
      <c r="P200" s="95" t="inlineStr">
        <is>
          <t>커버드콜</t>
        </is>
      </c>
      <c r="Q200" s="95" t="inlineStr">
        <is>
          <t>주식</t>
        </is>
      </c>
      <c r="R200" s="95" t="inlineStr">
        <is>
          <t>월배당</t>
        </is>
      </c>
      <c r="S200" s="96" t="n">
        <v>11</v>
      </c>
      <c r="T200">
        <f>IF(AND($J200&lt;&gt;"",OR(조회_주기="전체",$R200=조회_주기),$J200&gt;=조회_최소,$J200&lt;=조회_최대),1,0)</f>
        <v/>
      </c>
      <c r="U200">
        <f>IF($T200=1,$U199+1,$U199)</f>
        <v/>
      </c>
      <c r="V200">
        <f>IF(검색어="",1,IF(ISNUMBER(SEARCH(검색어,$A200)),1,0))</f>
        <v/>
      </c>
      <c r="W200">
        <f>IF($V200=1,$W199+1,$W199)</f>
        <v/>
      </c>
      <c r="X200">
        <f>IFERROR(INDEX($A$4:$A$517,MATCH(197,$W$4:$W$517,0)),"")</f>
        <v/>
      </c>
    </row>
    <row r="201">
      <c r="A201" s="95" t="inlineStr">
        <is>
          <t>PLUS 미국배당증가성장주데일리커버드콜</t>
        </is>
      </c>
      <c r="B201" s="95" t="inlineStr">
        <is>
          <t>494420</t>
        </is>
      </c>
      <c r="C201" s="95" t="inlineStr">
        <is>
          <t>한화자산운용</t>
        </is>
      </c>
      <c r="D201" s="96" t="n">
        <v>8715</v>
      </c>
      <c r="E201" s="96" t="n">
        <v>15687000000</v>
      </c>
      <c r="F201" s="96" t="n">
        <v>115890439</v>
      </c>
      <c r="G201" s="97" t="n">
        <v>0.0039</v>
      </c>
      <c r="H201" s="97" t="n">
        <v>0.144</v>
      </c>
      <c r="I201" s="97" t="n">
        <v>0.0119</v>
      </c>
      <c r="J201" s="97" t="n">
        <v>0.14848</v>
      </c>
      <c r="K201" s="96" t="n">
        <v>23</v>
      </c>
      <c r="L201" s="95" t="inlineStr">
        <is>
          <t>20260914</t>
        </is>
      </c>
      <c r="M201" s="95" t="inlineStr">
        <is>
          <t>제외</t>
        </is>
      </c>
      <c r="N201" s="95" t="inlineStr">
        <is>
          <t>순자산 157억(기준 300억 미만), 60일 거래대금 1.2억(기준 5억 미만)</t>
        </is>
      </c>
      <c r="O201" s="95" t="inlineStr">
        <is>
          <t>Bloomberg U.S. Dividend Growth Partial Covered Call Index</t>
        </is>
      </c>
      <c r="P201" s="95" t="inlineStr">
        <is>
          <t>커버드콜</t>
        </is>
      </c>
      <c r="Q201" s="95" t="inlineStr">
        <is>
          <t>주식</t>
        </is>
      </c>
      <c r="R201" s="95" t="inlineStr">
        <is>
          <t>월배당</t>
        </is>
      </c>
      <c r="S201" s="96" t="n">
        <v>12</v>
      </c>
      <c r="T201">
        <f>IF(AND($J201&lt;&gt;"",OR(조회_주기="전체",$R201=조회_주기),$J201&gt;=조회_최소,$J201&lt;=조회_최대),1,0)</f>
        <v/>
      </c>
      <c r="U201">
        <f>IF($T201=1,$U200+1,$U200)</f>
        <v/>
      </c>
      <c r="V201">
        <f>IF(검색어="",1,IF(ISNUMBER(SEARCH(검색어,$A201)),1,0))</f>
        <v/>
      </c>
      <c r="W201">
        <f>IF($V201=1,$W200+1,$W200)</f>
        <v/>
      </c>
      <c r="X201">
        <f>IFERROR(INDEX($A$4:$A$517,MATCH(198,$W$4:$W$517,0)),"")</f>
        <v/>
      </c>
    </row>
    <row r="202">
      <c r="A202" s="95" t="inlineStr">
        <is>
          <t>FOCUS 알리바바미국채커버드콜혼합</t>
        </is>
      </c>
      <c r="B202" s="95" t="inlineStr">
        <is>
          <t>0073X0</t>
        </is>
      </c>
      <c r="C202" s="95" t="inlineStr">
        <is>
          <t>브이아이자산운용</t>
        </is>
      </c>
      <c r="D202" s="96" t="n">
        <v>8790</v>
      </c>
      <c r="E202" s="96" t="n">
        <v>4834500000</v>
      </c>
      <c r="F202" s="96" t="n">
        <v>30808961</v>
      </c>
      <c r="G202" s="97" t="n">
        <v>0.0036</v>
      </c>
      <c r="H202" s="97" t="n">
        <v>0.1645</v>
      </c>
      <c r="I202" s="97" t="n">
        <v>0.0091</v>
      </c>
      <c r="J202" s="97" t="n">
        <v>0.146189</v>
      </c>
      <c r="K202" s="96" t="n">
        <v>14</v>
      </c>
      <c r="L202" s="95" t="inlineStr">
        <is>
          <t>20260828</t>
        </is>
      </c>
      <c r="M202" s="95" t="inlineStr">
        <is>
          <t>제외</t>
        </is>
      </c>
      <c r="N202" s="95" t="inlineStr">
        <is>
          <t>순자산 48억(기준 300억 미만), 60일 거래대금 0.3억(기준 5억 미만)</t>
        </is>
      </c>
      <c r="O202" s="95" t="inlineStr">
        <is>
          <t>KEDI 알리바바 미국채커버드콜혼합지수(TR)</t>
        </is>
      </c>
      <c r="P202" s="95" t="inlineStr">
        <is>
          <t>커버드콜</t>
        </is>
      </c>
      <c r="Q202" s="95" t="inlineStr">
        <is>
          <t>멀티에셋</t>
        </is>
      </c>
      <c r="R202" s="95" t="inlineStr">
        <is>
          <t>월배당</t>
        </is>
      </c>
      <c r="S202" s="96" t="n">
        <v>11</v>
      </c>
      <c r="T202">
        <f>IF(AND($J202&lt;&gt;"",OR(조회_주기="전체",$R202=조회_주기),$J202&gt;=조회_최소,$J202&lt;=조회_최대),1,0)</f>
        <v/>
      </c>
      <c r="U202">
        <f>IF($T202=1,$U201+1,$U201)</f>
        <v/>
      </c>
      <c r="V202">
        <f>IF(검색어="",1,IF(ISNUMBER(SEARCH(검색어,$A202)),1,0))</f>
        <v/>
      </c>
      <c r="W202">
        <f>IF($V202=1,$W201+1,$W201)</f>
        <v/>
      </c>
      <c r="X202">
        <f>IFERROR(INDEX($A$4:$A$517,MATCH(199,$W$4:$W$517,0)),"")</f>
        <v/>
      </c>
    </row>
    <row r="203">
      <c r="A203" s="95" t="inlineStr">
        <is>
          <t>TIGER 엔비디아미국채커버드콜밸런스(합성)</t>
        </is>
      </c>
      <c r="B203" s="95" t="inlineStr">
        <is>
          <t>0000D0</t>
        </is>
      </c>
      <c r="C203" s="95" t="inlineStr">
        <is>
          <t>미래에셋자산운용</t>
        </is>
      </c>
      <c r="D203" s="96" t="n">
        <v>8895</v>
      </c>
      <c r="E203" s="96" t="n">
        <v>61375500000</v>
      </c>
      <c r="F203" s="96" t="n">
        <v>354902427</v>
      </c>
      <c r="G203" s="97" t="n">
        <v>0.0039</v>
      </c>
      <c r="H203" s="97" t="n">
        <v>0.1685</v>
      </c>
      <c r="I203" s="97" t="n">
        <v>0.009899999999999999</v>
      </c>
      <c r="J203" s="97" t="n">
        <v>0.135245</v>
      </c>
      <c r="K203" s="96" t="n">
        <v>21</v>
      </c>
      <c r="L203" s="95" t="inlineStr">
        <is>
          <t>20260828</t>
        </is>
      </c>
      <c r="M203" s="95" t="inlineStr">
        <is>
          <t>제외</t>
        </is>
      </c>
      <c r="N203" s="95" t="inlineStr">
        <is>
          <t>60일 거래대금 3.5억(기준 5억 미만)</t>
        </is>
      </c>
      <c r="O203" s="95" t="inlineStr">
        <is>
          <t>KEDI Nvidia U.S. 30Y Treasury Target Covered Call Balanced I</t>
        </is>
      </c>
      <c r="P203" s="95" t="inlineStr">
        <is>
          <t>커버드콜</t>
        </is>
      </c>
      <c r="Q203" s="95" t="inlineStr">
        <is>
          <t>멀티에셋</t>
        </is>
      </c>
      <c r="R203" s="95" t="inlineStr">
        <is>
          <t>월배당</t>
        </is>
      </c>
      <c r="S203" s="96" t="n">
        <v>11</v>
      </c>
      <c r="T203">
        <f>IF(AND($J203&lt;&gt;"",OR(조회_주기="전체",$R203=조회_주기),$J203&gt;=조회_최소,$J203&lt;=조회_최대),1,0)</f>
        <v/>
      </c>
      <c r="U203">
        <f>IF($T203=1,$U202+1,$U202)</f>
        <v/>
      </c>
      <c r="V203">
        <f>IF(검색어="",1,IF(ISNUMBER(SEARCH(검색어,$A203)),1,0))</f>
        <v/>
      </c>
      <c r="W203">
        <f>IF($V203=1,$W202+1,$W202)</f>
        <v/>
      </c>
      <c r="X203">
        <f>IFERROR(INDEX($A$4:$A$517,MATCH(200,$W$4:$W$517,0)),"")</f>
        <v/>
      </c>
    </row>
    <row r="204">
      <c r="A204" s="95" t="inlineStr">
        <is>
          <t>SOL 미국500타겟데일리커버드콜액티브</t>
        </is>
      </c>
      <c r="B204" s="95" t="inlineStr">
        <is>
          <t>494210</t>
        </is>
      </c>
      <c r="C204" s="95" t="inlineStr">
        <is>
          <t>신한자산운용</t>
        </is>
      </c>
      <c r="D204" s="96" t="n">
        <v>10750</v>
      </c>
      <c r="E204" s="96" t="n">
        <v>7525000000</v>
      </c>
      <c r="F204" s="96" t="n">
        <v>67719882</v>
      </c>
      <c r="G204" s="97" t="n">
        <v>0.0035</v>
      </c>
      <c r="H204" s="97" t="n">
        <v>0.1573</v>
      </c>
      <c r="I204" s="97" t="n">
        <v>0.01</v>
      </c>
      <c r="J204" s="97" t="n">
        <v>0.12493</v>
      </c>
      <c r="K204" s="96" t="n">
        <v>22</v>
      </c>
      <c r="L204" s="95" t="inlineStr">
        <is>
          <t>20260828</t>
        </is>
      </c>
      <c r="M204" s="95" t="inlineStr">
        <is>
          <t>제외</t>
        </is>
      </c>
      <c r="N204" s="95" t="inlineStr">
        <is>
          <t>순자산 75억(기준 300억 미만), 60일 거래대금 0.7억(기준 5억 미만)</t>
        </is>
      </c>
      <c r="O204" s="95" t="inlineStr">
        <is>
          <t>KEDI U.S. Quality500 + Monthly 1% Premium Index NTR</t>
        </is>
      </c>
      <c r="P204" s="95" t="inlineStr">
        <is>
          <t>커버드콜</t>
        </is>
      </c>
      <c r="Q204" s="95" t="inlineStr">
        <is>
          <t>주식</t>
        </is>
      </c>
      <c r="R204" s="95" t="inlineStr">
        <is>
          <t>월배당</t>
        </is>
      </c>
      <c r="S204" s="96" t="n">
        <v>11</v>
      </c>
      <c r="T204">
        <f>IF(AND($J204&lt;&gt;"",OR(조회_주기="전체",$R204=조회_주기),$J204&gt;=조회_최소,$J204&lt;=조회_최대),1,0)</f>
        <v/>
      </c>
      <c r="U204">
        <f>IF($T204=1,$U203+1,$U203)</f>
        <v/>
      </c>
      <c r="V204">
        <f>IF(검색어="",1,IF(ISNUMBER(SEARCH(검색어,$A204)),1,0))</f>
        <v/>
      </c>
      <c r="W204">
        <f>IF($V204=1,$W203+1,$W203)</f>
        <v/>
      </c>
      <c r="X204">
        <f>IFERROR(INDEX($A$4:$A$517,MATCH(201,$W$4:$W$517,0)),"")</f>
        <v/>
      </c>
    </row>
    <row r="205">
      <c r="A205" s="95" t="inlineStr">
        <is>
          <t>TIGER 미국S&amp;P500타겟데일리커버드콜</t>
        </is>
      </c>
      <c r="B205" s="95" t="inlineStr">
        <is>
          <t>482730</t>
        </is>
      </c>
      <c r="C205" s="95" t="inlineStr">
        <is>
          <t>미래에셋자산운용</t>
        </is>
      </c>
      <c r="D205" s="96" t="n">
        <v>11570</v>
      </c>
      <c r="E205" s="96" t="n">
        <v>665275000000</v>
      </c>
      <c r="F205" s="96" t="n">
        <v>4930842099</v>
      </c>
      <c r="G205" s="97" t="n">
        <v>0.0025</v>
      </c>
      <c r="H205" s="97" t="n">
        <v>0.1482</v>
      </c>
      <c r="I205" s="97" t="n">
        <v>0.01</v>
      </c>
      <c r="J205" s="97" t="n">
        <v>0.114088</v>
      </c>
      <c r="K205" s="96" t="n">
        <v>28</v>
      </c>
      <c r="L205" s="95" t="inlineStr">
        <is>
          <t>20260914</t>
        </is>
      </c>
      <c r="M205" s="95" t="inlineStr">
        <is>
          <t>제외</t>
        </is>
      </c>
      <c r="N205" s="95" t="inlineStr">
        <is>
          <t>분배율 대조 불일치(연분배율 계산 11.4088% vs ETFCHECK 10.5877%)</t>
        </is>
      </c>
      <c r="O205" s="95" t="inlineStr">
        <is>
          <t>S&amp;P 500 10% Daily Premium Covered Call Index (USD) PR</t>
        </is>
      </c>
      <c r="P205" s="95" t="inlineStr">
        <is>
          <t>커버드콜</t>
        </is>
      </c>
      <c r="Q205" s="95" t="inlineStr">
        <is>
          <t>주식</t>
        </is>
      </c>
      <c r="R205" s="95" t="inlineStr">
        <is>
          <t>월배당</t>
        </is>
      </c>
      <c r="S205" s="96" t="n">
        <v>12</v>
      </c>
      <c r="T205">
        <f>IF(AND($J205&lt;&gt;"",OR(조회_주기="전체",$R205=조회_주기),$J205&gt;=조회_최소,$J205&lt;=조회_최대),1,0)</f>
        <v/>
      </c>
      <c r="U205">
        <f>IF($T205=1,$U204+1,$U204)</f>
        <v/>
      </c>
      <c r="V205">
        <f>IF(검색어="",1,IF(ISNUMBER(SEARCH(검색어,$A205)),1,0))</f>
        <v/>
      </c>
      <c r="W205">
        <f>IF($V205=1,$W204+1,$W204)</f>
        <v/>
      </c>
      <c r="X205">
        <f>IFERROR(INDEX($A$4:$A$517,MATCH(202,$W$4:$W$517,0)),"")</f>
        <v/>
      </c>
    </row>
    <row r="206">
      <c r="A206" s="95" t="inlineStr">
        <is>
          <t>RISE 미국30년국채커버드콜(합성)</t>
        </is>
      </c>
      <c r="B206" s="95" t="inlineStr">
        <is>
          <t>472830</t>
        </is>
      </c>
      <c r="C206" s="95" t="inlineStr">
        <is>
          <t>KB자산운용</t>
        </is>
      </c>
      <c r="D206" s="96" t="n">
        <v>7810</v>
      </c>
      <c r="E206" s="96" t="n">
        <v>43345500000</v>
      </c>
      <c r="F206" s="96" t="n">
        <v>285123120</v>
      </c>
      <c r="G206" s="97" t="n">
        <v>0.0025</v>
      </c>
      <c r="H206" s="97" t="n">
        <v>0.1415</v>
      </c>
      <c r="I206" s="97" t="n">
        <v>0.0067</v>
      </c>
      <c r="J206" s="97" t="n">
        <v>0.113444</v>
      </c>
      <c r="K206" s="96" t="n">
        <v>32</v>
      </c>
      <c r="L206" s="95" t="inlineStr">
        <is>
          <t>20260828</t>
        </is>
      </c>
      <c r="M206" s="95" t="inlineStr">
        <is>
          <t>제외</t>
        </is>
      </c>
      <c r="N206" s="95" t="inlineStr">
        <is>
          <t>60일 거래대금 2.9억(기준 5억 미만)</t>
        </is>
      </c>
      <c r="O206" s="95" t="inlineStr">
        <is>
          <t>Bloomberg U.S. Treasury 20+ Year(TLT) 2% OTM Covered Call In</t>
        </is>
      </c>
      <c r="P206" s="95" t="inlineStr">
        <is>
          <t>커버드콜</t>
        </is>
      </c>
      <c r="Q206" s="95" t="inlineStr">
        <is>
          <t>채권</t>
        </is>
      </c>
      <c r="R206" s="95" t="inlineStr">
        <is>
          <t>월배당</t>
        </is>
      </c>
      <c r="S206" s="96" t="n">
        <v>11</v>
      </c>
      <c r="T206">
        <f>IF(AND($J206&lt;&gt;"",OR(조회_주기="전체",$R206=조회_주기),$J206&gt;=조회_최소,$J206&lt;=조회_최대),1,0)</f>
        <v/>
      </c>
      <c r="U206">
        <f>IF($T206=1,$U205+1,$U205)</f>
        <v/>
      </c>
      <c r="V206">
        <f>IF(검색어="",1,IF(ISNUMBER(SEARCH(검색어,$A206)),1,0))</f>
        <v/>
      </c>
      <c r="W206">
        <f>IF($V206=1,$W205+1,$W205)</f>
        <v/>
      </c>
      <c r="X206">
        <f>IFERROR(INDEX($A$4:$A$517,MATCH(203,$W$4:$W$517,0)),"")</f>
        <v/>
      </c>
    </row>
    <row r="207">
      <c r="A207" s="95" t="inlineStr">
        <is>
          <t>RISE 200고배당커버드콜ATM</t>
        </is>
      </c>
      <c r="B207" s="95" t="inlineStr">
        <is>
          <t>290080</t>
        </is>
      </c>
      <c r="C207" s="95" t="inlineStr">
        <is>
          <t>KB자산운용</t>
        </is>
      </c>
      <c r="D207" s="96" t="n">
        <v>7460</v>
      </c>
      <c r="E207" s="96" t="n">
        <v>12682000000</v>
      </c>
      <c r="F207" s="96" t="n">
        <v>169688535</v>
      </c>
      <c r="G207" s="97" t="n">
        <v>0.004</v>
      </c>
      <c r="H207" s="97" t="n">
        <v>0.3095</v>
      </c>
      <c r="I207" s="97" t="n">
        <v>0.008100000000000001</v>
      </c>
      <c r="J207" s="97" t="n">
        <v>0.106166</v>
      </c>
      <c r="K207" s="96" t="n">
        <v>49</v>
      </c>
      <c r="L207" s="95" t="inlineStr">
        <is>
          <t>20260828</t>
        </is>
      </c>
      <c r="M207" s="95" t="inlineStr">
        <is>
          <t>제외</t>
        </is>
      </c>
      <c r="N207" s="95" t="inlineStr">
        <is>
          <t>순자산 127억(기준 300억 미만), 60일 거래대금 1.7억(기준 5억 미만)</t>
        </is>
      </c>
      <c r="O207" s="95" t="inlineStr">
        <is>
          <t>코스피 200 고배당 커버드콜 ATM</t>
        </is>
      </c>
      <c r="P207" s="95" t="inlineStr">
        <is>
          <t>커버드콜</t>
        </is>
      </c>
      <c r="Q207" s="95" t="inlineStr">
        <is>
          <t>주식</t>
        </is>
      </c>
      <c r="R207" s="95" t="inlineStr">
        <is>
          <t>월배당</t>
        </is>
      </c>
      <c r="S207" s="96" t="n">
        <v>11</v>
      </c>
      <c r="T207">
        <f>IF(AND($J207&lt;&gt;"",OR(조회_주기="전체",$R207=조회_주기),$J207&gt;=조회_최소,$J207&lt;=조회_최대),1,0)</f>
        <v/>
      </c>
      <c r="U207">
        <f>IF($T207=1,$U206+1,$U206)</f>
        <v/>
      </c>
      <c r="V207">
        <f>IF(검색어="",1,IF(ISNUMBER(SEARCH(검색어,$A207)),1,0))</f>
        <v/>
      </c>
      <c r="W207">
        <f>IF($V207=1,$W206+1,$W206)</f>
        <v/>
      </c>
      <c r="X207">
        <f>IFERROR(INDEX($A$4:$A$517,MATCH(204,$W$4:$W$517,0)),"")</f>
        <v/>
      </c>
    </row>
    <row r="208">
      <c r="A208" s="95" t="inlineStr">
        <is>
          <t>HK 종합채권(AA-이상)액티브</t>
        </is>
      </c>
      <c r="B208" s="95" t="inlineStr">
        <is>
          <t>472920</t>
        </is>
      </c>
      <c r="C208" s="95" t="inlineStr">
        <is>
          <t>흥국자산운용</t>
        </is>
      </c>
      <c r="D208" s="96" t="n">
        <v>97775</v>
      </c>
      <c r="E208" s="96" t="n">
        <v>253335025000</v>
      </c>
      <c r="F208" s="96" t="n">
        <v>2184795</v>
      </c>
      <c r="G208" s="97" t="n">
        <v>0.00036</v>
      </c>
      <c r="H208" s="97" t="n">
        <v>0.08210000000000001</v>
      </c>
      <c r="I208" s="97" t="n">
        <v>0.0674</v>
      </c>
      <c r="J208" s="97" t="n">
        <v>0.07535700000000001</v>
      </c>
      <c r="K208" s="96" t="n">
        <v>1</v>
      </c>
      <c r="L208" s="95" t="inlineStr">
        <is>
          <t>20251229</t>
        </is>
      </c>
      <c r="M208" s="95" t="inlineStr">
        <is>
          <t>제외</t>
        </is>
      </c>
      <c r="N208" s="95" t="inlineStr">
        <is>
          <t>60일 거래대금 0.0억(기준 5억 미만)</t>
        </is>
      </c>
      <c r="O208" s="95" t="inlineStr">
        <is>
          <t>KAP 종합채권 AA- 이상 지수(총수익)</t>
        </is>
      </c>
      <c r="P208" s="95" t="inlineStr">
        <is>
          <t>일반</t>
        </is>
      </c>
      <c r="Q208" s="95" t="inlineStr">
        <is>
          <t>채권</t>
        </is>
      </c>
      <c r="R208" s="95" t="inlineStr">
        <is>
          <t>연배당</t>
        </is>
      </c>
      <c r="S208" s="96" t="n">
        <v>1</v>
      </c>
      <c r="T208">
        <f>IF(AND($J208&lt;&gt;"",OR(조회_주기="전체",$R208=조회_주기),$J208&gt;=조회_최소,$J208&lt;=조회_최대),1,0)</f>
        <v/>
      </c>
      <c r="U208">
        <f>IF($T208=1,$U207+1,$U207)</f>
        <v/>
      </c>
      <c r="V208">
        <f>IF(검색어="",1,IF(ISNUMBER(SEARCH(검색어,$A208)),1,0))</f>
        <v/>
      </c>
      <c r="W208">
        <f>IF($V208=1,$W207+1,$W207)</f>
        <v/>
      </c>
      <c r="X208">
        <f>IFERROR(INDEX($A$4:$A$517,MATCH(205,$W$4:$W$517,0)),"")</f>
        <v/>
      </c>
    </row>
    <row r="209">
      <c r="A209" s="95" t="inlineStr">
        <is>
          <t>ACE 미국배당퀄리티+커버드콜액티브</t>
        </is>
      </c>
      <c r="B209" s="95" t="inlineStr">
        <is>
          <t>0049M0</t>
        </is>
      </c>
      <c r="C209" s="95" t="inlineStr">
        <is>
          <t>한국투신운용(ETF)</t>
        </is>
      </c>
      <c r="D209" s="96" t="n">
        <v>11115</v>
      </c>
      <c r="E209" s="96" t="n">
        <v>78360750000</v>
      </c>
      <c r="F209" s="96" t="n">
        <v>376959469</v>
      </c>
      <c r="G209" s="97" t="n">
        <v>0.0015</v>
      </c>
      <c r="H209" s="97" t="n">
        <v>0.1291</v>
      </c>
      <c r="I209" s="97" t="n">
        <v>0.006</v>
      </c>
      <c r="J209" s="97" t="n">
        <v>0.074944</v>
      </c>
      <c r="K209" s="96" t="n">
        <v>15</v>
      </c>
      <c r="L209" s="95" t="inlineStr">
        <is>
          <t>20260828</t>
        </is>
      </c>
      <c r="M209" s="95" t="inlineStr">
        <is>
          <t>제외</t>
        </is>
      </c>
      <c r="N209" s="95" t="inlineStr">
        <is>
          <t>60일 거래대금 3.8억(기준 5억 미만)</t>
        </is>
      </c>
      <c r="O209" s="95" t="inlineStr">
        <is>
          <t>Bloomberg WisdomTree U.S. Quality Dividend &amp; B500 Premium De</t>
        </is>
      </c>
      <c r="P209" s="95" t="inlineStr">
        <is>
          <t>커버드콜</t>
        </is>
      </c>
      <c r="Q209" s="95" t="inlineStr">
        <is>
          <t>주식</t>
        </is>
      </c>
      <c r="R209" s="95" t="inlineStr">
        <is>
          <t>월배당</t>
        </is>
      </c>
      <c r="S209" s="96" t="n">
        <v>11</v>
      </c>
      <c r="T209">
        <f>IF(AND($J209&lt;&gt;"",OR(조회_주기="전체",$R209=조회_주기),$J209&gt;=조회_최소,$J209&lt;=조회_최대),1,0)</f>
        <v/>
      </c>
      <c r="U209">
        <f>IF($T209=1,$U208+1,$U208)</f>
        <v/>
      </c>
      <c r="V209">
        <f>IF(검색어="",1,IF(ISNUMBER(SEARCH(검색어,$A209)),1,0))</f>
        <v/>
      </c>
      <c r="W209">
        <f>IF($V209=1,$W208+1,$W208)</f>
        <v/>
      </c>
      <c r="X209">
        <f>IFERROR(INDEX($A$4:$A$517,MATCH(206,$W$4:$W$517,0)),"")</f>
        <v/>
      </c>
    </row>
    <row r="210">
      <c r="A210" s="95" t="inlineStr">
        <is>
          <t>TIME Korea플러스배당액티브</t>
        </is>
      </c>
      <c r="B210" s="95" t="inlineStr">
        <is>
          <t>441800</t>
        </is>
      </c>
      <c r="C210" s="95" t="inlineStr">
        <is>
          <t>타임폴리오자산운용</t>
        </is>
      </c>
      <c r="D210" s="96" t="n">
        <v>28345</v>
      </c>
      <c r="E210" s="96" t="n">
        <v>776086100000</v>
      </c>
      <c r="F210" s="96" t="n">
        <v>11534145017</v>
      </c>
      <c r="G210" s="97" t="n">
        <v>0.008</v>
      </c>
      <c r="H210" s="97" t="n">
        <v>0.4893</v>
      </c>
      <c r="I210" s="97" t="n">
        <v>0.005</v>
      </c>
      <c r="J210" s="97" t="n">
        <v>0.073382</v>
      </c>
      <c r="K210" s="96" t="n">
        <v>47</v>
      </c>
      <c r="L210" s="95" t="inlineStr">
        <is>
          <t>20260828</t>
        </is>
      </c>
      <c r="M210" s="95" t="inlineStr">
        <is>
          <t>제외</t>
        </is>
      </c>
      <c r="N210" s="95" t="inlineStr">
        <is>
          <t>변동성 48.9%(1년 기준, 기준 35% 초과)</t>
        </is>
      </c>
      <c r="O210" s="95" t="inlineStr">
        <is>
          <t>KOSPI 200</t>
        </is>
      </c>
      <c r="P210" s="95" t="inlineStr">
        <is>
          <t>일반</t>
        </is>
      </c>
      <c r="Q210" s="95" t="inlineStr">
        <is>
          <t>주식</t>
        </is>
      </c>
      <c r="R210" s="95" t="inlineStr">
        <is>
          <t>월배당</t>
        </is>
      </c>
      <c r="S210" s="96" t="n">
        <v>11</v>
      </c>
      <c r="T210">
        <f>IF(AND($J210&lt;&gt;"",OR(조회_주기="전체",$R210=조회_주기),$J210&gt;=조회_최소,$J210&lt;=조회_최대),1,0)</f>
        <v/>
      </c>
      <c r="U210">
        <f>IF($T210=1,$U209+1,$U209)</f>
        <v/>
      </c>
      <c r="V210">
        <f>IF(검색어="",1,IF(ISNUMBER(SEARCH(검색어,$A210)),1,0))</f>
        <v/>
      </c>
      <c r="W210">
        <f>IF($V210=1,$W209+1,$W209)</f>
        <v/>
      </c>
      <c r="X210">
        <f>IFERROR(INDEX($A$4:$A$517,MATCH(207,$W$4:$W$517,0)),"")</f>
        <v/>
      </c>
    </row>
    <row r="211">
      <c r="A211" s="95" t="inlineStr">
        <is>
          <t>TIGER 200커버드콜</t>
        </is>
      </c>
      <c r="B211" s="95" t="inlineStr">
        <is>
          <t>289480</t>
        </is>
      </c>
      <c r="C211" s="95" t="inlineStr">
        <is>
          <t>미래에셋자산운용</t>
        </is>
      </c>
      <c r="D211" s="96" t="n">
        <v>12745</v>
      </c>
      <c r="E211" s="96" t="n">
        <v>26764500000</v>
      </c>
      <c r="F211" s="96" t="n">
        <v>431969558</v>
      </c>
      <c r="G211" s="97" t="n">
        <v>0.0038</v>
      </c>
      <c r="H211" s="97" t="n">
        <v>0.3833</v>
      </c>
      <c r="I211" s="97" t="n">
        <v>0.0069</v>
      </c>
      <c r="J211" s="97" t="n">
        <v>0.06998799999999999</v>
      </c>
      <c r="K211" s="96" t="n">
        <v>51</v>
      </c>
      <c r="L211" s="95" t="inlineStr">
        <is>
          <t>20260828</t>
        </is>
      </c>
      <c r="M211" s="95" t="inlineStr">
        <is>
          <t>제외</t>
        </is>
      </c>
      <c r="N211" s="95" t="inlineStr">
        <is>
          <t>순자산 268억(기준 300억 미만), 60일 거래대금 4.3억(기준 5억 미만), 변동성 38.3%(1년 기준, 기준 35% 초과)</t>
        </is>
      </c>
      <c r="O211" s="95" t="inlineStr">
        <is>
          <t>코스피 200 커버드콜 ATM</t>
        </is>
      </c>
      <c r="P211" s="95" t="inlineStr">
        <is>
          <t>커버드콜</t>
        </is>
      </c>
      <c r="Q211" s="95" t="inlineStr">
        <is>
          <t>주식</t>
        </is>
      </c>
      <c r="R211" s="95" t="inlineStr">
        <is>
          <t>월배당</t>
        </is>
      </c>
      <c r="S211" s="96" t="n">
        <v>11</v>
      </c>
      <c r="T211">
        <f>IF(AND($J211&lt;&gt;"",OR(조회_주기="전체",$R211=조회_주기),$J211&gt;=조회_최소,$J211&lt;=조회_최대),1,0)</f>
        <v/>
      </c>
      <c r="U211">
        <f>IF($T211=1,$U210+1,$U210)</f>
        <v/>
      </c>
      <c r="V211">
        <f>IF(검색어="",1,IF(ISNUMBER(SEARCH(검색어,$A211)),1,0))</f>
        <v/>
      </c>
      <c r="W211">
        <f>IF($V211=1,$W210+1,$W210)</f>
        <v/>
      </c>
      <c r="X211">
        <f>IFERROR(INDEX($A$4:$A$517,MATCH(208,$W$4:$W$517,0)),"")</f>
        <v/>
      </c>
    </row>
    <row r="212">
      <c r="A212" s="95" t="inlineStr">
        <is>
          <t>KoAct 배당성장액티브</t>
        </is>
      </c>
      <c r="B212" s="95" t="inlineStr">
        <is>
          <t>476850</t>
        </is>
      </c>
      <c r="C212" s="95" t="inlineStr">
        <is>
          <t>삼성액티브자산(ETF)</t>
        </is>
      </c>
      <c r="D212" s="96" t="n">
        <v>21295</v>
      </c>
      <c r="E212" s="96" t="n">
        <v>102216000000</v>
      </c>
      <c r="F212" s="96" t="n">
        <v>2314727820</v>
      </c>
      <c r="G212" s="97" t="n">
        <v>0.005</v>
      </c>
      <c r="H212" s="97" t="n">
        <v>0.5002</v>
      </c>
      <c r="I212" s="97" t="n">
        <v>0.005</v>
      </c>
      <c r="J212" s="97" t="n">
        <v>0.069782</v>
      </c>
      <c r="K212" s="96" t="n">
        <v>15</v>
      </c>
      <c r="L212" s="95" t="inlineStr">
        <is>
          <t>20260828</t>
        </is>
      </c>
      <c r="M212" s="95" t="inlineStr">
        <is>
          <t>제외</t>
        </is>
      </c>
      <c r="N212" s="95" t="inlineStr">
        <is>
          <t>변동성 50.0%(1년 기준, 기준 35% 초과)</t>
        </is>
      </c>
      <c r="O212" s="95" t="inlineStr">
        <is>
          <t>코스피</t>
        </is>
      </c>
      <c r="P212" s="95" t="inlineStr">
        <is>
          <t>일반</t>
        </is>
      </c>
      <c r="Q212" s="95" t="inlineStr">
        <is>
          <t>주식</t>
        </is>
      </c>
      <c r="R212" s="95" t="inlineStr">
        <is>
          <t>비정기</t>
        </is>
      </c>
      <c r="S212" s="96" t="n">
        <v>8</v>
      </c>
      <c r="T212">
        <f>IF(AND($J212&lt;&gt;"",OR(조회_주기="전체",$R212=조회_주기),$J212&gt;=조회_최소,$J212&lt;=조회_최대),1,0)</f>
        <v/>
      </c>
      <c r="U212">
        <f>IF($T212=1,$U211+1,$U211)</f>
        <v/>
      </c>
      <c r="V212">
        <f>IF(검색어="",1,IF(ISNUMBER(SEARCH(검색어,$A212)),1,0))</f>
        <v/>
      </c>
      <c r="W212">
        <f>IF($V212=1,$W211+1,$W211)</f>
        <v/>
      </c>
      <c r="X212">
        <f>IFERROR(INDEX($A$4:$A$517,MATCH(209,$W$4:$W$517,0)),"")</f>
        <v/>
      </c>
    </row>
    <row r="213">
      <c r="A213" s="95" t="inlineStr">
        <is>
          <t>TIGER 리츠부동산인프라TOP10액티브</t>
        </is>
      </c>
      <c r="B213" s="95" t="inlineStr">
        <is>
          <t>0086B0</t>
        </is>
      </c>
      <c r="C213" s="95" t="inlineStr">
        <is>
          <t>미래에셋자산운용</t>
        </is>
      </c>
      <c r="D213" s="96" t="n">
        <v>9340</v>
      </c>
      <c r="E213" s="96" t="n">
        <v>45766000000</v>
      </c>
      <c r="F213" s="96" t="n">
        <v>231670978</v>
      </c>
      <c r="G213" s="97" t="n">
        <v>0.0005999999999999999</v>
      </c>
      <c r="H213" s="97" t="n">
        <v>0.1718</v>
      </c>
      <c r="I213" s="97" t="n">
        <v>0.005699999999999999</v>
      </c>
      <c r="J213" s="97" t="n">
        <v>0.069379</v>
      </c>
      <c r="K213" s="96" t="n">
        <v>13</v>
      </c>
      <c r="L213" s="95" t="inlineStr">
        <is>
          <t>20260914</t>
        </is>
      </c>
      <c r="M213" s="95" t="inlineStr">
        <is>
          <t>제외</t>
        </is>
      </c>
      <c r="N213" s="95" t="inlineStr">
        <is>
          <t>60일 거래대금 2.3억(기준 5억 미만)</t>
        </is>
      </c>
      <c r="O213" s="95" t="inlineStr">
        <is>
          <t>KEDI 리츠부동산인프라TOP10 지수</t>
        </is>
      </c>
      <c r="P213" s="95" t="inlineStr">
        <is>
          <t>일반</t>
        </is>
      </c>
      <c r="Q213" s="95" t="inlineStr">
        <is>
          <t>부동산</t>
        </is>
      </c>
      <c r="R213" s="95" t="inlineStr">
        <is>
          <t>월배당</t>
        </is>
      </c>
      <c r="S213" s="96" t="n">
        <v>12</v>
      </c>
      <c r="T213">
        <f>IF(AND($J213&lt;&gt;"",OR(조회_주기="전체",$R213=조회_주기),$J213&gt;=조회_최소,$J213&lt;=조회_최대),1,0)</f>
        <v/>
      </c>
      <c r="U213">
        <f>IF($T213=1,$U212+1,$U212)</f>
        <v/>
      </c>
      <c r="V213">
        <f>IF(검색어="",1,IF(ISNUMBER(SEARCH(검색어,$A213)),1,0))</f>
        <v/>
      </c>
      <c r="W213">
        <f>IF($V213=1,$W212+1,$W212)</f>
        <v/>
      </c>
      <c r="X213">
        <f>IFERROR(INDEX($A$4:$A$517,MATCH(210,$W$4:$W$517,0)),"")</f>
        <v/>
      </c>
    </row>
    <row r="214">
      <c r="A214" s="95" t="inlineStr">
        <is>
          <t>ACE 미국하이일드액티브(H)</t>
        </is>
      </c>
      <c r="B214" s="95" t="inlineStr">
        <is>
          <t>455660</t>
        </is>
      </c>
      <c r="C214" s="95" t="inlineStr">
        <is>
          <t>한국투자신탁운용</t>
        </is>
      </c>
      <c r="D214" s="96" t="n">
        <v>9345</v>
      </c>
      <c r="E214" s="96" t="n">
        <v>61677000000</v>
      </c>
      <c r="F214" s="96" t="n">
        <v>206766330</v>
      </c>
      <c r="G214" s="97" t="n">
        <v>0.0024</v>
      </c>
      <c r="H214" s="97" t="n">
        <v>0.0394</v>
      </c>
      <c r="I214" s="97" t="n">
        <v>0.005500000000000001</v>
      </c>
      <c r="J214" s="97" t="n">
        <v>0.0687</v>
      </c>
      <c r="K214" s="96" t="n">
        <v>40</v>
      </c>
      <c r="L214" s="95" t="inlineStr">
        <is>
          <t>20260828</t>
        </is>
      </c>
      <c r="M214" s="95" t="inlineStr">
        <is>
          <t>제외</t>
        </is>
      </c>
      <c r="N214" s="95" t="inlineStr">
        <is>
          <t>60일 거래대금 2.1억(기준 5억 미만)</t>
        </is>
      </c>
      <c r="O214" s="95" t="inlineStr">
        <is>
          <t>iBoxx USD Liquid High Yield Total Return Index</t>
        </is>
      </c>
      <c r="P214" s="95" t="inlineStr">
        <is>
          <t>일반</t>
        </is>
      </c>
      <c r="Q214" s="95" t="inlineStr">
        <is>
          <t>채권</t>
        </is>
      </c>
      <c r="R214" s="95" t="inlineStr">
        <is>
          <t>월배당</t>
        </is>
      </c>
      <c r="S214" s="96" t="n">
        <v>11</v>
      </c>
      <c r="T214">
        <f>IF(AND($J214&lt;&gt;"",OR(조회_주기="전체",$R214=조회_주기),$J214&gt;=조회_최소,$J214&lt;=조회_최대),1,0)</f>
        <v/>
      </c>
      <c r="U214">
        <f>IF($T214=1,$U213+1,$U213)</f>
        <v/>
      </c>
      <c r="V214">
        <f>IF(검색어="",1,IF(ISNUMBER(SEARCH(검색어,$A214)),1,0))</f>
        <v/>
      </c>
      <c r="W214">
        <f>IF($V214=1,$W213+1,$W213)</f>
        <v/>
      </c>
      <c r="X214">
        <f>IFERROR(INDEX($A$4:$A$517,MATCH(211,$W$4:$W$517,0)),"")</f>
        <v/>
      </c>
    </row>
    <row r="215">
      <c r="A215" s="95" t="inlineStr">
        <is>
          <t>PLUS K리츠</t>
        </is>
      </c>
      <c r="B215" s="95" t="inlineStr">
        <is>
          <t>429740</t>
        </is>
      </c>
      <c r="C215" s="95" t="inlineStr">
        <is>
          <t>한화자산운용</t>
        </is>
      </c>
      <c r="D215" s="96" t="n">
        <v>6050</v>
      </c>
      <c r="E215" s="96" t="n">
        <v>6050000000</v>
      </c>
      <c r="F215" s="96" t="n">
        <v>33652892</v>
      </c>
      <c r="G215" s="97" t="n">
        <v>0.0025</v>
      </c>
      <c r="H215" s="97" t="n">
        <v>0.2024</v>
      </c>
      <c r="I215" s="97" t="n">
        <v>0.0044</v>
      </c>
      <c r="J215" s="97" t="n">
        <v>0.066777</v>
      </c>
      <c r="K215" s="96" t="n">
        <v>35</v>
      </c>
      <c r="L215" s="95" t="inlineStr">
        <is>
          <t>20260828</t>
        </is>
      </c>
      <c r="M215" s="95" t="inlineStr">
        <is>
          <t>제외</t>
        </is>
      </c>
      <c r="N215" s="95" t="inlineStr">
        <is>
          <t>순자산 61억(기준 300억 미만), 60일 거래대금 0.3억(기준 5억 미만)</t>
        </is>
      </c>
      <c r="O215" s="95" t="inlineStr">
        <is>
          <t>FnGuide 리츠 지수</t>
        </is>
      </c>
      <c r="P215" s="95" t="inlineStr">
        <is>
          <t>일반</t>
        </is>
      </c>
      <c r="Q215" s="95" t="inlineStr">
        <is>
          <t>부동산</t>
        </is>
      </c>
      <c r="R215" s="95" t="inlineStr">
        <is>
          <t>월배당</t>
        </is>
      </c>
      <c r="S215" s="96" t="n">
        <v>11</v>
      </c>
      <c r="T215">
        <f>IF(AND($J215&lt;&gt;"",OR(조회_주기="전체",$R215=조회_주기),$J215&gt;=조회_최소,$J215&lt;=조회_최대),1,0)</f>
        <v/>
      </c>
      <c r="U215">
        <f>IF($T215=1,$U214+1,$U214)</f>
        <v/>
      </c>
      <c r="V215">
        <f>IF(검색어="",1,IF(ISNUMBER(SEARCH(검색어,$A215)),1,0))</f>
        <v/>
      </c>
      <c r="W215">
        <f>IF($V215=1,$W214+1,$W214)</f>
        <v/>
      </c>
      <c r="X215">
        <f>IFERROR(INDEX($A$4:$A$517,MATCH(212,$W$4:$W$517,0)),"")</f>
        <v/>
      </c>
    </row>
    <row r="216">
      <c r="A216" s="95" t="inlineStr">
        <is>
          <t>KODEX 일본부동산리츠(H)</t>
        </is>
      </c>
      <c r="B216" s="95" t="inlineStr">
        <is>
          <t>352540</t>
        </is>
      </c>
      <c r="C216" s="95" t="inlineStr">
        <is>
          <t>삼성자산운용(ETF)</t>
        </is>
      </c>
      <c r="D216" s="96" t="n">
        <v>11030</v>
      </c>
      <c r="E216" s="96" t="n">
        <v>37502000000</v>
      </c>
      <c r="F216" s="96" t="n">
        <v>147748838</v>
      </c>
      <c r="G216" s="97" t="n">
        <v>0.003</v>
      </c>
      <c r="H216" s="97" t="n">
        <v>0.1201</v>
      </c>
      <c r="I216" s="97" t="n">
        <v>0.005600000000000001</v>
      </c>
      <c r="J216" s="97" t="n">
        <v>0.06672699999999999</v>
      </c>
      <c r="K216" s="96" t="n">
        <v>47</v>
      </c>
      <c r="L216" s="95" t="inlineStr">
        <is>
          <t>20260828</t>
        </is>
      </c>
      <c r="M216" s="95" t="inlineStr">
        <is>
          <t>제외</t>
        </is>
      </c>
      <c r="N216" s="95" t="inlineStr">
        <is>
          <t>60일 거래대금 1.5억(기준 5억 미만)</t>
        </is>
      </c>
      <c r="O216" s="95" t="inlineStr">
        <is>
          <t>TSE 부동산 지수</t>
        </is>
      </c>
      <c r="P216" s="95" t="inlineStr">
        <is>
          <t>일반</t>
        </is>
      </c>
      <c r="Q216" s="95" t="inlineStr">
        <is>
          <t>부동산</t>
        </is>
      </c>
      <c r="R216" s="95" t="inlineStr">
        <is>
          <t>월배당</t>
        </is>
      </c>
      <c r="S216" s="96" t="n">
        <v>10</v>
      </c>
      <c r="T216">
        <f>IF(AND($J216&lt;&gt;"",OR(조회_주기="전체",$R216=조회_주기),$J216&gt;=조회_최소,$J216&lt;=조회_최대),1,0)</f>
        <v/>
      </c>
      <c r="U216">
        <f>IF($T216=1,$U215+1,$U215)</f>
        <v/>
      </c>
      <c r="V216">
        <f>IF(검색어="",1,IF(ISNUMBER(SEARCH(검색어,$A216)),1,0))</f>
        <v/>
      </c>
      <c r="W216">
        <f>IF($V216=1,$W215+1,$W215)</f>
        <v/>
      </c>
      <c r="X216">
        <f>IFERROR(INDEX($A$4:$A$517,MATCH(213,$W$4:$W$517,0)),"")</f>
        <v/>
      </c>
    </row>
    <row r="217">
      <c r="A217" s="95" t="inlineStr">
        <is>
          <t>WON 한국부동산TOP3플러스</t>
        </is>
      </c>
      <c r="B217" s="95" t="inlineStr">
        <is>
          <t>480460</t>
        </is>
      </c>
      <c r="C217" s="95" t="inlineStr">
        <is>
          <t>우리자산운용</t>
        </is>
      </c>
      <c r="D217" s="96" t="n">
        <v>9100</v>
      </c>
      <c r="E217" s="96" t="n">
        <v>7735000000</v>
      </c>
      <c r="F217" s="96" t="n">
        <v>26198723</v>
      </c>
      <c r="G217" s="97" t="n">
        <v>0.0025</v>
      </c>
      <c r="H217" s="97" t="n">
        <v>0.17</v>
      </c>
      <c r="I217" s="97" t="n">
        <v>0.0053</v>
      </c>
      <c r="J217" s="97" t="n">
        <v>0.06593399999999999</v>
      </c>
      <c r="K217" s="96" t="n">
        <v>27</v>
      </c>
      <c r="L217" s="95" t="inlineStr">
        <is>
          <t>20260828</t>
        </is>
      </c>
      <c r="M217" s="95" t="inlineStr">
        <is>
          <t>제외</t>
        </is>
      </c>
      <c r="N217" s="95" t="inlineStr">
        <is>
          <t>순자산 77억(기준 300억 미만), 60일 거래대금 0.3억(기준 5억 미만)</t>
        </is>
      </c>
      <c r="O217" s="95" t="inlineStr">
        <is>
          <t>DeepSearch 한국부동산 Top3 플러스 지수</t>
        </is>
      </c>
      <c r="P217" s="95" t="inlineStr">
        <is>
          <t>일반</t>
        </is>
      </c>
      <c r="Q217" s="95" t="inlineStr">
        <is>
          <t>부동산</t>
        </is>
      </c>
      <c r="R217" s="95" t="inlineStr">
        <is>
          <t>월배당</t>
        </is>
      </c>
      <c r="S217" s="96" t="n">
        <v>11</v>
      </c>
      <c r="T217">
        <f>IF(AND($J217&lt;&gt;"",OR(조회_주기="전체",$R217=조회_주기),$J217&gt;=조회_최소,$J217&lt;=조회_최대),1,0)</f>
        <v/>
      </c>
      <c r="U217">
        <f>IF($T217=1,$U216+1,$U216)</f>
        <v/>
      </c>
      <c r="V217">
        <f>IF(검색어="",1,IF(ISNUMBER(SEARCH(검색어,$A217)),1,0))</f>
        <v/>
      </c>
      <c r="W217">
        <f>IF($V217=1,$W216+1,$W216)</f>
        <v/>
      </c>
      <c r="X217">
        <f>IFERROR(INDEX($A$4:$A$517,MATCH(214,$W$4:$W$517,0)),"")</f>
        <v/>
      </c>
    </row>
    <row r="218">
      <c r="A218" s="95" t="inlineStr">
        <is>
          <t>TIGER 리츠부동산인프라채권</t>
        </is>
      </c>
      <c r="B218" s="95" t="inlineStr">
        <is>
          <t>341850</t>
        </is>
      </c>
      <c r="C218" s="95" t="inlineStr">
        <is>
          <t>미래에셋자산운용</t>
        </is>
      </c>
      <c r="D218" s="96" t="n">
        <v>4560</v>
      </c>
      <c r="E218" s="96" t="n">
        <v>9120000000</v>
      </c>
      <c r="F218" s="96" t="n">
        <v>33663952</v>
      </c>
      <c r="G218" s="97" t="n">
        <v>0.0022</v>
      </c>
      <c r="H218" s="97" t="n">
        <v>0.1327</v>
      </c>
      <c r="I218" s="97" t="n">
        <v>0.0052</v>
      </c>
      <c r="J218" s="97" t="n">
        <v>0.06315800000000001</v>
      </c>
      <c r="K218" s="96" t="n">
        <v>51</v>
      </c>
      <c r="L218" s="95" t="inlineStr">
        <is>
          <t>20260828</t>
        </is>
      </c>
      <c r="M218" s="95" t="inlineStr">
        <is>
          <t>제외</t>
        </is>
      </c>
      <c r="N218" s="95" t="inlineStr">
        <is>
          <t>순자산 91억(기준 300억 미만), 60일 거래대금 0.3억(기준 5억 미만)</t>
        </is>
      </c>
      <c r="O218" s="95" t="inlineStr">
        <is>
          <t>KIS 리츠부동산인프라채권 지수</t>
        </is>
      </c>
      <c r="P218" s="95" t="inlineStr">
        <is>
          <t>일반</t>
        </is>
      </c>
      <c r="Q218" s="95" t="inlineStr">
        <is>
          <t>멀티에셋</t>
        </is>
      </c>
      <c r="R218" s="95" t="inlineStr">
        <is>
          <t>월배당</t>
        </is>
      </c>
      <c r="S218" s="96" t="n">
        <v>11</v>
      </c>
      <c r="T218">
        <f>IF(AND($J218&lt;&gt;"",OR(조회_주기="전체",$R218=조회_주기),$J218&gt;=조회_최소,$J218&lt;=조회_최대),1,0)</f>
        <v/>
      </c>
      <c r="U218">
        <f>IF($T218=1,$U217+1,$U217)</f>
        <v/>
      </c>
      <c r="V218">
        <f>IF(검색어="",1,IF(ISNUMBER(SEARCH(검색어,$A218)),1,0))</f>
        <v/>
      </c>
      <c r="W218">
        <f>IF($V218=1,$W217+1,$W217)</f>
        <v/>
      </c>
      <c r="X218">
        <f>IFERROR(INDEX($A$4:$A$517,MATCH(215,$W$4:$W$517,0)),"")</f>
        <v/>
      </c>
    </row>
    <row r="219">
      <c r="A219" s="95" t="inlineStr">
        <is>
          <t>KODEX 대만테크고배당다우존스</t>
        </is>
      </c>
      <c r="B219" s="95" t="inlineStr">
        <is>
          <t>487950</t>
        </is>
      </c>
      <c r="C219" s="95" t="inlineStr">
        <is>
          <t>삼성자산운용(ETF)</t>
        </is>
      </c>
      <c r="D219" s="96" t="n">
        <v>13065</v>
      </c>
      <c r="E219" s="96" t="n">
        <v>18944250000</v>
      </c>
      <c r="F219" s="96" t="n">
        <v>314088839</v>
      </c>
      <c r="G219" s="97" t="n">
        <v>0.004500000000000001</v>
      </c>
      <c r="H219" s="97" t="n">
        <v>0.2957</v>
      </c>
      <c r="I219" s="97" t="n">
        <v>0.005600000000000001</v>
      </c>
      <c r="J219" s="97" t="n">
        <v>0.061768</v>
      </c>
      <c r="K219" s="96" t="n">
        <v>25</v>
      </c>
      <c r="L219" s="95" t="inlineStr">
        <is>
          <t>20260828</t>
        </is>
      </c>
      <c r="M219" s="95" t="inlineStr">
        <is>
          <t>제외</t>
        </is>
      </c>
      <c r="N219" s="95" t="inlineStr">
        <is>
          <t>순자산 189억(기준 300억 미만), 60일 거래대금 3.1억(기준 5억 미만)</t>
        </is>
      </c>
      <c r="O219" s="95" t="inlineStr">
        <is>
          <t>Dow Jones Taiwan Technology Dividend 30 Index (TWD)</t>
        </is>
      </c>
      <c r="P219" s="95" t="inlineStr">
        <is>
          <t>일반</t>
        </is>
      </c>
      <c r="Q219" s="95" t="inlineStr">
        <is>
          <t>주식</t>
        </is>
      </c>
      <c r="R219" s="95" t="inlineStr">
        <is>
          <t>월배당</t>
        </is>
      </c>
      <c r="S219" s="96" t="n">
        <v>11</v>
      </c>
      <c r="T219">
        <f>IF(AND($J219&lt;&gt;"",OR(조회_주기="전체",$R219=조회_주기),$J219&gt;=조회_최소,$J219&lt;=조회_최대),1,0)</f>
        <v/>
      </c>
      <c r="U219">
        <f>IF($T219=1,$U218+1,$U218)</f>
        <v/>
      </c>
      <c r="V219">
        <f>IF(검색어="",1,IF(ISNUMBER(SEARCH(검색어,$A219)),1,0))</f>
        <v/>
      </c>
      <c r="W219">
        <f>IF($V219=1,$W218+1,$W218)</f>
        <v/>
      </c>
      <c r="X219">
        <f>IFERROR(INDEX($A$4:$A$517,MATCH(216,$W$4:$W$517,0)),"")</f>
        <v/>
      </c>
    </row>
    <row r="220">
      <c r="A220" s="95" t="inlineStr">
        <is>
          <t>ACE 싱가포르리츠</t>
        </is>
      </c>
      <c r="B220" s="95" t="inlineStr">
        <is>
          <t>316300</t>
        </is>
      </c>
      <c r="C220" s="95" t="inlineStr">
        <is>
          <t>한국투신운용(ETF)</t>
        </is>
      </c>
      <c r="D220" s="96" t="n">
        <v>12465</v>
      </c>
      <c r="E220" s="96" t="n">
        <v>6232500000</v>
      </c>
      <c r="F220" s="96" t="n">
        <v>13222123</v>
      </c>
      <c r="G220" s="97" t="n">
        <v>0.004</v>
      </c>
      <c r="H220" s="97" t="n">
        <v>0.1327</v>
      </c>
      <c r="I220" s="97" t="n">
        <v>0.004</v>
      </c>
      <c r="J220" s="97" t="n">
        <v>0.061532</v>
      </c>
      <c r="K220" s="96" t="n">
        <v>25</v>
      </c>
      <c r="L220" s="95" t="inlineStr">
        <is>
          <t>20260828</t>
        </is>
      </c>
      <c r="M220" s="95" t="inlineStr">
        <is>
          <t>제외</t>
        </is>
      </c>
      <c r="N220" s="95" t="inlineStr">
        <is>
          <t>순자산 62억(기준 300억 미만), 60일 거래대금 0.1억(기준 5억 미만)</t>
        </is>
      </c>
      <c r="O220" s="95" t="inlineStr">
        <is>
          <t>Morningstar Singapore REIT Yield Focus Index</t>
        </is>
      </c>
      <c r="P220" s="95" t="inlineStr">
        <is>
          <t>일반</t>
        </is>
      </c>
      <c r="Q220" s="95" t="inlineStr">
        <is>
          <t>부동산</t>
        </is>
      </c>
      <c r="R220" s="95" t="inlineStr">
        <is>
          <t>월배당</t>
        </is>
      </c>
      <c r="S220" s="96" t="n">
        <v>11</v>
      </c>
      <c r="T220">
        <f>IF(AND($J220&lt;&gt;"",OR(조회_주기="전체",$R220=조회_주기),$J220&gt;=조회_최소,$J220&lt;=조회_최대),1,0)</f>
        <v/>
      </c>
      <c r="U220">
        <f>IF($T220=1,$U219+1,$U219)</f>
        <v/>
      </c>
      <c r="V220">
        <f>IF(검색어="",1,IF(ISNUMBER(SEARCH(검색어,$A220)),1,0))</f>
        <v/>
      </c>
      <c r="W220">
        <f>IF($V220=1,$W219+1,$W219)</f>
        <v/>
      </c>
      <c r="X220">
        <f>IFERROR(INDEX($A$4:$A$517,MATCH(217,$W$4:$W$517,0)),"")</f>
        <v/>
      </c>
    </row>
    <row r="221">
      <c r="A221" s="95" t="inlineStr">
        <is>
          <t>TIGER 미국배당다우존스타겟커버드콜1호</t>
        </is>
      </c>
      <c r="B221" s="95" t="inlineStr">
        <is>
          <t>458750</t>
        </is>
      </c>
      <c r="C221" s="95" t="inlineStr">
        <is>
          <t>미래에셋자산운용</t>
        </is>
      </c>
      <c r="D221" s="96" t="n">
        <v>12810</v>
      </c>
      <c r="E221" s="96" t="n">
        <v>66612000000</v>
      </c>
      <c r="F221" s="96" t="n">
        <v>411551584</v>
      </c>
      <c r="G221" s="97" t="n">
        <v>0.0039</v>
      </c>
      <c r="H221" s="97" t="n">
        <v>0.1446</v>
      </c>
      <c r="I221" s="97" t="n">
        <v>0.0052</v>
      </c>
      <c r="J221" s="97" t="n">
        <v>0.059875</v>
      </c>
      <c r="K221" s="96" t="n">
        <v>39</v>
      </c>
      <c r="L221" s="95" t="inlineStr">
        <is>
          <t>20260914</t>
        </is>
      </c>
      <c r="M221" s="95" t="inlineStr">
        <is>
          <t>제외</t>
        </is>
      </c>
      <c r="N221" s="95" t="inlineStr">
        <is>
          <t>60일 거래대금 4.1억(기준 5억 미만)</t>
        </is>
      </c>
      <c r="O221" s="95" t="inlineStr">
        <is>
          <t>Dow Jones U.S. Dividend 100 3% Premium Covered Call Index</t>
        </is>
      </c>
      <c r="P221" s="95" t="inlineStr">
        <is>
          <t>커버드콜</t>
        </is>
      </c>
      <c r="Q221" s="95" t="inlineStr">
        <is>
          <t>주식</t>
        </is>
      </c>
      <c r="R221" s="95" t="inlineStr">
        <is>
          <t>월배당</t>
        </is>
      </c>
      <c r="S221" s="96" t="n">
        <v>12</v>
      </c>
      <c r="T221">
        <f>IF(AND($J221&lt;&gt;"",OR(조회_주기="전체",$R221=조회_주기),$J221&gt;=조회_최소,$J221&lt;=조회_최대),1,0)</f>
        <v/>
      </c>
      <c r="U221">
        <f>IF($T221=1,$U220+1,$U220)</f>
        <v/>
      </c>
      <c r="V221">
        <f>IF(검색어="",1,IF(ISNUMBER(SEARCH(검색어,$A221)),1,0))</f>
        <v/>
      </c>
      <c r="W221">
        <f>IF($V221=1,$W220+1,$W220)</f>
        <v/>
      </c>
      <c r="X221">
        <f>IFERROR(INDEX($A$4:$A$517,MATCH(218,$W$4:$W$517,0)),"")</f>
        <v/>
      </c>
    </row>
    <row r="222">
      <c r="A222" s="95" t="inlineStr">
        <is>
          <t>RISE 미국30년국채액티브</t>
        </is>
      </c>
      <c r="B222" s="95" t="inlineStr">
        <is>
          <t>481340</t>
        </is>
      </c>
      <c r="C222" s="95" t="inlineStr">
        <is>
          <t>KB자산운용</t>
        </is>
      </c>
      <c r="D222" s="96" t="n">
        <v>8460</v>
      </c>
      <c r="E222" s="96" t="n">
        <v>24111000000</v>
      </c>
      <c r="F222" s="96" t="n">
        <v>344358151</v>
      </c>
      <c r="G222" s="97" t="n">
        <v>0.0005</v>
      </c>
      <c r="H222" s="97" t="n">
        <v>0.131</v>
      </c>
      <c r="I222" s="97" t="n">
        <v>0.0036</v>
      </c>
      <c r="J222" s="97" t="n">
        <v>0.050827</v>
      </c>
      <c r="K222" s="96" t="n">
        <v>27</v>
      </c>
      <c r="L222" s="95" t="inlineStr">
        <is>
          <t>20260828</t>
        </is>
      </c>
      <c r="M222" s="95" t="inlineStr">
        <is>
          <t>제외</t>
        </is>
      </c>
      <c r="N222" s="95" t="inlineStr">
        <is>
          <t>순자산 241억(기준 300억 미만), 60일 거래대금 3.4억(기준 5억 미만)</t>
        </is>
      </c>
      <c r="O222" s="95" t="inlineStr">
        <is>
          <t>Bloomberg US Treasury 20+ Year Total Return Index</t>
        </is>
      </c>
      <c r="P222" s="95" t="inlineStr">
        <is>
          <t>일반</t>
        </is>
      </c>
      <c r="Q222" s="95" t="inlineStr">
        <is>
          <t>채권</t>
        </is>
      </c>
      <c r="R222" s="95" t="inlineStr">
        <is>
          <t>월배당</t>
        </is>
      </c>
      <c r="S222" s="96" t="n">
        <v>11</v>
      </c>
      <c r="T222">
        <f>IF(AND($J222&lt;&gt;"",OR(조회_주기="전체",$R222=조회_주기),$J222&gt;=조회_최소,$J222&lt;=조회_최대),1,0)</f>
        <v/>
      </c>
      <c r="U222">
        <f>IF($T222=1,$U221+1,$U221)</f>
        <v/>
      </c>
      <c r="V222">
        <f>IF(검색어="",1,IF(ISNUMBER(SEARCH(검색어,$A222)),1,0))</f>
        <v/>
      </c>
      <c r="W222">
        <f>IF($V222=1,$W221+1,$W221)</f>
        <v/>
      </c>
      <c r="X222">
        <f>IFERROR(INDEX($A$4:$A$517,MATCH(219,$W$4:$W$517,0)),"")</f>
        <v/>
      </c>
    </row>
    <row r="223">
      <c r="A223" s="95" t="inlineStr">
        <is>
          <t>TIGER 미국투자등급회사채액티브(H)</t>
        </is>
      </c>
      <c r="B223" s="95" t="inlineStr">
        <is>
          <t>458260</t>
        </is>
      </c>
      <c r="C223" s="95" t="inlineStr">
        <is>
          <t>미래에셋자산운용</t>
        </is>
      </c>
      <c r="D223" s="96" t="n">
        <v>45740</v>
      </c>
      <c r="E223" s="96" t="n">
        <v>219552000000</v>
      </c>
      <c r="F223" s="96" t="n">
        <v>420877560</v>
      </c>
      <c r="G223" s="97" t="n">
        <v>0.0014</v>
      </c>
      <c r="H223" s="97" t="n">
        <v>0.0528</v>
      </c>
      <c r="I223" s="97" t="n">
        <v>0.0037</v>
      </c>
      <c r="J223" s="97" t="n">
        <v>0.049869</v>
      </c>
      <c r="K223" s="96" t="n">
        <v>39</v>
      </c>
      <c r="L223" s="95" t="inlineStr">
        <is>
          <t>20260828</t>
        </is>
      </c>
      <c r="M223" s="95" t="inlineStr">
        <is>
          <t>제외</t>
        </is>
      </c>
      <c r="N223" s="95" t="inlineStr">
        <is>
          <t>60일 거래대금 4.2억(기준 5억 미만)</t>
        </is>
      </c>
      <c r="O223" s="95" t="inlineStr">
        <is>
          <t>iBoxx USD Liquid Investment Grade PR Index</t>
        </is>
      </c>
      <c r="P223" s="95" t="inlineStr">
        <is>
          <t>일반</t>
        </is>
      </c>
      <c r="Q223" s="95" t="inlineStr">
        <is>
          <t>채권</t>
        </is>
      </c>
      <c r="R223" s="95" t="inlineStr">
        <is>
          <t>월배당</t>
        </is>
      </c>
      <c r="S223" s="96" t="n">
        <v>11</v>
      </c>
      <c r="T223">
        <f>IF(AND($J223&lt;&gt;"",OR(조회_주기="전체",$R223=조회_주기),$J223&gt;=조회_최소,$J223&lt;=조회_최대),1,0)</f>
        <v/>
      </c>
      <c r="U223">
        <f>IF($T223=1,$U222+1,$U222)</f>
        <v/>
      </c>
      <c r="V223">
        <f>IF(검색어="",1,IF(ISNUMBER(SEARCH(검색어,$A223)),1,0))</f>
        <v/>
      </c>
      <c r="W223">
        <f>IF($V223=1,$W222+1,$W222)</f>
        <v/>
      </c>
      <c r="X223">
        <f>IFERROR(INDEX($A$4:$A$517,MATCH(220,$W$4:$W$517,0)),"")</f>
        <v/>
      </c>
    </row>
    <row r="224">
      <c r="A224" s="95" t="inlineStr">
        <is>
          <t>KODEX 아시아달러채권ESG플러스액티브</t>
        </is>
      </c>
      <c r="B224" s="95" t="inlineStr">
        <is>
          <t>437070</t>
        </is>
      </c>
      <c r="C224" s="95" t="inlineStr">
        <is>
          <t>삼성자산운용(ETF)</t>
        </is>
      </c>
      <c r="D224" s="96" t="n">
        <v>58505</v>
      </c>
      <c r="E224" s="96" t="n">
        <v>20242730000</v>
      </c>
      <c r="F224" s="96" t="n">
        <v>55743274</v>
      </c>
      <c r="G224" s="97" t="n">
        <v>0.0018</v>
      </c>
      <c r="H224" s="97" t="n">
        <v>0.1035</v>
      </c>
      <c r="I224" s="97" t="n">
        <v>0.0042</v>
      </c>
      <c r="J224" s="97" t="n">
        <v>0.049756</v>
      </c>
      <c r="K224" s="96" t="n">
        <v>14</v>
      </c>
      <c r="L224" s="95" t="inlineStr">
        <is>
          <t>20260828</t>
        </is>
      </c>
      <c r="M224" s="95" t="inlineStr">
        <is>
          <t>제외</t>
        </is>
      </c>
      <c r="N224" s="95" t="inlineStr">
        <is>
          <t>순자산 202억(기준 300억 미만), 60일 거래대금 0.6억(기준 5억 미만)</t>
        </is>
      </c>
      <c r="O224" s="95" t="inlineStr">
        <is>
          <t>Bloomberg MSCI EM Asia Investment Grade Credit SRI Index TR</t>
        </is>
      </c>
      <c r="P224" s="95" t="inlineStr">
        <is>
          <t>일반</t>
        </is>
      </c>
      <c r="Q224" s="95" t="inlineStr">
        <is>
          <t>채권</t>
        </is>
      </c>
      <c r="R224" s="95" t="inlineStr">
        <is>
          <t>월배당</t>
        </is>
      </c>
      <c r="S224" s="96" t="n">
        <v>11</v>
      </c>
      <c r="T224">
        <f>IF(AND($J224&lt;&gt;"",OR(조회_주기="전체",$R224=조회_주기),$J224&gt;=조회_최소,$J224&lt;=조회_최대),1,0)</f>
        <v/>
      </c>
      <c r="U224">
        <f>IF($T224=1,$U223+1,$U223)</f>
        <v/>
      </c>
      <c r="V224">
        <f>IF(검색어="",1,IF(ISNUMBER(SEARCH(검색어,$A224)),1,0))</f>
        <v/>
      </c>
      <c r="W224">
        <f>IF($V224=1,$W223+1,$W223)</f>
        <v/>
      </c>
      <c r="X224">
        <f>IFERROR(INDEX($A$4:$A$517,MATCH(221,$W$4:$W$517,0)),"")</f>
        <v/>
      </c>
    </row>
    <row r="225">
      <c r="A225" s="95" t="inlineStr">
        <is>
          <t>KoAct 미국천연가스인프라액티브</t>
        </is>
      </c>
      <c r="B225" s="95" t="inlineStr">
        <is>
          <t>497780</t>
        </is>
      </c>
      <c r="C225" s="95" t="inlineStr">
        <is>
          <t>삼성액티브자산(ETF)</t>
        </is>
      </c>
      <c r="D225" s="96" t="n">
        <v>10400</v>
      </c>
      <c r="E225" s="96" t="n">
        <v>19240000000</v>
      </c>
      <c r="F225" s="96" t="n">
        <v>204155347</v>
      </c>
      <c r="G225" s="97" t="n">
        <v>0.005</v>
      </c>
      <c r="H225" s="97" t="n">
        <v>0.179</v>
      </c>
      <c r="I225" s="97" t="n">
        <v>0.0039</v>
      </c>
      <c r="J225" s="97" t="n">
        <v>0.049327</v>
      </c>
      <c r="K225" s="96" t="n">
        <v>20</v>
      </c>
      <c r="L225" s="95" t="inlineStr">
        <is>
          <t>20260828</t>
        </is>
      </c>
      <c r="M225" s="95" t="inlineStr">
        <is>
          <t>제외</t>
        </is>
      </c>
      <c r="N225" s="95" t="inlineStr">
        <is>
          <t>순자산 192억(기준 300억 미만), 60일 거래대금 2.0억(기준 5억 미만)</t>
        </is>
      </c>
      <c r="O225" s="95" t="inlineStr">
        <is>
          <t>Solactive US Natural Gas Infrastructure Index PR</t>
        </is>
      </c>
      <c r="P225" s="95" t="inlineStr">
        <is>
          <t>일반</t>
        </is>
      </c>
      <c r="Q225" s="95" t="inlineStr">
        <is>
          <t>주식</t>
        </is>
      </c>
      <c r="R225" s="95" t="inlineStr">
        <is>
          <t>월배당</t>
        </is>
      </c>
      <c r="S225" s="96" t="n">
        <v>11</v>
      </c>
      <c r="T225">
        <f>IF(AND($J225&lt;&gt;"",OR(조회_주기="전체",$R225=조회_주기),$J225&gt;=조회_최소,$J225&lt;=조회_최대),1,0)</f>
        <v/>
      </c>
      <c r="U225">
        <f>IF($T225=1,$U224+1,$U224)</f>
        <v/>
      </c>
      <c r="V225">
        <f>IF(검색어="",1,IF(ISNUMBER(SEARCH(검색어,$A225)),1,0))</f>
        <v/>
      </c>
      <c r="W225">
        <f>IF($V225=1,$W224+1,$W224)</f>
        <v/>
      </c>
      <c r="X225">
        <f>IFERROR(INDEX($A$4:$A$517,MATCH(222,$W$4:$W$517,0)),"")</f>
        <v/>
      </c>
    </row>
    <row r="226">
      <c r="A226" s="95" t="inlineStr">
        <is>
          <t>PLUS 미국장기우량회사채</t>
        </is>
      </c>
      <c r="B226" s="95" t="inlineStr">
        <is>
          <t>332620</t>
        </is>
      </c>
      <c r="C226" s="95" t="inlineStr">
        <is>
          <t>한화자산운용</t>
        </is>
      </c>
      <c r="D226" s="96" t="n">
        <v>87395</v>
      </c>
      <c r="E226" s="96" t="n">
        <v>16342865000</v>
      </c>
      <c r="F226" s="96" t="n">
        <v>57386225</v>
      </c>
      <c r="G226" s="97" t="n">
        <v>0.00315</v>
      </c>
      <c r="H226" s="97" t="n">
        <v>0.1198</v>
      </c>
      <c r="I226" s="97" t="n">
        <v>0.0035</v>
      </c>
      <c r="J226" s="97" t="n">
        <v>0.047554</v>
      </c>
      <c r="K226" s="96" t="n">
        <v>18</v>
      </c>
      <c r="L226" s="95" t="inlineStr">
        <is>
          <t>20260828</t>
        </is>
      </c>
      <c r="M226" s="95" t="inlineStr">
        <is>
          <t>제외</t>
        </is>
      </c>
      <c r="N226" s="95" t="inlineStr">
        <is>
          <t>순자산 163억(기준 300억 미만), 60일 거래대금 0.6억(기준 5억 미만)</t>
        </is>
      </c>
      <c r="O226" s="95" t="inlineStr">
        <is>
          <t>ICE BOFAML 15+ YEAR AAA-A US CORPORATE INDEX</t>
        </is>
      </c>
      <c r="P226" s="95" t="inlineStr">
        <is>
          <t>일반</t>
        </is>
      </c>
      <c r="Q226" s="95" t="inlineStr">
        <is>
          <t>채권</t>
        </is>
      </c>
      <c r="R226" s="95" t="inlineStr">
        <is>
          <t>월배당</t>
        </is>
      </c>
      <c r="S226" s="96" t="n">
        <v>11</v>
      </c>
      <c r="T226">
        <f>IF(AND($J226&lt;&gt;"",OR(조회_주기="전체",$R226=조회_주기),$J226&gt;=조회_최소,$J226&lt;=조회_최대),1,0)</f>
        <v/>
      </c>
      <c r="U226">
        <f>IF($T226=1,$U225+1,$U225)</f>
        <v/>
      </c>
      <c r="V226">
        <f>IF(검색어="",1,IF(ISNUMBER(SEARCH(검색어,$A226)),1,0))</f>
        <v/>
      </c>
      <c r="W226">
        <f>IF($V226=1,$W225+1,$W225)</f>
        <v/>
      </c>
      <c r="X226">
        <f>IFERROR(INDEX($A$4:$A$517,MATCH(223,$W$4:$W$517,0)),"")</f>
        <v/>
      </c>
    </row>
    <row r="227">
      <c r="A227" s="95" t="inlineStr">
        <is>
          <t>KIWOOM 코리아고배당</t>
        </is>
      </c>
      <c r="B227" s="95" t="inlineStr">
        <is>
          <t>104530</t>
        </is>
      </c>
      <c r="C227" s="95" t="inlineStr">
        <is>
          <t>키움투자자산운용</t>
        </is>
      </c>
      <c r="D227" s="96" t="n">
        <v>17265</v>
      </c>
      <c r="E227" s="96" t="n">
        <v>35393250000</v>
      </c>
      <c r="F227" s="96" t="n">
        <v>191561160</v>
      </c>
      <c r="G227" s="97" t="n">
        <v>0.0019</v>
      </c>
      <c r="H227" s="97" t="n">
        <v>0.3082</v>
      </c>
      <c r="I227" s="97" t="n">
        <v>0.004500000000000001</v>
      </c>
      <c r="J227" s="97" t="n">
        <v>0.047205</v>
      </c>
      <c r="K227" s="96" t="n">
        <v>30</v>
      </c>
      <c r="L227" s="95" t="inlineStr">
        <is>
          <t>20260914</t>
        </is>
      </c>
      <c r="M227" s="95" t="inlineStr">
        <is>
          <t>제외</t>
        </is>
      </c>
      <c r="N227" s="95" t="inlineStr">
        <is>
          <t>60일 거래대금 1.9억(기준 5억 미만)</t>
        </is>
      </c>
      <c r="O227" s="95" t="inlineStr">
        <is>
          <t>FnGuide Wealth 고배당20</t>
        </is>
      </c>
      <c r="P227" s="95" t="inlineStr">
        <is>
          <t>일반</t>
        </is>
      </c>
      <c r="Q227" s="95" t="inlineStr">
        <is>
          <t>주식</t>
        </is>
      </c>
      <c r="R227" s="95" t="inlineStr">
        <is>
          <t>월배당</t>
        </is>
      </c>
      <c r="S227" s="96" t="n">
        <v>12</v>
      </c>
      <c r="T227">
        <f>IF(AND($J227&lt;&gt;"",OR(조회_주기="전체",$R227=조회_주기),$J227&gt;=조회_최소,$J227&lt;=조회_최대),1,0)</f>
        <v/>
      </c>
      <c r="U227">
        <f>IF($T227=1,$U226+1,$U226)</f>
        <v/>
      </c>
      <c r="V227">
        <f>IF(검색어="",1,IF(ISNUMBER(SEARCH(검색어,$A227)),1,0))</f>
        <v/>
      </c>
      <c r="W227">
        <f>IF($V227=1,$W226+1,$W226)</f>
        <v/>
      </c>
      <c r="X227">
        <f>IFERROR(INDEX($A$4:$A$517,MATCH(224,$W$4:$W$517,0)),"")</f>
        <v/>
      </c>
    </row>
    <row r="228">
      <c r="A228" s="95" t="inlineStr">
        <is>
          <t>TIGER 코스피고배당</t>
        </is>
      </c>
      <c r="B228" s="95" t="inlineStr">
        <is>
          <t>210780</t>
        </is>
      </c>
      <c r="C228" s="95" t="inlineStr">
        <is>
          <t>미래에셋자산운용</t>
        </is>
      </c>
      <c r="D228" s="96" t="n">
        <v>23520</v>
      </c>
      <c r="E228" s="96" t="n">
        <v>77616000000</v>
      </c>
      <c r="F228" s="96" t="n">
        <v>418639095</v>
      </c>
      <c r="G228" s="97" t="n">
        <v>0.0029</v>
      </c>
      <c r="H228" s="97" t="n">
        <v>0.2865</v>
      </c>
      <c r="I228" s="97" t="n">
        <v>0.011</v>
      </c>
      <c r="J228" s="97" t="n">
        <v>0.046769</v>
      </c>
      <c r="K228" s="96" t="n">
        <v>17</v>
      </c>
      <c r="L228" s="95" t="inlineStr">
        <is>
          <t>20260730</t>
        </is>
      </c>
      <c r="M228" s="95" t="inlineStr">
        <is>
          <t>제외</t>
        </is>
      </c>
      <c r="N228" s="95" t="inlineStr">
        <is>
          <t>60일 거래대금 4.2억(기준 5억 미만)</t>
        </is>
      </c>
      <c r="O228" s="95" t="inlineStr">
        <is>
          <t>코스피 고배당 50</t>
        </is>
      </c>
      <c r="P228" s="95" t="inlineStr">
        <is>
          <t>일반</t>
        </is>
      </c>
      <c r="Q228" s="95" t="inlineStr">
        <is>
          <t>주식</t>
        </is>
      </c>
      <c r="R228" s="95" t="inlineStr">
        <is>
          <t>분기배당</t>
        </is>
      </c>
      <c r="S228" s="96" t="n">
        <v>4</v>
      </c>
      <c r="T228">
        <f>IF(AND($J228&lt;&gt;"",OR(조회_주기="전체",$R228=조회_주기),$J228&gt;=조회_최소,$J228&lt;=조회_최대),1,0)</f>
        <v/>
      </c>
      <c r="U228">
        <f>IF($T228=1,$U227+1,$U227)</f>
        <v/>
      </c>
      <c r="V228">
        <f>IF(검색어="",1,IF(ISNUMBER(SEARCH(검색어,$A228)),1,0))</f>
        <v/>
      </c>
      <c r="W228">
        <f>IF($V228=1,$W227+1,$W227)</f>
        <v/>
      </c>
      <c r="X228">
        <f>IFERROR(INDEX($A$4:$A$517,MATCH(225,$W$4:$W$517,0)),"")</f>
        <v/>
      </c>
    </row>
    <row r="229">
      <c r="A229" s="95" t="inlineStr">
        <is>
          <t>KODEX iShares미국투자등급회사채액티브</t>
        </is>
      </c>
      <c r="B229" s="95" t="inlineStr">
        <is>
          <t>468630</t>
        </is>
      </c>
      <c r="C229" s="95" t="inlineStr">
        <is>
          <t>삼성자산운용(ETF)</t>
        </is>
      </c>
      <c r="D229" s="96" t="n">
        <v>10730</v>
      </c>
      <c r="E229" s="96" t="n">
        <v>30151300000</v>
      </c>
      <c r="F229" s="96" t="n">
        <v>472195954</v>
      </c>
      <c r="G229" s="97" t="n">
        <v>0.001</v>
      </c>
      <c r="H229" s="97" t="n">
        <v>0.1091</v>
      </c>
      <c r="I229" s="97" t="n">
        <v>0.004</v>
      </c>
      <c r="J229" s="97" t="n">
        <v>0.046412</v>
      </c>
      <c r="K229" s="96" t="n">
        <v>34</v>
      </c>
      <c r="L229" s="95" t="inlineStr">
        <is>
          <t>20260828</t>
        </is>
      </c>
      <c r="M229" s="95" t="inlineStr">
        <is>
          <t>제외</t>
        </is>
      </c>
      <c r="N229" s="95" t="inlineStr">
        <is>
          <t>60일 거래대금 4.7억(기준 5억 미만)</t>
        </is>
      </c>
      <c r="O229" s="95" t="inlineStr">
        <is>
          <t>iBoxx USD Liquid IG Index</t>
        </is>
      </c>
      <c r="P229" s="95" t="inlineStr">
        <is>
          <t>일반</t>
        </is>
      </c>
      <c r="Q229" s="95" t="inlineStr">
        <is>
          <t>채권</t>
        </is>
      </c>
      <c r="R229" s="95" t="inlineStr">
        <is>
          <t>월배당</t>
        </is>
      </c>
      <c r="S229" s="96" t="n">
        <v>11</v>
      </c>
      <c r="T229">
        <f>IF(AND($J229&lt;&gt;"",OR(조회_주기="전체",$R229=조회_주기),$J229&gt;=조회_최소,$J229&lt;=조회_최대),1,0)</f>
        <v/>
      </c>
      <c r="U229">
        <f>IF($T229=1,$U228+1,$U228)</f>
        <v/>
      </c>
      <c r="V229">
        <f>IF(검색어="",1,IF(ISNUMBER(SEARCH(검색어,$A229)),1,0))</f>
        <v/>
      </c>
      <c r="W229">
        <f>IF($V229=1,$W228+1,$W228)</f>
        <v/>
      </c>
      <c r="X229">
        <f>IFERROR(INDEX($A$4:$A$517,MATCH(226,$W$4:$W$517,0)),"")</f>
        <v/>
      </c>
    </row>
    <row r="230">
      <c r="A230" s="95" t="inlineStr">
        <is>
          <t>TIGER 글로벌멀티에셋TIF액티브</t>
        </is>
      </c>
      <c r="B230" s="95" t="inlineStr">
        <is>
          <t>440340</t>
        </is>
      </c>
      <c r="C230" s="95" t="inlineStr">
        <is>
          <t>미래에셋자산운용</t>
        </is>
      </c>
      <c r="D230" s="96" t="n">
        <v>11815</v>
      </c>
      <c r="E230" s="96" t="n">
        <v>26583750000</v>
      </c>
      <c r="F230" s="96" t="n">
        <v>144819635</v>
      </c>
      <c r="G230" s="97" t="n">
        <v>0.005500000000000001</v>
      </c>
      <c r="H230" s="97" t="n">
        <v>0.1062</v>
      </c>
      <c r="I230" s="97" t="n">
        <v>0.0038</v>
      </c>
      <c r="J230" s="97" t="n">
        <v>0.040457</v>
      </c>
      <c r="K230" s="96" t="n">
        <v>48</v>
      </c>
      <c r="L230" s="95" t="inlineStr">
        <is>
          <t>20260828</t>
        </is>
      </c>
      <c r="M230" s="95" t="inlineStr">
        <is>
          <t>제외</t>
        </is>
      </c>
      <c r="N230" s="95" t="inlineStr">
        <is>
          <t>순자산 266억(기준 300억 미만), 60일 거래대금 1.4억(기준 5억 미만)</t>
        </is>
      </c>
      <c r="O230" s="95" t="inlineStr">
        <is>
          <t>Indxx Multi Asset Income Index</t>
        </is>
      </c>
      <c r="P230" s="95" t="inlineStr">
        <is>
          <t>일반</t>
        </is>
      </c>
      <c r="Q230" s="95" t="inlineStr">
        <is>
          <t>멀티에셋</t>
        </is>
      </c>
      <c r="R230" s="95" t="inlineStr">
        <is>
          <t>월배당</t>
        </is>
      </c>
      <c r="S230" s="96" t="n">
        <v>11</v>
      </c>
      <c r="T230">
        <f>IF(AND($J230&lt;&gt;"",OR(조회_주기="전체",$R230=조회_주기),$J230&gt;=조회_최소,$J230&lt;=조회_최대),1,0)</f>
        <v/>
      </c>
      <c r="U230">
        <f>IF($T230=1,$U229+1,$U229)</f>
        <v/>
      </c>
      <c r="V230">
        <f>IF(검색어="",1,IF(ISNUMBER(SEARCH(검색어,$A230)),1,0))</f>
        <v/>
      </c>
      <c r="W230">
        <f>IF($V230=1,$W229+1,$W229)</f>
        <v/>
      </c>
      <c r="X230">
        <f>IFERROR(INDEX($A$4:$A$517,MATCH(227,$W$4:$W$517,0)),"")</f>
        <v/>
      </c>
    </row>
    <row r="231">
      <c r="A231" s="95" t="inlineStr">
        <is>
          <t>RISE 글로벌리얼티인컴</t>
        </is>
      </c>
      <c r="B231" s="95" t="inlineStr">
        <is>
          <t>475380</t>
        </is>
      </c>
      <c r="C231" s="95" t="inlineStr">
        <is>
          <t>KB자산운용</t>
        </is>
      </c>
      <c r="D231" s="96" t="n">
        <v>10055</v>
      </c>
      <c r="E231" s="96" t="n">
        <v>26645750000</v>
      </c>
      <c r="F231" s="96" t="n">
        <v>80866835</v>
      </c>
      <c r="G231" s="97" t="n">
        <v>0.0001</v>
      </c>
      <c r="H231" s="97" t="n">
        <v>0.1418</v>
      </c>
      <c r="I231" s="97" t="n">
        <v>0.003</v>
      </c>
      <c r="J231" s="97" t="n">
        <v>0.039781</v>
      </c>
      <c r="K231" s="96" t="n">
        <v>30</v>
      </c>
      <c r="L231" s="95" t="inlineStr">
        <is>
          <t>20260828</t>
        </is>
      </c>
      <c r="M231" s="95" t="inlineStr">
        <is>
          <t>제외</t>
        </is>
      </c>
      <c r="N231" s="95" t="inlineStr">
        <is>
          <t>순자산 266억(기준 300억 미만), 60일 거래대금 0.8억(기준 5억 미만)</t>
        </is>
      </c>
      <c r="O231" s="95" t="inlineStr">
        <is>
          <t>Solactive Global Realty Income Index PR</t>
        </is>
      </c>
      <c r="P231" s="95" t="inlineStr">
        <is>
          <t>일반</t>
        </is>
      </c>
      <c r="Q231" s="95" t="inlineStr">
        <is>
          <t>부동산</t>
        </is>
      </c>
      <c r="R231" s="95" t="inlineStr">
        <is>
          <t>월배당</t>
        </is>
      </c>
      <c r="S231" s="96" t="n">
        <v>11</v>
      </c>
      <c r="T231">
        <f>IF(AND($J231&lt;&gt;"",OR(조회_주기="전체",$R231=조회_주기),$J231&gt;=조회_최소,$J231&lt;=조회_최대),1,0)</f>
        <v/>
      </c>
      <c r="U231">
        <f>IF($T231=1,$U230+1,$U230)</f>
        <v/>
      </c>
      <c r="V231">
        <f>IF(검색어="",1,IF(ISNUMBER(SEARCH(검색어,$A231)),1,0))</f>
        <v/>
      </c>
      <c r="W231">
        <f>IF($V231=1,$W230+1,$W230)</f>
        <v/>
      </c>
      <c r="X231">
        <f>IFERROR(INDEX($A$4:$A$517,MATCH(228,$W$4:$W$517,0)),"")</f>
        <v/>
      </c>
    </row>
    <row r="232">
      <c r="A232" s="95" t="inlineStr">
        <is>
          <t>TIGER 200커버드콜OTM</t>
        </is>
      </c>
      <c r="B232" s="95" t="inlineStr">
        <is>
          <t>166400</t>
        </is>
      </c>
      <c r="C232" s="95" t="inlineStr">
        <is>
          <t>미래에셋자산운용</t>
        </is>
      </c>
      <c r="D232" s="96" t="n">
        <v>24095</v>
      </c>
      <c r="E232" s="96" t="n">
        <v>12047500000</v>
      </c>
      <c r="F232" s="96" t="n">
        <v>47371656</v>
      </c>
      <c r="G232" s="97" t="n">
        <v>0.0038</v>
      </c>
      <c r="H232" s="97" t="n">
        <v>0.4263</v>
      </c>
      <c r="I232" s="97" t="n">
        <v>0.0039</v>
      </c>
      <c r="J232" s="97" t="n">
        <v>0.039469</v>
      </c>
      <c r="K232" s="96" t="n">
        <v>51</v>
      </c>
      <c r="L232" s="95" t="inlineStr">
        <is>
          <t>20260828</t>
        </is>
      </c>
      <c r="M232" s="95" t="inlineStr">
        <is>
          <t>제외</t>
        </is>
      </c>
      <c r="N232" s="95" t="inlineStr">
        <is>
          <t>순자산 120억(기준 300억 미만), 60일 거래대금 0.5억(기준 5억 미만), 변동성 42.6%(1년 기준, 기준 35% 초과)</t>
        </is>
      </c>
      <c r="O232" s="95" t="inlineStr">
        <is>
          <t>코스피 200 커버드콜 5% OTM</t>
        </is>
      </c>
      <c r="P232" s="95" t="inlineStr">
        <is>
          <t>커버드콜</t>
        </is>
      </c>
      <c r="Q232" s="95" t="inlineStr">
        <is>
          <t>주식</t>
        </is>
      </c>
      <c r="R232" s="95" t="inlineStr">
        <is>
          <t>월배당</t>
        </is>
      </c>
      <c r="S232" s="96" t="n">
        <v>11</v>
      </c>
      <c r="T232">
        <f>IF(AND($J232&lt;&gt;"",OR(조회_주기="전체",$R232=조회_주기),$J232&gt;=조회_최소,$J232&lt;=조회_최대),1,0)</f>
        <v/>
      </c>
      <c r="U232">
        <f>IF($T232=1,$U231+1,$U231)</f>
        <v/>
      </c>
      <c r="V232">
        <f>IF(검색어="",1,IF(ISNUMBER(SEARCH(검색어,$A232)),1,0))</f>
        <v/>
      </c>
      <c r="W232">
        <f>IF($V232=1,$W231+1,$W231)</f>
        <v/>
      </c>
      <c r="X232">
        <f>IFERROR(INDEX($A$4:$A$517,MATCH(229,$W$4:$W$517,0)),"")</f>
        <v/>
      </c>
    </row>
    <row r="233">
      <c r="A233" s="95" t="inlineStr">
        <is>
          <t>KIWOOM 한국고배당&amp;미국AI테크</t>
        </is>
      </c>
      <c r="B233" s="95" t="inlineStr">
        <is>
          <t>0097L0</t>
        </is>
      </c>
      <c r="C233" s="95" t="inlineStr">
        <is>
          <t>키움투자자산운용</t>
        </is>
      </c>
      <c r="D233" s="96" t="n">
        <v>12430</v>
      </c>
      <c r="E233" s="96" t="n">
        <v>24238500000</v>
      </c>
      <c r="F233" s="96" t="n">
        <v>115801710</v>
      </c>
      <c r="G233" s="97" t="n">
        <v>0.004500000000000001</v>
      </c>
      <c r="H233" s="97" t="n">
        <v>0.2608</v>
      </c>
      <c r="I233" s="97" t="n">
        <v>0.0043</v>
      </c>
      <c r="J233" s="97" t="n">
        <v>0.038214</v>
      </c>
      <c r="K233" s="96" t="n">
        <v>12</v>
      </c>
      <c r="L233" s="95" t="inlineStr">
        <is>
          <t>20260828</t>
        </is>
      </c>
      <c r="M233" s="95" t="inlineStr">
        <is>
          <t>제외</t>
        </is>
      </c>
      <c r="N233" s="95" t="inlineStr">
        <is>
          <t>순자산 242억(기준 300억 미만), 60일 거래대금 1.2억(기준 5억 미만)</t>
        </is>
      </c>
      <c r="O233" s="95" t="inlineStr">
        <is>
          <t>Akros 미국AI테크Top10&amp;한국고배당 3070 지수</t>
        </is>
      </c>
      <c r="P233" s="95" t="inlineStr">
        <is>
          <t>일반</t>
        </is>
      </c>
      <c r="Q233" s="95" t="inlineStr">
        <is>
          <t>주식</t>
        </is>
      </c>
      <c r="R233" s="95" t="inlineStr">
        <is>
          <t>월배당</t>
        </is>
      </c>
      <c r="S233" s="96" t="n">
        <v>11</v>
      </c>
      <c r="T233">
        <f>IF(AND($J233&lt;&gt;"",OR(조회_주기="전체",$R233=조회_주기),$J233&gt;=조회_최소,$J233&lt;=조회_최대),1,0)</f>
        <v/>
      </c>
      <c r="U233">
        <f>IF($T233=1,$U232+1,$U232)</f>
        <v/>
      </c>
      <c r="V233">
        <f>IF(검색어="",1,IF(ISNUMBER(SEARCH(검색어,$A233)),1,0))</f>
        <v/>
      </c>
      <c r="W233">
        <f>IF($V233=1,$W232+1,$W232)</f>
        <v/>
      </c>
      <c r="X233">
        <f>IFERROR(INDEX($A$4:$A$517,MATCH(230,$W$4:$W$517,0)),"")</f>
        <v/>
      </c>
    </row>
    <row r="234">
      <c r="A234" s="95" t="inlineStr">
        <is>
          <t>ACE 미국10년국채액티브(H)</t>
        </is>
      </c>
      <c r="B234" s="95" t="inlineStr">
        <is>
          <t>0085N0</t>
        </is>
      </c>
      <c r="C234" s="95" t="inlineStr">
        <is>
          <t>한국투신운용(ETF)</t>
        </is>
      </c>
      <c r="D234" s="96" t="n">
        <v>9610</v>
      </c>
      <c r="E234" s="96" t="n">
        <v>34596000000</v>
      </c>
      <c r="F234" s="96" t="n">
        <v>289262467</v>
      </c>
      <c r="G234" s="97" t="n">
        <v>0.0015</v>
      </c>
      <c r="H234" s="97" t="n">
        <v>0.04389999999999999</v>
      </c>
      <c r="I234" s="97" t="n">
        <v>0.0033</v>
      </c>
      <c r="J234" s="97" t="n">
        <v>0.038085</v>
      </c>
      <c r="K234" s="96" t="n">
        <v>13</v>
      </c>
      <c r="L234" s="95" t="inlineStr">
        <is>
          <t>20260828</t>
        </is>
      </c>
      <c r="M234" s="95" t="inlineStr">
        <is>
          <t>제외</t>
        </is>
      </c>
      <c r="N234" s="95" t="inlineStr">
        <is>
          <t>60일 거래대금 2.9억(기준 5억 미만)</t>
        </is>
      </c>
      <c r="O234" s="95" t="inlineStr">
        <is>
          <t>ICE U.S.Treasury 7-10 Year Bond Index</t>
        </is>
      </c>
      <c r="P234" s="95" t="inlineStr">
        <is>
          <t>일반</t>
        </is>
      </c>
      <c r="Q234" s="95" t="inlineStr">
        <is>
          <t>채권</t>
        </is>
      </c>
      <c r="R234" s="95" t="inlineStr">
        <is>
          <t>월배당</t>
        </is>
      </c>
      <c r="S234" s="96" t="n">
        <v>11</v>
      </c>
      <c r="T234">
        <f>IF(AND($J234&lt;&gt;"",OR(조회_주기="전체",$R234=조회_주기),$J234&gt;=조회_최소,$J234&lt;=조회_최대),1,0)</f>
        <v/>
      </c>
      <c r="U234">
        <f>IF($T234=1,$U233+1,$U233)</f>
        <v/>
      </c>
      <c r="V234">
        <f>IF(검색어="",1,IF(ISNUMBER(SEARCH(검색어,$A234)),1,0))</f>
        <v/>
      </c>
      <c r="W234">
        <f>IF($V234=1,$W233+1,$W233)</f>
        <v/>
      </c>
      <c r="X234">
        <f>IFERROR(INDEX($A$4:$A$517,MATCH(231,$W$4:$W$517,0)),"")</f>
        <v/>
      </c>
    </row>
    <row r="235">
      <c r="A235" s="95" t="inlineStr">
        <is>
          <t>PLUS 미국단기회사채(AAA~A)</t>
        </is>
      </c>
      <c r="B235" s="95" t="inlineStr">
        <is>
          <t>332610</t>
        </is>
      </c>
      <c r="C235" s="95" t="inlineStr">
        <is>
          <t>한화자산운용</t>
        </is>
      </c>
      <c r="D235" s="96" t="n">
        <v>125455</v>
      </c>
      <c r="E235" s="96" t="n">
        <v>12043680000</v>
      </c>
      <c r="F235" s="96" t="n">
        <v>3964635904</v>
      </c>
      <c r="G235" s="97" t="n">
        <v>0.00315</v>
      </c>
      <c r="H235" s="97" t="n">
        <v>0.1039</v>
      </c>
      <c r="I235" s="97" t="n">
        <v>0.003</v>
      </c>
      <c r="J235" s="97" t="n">
        <v>0.037862</v>
      </c>
      <c r="K235" s="96" t="n">
        <v>18</v>
      </c>
      <c r="L235" s="95" t="inlineStr">
        <is>
          <t>20260828</t>
        </is>
      </c>
      <c r="M235" s="95" t="inlineStr">
        <is>
          <t>제외</t>
        </is>
      </c>
      <c r="N235" s="95" t="inlineStr">
        <is>
          <t>순자산 120억(기준 300억 미만)</t>
        </is>
      </c>
      <c r="O235" s="95" t="inlineStr">
        <is>
          <t>ICE BOFAML 1-3 YEAR AAA-A US CORPORATE INDEX</t>
        </is>
      </c>
      <c r="P235" s="95" t="inlineStr">
        <is>
          <t>일반</t>
        </is>
      </c>
      <c r="Q235" s="95" t="inlineStr">
        <is>
          <t>채권</t>
        </is>
      </c>
      <c r="R235" s="95" t="inlineStr">
        <is>
          <t>월배당</t>
        </is>
      </c>
      <c r="S235" s="96" t="n">
        <v>11</v>
      </c>
      <c r="T235">
        <f>IF(AND($J235&lt;&gt;"",OR(조회_주기="전체",$R235=조회_주기),$J235&gt;=조회_최소,$J235&lt;=조회_최대),1,0)</f>
        <v/>
      </c>
      <c r="U235">
        <f>IF($T235=1,$U234+1,$U234)</f>
        <v/>
      </c>
      <c r="V235">
        <f>IF(검색어="",1,IF(ISNUMBER(SEARCH(검색어,$A235)),1,0))</f>
        <v/>
      </c>
      <c r="W235">
        <f>IF($V235=1,$W234+1,$W234)</f>
        <v/>
      </c>
      <c r="X235">
        <f>IFERROR(INDEX($A$4:$A$517,MATCH(232,$W$4:$W$517,0)),"")</f>
        <v/>
      </c>
    </row>
    <row r="236">
      <c r="A236" s="95" t="inlineStr">
        <is>
          <t>TIGER 증권</t>
        </is>
      </c>
      <c r="B236" s="95" t="inlineStr">
        <is>
          <t>157500</t>
        </is>
      </c>
      <c r="C236" s="95" t="inlineStr">
        <is>
          <t>미래에셋자산운용</t>
        </is>
      </c>
      <c r="D236" s="96" t="n">
        <v>11880</v>
      </c>
      <c r="E236" s="96" t="n">
        <v>211226400000</v>
      </c>
      <c r="F236" s="96" t="n">
        <v>10693918222</v>
      </c>
      <c r="G236" s="97" t="n">
        <v>0.004</v>
      </c>
      <c r="H236" s="97" t="n">
        <v>0.636</v>
      </c>
      <c r="I236" s="97" t="n">
        <v>0.0364</v>
      </c>
      <c r="J236" s="97" t="n">
        <v>0.03729</v>
      </c>
      <c r="K236" s="96" t="n">
        <v>7</v>
      </c>
      <c r="L236" s="95" t="inlineStr">
        <is>
          <t>20260730</t>
        </is>
      </c>
      <c r="M236" s="95" t="inlineStr">
        <is>
          <t>제외</t>
        </is>
      </c>
      <c r="N236" s="95" t="inlineStr">
        <is>
          <t>변동성 63.6%(1년 기준, 기준 35% 초과)</t>
        </is>
      </c>
      <c r="O236" s="95" t="inlineStr">
        <is>
          <t>FnGuide 증권</t>
        </is>
      </c>
      <c r="P236" s="95" t="inlineStr">
        <is>
          <t>일반</t>
        </is>
      </c>
      <c r="Q236" s="95" t="inlineStr">
        <is>
          <t>주식</t>
        </is>
      </c>
      <c r="R236" s="95" t="inlineStr">
        <is>
          <t>연배당</t>
        </is>
      </c>
      <c r="S236" s="96" t="n">
        <v>1</v>
      </c>
      <c r="T236">
        <f>IF(AND($J236&lt;&gt;"",OR(조회_주기="전체",$R236=조회_주기),$J236&gt;=조회_최소,$J236&lt;=조회_최대),1,0)</f>
        <v/>
      </c>
      <c r="U236">
        <f>IF($T236=1,$U235+1,$U235)</f>
        <v/>
      </c>
      <c r="V236">
        <f>IF(검색어="",1,IF(ISNUMBER(SEARCH(검색어,$A236)),1,0))</f>
        <v/>
      </c>
      <c r="W236">
        <f>IF($V236=1,$W235+1,$W235)</f>
        <v/>
      </c>
      <c r="X236">
        <f>IFERROR(INDEX($A$4:$A$517,MATCH(233,$W$4:$W$517,0)),"")</f>
        <v/>
      </c>
    </row>
    <row r="237">
      <c r="A237" s="95" t="inlineStr">
        <is>
          <t>파워 종합채권(AA-이상)액티브</t>
        </is>
      </c>
      <c r="B237" s="95" t="inlineStr">
        <is>
          <t>498180</t>
        </is>
      </c>
      <c r="C237" s="95" t="inlineStr">
        <is>
          <t>교보악사자산운용</t>
        </is>
      </c>
      <c r="D237" s="96" t="n">
        <v>92795</v>
      </c>
      <c r="E237" s="96" t="n">
        <v>139842065000</v>
      </c>
      <c r="F237" s="96" t="n">
        <v>469437</v>
      </c>
      <c r="G237" s="97" t="n">
        <v>0.00036</v>
      </c>
      <c r="H237" s="97" t="n">
        <v>0.0526</v>
      </c>
      <c r="I237" s="97" t="n">
        <v>0.0332</v>
      </c>
      <c r="J237" s="97" t="n">
        <v>0.036144</v>
      </c>
      <c r="K237" s="96" t="n">
        <v>1</v>
      </c>
      <c r="L237" s="95" t="inlineStr">
        <is>
          <t>20251127</t>
        </is>
      </c>
      <c r="M237" s="95" t="inlineStr">
        <is>
          <t>제외</t>
        </is>
      </c>
      <c r="N237" s="95" t="inlineStr">
        <is>
          <t>60일 거래대금 0.0억(기준 5억 미만)</t>
        </is>
      </c>
      <c r="O237" s="95" t="inlineStr">
        <is>
          <t>KIS 한국종합채권지수(AA-이상, 총수익)</t>
        </is>
      </c>
      <c r="P237" s="95" t="inlineStr">
        <is>
          <t>일반</t>
        </is>
      </c>
      <c r="Q237" s="95" t="inlineStr">
        <is>
          <t>채권</t>
        </is>
      </c>
      <c r="R237" s="95" t="inlineStr">
        <is>
          <t>연배당</t>
        </is>
      </c>
      <c r="S237" s="96" t="n">
        <v>1</v>
      </c>
      <c r="T237">
        <f>IF(AND($J237&lt;&gt;"",OR(조회_주기="전체",$R237=조회_주기),$J237&gt;=조회_최소,$J237&lt;=조회_최대),1,0)</f>
        <v/>
      </c>
      <c r="U237">
        <f>IF($T237=1,$U236+1,$U236)</f>
        <v/>
      </c>
      <c r="V237">
        <f>IF(검색어="",1,IF(ISNUMBER(SEARCH(검색어,$A237)),1,0))</f>
        <v/>
      </c>
      <c r="W237">
        <f>IF($V237=1,$W236+1,$W236)</f>
        <v/>
      </c>
      <c r="X237">
        <f>IFERROR(INDEX($A$4:$A$517,MATCH(234,$W$4:$W$517,0)),"")</f>
        <v/>
      </c>
    </row>
    <row r="238">
      <c r="A238" s="95" t="inlineStr">
        <is>
          <t>ACE 주주환원가치주액티브</t>
        </is>
      </c>
      <c r="B238" s="95" t="inlineStr">
        <is>
          <t>447430</t>
        </is>
      </c>
      <c r="C238" s="95" t="inlineStr">
        <is>
          <t>한국투신운용(ETF)</t>
        </is>
      </c>
      <c r="D238" s="96" t="n">
        <v>16340</v>
      </c>
      <c r="E238" s="96" t="n">
        <v>46569000000</v>
      </c>
      <c r="F238" s="96" t="n">
        <v>302070600</v>
      </c>
      <c r="G238" s="97" t="n">
        <v>0.006999999999999999</v>
      </c>
      <c r="H238" s="97" t="n">
        <v>0.2398</v>
      </c>
      <c r="I238" s="97" t="n">
        <v>0.0019</v>
      </c>
      <c r="J238" s="97" t="n">
        <v>0.036047</v>
      </c>
      <c r="K238" s="96" t="n">
        <v>8</v>
      </c>
      <c r="L238" s="95" t="inlineStr">
        <is>
          <t>20260730</t>
        </is>
      </c>
      <c r="M238" s="95" t="inlineStr">
        <is>
          <t>제외</t>
        </is>
      </c>
      <c r="N238" s="95" t="inlineStr">
        <is>
          <t>60일 거래대금 3.0억(기준 5억 미만)</t>
        </is>
      </c>
      <c r="O238" s="95" t="inlineStr">
        <is>
          <t>FnGuide 올라운드 가치주 지수</t>
        </is>
      </c>
      <c r="P238" s="95" t="inlineStr">
        <is>
          <t>일반</t>
        </is>
      </c>
      <c r="Q238" s="95" t="inlineStr">
        <is>
          <t>주식</t>
        </is>
      </c>
      <c r="R238" s="95" t="inlineStr">
        <is>
          <t>분기배당</t>
        </is>
      </c>
      <c r="S238" s="96" t="n">
        <v>4</v>
      </c>
      <c r="T238">
        <f>IF(AND($J238&lt;&gt;"",OR(조회_주기="전체",$R238=조회_주기),$J238&gt;=조회_최소,$J238&lt;=조회_최대),1,0)</f>
        <v/>
      </c>
      <c r="U238">
        <f>IF($T238=1,$U237+1,$U237)</f>
        <v/>
      </c>
      <c r="V238">
        <f>IF(검색어="",1,IF(ISNUMBER(SEARCH(검색어,$A238)),1,0))</f>
        <v/>
      </c>
      <c r="W238">
        <f>IF($V238=1,$W237+1,$W237)</f>
        <v/>
      </c>
      <c r="X238">
        <f>IFERROR(INDEX($A$4:$A$517,MATCH(235,$W$4:$W$517,0)),"")</f>
        <v/>
      </c>
    </row>
    <row r="239">
      <c r="A239" s="95" t="inlineStr">
        <is>
          <t>KIWOOM 26-09회사채(AA-이상)액티브</t>
        </is>
      </c>
      <c r="B239" s="95" t="inlineStr">
        <is>
          <t>464240</t>
        </is>
      </c>
      <c r="C239" s="95" t="inlineStr">
        <is>
          <t>키움투자자산운용</t>
        </is>
      </c>
      <c r="D239" s="96" t="n">
        <v>52025</v>
      </c>
      <c r="E239" s="96" t="n">
        <v>145670000000</v>
      </c>
      <c r="F239" s="96" t="n">
        <v>225306477</v>
      </c>
      <c r="G239" s="97" t="n">
        <v>0.0007000000000000001</v>
      </c>
      <c r="H239" s="97" t="n">
        <v>0.0174</v>
      </c>
      <c r="I239" s="97" t="n">
        <v>0.008199999999999999</v>
      </c>
      <c r="J239" s="97" t="n">
        <v>0.035137</v>
      </c>
      <c r="K239" s="96" t="n">
        <v>11</v>
      </c>
      <c r="L239" s="95" t="inlineStr">
        <is>
          <t>20260908</t>
        </is>
      </c>
      <c r="M239" s="95" t="inlineStr">
        <is>
          <t>제외</t>
        </is>
      </c>
      <c r="N239" s="95" t="inlineStr">
        <is>
          <t>60일 거래대금 2.3억(기준 5억 미만)</t>
        </is>
      </c>
      <c r="O239" s="95" t="inlineStr">
        <is>
          <t>KIS 2609 만기형 크레딧 종합채권 지수(AA-이상)</t>
        </is>
      </c>
      <c r="P239" s="95" t="inlineStr">
        <is>
          <t>일반</t>
        </is>
      </c>
      <c r="Q239" s="95" t="inlineStr">
        <is>
          <t>채권</t>
        </is>
      </c>
      <c r="R239" s="95" t="inlineStr">
        <is>
          <t>분기배당</t>
        </is>
      </c>
      <c r="S239" s="96" t="n">
        <v>4</v>
      </c>
      <c r="T239">
        <f>IF(AND($J239&lt;&gt;"",OR(조회_주기="전체",$R239=조회_주기),$J239&gt;=조회_최소,$J239&lt;=조회_최대),1,0)</f>
        <v/>
      </c>
      <c r="U239">
        <f>IF($T239=1,$U238+1,$U238)</f>
        <v/>
      </c>
      <c r="V239">
        <f>IF(검색어="",1,IF(ISNUMBER(SEARCH(검색어,$A239)),1,0))</f>
        <v/>
      </c>
      <c r="W239">
        <f>IF($V239=1,$W238+1,$W238)</f>
        <v/>
      </c>
      <c r="X239">
        <f>IFERROR(INDEX($A$4:$A$517,MATCH(236,$W$4:$W$517,0)),"")</f>
        <v/>
      </c>
    </row>
    <row r="240">
      <c r="A240" s="95" t="inlineStr">
        <is>
          <t>1Q 미국배당TOP30</t>
        </is>
      </c>
      <c r="B240" s="95" t="inlineStr">
        <is>
          <t>0004G0</t>
        </is>
      </c>
      <c r="C240" s="95" t="inlineStr">
        <is>
          <t>하나자산운용</t>
        </is>
      </c>
      <c r="D240" s="96" t="n">
        <v>8830</v>
      </c>
      <c r="E240" s="96" t="n">
        <v>13245000000</v>
      </c>
      <c r="F240" s="96" t="n">
        <v>92140917</v>
      </c>
      <c r="G240" s="97" t="n">
        <v>0.001</v>
      </c>
      <c r="H240" s="97" t="n">
        <v>0.1576</v>
      </c>
      <c r="I240" s="97" t="n">
        <v>0.0028</v>
      </c>
      <c r="J240" s="97" t="n">
        <v>0.034881</v>
      </c>
      <c r="K240" s="96" t="n">
        <v>18</v>
      </c>
      <c r="L240" s="95" t="inlineStr">
        <is>
          <t>20260828</t>
        </is>
      </c>
      <c r="M240" s="95" t="inlineStr">
        <is>
          <t>제외</t>
        </is>
      </c>
      <c r="N240" s="95" t="inlineStr">
        <is>
          <t>순자산 132억(기준 300억 미만), 60일 거래대금 0.9억(기준 5억 미만)</t>
        </is>
      </c>
      <c r="O240" s="95" t="inlineStr">
        <is>
          <t>Solactive U.S. Dividend 30 Index PR</t>
        </is>
      </c>
      <c r="P240" s="95" t="inlineStr">
        <is>
          <t>일반</t>
        </is>
      </c>
      <c r="Q240" s="95" t="inlineStr">
        <is>
          <t>주식</t>
        </is>
      </c>
      <c r="R240" s="95" t="inlineStr">
        <is>
          <t>월배당</t>
        </is>
      </c>
      <c r="S240" s="96" t="n">
        <v>11</v>
      </c>
      <c r="T240">
        <f>IF(AND($J240&lt;&gt;"",OR(조회_주기="전체",$R240=조회_주기),$J240&gt;=조회_최소,$J240&lt;=조회_최대),1,0)</f>
        <v/>
      </c>
      <c r="U240">
        <f>IF($T240=1,$U239+1,$U239)</f>
        <v/>
      </c>
      <c r="V240">
        <f>IF(검색어="",1,IF(ISNUMBER(SEARCH(검색어,$A240)),1,0))</f>
        <v/>
      </c>
      <c r="W240">
        <f>IF($V240=1,$W239+1,$W239)</f>
        <v/>
      </c>
      <c r="X240">
        <f>IFERROR(INDEX($A$4:$A$517,MATCH(237,$W$4:$W$517,0)),"")</f>
        <v/>
      </c>
    </row>
    <row r="241">
      <c r="A241" s="95" t="inlineStr">
        <is>
          <t>SOL 금융지주플러스고배당</t>
        </is>
      </c>
      <c r="B241" s="95" t="inlineStr">
        <is>
          <t>484880</t>
        </is>
      </c>
      <c r="C241" s="95" t="inlineStr">
        <is>
          <t>신한자산운용</t>
        </is>
      </c>
      <c r="D241" s="96" t="n">
        <v>23390</v>
      </c>
      <c r="E241" s="96" t="n">
        <v>391782500000</v>
      </c>
      <c r="F241" s="96" t="n">
        <v>15773354723</v>
      </c>
      <c r="G241" s="97" t="n">
        <v>0.003</v>
      </c>
      <c r="H241" s="97" t="n">
        <v>0.3607</v>
      </c>
      <c r="I241" s="97" t="n">
        <v>0.0038</v>
      </c>
      <c r="J241" s="97" t="n">
        <v>0.034587</v>
      </c>
      <c r="K241" s="96" t="n">
        <v>26</v>
      </c>
      <c r="L241" s="95" t="inlineStr">
        <is>
          <t>20260828</t>
        </is>
      </c>
      <c r="M241" s="95" t="inlineStr">
        <is>
          <t>제외</t>
        </is>
      </c>
      <c r="N241" s="95" t="inlineStr">
        <is>
          <t>변동성 36.1%(1년 기준, 기준 35% 초과)</t>
        </is>
      </c>
      <c r="O241" s="95" t="inlineStr">
        <is>
          <t>FnGuide 금융지주플러스고배당 지수</t>
        </is>
      </c>
      <c r="P241" s="95" t="inlineStr">
        <is>
          <t>일반</t>
        </is>
      </c>
      <c r="Q241" s="95" t="inlineStr">
        <is>
          <t>주식</t>
        </is>
      </c>
      <c r="R241" s="95" t="inlineStr">
        <is>
          <t>월배당</t>
        </is>
      </c>
      <c r="S241" s="96" t="n">
        <v>11</v>
      </c>
      <c r="T241">
        <f>IF(AND($J241&lt;&gt;"",OR(조회_주기="전체",$R241=조회_주기),$J241&gt;=조회_최소,$J241&lt;=조회_최대),1,0)</f>
        <v/>
      </c>
      <c r="U241">
        <f>IF($T241=1,$U240+1,$U240)</f>
        <v/>
      </c>
      <c r="V241">
        <f>IF(검색어="",1,IF(ISNUMBER(SEARCH(검색어,$A241)),1,0))</f>
        <v/>
      </c>
      <c r="W241">
        <f>IF($V241=1,$W240+1,$W240)</f>
        <v/>
      </c>
      <c r="X241">
        <f>IFERROR(INDEX($A$4:$A$517,MATCH(238,$W$4:$W$517,0)),"")</f>
        <v/>
      </c>
    </row>
    <row r="242">
      <c r="A242" s="95" t="inlineStr">
        <is>
          <t>ACE 미국부동산리츠(합성 H)</t>
        </is>
      </c>
      <c r="B242" s="95" t="inlineStr">
        <is>
          <t>181480</t>
        </is>
      </c>
      <c r="C242" s="95" t="inlineStr">
        <is>
          <t>한국투신운용(ETF)</t>
        </is>
      </c>
      <c r="D242" s="96" t="n">
        <v>82685</v>
      </c>
      <c r="E242" s="96" t="n">
        <v>9922200000</v>
      </c>
      <c r="F242" s="96" t="n">
        <v>85838687</v>
      </c>
      <c r="G242" s="97" t="n">
        <v>0.003</v>
      </c>
      <c r="H242" s="97" t="n">
        <v>0.1411</v>
      </c>
      <c r="I242" s="97" t="n">
        <v>0.0025</v>
      </c>
      <c r="J242" s="97" t="n">
        <v>0.034565</v>
      </c>
      <c r="K242" s="96" t="n">
        <v>25</v>
      </c>
      <c r="L242" s="95" t="inlineStr">
        <is>
          <t>20260828</t>
        </is>
      </c>
      <c r="M242" s="95" t="inlineStr">
        <is>
          <t>제외</t>
        </is>
      </c>
      <c r="N242" s="95" t="inlineStr">
        <is>
          <t>순자산 99억(기준 300억 미만), 60일 거래대금 0.9억(기준 5억 미만)</t>
        </is>
      </c>
      <c r="O242" s="95" t="inlineStr">
        <is>
          <t>DowJones US Real Estate Index</t>
        </is>
      </c>
      <c r="P242" s="95" t="inlineStr">
        <is>
          <t>일반</t>
        </is>
      </c>
      <c r="Q242" s="95" t="inlineStr">
        <is>
          <t>부동산</t>
        </is>
      </c>
      <c r="R242" s="95" t="inlineStr">
        <is>
          <t>월배당</t>
        </is>
      </c>
      <c r="S242" s="96" t="n">
        <v>11</v>
      </c>
      <c r="T242">
        <f>IF(AND($J242&lt;&gt;"",OR(조회_주기="전체",$R242=조회_주기),$J242&gt;=조회_최소,$J242&lt;=조회_최대),1,0)</f>
        <v/>
      </c>
      <c r="U242">
        <f>IF($T242=1,$U241+1,$U241)</f>
        <v/>
      </c>
      <c r="V242">
        <f>IF(검색어="",1,IF(ISNUMBER(SEARCH(검색어,$A242)),1,0))</f>
        <v/>
      </c>
      <c r="W242">
        <f>IF($V242=1,$W241+1,$W241)</f>
        <v/>
      </c>
      <c r="X242">
        <f>IFERROR(INDEX($A$4:$A$517,MATCH(239,$W$4:$W$517,0)),"")</f>
        <v/>
      </c>
    </row>
    <row r="243">
      <c r="A243" s="95" t="inlineStr">
        <is>
          <t>TIGER 리츠부동산인프라10채권혼합액티브</t>
        </is>
      </c>
      <c r="B243" s="95" t="inlineStr">
        <is>
          <t>0086C0</t>
        </is>
      </c>
      <c r="C243" s="95" t="inlineStr">
        <is>
          <t>미래에셋자산운용</t>
        </is>
      </c>
      <c r="D243" s="96" t="n">
        <v>9755</v>
      </c>
      <c r="E243" s="96" t="n">
        <v>17071250000</v>
      </c>
      <c r="F243" s="96" t="n">
        <v>95331848</v>
      </c>
      <c r="G243" s="97" t="n">
        <v>0.0015</v>
      </c>
      <c r="H243" s="97" t="n">
        <v>0.0764</v>
      </c>
      <c r="I243" s="97" t="n">
        <v>0.0029</v>
      </c>
      <c r="J243" s="97" t="n">
        <v>0.034444</v>
      </c>
      <c r="K243" s="96" t="n">
        <v>13</v>
      </c>
      <c r="L243" s="95" t="inlineStr">
        <is>
          <t>20260914</t>
        </is>
      </c>
      <c r="M243" s="95" t="inlineStr">
        <is>
          <t>제외</t>
        </is>
      </c>
      <c r="N243" s="95" t="inlineStr">
        <is>
          <t>순자산 171억(기준 300억 미만), 60일 거래대금 1.0억(기준 5억 미만)</t>
        </is>
      </c>
      <c r="O243" s="95" t="inlineStr">
        <is>
          <t>KEDI 리츠부동산인프라TOP10 채권혼합 지수</t>
        </is>
      </c>
      <c r="P243" s="95" t="inlineStr">
        <is>
          <t>일반</t>
        </is>
      </c>
      <c r="Q243" s="95" t="inlineStr">
        <is>
          <t>멀티에셋</t>
        </is>
      </c>
      <c r="R243" s="95" t="inlineStr">
        <is>
          <t>월배당</t>
        </is>
      </c>
      <c r="S243" s="96" t="n">
        <v>12</v>
      </c>
      <c r="T243">
        <f>IF(AND($J243&lt;&gt;"",OR(조회_주기="전체",$R243=조회_주기),$J243&gt;=조회_최소,$J243&lt;=조회_최대),1,0)</f>
        <v/>
      </c>
      <c r="U243">
        <f>IF($T243=1,$U242+1,$U242)</f>
        <v/>
      </c>
      <c r="V243">
        <f>IF(검색어="",1,IF(ISNUMBER(SEARCH(검색어,$A243)),1,0))</f>
        <v/>
      </c>
      <c r="W243">
        <f>IF($V243=1,$W242+1,$W242)</f>
        <v/>
      </c>
      <c r="X243">
        <f>IFERROR(INDEX($A$4:$A$517,MATCH(240,$W$4:$W$517,0)),"")</f>
        <v/>
      </c>
    </row>
    <row r="244">
      <c r="A244" s="95" t="inlineStr">
        <is>
          <t>KODEX 미국부동산리츠(H)</t>
        </is>
      </c>
      <c r="B244" s="95" t="inlineStr">
        <is>
          <t>352560</t>
        </is>
      </c>
      <c r="C244" s="95" t="inlineStr">
        <is>
          <t>삼성자산운용(ETF)</t>
        </is>
      </c>
      <c r="D244" s="96" t="n">
        <v>11860</v>
      </c>
      <c r="E244" s="96" t="n">
        <v>31429000000</v>
      </c>
      <c r="F244" s="96" t="n">
        <v>432580713</v>
      </c>
      <c r="G244" s="97" t="n">
        <v>0.0009</v>
      </c>
      <c r="H244" s="97" t="n">
        <v>0.1371</v>
      </c>
      <c r="I244" s="97" t="n">
        <v>0.0021</v>
      </c>
      <c r="J244" s="97" t="n">
        <v>0.034401</v>
      </c>
      <c r="K244" s="96" t="n">
        <v>47</v>
      </c>
      <c r="L244" s="95" t="inlineStr">
        <is>
          <t>20260828</t>
        </is>
      </c>
      <c r="M244" s="95" t="inlineStr">
        <is>
          <t>제외</t>
        </is>
      </c>
      <c r="N244" s="95" t="inlineStr">
        <is>
          <t>60일 거래대금 4.3억(기준 5억 미만)</t>
        </is>
      </c>
      <c r="O244" s="95" t="inlineStr">
        <is>
          <t>Dow Jones U.S. Real Estate Index</t>
        </is>
      </c>
      <c r="P244" s="95" t="inlineStr">
        <is>
          <t>일반</t>
        </is>
      </c>
      <c r="Q244" s="95" t="inlineStr">
        <is>
          <t>부동산</t>
        </is>
      </c>
      <c r="R244" s="95" t="inlineStr">
        <is>
          <t>월배당</t>
        </is>
      </c>
      <c r="S244" s="96" t="n">
        <v>10</v>
      </c>
      <c r="T244">
        <f>IF(AND($J244&lt;&gt;"",OR(조회_주기="전체",$R244=조회_주기),$J244&gt;=조회_최소,$J244&lt;=조회_최대),1,0)</f>
        <v/>
      </c>
      <c r="U244">
        <f>IF($T244=1,$U243+1,$U243)</f>
        <v/>
      </c>
      <c r="V244">
        <f>IF(검색어="",1,IF(ISNUMBER(SEARCH(검색어,$A244)),1,0))</f>
        <v/>
      </c>
      <c r="W244">
        <f>IF($V244=1,$W243+1,$W243)</f>
        <v/>
      </c>
      <c r="X244">
        <f>IFERROR(INDEX($A$4:$A$517,MATCH(241,$W$4:$W$517,0)),"")</f>
        <v/>
      </c>
    </row>
    <row r="245">
      <c r="A245" s="95" t="inlineStr">
        <is>
          <t>TIGER 미국MSCI리츠(합성 H)</t>
        </is>
      </c>
      <c r="B245" s="95" t="inlineStr">
        <is>
          <t>182480</t>
        </is>
      </c>
      <c r="C245" s="95" t="inlineStr">
        <is>
          <t>미래에셋자산운용</t>
        </is>
      </c>
      <c r="D245" s="96" t="n">
        <v>13050</v>
      </c>
      <c r="E245" s="96" t="n">
        <v>114840000000</v>
      </c>
      <c r="F245" s="96" t="n">
        <v>252568663</v>
      </c>
      <c r="G245" s="97" t="n">
        <v>0.0024</v>
      </c>
      <c r="H245" s="97" t="n">
        <v>0.1395</v>
      </c>
      <c r="I245" s="97" t="n">
        <v>0.0014</v>
      </c>
      <c r="J245" s="97" t="n">
        <v>0.034023</v>
      </c>
      <c r="K245" s="96" t="n">
        <v>53</v>
      </c>
      <c r="L245" s="95" t="inlineStr">
        <is>
          <t>20260828</t>
        </is>
      </c>
      <c r="M245" s="95" t="inlineStr">
        <is>
          <t>제외</t>
        </is>
      </c>
      <c r="N245" s="95" t="inlineStr">
        <is>
          <t>60일 거래대금 2.5억(기준 5억 미만)</t>
        </is>
      </c>
      <c r="O245" s="95" t="inlineStr">
        <is>
          <t>MSCI US REIT Index</t>
        </is>
      </c>
      <c r="P245" s="95" t="inlineStr">
        <is>
          <t>일반</t>
        </is>
      </c>
      <c r="Q245" s="95" t="inlineStr">
        <is>
          <t>부동산</t>
        </is>
      </c>
      <c r="R245" s="95" t="inlineStr">
        <is>
          <t>월배당</t>
        </is>
      </c>
      <c r="S245" s="96" t="n">
        <v>11</v>
      </c>
      <c r="T245">
        <f>IF(AND($J245&lt;&gt;"",OR(조회_주기="전체",$R245=조회_주기),$J245&gt;=조회_최소,$J245&lt;=조회_최대),1,0)</f>
        <v/>
      </c>
      <c r="U245">
        <f>IF($T245=1,$U244+1,$U244)</f>
        <v/>
      </c>
      <c r="V245">
        <f>IF(검색어="",1,IF(ISNUMBER(SEARCH(검색어,$A245)),1,0))</f>
        <v/>
      </c>
      <c r="W245">
        <f>IF($V245=1,$W244+1,$W244)</f>
        <v/>
      </c>
      <c r="X245">
        <f>IFERROR(INDEX($A$4:$A$517,MATCH(242,$W$4:$W$517,0)),"")</f>
        <v/>
      </c>
    </row>
    <row r="246">
      <c r="A246" s="95" t="inlineStr">
        <is>
          <t>SOL 국고채10년</t>
        </is>
      </c>
      <c r="B246" s="95" t="inlineStr">
        <is>
          <t>438570</t>
        </is>
      </c>
      <c r="C246" s="95" t="inlineStr">
        <is>
          <t>신한자산운용</t>
        </is>
      </c>
      <c r="D246" s="96" t="n">
        <v>97095</v>
      </c>
      <c r="E246" s="96" t="n">
        <v>124669980000</v>
      </c>
      <c r="F246" s="96" t="n">
        <v>51038585</v>
      </c>
      <c r="G246" s="97" t="n">
        <v>0.0005</v>
      </c>
      <c r="H246" s="97" t="n">
        <v>0.07139999999999999</v>
      </c>
      <c r="I246" s="97" t="n">
        <v>0.031</v>
      </c>
      <c r="J246" s="97" t="n">
        <v>0.033781</v>
      </c>
      <c r="K246" s="96" t="n">
        <v>3</v>
      </c>
      <c r="L246" s="95" t="inlineStr">
        <is>
          <t>20251229</t>
        </is>
      </c>
      <c r="M246" s="95" t="inlineStr">
        <is>
          <t>제외</t>
        </is>
      </c>
      <c r="N246" s="95" t="inlineStr">
        <is>
          <t>60일 거래대금 0.5억(기준 5억 미만)</t>
        </is>
      </c>
      <c r="O246" s="95" t="inlineStr">
        <is>
          <t>KAP 국고채10년지수(총수익)</t>
        </is>
      </c>
      <c r="P246" s="95" t="inlineStr">
        <is>
          <t>일반</t>
        </is>
      </c>
      <c r="Q246" s="95" t="inlineStr">
        <is>
          <t>채권</t>
        </is>
      </c>
      <c r="R246" s="95" t="inlineStr">
        <is>
          <t>연배당</t>
        </is>
      </c>
      <c r="S246" s="96" t="n">
        <v>1</v>
      </c>
      <c r="T246">
        <f>IF(AND($J246&lt;&gt;"",OR(조회_주기="전체",$R246=조회_주기),$J246&gt;=조회_최소,$J246&lt;=조회_최대),1,0)</f>
        <v/>
      </c>
      <c r="U246">
        <f>IF($T246=1,$U245+1,$U245)</f>
        <v/>
      </c>
      <c r="V246">
        <f>IF(검색어="",1,IF(ISNUMBER(SEARCH(검색어,$A246)),1,0))</f>
        <v/>
      </c>
      <c r="W246">
        <f>IF($V246=1,$W245+1,$W245)</f>
        <v/>
      </c>
      <c r="X246">
        <f>IFERROR(INDEX($A$4:$A$517,MATCH(243,$W$4:$W$517,0)),"")</f>
        <v/>
      </c>
    </row>
    <row r="247">
      <c r="A247" s="95" t="inlineStr">
        <is>
          <t>HANARO 종합채권(AA-이상)액티브</t>
        </is>
      </c>
      <c r="B247" s="95" t="inlineStr">
        <is>
          <t>461500</t>
        </is>
      </c>
      <c r="C247" s="95" t="inlineStr">
        <is>
          <t>NH-Amundi자산운용</t>
        </is>
      </c>
      <c r="D247" s="96" t="n">
        <v>104795</v>
      </c>
      <c r="E247" s="96" t="n">
        <v>128688260000</v>
      </c>
      <c r="F247" s="96" t="n">
        <v>93170761</v>
      </c>
      <c r="G247" s="97" t="n">
        <v>0.0002</v>
      </c>
      <c r="H247" s="97" t="n">
        <v>0.0525</v>
      </c>
      <c r="I247" s="97" t="n">
        <v>0.0305</v>
      </c>
      <c r="J247" s="97" t="n">
        <v>0.033399</v>
      </c>
      <c r="K247" s="96" t="n">
        <v>1</v>
      </c>
      <c r="L247" s="95" t="inlineStr">
        <is>
          <t>20251030</t>
        </is>
      </c>
      <c r="M247" s="95" t="inlineStr">
        <is>
          <t>제외</t>
        </is>
      </c>
      <c r="N247" s="95" t="inlineStr">
        <is>
          <t>60일 거래대금 0.9억(기준 5억 미만)</t>
        </is>
      </c>
      <c r="O247" s="95" t="inlineStr">
        <is>
          <t>KAP 종합채권 총수익 지수(AA-이상)</t>
        </is>
      </c>
      <c r="P247" s="95" t="inlineStr">
        <is>
          <t>일반</t>
        </is>
      </c>
      <c r="Q247" s="95" t="inlineStr">
        <is>
          <t>채권</t>
        </is>
      </c>
      <c r="R247" s="95" t="inlineStr">
        <is>
          <t>연배당</t>
        </is>
      </c>
      <c r="S247" s="96" t="n">
        <v>1</v>
      </c>
      <c r="T247">
        <f>IF(AND($J247&lt;&gt;"",OR(조회_주기="전체",$R247=조회_주기),$J247&gt;=조회_최소,$J247&lt;=조회_최대),1,0)</f>
        <v/>
      </c>
      <c r="U247">
        <f>IF($T247=1,$U246+1,$U246)</f>
        <v/>
      </c>
      <c r="V247">
        <f>IF(검색어="",1,IF(ISNUMBER(SEARCH(검색어,$A247)),1,0))</f>
        <v/>
      </c>
      <c r="W247">
        <f>IF($V247=1,$W246+1,$W246)</f>
        <v/>
      </c>
      <c r="X247">
        <f>IFERROR(INDEX($A$4:$A$517,MATCH(244,$W$4:$W$517,0)),"")</f>
        <v/>
      </c>
    </row>
    <row r="248">
      <c r="A248" s="95" t="inlineStr">
        <is>
          <t>RISE 금융채액티브</t>
        </is>
      </c>
      <c r="B248" s="95" t="inlineStr">
        <is>
          <t>336160</t>
        </is>
      </c>
      <c r="C248" s="95" t="inlineStr">
        <is>
          <t>KB자산운용</t>
        </is>
      </c>
      <c r="D248" s="96" t="n">
        <v>99835</v>
      </c>
      <c r="E248" s="96" t="n">
        <v>46822615000</v>
      </c>
      <c r="F248" s="96" t="n">
        <v>27904480</v>
      </c>
      <c r="G248" s="97" t="n">
        <v>0.0007000000000000001</v>
      </c>
      <c r="H248" s="97" t="n">
        <v>0.0203</v>
      </c>
      <c r="I248" s="97" t="n">
        <v>0.002</v>
      </c>
      <c r="J248" s="97" t="n">
        <v>0.032393</v>
      </c>
      <c r="K248" s="96" t="n">
        <v>44</v>
      </c>
      <c r="L248" s="95" t="inlineStr">
        <is>
          <t>20260828</t>
        </is>
      </c>
      <c r="M248" s="95" t="inlineStr">
        <is>
          <t>제외</t>
        </is>
      </c>
      <c r="N248" s="95" t="inlineStr">
        <is>
          <t>60일 거래대금 0.3억(기준 5억 미만)</t>
        </is>
      </c>
      <c r="O248" s="95" t="inlineStr">
        <is>
          <t>KIS 종합채권 금융채 2.5-3Y</t>
        </is>
      </c>
      <c r="P248" s="95" t="inlineStr">
        <is>
          <t>일반</t>
        </is>
      </c>
      <c r="Q248" s="95" t="inlineStr">
        <is>
          <t>채권</t>
        </is>
      </c>
      <c r="R248" s="95" t="inlineStr">
        <is>
          <t>월배당</t>
        </is>
      </c>
      <c r="S248" s="96" t="n">
        <v>11</v>
      </c>
      <c r="T248">
        <f>IF(AND($J248&lt;&gt;"",OR(조회_주기="전체",$R248=조회_주기),$J248&gt;=조회_최소,$J248&lt;=조회_최대),1,0)</f>
        <v/>
      </c>
      <c r="U248">
        <f>IF($T248=1,$U247+1,$U247)</f>
        <v/>
      </c>
      <c r="V248">
        <f>IF(검색어="",1,IF(ISNUMBER(SEARCH(검색어,$A248)),1,0))</f>
        <v/>
      </c>
      <c r="W248">
        <f>IF($V248=1,$W247+1,$W247)</f>
        <v/>
      </c>
      <c r="X248">
        <f>IFERROR(INDEX($A$4:$A$517,MATCH(245,$W$4:$W$517,0)),"")</f>
        <v/>
      </c>
    </row>
    <row r="249">
      <c r="A249" s="95" t="inlineStr">
        <is>
          <t>KIWOOM 국고채30년액티브</t>
        </is>
      </c>
      <c r="B249" s="95" t="inlineStr">
        <is>
          <t>471460</t>
        </is>
      </c>
      <c r="C249" s="95" t="inlineStr">
        <is>
          <t>키움투자자산운용</t>
        </is>
      </c>
      <c r="D249" s="96" t="n">
        <v>45195</v>
      </c>
      <c r="E249" s="96" t="n">
        <v>20789700000</v>
      </c>
      <c r="F249" s="96" t="n">
        <v>86146006</v>
      </c>
      <c r="G249" s="97" t="n">
        <v>0.0003500000000000001</v>
      </c>
      <c r="H249" s="97" t="n">
        <v>0.1404</v>
      </c>
      <c r="I249" s="97" t="n">
        <v>0.0028</v>
      </c>
      <c r="J249" s="97" t="n">
        <v>0.031331</v>
      </c>
      <c r="K249" s="96" t="n">
        <v>25</v>
      </c>
      <c r="L249" s="95" t="inlineStr">
        <is>
          <t>20260828</t>
        </is>
      </c>
      <c r="M249" s="95" t="inlineStr">
        <is>
          <t>제외</t>
        </is>
      </c>
      <c r="N249" s="95" t="inlineStr">
        <is>
          <t>순자산 208억(기준 300억 미만), 60일 거래대금 0.9억(기준 5억 미만)</t>
        </is>
      </c>
      <c r="O249" s="95" t="inlineStr">
        <is>
          <t>KIS-키움 국고채30년 지수</t>
        </is>
      </c>
      <c r="P249" s="95" t="inlineStr">
        <is>
          <t>일반</t>
        </is>
      </c>
      <c r="Q249" s="95" t="inlineStr">
        <is>
          <t>채권</t>
        </is>
      </c>
      <c r="R249" s="95" t="inlineStr">
        <is>
          <t>월배당</t>
        </is>
      </c>
      <c r="S249" s="96" t="n">
        <v>11</v>
      </c>
      <c r="T249">
        <f>IF(AND($J249&lt;&gt;"",OR(조회_주기="전체",$R249=조회_주기),$J249&gt;=조회_최소,$J249&lt;=조회_최대),1,0)</f>
        <v/>
      </c>
      <c r="U249">
        <f>IF($T249=1,$U248+1,$U248)</f>
        <v/>
      </c>
      <c r="V249">
        <f>IF(검색어="",1,IF(ISNUMBER(SEARCH(검색어,$A249)),1,0))</f>
        <v/>
      </c>
      <c r="W249">
        <f>IF($V249=1,$W248+1,$W248)</f>
        <v/>
      </c>
      <c r="X249">
        <f>IFERROR(INDEX($A$4:$A$517,MATCH(246,$W$4:$W$517,0)),"")</f>
        <v/>
      </c>
    </row>
    <row r="250">
      <c r="A250" s="95" t="inlineStr">
        <is>
          <t>KIWOOM 종합채권(AA-이상)액티브</t>
        </is>
      </c>
      <c r="B250" s="95" t="inlineStr">
        <is>
          <t>454780</t>
        </is>
      </c>
      <c r="C250" s="95" t="inlineStr">
        <is>
          <t>키움투자자산운용</t>
        </is>
      </c>
      <c r="D250" s="96" t="n">
        <v>99405</v>
      </c>
      <c r="E250" s="96" t="n">
        <v>294636420000</v>
      </c>
      <c r="F250" s="96" t="n">
        <v>187882384</v>
      </c>
      <c r="G250" s="97" t="n">
        <v>0.00025</v>
      </c>
      <c r="H250" s="97" t="n">
        <v>0.0504</v>
      </c>
      <c r="I250" s="97" t="n">
        <v>0.0283</v>
      </c>
      <c r="J250" s="97" t="n">
        <v>0.030461</v>
      </c>
      <c r="K250" s="96" t="n">
        <v>2</v>
      </c>
      <c r="L250" s="95" t="inlineStr">
        <is>
          <t>20251229</t>
        </is>
      </c>
      <c r="M250" s="95" t="inlineStr">
        <is>
          <t>제외</t>
        </is>
      </c>
      <c r="N250" s="95" t="inlineStr">
        <is>
          <t>60일 거래대금 1.9억(기준 5억 미만)</t>
        </is>
      </c>
      <c r="O250" s="95" t="inlineStr">
        <is>
          <t>KIS 종합 채권시장지수(AA-이상)</t>
        </is>
      </c>
      <c r="P250" s="95" t="inlineStr">
        <is>
          <t>일반</t>
        </is>
      </c>
      <c r="Q250" s="95" t="inlineStr">
        <is>
          <t>채권</t>
        </is>
      </c>
      <c r="R250" s="95" t="inlineStr">
        <is>
          <t>연배당</t>
        </is>
      </c>
      <c r="S250" s="96" t="n">
        <v>1</v>
      </c>
      <c r="T250">
        <f>IF(AND($J250&lt;&gt;"",OR(조회_주기="전체",$R250=조회_주기),$J250&gt;=조회_최소,$J250&lt;=조회_최대),1,0)</f>
        <v/>
      </c>
      <c r="U250">
        <f>IF($T250=1,$U249+1,$U249)</f>
        <v/>
      </c>
      <c r="V250">
        <f>IF(검색어="",1,IF(ISNUMBER(SEARCH(검색어,$A250)),1,0))</f>
        <v/>
      </c>
      <c r="W250">
        <f>IF($V250=1,$W249+1,$W249)</f>
        <v/>
      </c>
      <c r="X250">
        <f>IFERROR(INDEX($A$4:$A$517,MATCH(247,$W$4:$W$517,0)),"")</f>
        <v/>
      </c>
    </row>
    <row r="251">
      <c r="A251" s="95" t="inlineStr">
        <is>
          <t>HK 26-12 회사채(AA-이상)액티브</t>
        </is>
      </c>
      <c r="B251" s="95" t="inlineStr">
        <is>
          <t>0000Y0</t>
        </is>
      </c>
      <c r="C251" s="95" t="inlineStr">
        <is>
          <t>흥국자산운용</t>
        </is>
      </c>
      <c r="D251" s="96" t="n">
        <v>101995</v>
      </c>
      <c r="E251" s="96" t="n">
        <v>123401850000</v>
      </c>
      <c r="F251" s="96" t="n">
        <v>6308615</v>
      </c>
      <c r="G251" s="97" t="n">
        <v>0.00065</v>
      </c>
      <c r="H251" s="97" t="n">
        <v>0.0306</v>
      </c>
      <c r="I251" s="97" t="n">
        <v>0.0301</v>
      </c>
      <c r="J251" s="97" t="n">
        <v>0.030394</v>
      </c>
      <c r="K251" s="96" t="n">
        <v>1</v>
      </c>
      <c r="L251" s="95" t="inlineStr">
        <is>
          <t>20251229</t>
        </is>
      </c>
      <c r="M251" s="95" t="inlineStr">
        <is>
          <t>제외</t>
        </is>
      </c>
      <c r="N251" s="95" t="inlineStr">
        <is>
          <t>60일 거래대금 0.1억(기준 5억 미만)</t>
        </is>
      </c>
      <c r="O251" s="95" t="inlineStr">
        <is>
          <t>KAP 26-12 크레딧 채권 총수익지수(AA-이상)</t>
        </is>
      </c>
      <c r="P251" s="95" t="inlineStr">
        <is>
          <t>일반</t>
        </is>
      </c>
      <c r="Q251" s="95" t="inlineStr">
        <is>
          <t>채권</t>
        </is>
      </c>
      <c r="R251" s="95" t="inlineStr">
        <is>
          <t>연배당</t>
        </is>
      </c>
      <c r="S251" s="96" t="n">
        <v>1</v>
      </c>
      <c r="T251">
        <f>IF(AND($J251&lt;&gt;"",OR(조회_주기="전체",$R251=조회_주기),$J251&gt;=조회_최소,$J251&lt;=조회_최대),1,0)</f>
        <v/>
      </c>
      <c r="U251">
        <f>IF($T251=1,$U250+1,$U250)</f>
        <v/>
      </c>
      <c r="V251">
        <f>IF(검색어="",1,IF(ISNUMBER(SEARCH(검색어,$A251)),1,0))</f>
        <v/>
      </c>
      <c r="W251">
        <f>IF($V251=1,$W250+1,$W250)</f>
        <v/>
      </c>
      <c r="X251">
        <f>IFERROR(INDEX($A$4:$A$517,MATCH(248,$W$4:$W$517,0)),"")</f>
        <v/>
      </c>
    </row>
    <row r="252">
      <c r="A252" s="95" t="inlineStr">
        <is>
          <t>HANARO K고배당</t>
        </is>
      </c>
      <c r="B252" s="95" t="inlineStr">
        <is>
          <t>322410</t>
        </is>
      </c>
      <c r="C252" s="95" t="inlineStr">
        <is>
          <t>NH-Amundi자산운용</t>
        </is>
      </c>
      <c r="D252" s="96" t="n">
        <v>22995</v>
      </c>
      <c r="E252" s="96" t="n">
        <v>40241250000</v>
      </c>
      <c r="F252" s="96" t="n">
        <v>169449559</v>
      </c>
      <c r="G252" s="97" t="n">
        <v>0.0007000000000000001</v>
      </c>
      <c r="H252" s="97" t="n">
        <v>0.2835</v>
      </c>
      <c r="I252" s="97" t="n">
        <v>0.003</v>
      </c>
      <c r="J252" s="97" t="n">
        <v>0.030093</v>
      </c>
      <c r="K252" s="96" t="n">
        <v>27</v>
      </c>
      <c r="L252" s="95" t="inlineStr">
        <is>
          <t>20260828</t>
        </is>
      </c>
      <c r="M252" s="95" t="inlineStr">
        <is>
          <t>제외</t>
        </is>
      </c>
      <c r="N252" s="95" t="inlineStr">
        <is>
          <t>60일 거래대금 1.7억(기준 5억 미만)</t>
        </is>
      </c>
      <c r="O252" s="95" t="inlineStr">
        <is>
          <t>FnGuide K고배당</t>
        </is>
      </c>
      <c r="P252" s="95" t="inlineStr">
        <is>
          <t>일반</t>
        </is>
      </c>
      <c r="Q252" s="95" t="inlineStr">
        <is>
          <t>주식</t>
        </is>
      </c>
      <c r="R252" s="95" t="inlineStr">
        <is>
          <t>월배당</t>
        </is>
      </c>
      <c r="S252" s="96" t="n">
        <v>11</v>
      </c>
      <c r="T252">
        <f>IF(AND($J252&lt;&gt;"",OR(조회_주기="전체",$R252=조회_주기),$J252&gt;=조회_최소,$J252&lt;=조회_최대),1,0)</f>
        <v/>
      </c>
      <c r="U252">
        <f>IF($T252=1,$U251+1,$U251)</f>
        <v/>
      </c>
      <c r="V252">
        <f>IF(검색어="",1,IF(ISNUMBER(SEARCH(검색어,$A252)),1,0))</f>
        <v/>
      </c>
      <c r="W252">
        <f>IF($V252=1,$W251+1,$W251)</f>
        <v/>
      </c>
      <c r="X252">
        <f>IFERROR(INDEX($A$4:$A$517,MATCH(249,$W$4:$W$517,0)),"")</f>
        <v/>
      </c>
    </row>
    <row r="253">
      <c r="A253" s="95" t="inlineStr">
        <is>
          <t>RISE 미국S&amp;P배당킹</t>
        </is>
      </c>
      <c r="B253" s="95" t="inlineStr">
        <is>
          <t>460660</t>
        </is>
      </c>
      <c r="C253" s="95" t="inlineStr">
        <is>
          <t>KB자산운용</t>
        </is>
      </c>
      <c r="D253" s="96" t="n">
        <v>11580</v>
      </c>
      <c r="E253" s="96" t="n">
        <v>17370000000</v>
      </c>
      <c r="F253" s="96" t="n">
        <v>96817850</v>
      </c>
      <c r="G253" s="97" t="n">
        <v>0.0001</v>
      </c>
      <c r="H253" s="97" t="n">
        <v>0.1559</v>
      </c>
      <c r="I253" s="97" t="n">
        <v>0.0024</v>
      </c>
      <c r="J253" s="97" t="n">
        <v>0.029879</v>
      </c>
      <c r="K253" s="96" t="n">
        <v>38</v>
      </c>
      <c r="L253" s="95" t="inlineStr">
        <is>
          <t>20260828</t>
        </is>
      </c>
      <c r="M253" s="95" t="inlineStr">
        <is>
          <t>제외</t>
        </is>
      </c>
      <c r="N253" s="95" t="inlineStr">
        <is>
          <t>순자산 174억(기준 300억 미만), 60일 거래대금 1.0억(기준 5억 미만)</t>
        </is>
      </c>
      <c r="O253" s="95" t="inlineStr">
        <is>
          <t>S&amp;P Dividend Monarchs Index (USD)</t>
        </is>
      </c>
      <c r="P253" s="95" t="inlineStr">
        <is>
          <t>일반</t>
        </is>
      </c>
      <c r="Q253" s="95" t="inlineStr">
        <is>
          <t>주식</t>
        </is>
      </c>
      <c r="R253" s="95" t="inlineStr">
        <is>
          <t>월배당</t>
        </is>
      </c>
      <c r="S253" s="96" t="n">
        <v>11</v>
      </c>
      <c r="T253">
        <f>IF(AND($J253&lt;&gt;"",OR(조회_주기="전체",$R253=조회_주기),$J253&gt;=조회_최소,$J253&lt;=조회_최대),1,0)</f>
        <v/>
      </c>
      <c r="U253">
        <f>IF($T253=1,$U252+1,$U252)</f>
        <v/>
      </c>
      <c r="V253">
        <f>IF(검색어="",1,IF(ISNUMBER(SEARCH(검색어,$A253)),1,0))</f>
        <v/>
      </c>
      <c r="W253">
        <f>IF($V253=1,$W252+1,$W252)</f>
        <v/>
      </c>
      <c r="X253">
        <f>IFERROR(INDEX($A$4:$A$517,MATCH(250,$W$4:$W$517,0)),"")</f>
        <v/>
      </c>
    </row>
    <row r="254">
      <c r="A254" s="95" t="inlineStr">
        <is>
          <t>SOL 미국배당다우존스2호</t>
        </is>
      </c>
      <c r="B254" s="95" t="inlineStr">
        <is>
          <t>493420</t>
        </is>
      </c>
      <c r="C254" s="95" t="inlineStr">
        <is>
          <t>신한자산운용</t>
        </is>
      </c>
      <c r="D254" s="96" t="n">
        <v>12545</v>
      </c>
      <c r="E254" s="96" t="n">
        <v>26344500000</v>
      </c>
      <c r="F254" s="96" t="n">
        <v>138745165</v>
      </c>
      <c r="G254" s="97" t="n">
        <v>0.0001</v>
      </c>
      <c r="H254" s="97" t="n">
        <v>0.1406</v>
      </c>
      <c r="I254" s="97" t="n">
        <v>0.0037</v>
      </c>
      <c r="J254" s="97" t="n">
        <v>0.029653</v>
      </c>
      <c r="K254" s="96" t="n">
        <v>16</v>
      </c>
      <c r="L254" s="95" t="inlineStr">
        <is>
          <t>20260914</t>
        </is>
      </c>
      <c r="M254" s="95" t="inlineStr">
        <is>
          <t>제외</t>
        </is>
      </c>
      <c r="N254" s="95" t="inlineStr">
        <is>
          <t>순자산 263억(기준 300억 미만), 60일 거래대금 1.4억(기준 5억 미만)</t>
        </is>
      </c>
      <c r="O254" s="95" t="inlineStr">
        <is>
          <t>Dow Jones U.S. Dividend 100 Total Return Index</t>
        </is>
      </c>
      <c r="P254" s="95" t="inlineStr">
        <is>
          <t>일반</t>
        </is>
      </c>
      <c r="Q254" s="95" t="inlineStr">
        <is>
          <t>주식</t>
        </is>
      </c>
      <c r="R254" s="95" t="inlineStr">
        <is>
          <t>월배당</t>
        </is>
      </c>
      <c r="S254" s="96" t="n">
        <v>12</v>
      </c>
      <c r="T254">
        <f>IF(AND($J254&lt;&gt;"",OR(조회_주기="전체",$R254=조회_주기),$J254&gt;=조회_최소,$J254&lt;=조회_최대),1,0)</f>
        <v/>
      </c>
      <c r="U254">
        <f>IF($T254=1,$U253+1,$U253)</f>
        <v/>
      </c>
      <c r="V254">
        <f>IF(검색어="",1,IF(ISNUMBER(SEARCH(검색어,$A254)),1,0))</f>
        <v/>
      </c>
      <c r="W254">
        <f>IF($V254=1,$W253+1,$W253)</f>
        <v/>
      </c>
      <c r="X254">
        <f>IFERROR(INDEX($A$4:$A$517,MATCH(251,$W$4:$W$517,0)),"")</f>
        <v/>
      </c>
    </row>
    <row r="255">
      <c r="A255" s="95" t="inlineStr">
        <is>
          <t>KODEX 배당가치</t>
        </is>
      </c>
      <c r="B255" s="95" t="inlineStr">
        <is>
          <t>325020</t>
        </is>
      </c>
      <c r="C255" s="95" t="inlineStr">
        <is>
          <t>삼성자산운용(ETF)</t>
        </is>
      </c>
      <c r="D255" s="96" t="n">
        <v>29295</v>
      </c>
      <c r="E255" s="96" t="n">
        <v>90814500000</v>
      </c>
      <c r="F255" s="96" t="n">
        <v>1475364830</v>
      </c>
      <c r="G255" s="97" t="n">
        <v>0.003</v>
      </c>
      <c r="H255" s="97" t="n">
        <v>0.3758</v>
      </c>
      <c r="I255" s="97" t="n">
        <v>0.0059</v>
      </c>
      <c r="J255" s="97" t="n">
        <v>0.028674</v>
      </c>
      <c r="K255" s="96" t="n">
        <v>17</v>
      </c>
      <c r="L255" s="95" t="inlineStr">
        <is>
          <t>20260730</t>
        </is>
      </c>
      <c r="M255" s="95" t="inlineStr">
        <is>
          <t>제외</t>
        </is>
      </c>
      <c r="N255" s="95" t="inlineStr">
        <is>
          <t>변동성 37.6%(1년 기준, 기준 35% 초과)</t>
        </is>
      </c>
      <c r="O255" s="95" t="inlineStr">
        <is>
          <t>FnGuide SLV 배당가치 지수</t>
        </is>
      </c>
      <c r="P255" s="95" t="inlineStr">
        <is>
          <t>일반</t>
        </is>
      </c>
      <c r="Q255" s="95" t="inlineStr">
        <is>
          <t>주식</t>
        </is>
      </c>
      <c r="R255" s="95" t="inlineStr">
        <is>
          <t>분기배당</t>
        </is>
      </c>
      <c r="S255" s="96" t="n">
        <v>4</v>
      </c>
      <c r="T255">
        <f>IF(AND($J255&lt;&gt;"",OR(조회_주기="전체",$R255=조회_주기),$J255&gt;=조회_최소,$J255&lt;=조회_최대),1,0)</f>
        <v/>
      </c>
      <c r="U255">
        <f>IF($T255=1,$U254+1,$U254)</f>
        <v/>
      </c>
      <c r="V255">
        <f>IF(검색어="",1,IF(ISNUMBER(SEARCH(검색어,$A255)),1,0))</f>
        <v/>
      </c>
      <c r="W255">
        <f>IF($V255=1,$W254+1,$W254)</f>
        <v/>
      </c>
      <c r="X255">
        <f>IFERROR(INDEX($A$4:$A$517,MATCH(252,$W$4:$W$517,0)),"")</f>
        <v/>
      </c>
    </row>
    <row r="256">
      <c r="A256" s="95" t="inlineStr">
        <is>
          <t>KODEX 증권</t>
        </is>
      </c>
      <c r="B256" s="95" t="inlineStr">
        <is>
          <t>102970</t>
        </is>
      </c>
      <c r="C256" s="95" t="inlineStr">
        <is>
          <t>삼성자산운용(ETF)</t>
        </is>
      </c>
      <c r="D256" s="96" t="n">
        <v>17465</v>
      </c>
      <c r="E256" s="96" t="n">
        <v>653191000000</v>
      </c>
      <c r="F256" s="96" t="n">
        <v>22148187103</v>
      </c>
      <c r="G256" s="97" t="n">
        <v>0.004500000000000001</v>
      </c>
      <c r="H256" s="97" t="n">
        <v>0.6317</v>
      </c>
      <c r="I256" s="97" t="n">
        <v>0.008699999999999999</v>
      </c>
      <c r="J256" s="97" t="n">
        <v>0.027999</v>
      </c>
      <c r="K256" s="96" t="n">
        <v>6</v>
      </c>
      <c r="L256" s="95" t="inlineStr">
        <is>
          <t>20260730</t>
        </is>
      </c>
      <c r="M256" s="95" t="inlineStr">
        <is>
          <t>제외</t>
        </is>
      </c>
      <c r="N256" s="95" t="inlineStr">
        <is>
          <t>변동성 63.2%(1년 기준, 기준 35% 초과)</t>
        </is>
      </c>
      <c r="O256" s="95" t="inlineStr">
        <is>
          <t>KRX 증권</t>
        </is>
      </c>
      <c r="P256" s="95" t="inlineStr">
        <is>
          <t>일반</t>
        </is>
      </c>
      <c r="Q256" s="95" t="inlineStr">
        <is>
          <t>주식</t>
        </is>
      </c>
      <c r="R256" s="95" t="inlineStr">
        <is>
          <t>연배당</t>
        </is>
      </c>
      <c r="S256" s="96" t="n">
        <v>2</v>
      </c>
      <c r="T256">
        <f>IF(AND($J256&lt;&gt;"",OR(조회_주기="전체",$R256=조회_주기),$J256&gt;=조회_최소,$J256&lt;=조회_최대),1,0)</f>
        <v/>
      </c>
      <c r="U256">
        <f>IF($T256=1,$U255+1,$U255)</f>
        <v/>
      </c>
      <c r="V256">
        <f>IF(검색어="",1,IF(ISNUMBER(SEARCH(검색어,$A256)),1,0))</f>
        <v/>
      </c>
      <c r="W256">
        <f>IF($V256=1,$W255+1,$W255)</f>
        <v/>
      </c>
      <c r="X256">
        <f>IFERROR(INDEX($A$4:$A$517,MATCH(253,$W$4:$W$517,0)),"")</f>
        <v/>
      </c>
    </row>
    <row r="257">
      <c r="A257" s="95" t="inlineStr">
        <is>
          <t>KODEX 자동차</t>
        </is>
      </c>
      <c r="B257" s="95" t="inlineStr">
        <is>
          <t>091180</t>
        </is>
      </c>
      <c r="C257" s="95" t="inlineStr">
        <is>
          <t>삼성자산운용(ETF)</t>
        </is>
      </c>
      <c r="D257" s="96" t="n">
        <v>25850</v>
      </c>
      <c r="E257" s="96" t="n">
        <v>365777500000</v>
      </c>
      <c r="F257" s="96" t="n">
        <v>13012361689</v>
      </c>
      <c r="G257" s="97" t="n">
        <v>0.004500000000000001</v>
      </c>
      <c r="H257" s="97" t="n">
        <v>0.5175999999999999</v>
      </c>
      <c r="I257" s="97" t="n">
        <v>0.0058</v>
      </c>
      <c r="J257" s="97" t="n">
        <v>0.027582</v>
      </c>
      <c r="K257" s="96" t="n">
        <v>7</v>
      </c>
      <c r="L257" s="95" t="inlineStr">
        <is>
          <t>20260730</t>
        </is>
      </c>
      <c r="M257" s="95" t="inlineStr">
        <is>
          <t>제외</t>
        </is>
      </c>
      <c r="N257" s="95" t="inlineStr">
        <is>
          <t>변동성 51.8%(1년 기준, 기준 35% 초과)</t>
        </is>
      </c>
      <c r="O257" s="95" t="inlineStr">
        <is>
          <t>KRX 자동차</t>
        </is>
      </c>
      <c r="P257" s="95" t="inlineStr">
        <is>
          <t>일반</t>
        </is>
      </c>
      <c r="Q257" s="95" t="inlineStr">
        <is>
          <t>주식</t>
        </is>
      </c>
      <c r="R257" s="95" t="inlineStr">
        <is>
          <t>분기배당</t>
        </is>
      </c>
      <c r="S257" s="96" t="n">
        <v>3</v>
      </c>
      <c r="T257">
        <f>IF(AND($J257&lt;&gt;"",OR(조회_주기="전체",$R257=조회_주기),$J257&gt;=조회_최소,$J257&lt;=조회_최대),1,0)</f>
        <v/>
      </c>
      <c r="U257">
        <f>IF($T257=1,$U256+1,$U256)</f>
        <v/>
      </c>
      <c r="V257">
        <f>IF(검색어="",1,IF(ISNUMBER(SEARCH(검색어,$A257)),1,0))</f>
        <v/>
      </c>
      <c r="W257">
        <f>IF($V257=1,$W256+1,$W256)</f>
        <v/>
      </c>
      <c r="X257">
        <f>IFERROR(INDEX($A$4:$A$517,MATCH(254,$W$4:$W$517,0)),"")</f>
        <v/>
      </c>
    </row>
    <row r="258">
      <c r="A258" s="95" t="inlineStr">
        <is>
          <t>KIWOOM 머니마켓액티브</t>
        </is>
      </c>
      <c r="B258" s="95" t="inlineStr">
        <is>
          <t>476450</t>
        </is>
      </c>
      <c r="C258" s="95" t="inlineStr">
        <is>
          <t>키움투자자산운용</t>
        </is>
      </c>
      <c r="D258" s="96" t="n">
        <v>52855</v>
      </c>
      <c r="E258" s="96" t="n">
        <v>119769430000</v>
      </c>
      <c r="F258" s="96" t="n">
        <v>476248060</v>
      </c>
      <c r="G258" s="97" t="n">
        <v>0.0005</v>
      </c>
      <c r="H258" s="97" t="n">
        <v>0.0278</v>
      </c>
      <c r="I258" s="97" t="n">
        <v>0.0274</v>
      </c>
      <c r="J258" s="97" t="n">
        <v>0.027509</v>
      </c>
      <c r="K258" s="96" t="n">
        <v>1</v>
      </c>
      <c r="L258" s="95" t="inlineStr">
        <is>
          <t>20251229</t>
        </is>
      </c>
      <c r="M258" s="95" t="inlineStr">
        <is>
          <t>제외</t>
        </is>
      </c>
      <c r="N258" s="95" t="inlineStr">
        <is>
          <t>60일 거래대금 4.8억(기준 5억 미만)</t>
        </is>
      </c>
      <c r="O258" s="95" t="inlineStr">
        <is>
          <t>KIS-키움 MMF지수</t>
        </is>
      </c>
      <c r="P258" s="95" t="inlineStr">
        <is>
          <t>일반</t>
        </is>
      </c>
      <c r="Q258" s="95" t="inlineStr">
        <is>
          <t>단기자금(파킹형)</t>
        </is>
      </c>
      <c r="R258" s="95" t="inlineStr">
        <is>
          <t>연배당</t>
        </is>
      </c>
      <c r="S258" s="96" t="n">
        <v>1</v>
      </c>
      <c r="T258">
        <f>IF(AND($J258&lt;&gt;"",OR(조회_주기="전체",$R258=조회_주기),$J258&gt;=조회_최소,$J258&lt;=조회_최대),1,0)</f>
        <v/>
      </c>
      <c r="U258">
        <f>IF($T258=1,$U257+1,$U257)</f>
        <v/>
      </c>
      <c r="V258">
        <f>IF(검색어="",1,IF(ISNUMBER(SEARCH(검색어,$A258)),1,0))</f>
        <v/>
      </c>
      <c r="W258">
        <f>IF($V258=1,$W257+1,$W257)</f>
        <v/>
      </c>
      <c r="X258">
        <f>IFERROR(INDEX($A$4:$A$517,MATCH(255,$W$4:$W$517,0)),"")</f>
        <v/>
      </c>
    </row>
    <row r="259">
      <c r="A259" s="95" t="inlineStr">
        <is>
          <t>PLUS 미국채30년액티브</t>
        </is>
      </c>
      <c r="B259" s="95" t="inlineStr">
        <is>
          <t>464470</t>
        </is>
      </c>
      <c r="C259" s="95" t="inlineStr">
        <is>
          <t>한화자산운용</t>
        </is>
      </c>
      <c r="D259" s="96" t="n">
        <v>47285</v>
      </c>
      <c r="E259" s="96" t="n">
        <v>36125740000</v>
      </c>
      <c r="F259" s="96" t="n">
        <v>309125775</v>
      </c>
      <c r="G259" s="97" t="n">
        <v>0.0015</v>
      </c>
      <c r="H259" s="97" t="n">
        <v>0.1308</v>
      </c>
      <c r="I259" s="97" t="n">
        <v>0.0019</v>
      </c>
      <c r="J259" s="97" t="n">
        <v>0.026753</v>
      </c>
      <c r="K259" s="96" t="n">
        <v>18</v>
      </c>
      <c r="L259" s="95" t="inlineStr">
        <is>
          <t>20260828</t>
        </is>
      </c>
      <c r="M259" s="95" t="inlineStr">
        <is>
          <t>제외</t>
        </is>
      </c>
      <c r="N259" s="95" t="inlineStr">
        <is>
          <t>60일 거래대금 3.1억(기준 5억 미만)</t>
        </is>
      </c>
      <c r="O259" s="95" t="inlineStr">
        <is>
          <t>ICE U.S. Treasury 20+ Year Bond Index</t>
        </is>
      </c>
      <c r="P259" s="95" t="inlineStr">
        <is>
          <t>일반</t>
        </is>
      </c>
      <c r="Q259" s="95" t="inlineStr">
        <is>
          <t>채권</t>
        </is>
      </c>
      <c r="R259" s="95" t="inlineStr">
        <is>
          <t>월배당</t>
        </is>
      </c>
      <c r="S259" s="96" t="n">
        <v>11</v>
      </c>
      <c r="T259">
        <f>IF(AND($J259&lt;&gt;"",OR(조회_주기="전체",$R259=조회_주기),$J259&gt;=조회_최소,$J259&lt;=조회_최대),1,0)</f>
        <v/>
      </c>
      <c r="U259">
        <f>IF($T259=1,$U258+1,$U258)</f>
        <v/>
      </c>
      <c r="V259">
        <f>IF(검색어="",1,IF(ISNUMBER(SEARCH(검색어,$A259)),1,0))</f>
        <v/>
      </c>
      <c r="W259">
        <f>IF($V259=1,$W258+1,$W258)</f>
        <v/>
      </c>
      <c r="X259">
        <f>IFERROR(INDEX($A$4:$A$517,MATCH(256,$W$4:$W$517,0)),"")</f>
        <v/>
      </c>
    </row>
    <row r="260">
      <c r="A260" s="95" t="inlineStr">
        <is>
          <t>KIWOOM 단기채권ESG액티브</t>
        </is>
      </c>
      <c r="B260" s="95" t="inlineStr">
        <is>
          <t>419890</t>
        </is>
      </c>
      <c r="C260" s="95" t="inlineStr">
        <is>
          <t>키움투자자산운용</t>
        </is>
      </c>
      <c r="D260" s="96" t="n">
        <v>107475</v>
      </c>
      <c r="E260" s="96" t="n">
        <v>62335500000</v>
      </c>
      <c r="F260" s="96" t="n">
        <v>80276040</v>
      </c>
      <c r="G260" s="97" t="n">
        <v>0.0015</v>
      </c>
      <c r="H260" s="97" t="n">
        <v>0.0273</v>
      </c>
      <c r="I260" s="97" t="n">
        <v>0.0262</v>
      </c>
      <c r="J260" s="97" t="n">
        <v>0.026648</v>
      </c>
      <c r="K260" s="96" t="n">
        <v>3</v>
      </c>
      <c r="L260" s="95" t="inlineStr">
        <is>
          <t>20251229</t>
        </is>
      </c>
      <c r="M260" s="95" t="inlineStr">
        <is>
          <t>제외</t>
        </is>
      </c>
      <c r="N260" s="95" t="inlineStr">
        <is>
          <t>60일 거래대금 0.8억(기준 5억 미만)</t>
        </is>
      </c>
      <c r="O260" s="95" t="inlineStr">
        <is>
          <t>KIS ESG 9M~1.5Y</t>
        </is>
      </c>
      <c r="P260" s="95" t="inlineStr">
        <is>
          <t>일반</t>
        </is>
      </c>
      <c r="Q260" s="95" t="inlineStr">
        <is>
          <t>채권</t>
        </is>
      </c>
      <c r="R260" s="95" t="inlineStr">
        <is>
          <t>연배당</t>
        </is>
      </c>
      <c r="S260" s="96" t="n">
        <v>1</v>
      </c>
      <c r="T260">
        <f>IF(AND($J260&lt;&gt;"",OR(조회_주기="전체",$R260=조회_주기),$J260&gt;=조회_최소,$J260&lt;=조회_최대),1,0)</f>
        <v/>
      </c>
      <c r="U260">
        <f>IF($T260=1,$U259+1,$U259)</f>
        <v/>
      </c>
      <c r="V260">
        <f>IF(검색어="",1,IF(ISNUMBER(SEARCH(검색어,$A260)),1,0))</f>
        <v/>
      </c>
      <c r="W260">
        <f>IF($V260=1,$W259+1,$W259)</f>
        <v/>
      </c>
      <c r="X260">
        <f>IFERROR(INDEX($A$4:$A$517,MATCH(257,$W$4:$W$517,0)),"")</f>
        <v/>
      </c>
    </row>
    <row r="261">
      <c r="A261" s="95" t="inlineStr">
        <is>
          <t>TIGER 배당성장</t>
        </is>
      </c>
      <c r="B261" s="95" t="inlineStr">
        <is>
          <t>211560</t>
        </is>
      </c>
      <c r="C261" s="95" t="inlineStr">
        <is>
          <t>미래에셋자산운용</t>
        </is>
      </c>
      <c r="D261" s="96" t="n">
        <v>35300</v>
      </c>
      <c r="E261" s="96" t="n">
        <v>70953000000</v>
      </c>
      <c r="F261" s="96" t="n">
        <v>393820667</v>
      </c>
      <c r="G261" s="97" t="n">
        <v>0.0015</v>
      </c>
      <c r="H261" s="97" t="n">
        <v>0.3448</v>
      </c>
      <c r="I261" s="97" t="n">
        <v>0.002</v>
      </c>
      <c r="J261" s="97" t="n">
        <v>0.025666</v>
      </c>
      <c r="K261" s="96" t="n">
        <v>16</v>
      </c>
      <c r="L261" s="95" t="inlineStr">
        <is>
          <t>20260730</t>
        </is>
      </c>
      <c r="M261" s="95" t="inlineStr">
        <is>
          <t>제외</t>
        </is>
      </c>
      <c r="N261" s="95" t="inlineStr">
        <is>
          <t>60일 거래대금 3.9억(기준 5억 미만)</t>
        </is>
      </c>
      <c r="O261" s="95" t="inlineStr">
        <is>
          <t>코스피 배당성장 50</t>
        </is>
      </c>
      <c r="P261" s="95" t="inlineStr">
        <is>
          <t>일반</t>
        </is>
      </c>
      <c r="Q261" s="95" t="inlineStr">
        <is>
          <t>주식</t>
        </is>
      </c>
      <c r="R261" s="95" t="inlineStr">
        <is>
          <t>분기배당</t>
        </is>
      </c>
      <c r="S261" s="96" t="n">
        <v>3</v>
      </c>
      <c r="T261">
        <f>IF(AND($J261&lt;&gt;"",OR(조회_주기="전체",$R261=조회_주기),$J261&gt;=조회_최소,$J261&lt;=조회_최대),1,0)</f>
        <v/>
      </c>
      <c r="U261">
        <f>IF($T261=1,$U260+1,$U260)</f>
        <v/>
      </c>
      <c r="V261">
        <f>IF(검색어="",1,IF(ISNUMBER(SEARCH(검색어,$A261)),1,0))</f>
        <v/>
      </c>
      <c r="W261">
        <f>IF($V261=1,$W260+1,$W260)</f>
        <v/>
      </c>
      <c r="X261">
        <f>IFERROR(INDEX($A$4:$A$517,MATCH(258,$W$4:$W$517,0)),"")</f>
        <v/>
      </c>
    </row>
    <row r="262">
      <c r="A262" s="95" t="inlineStr">
        <is>
          <t>SOL 국고채3년</t>
        </is>
      </c>
      <c r="B262" s="95" t="inlineStr">
        <is>
          <t>438560</t>
        </is>
      </c>
      <c r="C262" s="95" t="inlineStr">
        <is>
          <t>신한자산운용</t>
        </is>
      </c>
      <c r="D262" s="96" t="n">
        <v>100005</v>
      </c>
      <c r="E262" s="96" t="n">
        <v>139906995000</v>
      </c>
      <c r="F262" s="96" t="n">
        <v>48624339</v>
      </c>
      <c r="G262" s="97" t="n">
        <v>0.0005</v>
      </c>
      <c r="H262" s="97" t="n">
        <v>0.0335</v>
      </c>
      <c r="I262" s="97" t="n">
        <v>0.0245</v>
      </c>
      <c r="J262" s="97" t="n">
        <v>0.025249</v>
      </c>
      <c r="K262" s="96" t="n">
        <v>3</v>
      </c>
      <c r="L262" s="95" t="inlineStr">
        <is>
          <t>20251229</t>
        </is>
      </c>
      <c r="M262" s="95" t="inlineStr">
        <is>
          <t>제외</t>
        </is>
      </c>
      <c r="N262" s="95" t="inlineStr">
        <is>
          <t>60일 거래대금 0.5억(기준 5억 미만)</t>
        </is>
      </c>
      <c r="O262" s="95" t="inlineStr">
        <is>
          <t>KAP 국고채3년지수(총수익)</t>
        </is>
      </c>
      <c r="P262" s="95" t="inlineStr">
        <is>
          <t>일반</t>
        </is>
      </c>
      <c r="Q262" s="95" t="inlineStr">
        <is>
          <t>채권</t>
        </is>
      </c>
      <c r="R262" s="95" t="inlineStr">
        <is>
          <t>연배당</t>
        </is>
      </c>
      <c r="S262" s="96" t="n">
        <v>1</v>
      </c>
      <c r="T262">
        <f>IF(AND($J262&lt;&gt;"",OR(조회_주기="전체",$R262=조회_주기),$J262&gt;=조회_최소,$J262&lt;=조회_최대),1,0)</f>
        <v/>
      </c>
      <c r="U262">
        <f>IF($T262=1,$U261+1,$U261)</f>
        <v/>
      </c>
      <c r="V262">
        <f>IF(검색어="",1,IF(ISNUMBER(SEARCH(검색어,$A262)),1,0))</f>
        <v/>
      </c>
      <c r="W262">
        <f>IF($V262=1,$W261+1,$W261)</f>
        <v/>
      </c>
      <c r="X262">
        <f>IFERROR(INDEX($A$4:$A$517,MATCH(259,$W$4:$W$517,0)),"")</f>
        <v/>
      </c>
    </row>
    <row r="263">
      <c r="A263" s="95" t="inlineStr">
        <is>
          <t>KIWOOM 국고채3년</t>
        </is>
      </c>
      <c r="B263" s="95" t="inlineStr">
        <is>
          <t>114470</t>
        </is>
      </c>
      <c r="C263" s="95" t="inlineStr">
        <is>
          <t>키움투자자산운용</t>
        </is>
      </c>
      <c r="D263" s="96" t="n">
        <v>106980</v>
      </c>
      <c r="E263" s="96" t="n">
        <v>48141000000</v>
      </c>
      <c r="F263" s="96" t="n">
        <v>119298680</v>
      </c>
      <c r="G263" s="97" t="n">
        <v>0.0005</v>
      </c>
      <c r="H263" s="97" t="n">
        <v>0.0249</v>
      </c>
      <c r="I263" s="97" t="n">
        <v>0.0052</v>
      </c>
      <c r="J263" s="97" t="n">
        <v>0.024902</v>
      </c>
      <c r="K263" s="96" t="n">
        <v>20</v>
      </c>
      <c r="L263" s="95" t="inlineStr">
        <is>
          <t>20260908</t>
        </is>
      </c>
      <c r="M263" s="95" t="inlineStr">
        <is>
          <t>제외</t>
        </is>
      </c>
      <c r="N263" s="95" t="inlineStr">
        <is>
          <t>60일 거래대금 1.2억(기준 5억 미만)</t>
        </is>
      </c>
      <c r="O263" s="95" t="inlineStr">
        <is>
          <t>KTB Index</t>
        </is>
      </c>
      <c r="P263" s="95" t="inlineStr">
        <is>
          <t>일반</t>
        </is>
      </c>
      <c r="Q263" s="95" t="inlineStr">
        <is>
          <t>채권</t>
        </is>
      </c>
      <c r="R263" s="95" t="inlineStr">
        <is>
          <t>분기배당</t>
        </is>
      </c>
      <c r="S263" s="96" t="n">
        <v>4</v>
      </c>
      <c r="T263">
        <f>IF(AND($J263&lt;&gt;"",OR(조회_주기="전체",$R263=조회_주기),$J263&gt;=조회_최소,$J263&lt;=조회_최대),1,0)</f>
        <v/>
      </c>
      <c r="U263">
        <f>IF($T263=1,$U262+1,$U262)</f>
        <v/>
      </c>
      <c r="V263">
        <f>IF(검색어="",1,IF(ISNUMBER(SEARCH(검색어,$A263)),1,0))</f>
        <v/>
      </c>
      <c r="W263">
        <f>IF($V263=1,$W262+1,$W262)</f>
        <v/>
      </c>
      <c r="X263">
        <f>IFERROR(INDEX($A$4:$A$517,MATCH(260,$W$4:$W$517,0)),"")</f>
        <v/>
      </c>
    </row>
    <row r="264">
      <c r="A264" s="95" t="inlineStr">
        <is>
          <t>SOL 26-12 회사채(AA-이상)액티브</t>
        </is>
      </c>
      <c r="B264" s="95" t="inlineStr">
        <is>
          <t>488980</t>
        </is>
      </c>
      <c r="C264" s="95" t="inlineStr">
        <is>
          <t>신한자산운용</t>
        </is>
      </c>
      <c r="D264" s="96" t="n">
        <v>52195</v>
      </c>
      <c r="E264" s="96" t="n">
        <v>197714660000</v>
      </c>
      <c r="F264" s="96" t="n">
        <v>33021763</v>
      </c>
      <c r="G264" s="97" t="n">
        <v>0.0005</v>
      </c>
      <c r="H264" s="97" t="n">
        <v>0.0246</v>
      </c>
      <c r="I264" s="97" t="n">
        <v>0.024</v>
      </c>
      <c r="J264" s="97" t="n">
        <v>0.024044</v>
      </c>
      <c r="K264" s="96" t="n">
        <v>1</v>
      </c>
      <c r="L264" s="95" t="inlineStr">
        <is>
          <t>20251212</t>
        </is>
      </c>
      <c r="M264" s="95" t="inlineStr">
        <is>
          <t>제외</t>
        </is>
      </c>
      <c r="N264" s="95" t="inlineStr">
        <is>
          <t>60일 거래대금 0.3억(기준 5억 미만)</t>
        </is>
      </c>
      <c r="O264" s="95" t="inlineStr">
        <is>
          <t>KAP 26-12 크레딧 채권지수(AA-이상,총수익)</t>
        </is>
      </c>
      <c r="P264" s="95" t="inlineStr">
        <is>
          <t>일반</t>
        </is>
      </c>
      <c r="Q264" s="95" t="inlineStr">
        <is>
          <t>채권</t>
        </is>
      </c>
      <c r="R264" s="95" t="inlineStr">
        <is>
          <t>연배당</t>
        </is>
      </c>
      <c r="S264" s="96" t="n">
        <v>1</v>
      </c>
      <c r="T264">
        <f>IF(AND($J264&lt;&gt;"",OR(조회_주기="전체",$R264=조회_주기),$J264&gt;=조회_최소,$J264&lt;=조회_최대),1,0)</f>
        <v/>
      </c>
      <c r="U264">
        <f>IF($T264=1,$U263+1,$U263)</f>
        <v/>
      </c>
      <c r="V264">
        <f>IF(검색어="",1,IF(ISNUMBER(SEARCH(검색어,$A264)),1,0))</f>
        <v/>
      </c>
      <c r="W264">
        <f>IF($V264=1,$W263+1,$W263)</f>
        <v/>
      </c>
      <c r="X264">
        <f>IFERROR(INDEX($A$4:$A$517,MATCH(261,$W$4:$W$517,0)),"")</f>
        <v/>
      </c>
    </row>
    <row r="265">
      <c r="A265" s="95" t="inlineStr">
        <is>
          <t>ACE 중국본토CSI300</t>
        </is>
      </c>
      <c r="B265" s="95" t="inlineStr">
        <is>
          <t>168580</t>
        </is>
      </c>
      <c r="C265" s="95" t="inlineStr">
        <is>
          <t>한국투신운용(ETF)</t>
        </is>
      </c>
      <c r="D265" s="96" t="n">
        <v>33480</v>
      </c>
      <c r="E265" s="96" t="n">
        <v>104457600000</v>
      </c>
      <c r="F265" s="96" t="n">
        <v>144159238</v>
      </c>
      <c r="G265" s="97" t="n">
        <v>0.006999999999999999</v>
      </c>
      <c r="H265" s="97" t="n">
        <v>0.216</v>
      </c>
      <c r="I265" s="97" t="n">
        <v>0.022</v>
      </c>
      <c r="J265" s="97" t="n">
        <v>0.023148</v>
      </c>
      <c r="K265" s="96" t="n">
        <v>1</v>
      </c>
      <c r="L265" s="95" t="inlineStr">
        <is>
          <t>20251229</t>
        </is>
      </c>
      <c r="M265" s="95" t="inlineStr">
        <is>
          <t>제외</t>
        </is>
      </c>
      <c r="N265" s="95" t="inlineStr">
        <is>
          <t>60일 거래대금 1.4억(기준 5억 미만)</t>
        </is>
      </c>
      <c r="O265" s="95" t="inlineStr">
        <is>
          <t>CSI 300 INDEX</t>
        </is>
      </c>
      <c r="P265" s="95" t="inlineStr">
        <is>
          <t>일반</t>
        </is>
      </c>
      <c r="Q265" s="95" t="inlineStr">
        <is>
          <t>주식</t>
        </is>
      </c>
      <c r="R265" s="95" t="inlineStr">
        <is>
          <t>연배당</t>
        </is>
      </c>
      <c r="S265" s="96" t="n">
        <v>1</v>
      </c>
      <c r="T265">
        <f>IF(AND($J265&lt;&gt;"",OR(조회_주기="전체",$R265=조회_주기),$J265&gt;=조회_최소,$J265&lt;=조회_최대),1,0)</f>
        <v/>
      </c>
      <c r="U265">
        <f>IF($T265=1,$U264+1,$U264)</f>
        <v/>
      </c>
      <c r="V265">
        <f>IF(검색어="",1,IF(ISNUMBER(SEARCH(검색어,$A265)),1,0))</f>
        <v/>
      </c>
      <c r="W265">
        <f>IF($V265=1,$W264+1,$W264)</f>
        <v/>
      </c>
      <c r="X265">
        <f>IFERROR(INDEX($A$4:$A$517,MATCH(262,$W$4:$W$517,0)),"")</f>
        <v/>
      </c>
    </row>
    <row r="266">
      <c r="A266" s="95" t="inlineStr">
        <is>
          <t>KIWOOM 엔비디아미국30년국채혼합액티브(H)</t>
        </is>
      </c>
      <c r="B266" s="95" t="inlineStr">
        <is>
          <t>0015E0</t>
        </is>
      </c>
      <c r="C266" s="95" t="inlineStr">
        <is>
          <t>키움투자자산운용</t>
        </is>
      </c>
      <c r="D266" s="96" t="n">
        <v>10375</v>
      </c>
      <c r="E266" s="96" t="n">
        <v>5187500000</v>
      </c>
      <c r="F266" s="96" t="n">
        <v>32813394</v>
      </c>
      <c r="G266" s="97" t="n">
        <v>0.0019</v>
      </c>
      <c r="H266" s="97" t="n">
        <v>0.1077</v>
      </c>
      <c r="I266" s="97" t="n">
        <v>0.0019</v>
      </c>
      <c r="J266" s="97" t="n">
        <v>0.023133</v>
      </c>
      <c r="K266" s="96" t="n">
        <v>18</v>
      </c>
      <c r="L266" s="95" t="inlineStr">
        <is>
          <t>20260828</t>
        </is>
      </c>
      <c r="M266" s="95" t="inlineStr">
        <is>
          <t>제외</t>
        </is>
      </c>
      <c r="N266" s="95" t="inlineStr">
        <is>
          <t>순자산 52억(기준 300억 미만), 60일 거래대금 0.3억(기준 5억 미만)</t>
        </is>
      </c>
      <c r="O266" s="95" t="inlineStr">
        <is>
          <t>Bloomberg BlendedNVDIAand USLong Treasury Bond Index</t>
        </is>
      </c>
      <c r="P266" s="95" t="inlineStr">
        <is>
          <t>일반</t>
        </is>
      </c>
      <c r="Q266" s="95" t="inlineStr">
        <is>
          <t>멀티에셋</t>
        </is>
      </c>
      <c r="R266" s="95" t="inlineStr">
        <is>
          <t>월배당</t>
        </is>
      </c>
      <c r="S266" s="96" t="n">
        <v>11</v>
      </c>
      <c r="T266">
        <f>IF(AND($J266&lt;&gt;"",OR(조회_주기="전체",$R266=조회_주기),$J266&gt;=조회_최소,$J266&lt;=조회_최대),1,0)</f>
        <v/>
      </c>
      <c r="U266">
        <f>IF($T266=1,$U265+1,$U265)</f>
        <v/>
      </c>
      <c r="V266">
        <f>IF(검색어="",1,IF(ISNUMBER(SEARCH(검색어,$A266)),1,0))</f>
        <v/>
      </c>
      <c r="W266">
        <f>IF($V266=1,$W265+1,$W265)</f>
        <v/>
      </c>
      <c r="X266">
        <f>IFERROR(INDEX($A$4:$A$517,MATCH(263,$W$4:$W$517,0)),"")</f>
        <v/>
      </c>
    </row>
    <row r="267">
      <c r="A267" s="95" t="inlineStr">
        <is>
          <t>KIWOOM 팔란티어미국30년국채혼합액티브(H)</t>
        </is>
      </c>
      <c r="B267" s="95" t="inlineStr">
        <is>
          <t>0015F0</t>
        </is>
      </c>
      <c r="C267" s="95" t="inlineStr">
        <is>
          <t>키움투자자산운용</t>
        </is>
      </c>
      <c r="D267" s="96" t="n">
        <v>10385</v>
      </c>
      <c r="E267" s="96" t="n">
        <v>12462000000</v>
      </c>
      <c r="F267" s="96" t="n">
        <v>88893518</v>
      </c>
      <c r="G267" s="97" t="n">
        <v>0.0019</v>
      </c>
      <c r="H267" s="97" t="n">
        <v>0.1563</v>
      </c>
      <c r="I267" s="97" t="n">
        <v>0.0019</v>
      </c>
      <c r="J267" s="97" t="n">
        <v>0.02311</v>
      </c>
      <c r="K267" s="96" t="n">
        <v>18</v>
      </c>
      <c r="L267" s="95" t="inlineStr">
        <is>
          <t>20260828</t>
        </is>
      </c>
      <c r="M267" s="95" t="inlineStr">
        <is>
          <t>제외</t>
        </is>
      </c>
      <c r="N267" s="95" t="inlineStr">
        <is>
          <t>순자산 125억(기준 300억 미만), 60일 거래대금 0.9억(기준 5억 미만)</t>
        </is>
      </c>
      <c r="O267" s="95" t="inlineStr">
        <is>
          <t>Bloomberg Blended PALANTIR and USLong Treasury Bond Index</t>
        </is>
      </c>
      <c r="P267" s="95" t="inlineStr">
        <is>
          <t>일반</t>
        </is>
      </c>
      <c r="Q267" s="95" t="inlineStr">
        <is>
          <t>멀티에셋</t>
        </is>
      </c>
      <c r="R267" s="95" t="inlineStr">
        <is>
          <t>월배당</t>
        </is>
      </c>
      <c r="S267" s="96" t="n">
        <v>11</v>
      </c>
      <c r="T267">
        <f>IF(AND($J267&lt;&gt;"",OR(조회_주기="전체",$R267=조회_주기),$J267&gt;=조회_최소,$J267&lt;=조회_최대),1,0)</f>
        <v/>
      </c>
      <c r="U267">
        <f>IF($T267=1,$U266+1,$U266)</f>
        <v/>
      </c>
      <c r="V267">
        <f>IF(검색어="",1,IF(ISNUMBER(SEARCH(검색어,$A267)),1,0))</f>
        <v/>
      </c>
      <c r="W267">
        <f>IF($V267=1,$W266+1,$W266)</f>
        <v/>
      </c>
      <c r="X267">
        <f>IFERROR(INDEX($A$4:$A$517,MATCH(264,$W$4:$W$517,0)),"")</f>
        <v/>
      </c>
    </row>
    <row r="268">
      <c r="A268" s="95" t="inlineStr">
        <is>
          <t>TIGER 현대차그룹플러스</t>
        </is>
      </c>
      <c r="B268" s="95" t="inlineStr">
        <is>
          <t>138540</t>
        </is>
      </c>
      <c r="C268" s="95" t="inlineStr">
        <is>
          <t>미래에셋자산운용</t>
        </is>
      </c>
      <c r="D268" s="96" t="n">
        <v>48560</v>
      </c>
      <c r="E268" s="96" t="n">
        <v>631280000000</v>
      </c>
      <c r="F268" s="96" t="n">
        <v>16014486018</v>
      </c>
      <c r="G268" s="97" t="n">
        <v>0.0015</v>
      </c>
      <c r="H268" s="97" t="n">
        <v>0.5296999999999999</v>
      </c>
      <c r="I268" s="97" t="n">
        <v>0.0148</v>
      </c>
      <c r="J268" s="97" t="n">
        <v>0.022446</v>
      </c>
      <c r="K268" s="96" t="n">
        <v>9</v>
      </c>
      <c r="L268" s="95" t="inlineStr">
        <is>
          <t>20260429</t>
        </is>
      </c>
      <c r="M268" s="95" t="inlineStr">
        <is>
          <t>제외</t>
        </is>
      </c>
      <c r="N268" s="95" t="inlineStr">
        <is>
          <t>변동성 53.0%(1년 기준, 기준 35% 초과)</t>
        </is>
      </c>
      <c r="O268" s="95" t="inlineStr">
        <is>
          <t>FnGuide 현대차그룹+ FW</t>
        </is>
      </c>
      <c r="P268" s="95" t="inlineStr">
        <is>
          <t>일반</t>
        </is>
      </c>
      <c r="Q268" s="95" t="inlineStr">
        <is>
          <t>주식</t>
        </is>
      </c>
      <c r="R268" s="95" t="inlineStr">
        <is>
          <t>연배당</t>
        </is>
      </c>
      <c r="S268" s="96" t="n">
        <v>2</v>
      </c>
      <c r="T268">
        <f>IF(AND($J268&lt;&gt;"",OR(조회_주기="전체",$R268=조회_주기),$J268&gt;=조회_최소,$J268&lt;=조회_최대),1,0)</f>
        <v/>
      </c>
      <c r="U268">
        <f>IF($T268=1,$U267+1,$U267)</f>
        <v/>
      </c>
      <c r="V268">
        <f>IF(검색어="",1,IF(ISNUMBER(SEARCH(검색어,$A268)),1,0))</f>
        <v/>
      </c>
      <c r="W268">
        <f>IF($V268=1,$W267+1,$W267)</f>
        <v/>
      </c>
      <c r="X268">
        <f>IFERROR(INDEX($A$4:$A$517,MATCH(265,$W$4:$W$517,0)),"")</f>
        <v/>
      </c>
    </row>
    <row r="269">
      <c r="A269" s="95" t="inlineStr">
        <is>
          <t>KODEX 미국S&amp;P500변동성확대시커버드콜</t>
        </is>
      </c>
      <c r="B269" s="95" t="inlineStr">
        <is>
          <t>0089C0</t>
        </is>
      </c>
      <c r="C269" s="95" t="inlineStr">
        <is>
          <t>삼성자산운용(ETF)</t>
        </is>
      </c>
      <c r="D269" s="96" t="n">
        <v>11295</v>
      </c>
      <c r="E269" s="96" t="n">
        <v>42921000000</v>
      </c>
      <c r="F269" s="96" t="n">
        <v>368906756</v>
      </c>
      <c r="G269" s="97" t="n">
        <v>0.0039</v>
      </c>
      <c r="H269" s="97" t="n">
        <v>0.1399</v>
      </c>
      <c r="I269" s="97" t="n">
        <v>0.0009</v>
      </c>
      <c r="J269" s="97" t="n">
        <v>0.022045</v>
      </c>
      <c r="K269" s="96" t="n">
        <v>12</v>
      </c>
      <c r="L269" s="95" t="inlineStr">
        <is>
          <t>20260828</t>
        </is>
      </c>
      <c r="M269" s="95" t="inlineStr">
        <is>
          <t>제외</t>
        </is>
      </c>
      <c r="N269" s="95" t="inlineStr">
        <is>
          <t>60일 거래대금 3.7억(기준 5억 미만)</t>
        </is>
      </c>
      <c r="O269" s="95" t="inlineStr">
        <is>
          <t>Cboe S&amp;P 500 Volatility Contingent Daily Covered Call Index</t>
        </is>
      </c>
      <c r="P269" s="95" t="inlineStr">
        <is>
          <t>커버드콜</t>
        </is>
      </c>
      <c r="Q269" s="95" t="inlineStr">
        <is>
          <t>주식</t>
        </is>
      </c>
      <c r="R269" s="95" t="inlineStr">
        <is>
          <t>월배당</t>
        </is>
      </c>
      <c r="S269" s="96" t="n">
        <v>11</v>
      </c>
      <c r="T269">
        <f>IF(AND($J269&lt;&gt;"",OR(조회_주기="전체",$R269=조회_주기),$J269&gt;=조회_최소,$J269&lt;=조회_최대),1,0)</f>
        <v/>
      </c>
      <c r="U269">
        <f>IF($T269=1,$U268+1,$U268)</f>
        <v/>
      </c>
      <c r="V269">
        <f>IF(검색어="",1,IF(ISNUMBER(SEARCH(검색어,$A269)),1,0))</f>
        <v/>
      </c>
      <c r="W269">
        <f>IF($V269=1,$W268+1,$W268)</f>
        <v/>
      </c>
      <c r="X269">
        <f>IFERROR(INDEX($A$4:$A$517,MATCH(266,$W$4:$W$517,0)),"")</f>
        <v/>
      </c>
    </row>
    <row r="270">
      <c r="A270" s="95" t="inlineStr">
        <is>
          <t>ACE 미국배당퀄리티채권혼합50</t>
        </is>
      </c>
      <c r="B270" s="95" t="inlineStr">
        <is>
          <t>0049K0</t>
        </is>
      </c>
      <c r="C270" s="95" t="inlineStr">
        <is>
          <t>한국투신운용(ETF)</t>
        </is>
      </c>
      <c r="D270" s="96" t="n">
        <v>11025</v>
      </c>
      <c r="E270" s="96" t="n">
        <v>27011250000</v>
      </c>
      <c r="F270" s="96" t="n">
        <v>183640063</v>
      </c>
      <c r="G270" s="97" t="n">
        <v>0.0015</v>
      </c>
      <c r="H270" s="97" t="n">
        <v>0.0668</v>
      </c>
      <c r="I270" s="97" t="n">
        <v>0.0018</v>
      </c>
      <c r="J270" s="97" t="n">
        <v>0.021859</v>
      </c>
      <c r="K270" s="96" t="n">
        <v>15</v>
      </c>
      <c r="L270" s="95" t="inlineStr">
        <is>
          <t>20260828</t>
        </is>
      </c>
      <c r="M270" s="95" t="inlineStr">
        <is>
          <t>제외</t>
        </is>
      </c>
      <c r="N270" s="95" t="inlineStr">
        <is>
          <t>순자산 270억(기준 300억 미만), 60일 거래대금 1.8억(기준 5억 미만)</t>
        </is>
      </c>
      <c r="O270" s="95" t="inlineStr">
        <is>
          <t>Bloomberg WisdomTree U.S. Quality Dividend &amp; Short Term KRW</t>
        </is>
      </c>
      <c r="P270" s="95" t="inlineStr">
        <is>
          <t>일반</t>
        </is>
      </c>
      <c r="Q270" s="95" t="inlineStr">
        <is>
          <t>멀티에셋</t>
        </is>
      </c>
      <c r="R270" s="95" t="inlineStr">
        <is>
          <t>월배당</t>
        </is>
      </c>
      <c r="S270" s="96" t="n">
        <v>11</v>
      </c>
      <c r="T270">
        <f>IF(AND($J270&lt;&gt;"",OR(조회_주기="전체",$R270=조회_주기),$J270&gt;=조회_최소,$J270&lt;=조회_최대),1,0)</f>
        <v/>
      </c>
      <c r="U270">
        <f>IF($T270=1,$U269+1,$U269)</f>
        <v/>
      </c>
      <c r="V270">
        <f>IF(검색어="",1,IF(ISNUMBER(SEARCH(검색어,$A270)),1,0))</f>
        <v/>
      </c>
      <c r="W270">
        <f>IF($V270=1,$W269+1,$W269)</f>
        <v/>
      </c>
      <c r="X270">
        <f>IFERROR(INDEX($A$4:$A$517,MATCH(267,$W$4:$W$517,0)),"")</f>
        <v/>
      </c>
    </row>
    <row r="271">
      <c r="A271" s="95" t="inlineStr">
        <is>
          <t>KODEX TRF5050</t>
        </is>
      </c>
      <c r="B271" s="95" t="inlineStr">
        <is>
          <t>329660</t>
        </is>
      </c>
      <c r="C271" s="95" t="inlineStr">
        <is>
          <t>삼성자산운용(ETF)</t>
        </is>
      </c>
      <c r="D271" s="96" t="n">
        <v>17665</v>
      </c>
      <c r="E271" s="96" t="n">
        <v>83025500000</v>
      </c>
      <c r="F271" s="96" t="n">
        <v>284833566</v>
      </c>
      <c r="G271" s="97" t="n">
        <v>0.0017</v>
      </c>
      <c r="H271" s="97" t="n">
        <v>0.0728</v>
      </c>
      <c r="I271" s="97" t="n">
        <v>0.0018</v>
      </c>
      <c r="J271" s="97" t="n">
        <v>0.021511</v>
      </c>
      <c r="K271" s="96" t="n">
        <v>14</v>
      </c>
      <c r="L271" s="95" t="inlineStr">
        <is>
          <t>20260914</t>
        </is>
      </c>
      <c r="M271" s="95" t="inlineStr">
        <is>
          <t>제외</t>
        </is>
      </c>
      <c r="N271" s="95" t="inlineStr">
        <is>
          <t>60일 거래대금 2.8억(기준 5억 미만)</t>
        </is>
      </c>
      <c r="O271" s="95" t="inlineStr">
        <is>
          <t>FnGuide TRF 5050 지수</t>
        </is>
      </c>
      <c r="P271" s="95" t="inlineStr">
        <is>
          <t>일반</t>
        </is>
      </c>
      <c r="Q271" s="95" t="inlineStr">
        <is>
          <t>멀티에셋</t>
        </is>
      </c>
      <c r="R271" s="95" t="inlineStr">
        <is>
          <t>월배당</t>
        </is>
      </c>
      <c r="S271" s="96" t="n">
        <v>12</v>
      </c>
      <c r="T271">
        <f>IF(AND($J271&lt;&gt;"",OR(조회_주기="전체",$R271=조회_주기),$J271&gt;=조회_최소,$J271&lt;=조회_최대),1,0)</f>
        <v/>
      </c>
      <c r="U271">
        <f>IF($T271=1,$U270+1,$U270)</f>
        <v/>
      </c>
      <c r="V271">
        <f>IF(검색어="",1,IF(ISNUMBER(SEARCH(검색어,$A271)),1,0))</f>
        <v/>
      </c>
      <c r="W271">
        <f>IF($V271=1,$W270+1,$W270)</f>
        <v/>
      </c>
      <c r="X271">
        <f>IFERROR(INDEX($A$4:$A$517,MATCH(268,$W$4:$W$517,0)),"")</f>
        <v/>
      </c>
    </row>
    <row r="272">
      <c r="A272" s="95" t="inlineStr">
        <is>
          <t>ACE 테슬라밸류체인액티브</t>
        </is>
      </c>
      <c r="B272" s="95" t="inlineStr">
        <is>
          <t>457480</t>
        </is>
      </c>
      <c r="C272" s="95" t="inlineStr">
        <is>
          <t>한국투자신탁운용</t>
        </is>
      </c>
      <c r="D272" s="96" t="n">
        <v>18165</v>
      </c>
      <c r="E272" s="96" t="n">
        <v>752031000000</v>
      </c>
      <c r="F272" s="96" t="n">
        <v>11277157625</v>
      </c>
      <c r="G272" s="97" t="n">
        <v>0.0029</v>
      </c>
      <c r="H272" s="97" t="n">
        <v>0.385</v>
      </c>
      <c r="I272" s="97" t="n">
        <v>0.0157</v>
      </c>
      <c r="J272" s="97" t="n">
        <v>0.020094</v>
      </c>
      <c r="K272" s="96" t="n">
        <v>1</v>
      </c>
      <c r="L272" s="95" t="inlineStr">
        <is>
          <t>20251229</t>
        </is>
      </c>
      <c r="M272" s="95" t="inlineStr">
        <is>
          <t>제외</t>
        </is>
      </c>
      <c r="N272" s="95" t="inlineStr">
        <is>
          <t>변동성 38.5%(1년 기준, 기준 35% 초과)</t>
        </is>
      </c>
      <c r="O272" s="95" t="inlineStr">
        <is>
          <t>Bloomberg EV Supporters Plus Tesla Index</t>
        </is>
      </c>
      <c r="P272" s="95" t="inlineStr">
        <is>
          <t>일반</t>
        </is>
      </c>
      <c r="Q272" s="95" t="inlineStr">
        <is>
          <t>주식</t>
        </is>
      </c>
      <c r="R272" s="95" t="inlineStr">
        <is>
          <t>연배당</t>
        </is>
      </c>
      <c r="S272" s="96" t="n">
        <v>1</v>
      </c>
      <c r="T272">
        <f>IF(AND($J272&lt;&gt;"",OR(조회_주기="전체",$R272=조회_주기),$J272&gt;=조회_최소,$J272&lt;=조회_최대),1,0)</f>
        <v/>
      </c>
      <c r="U272">
        <f>IF($T272=1,$U271+1,$U271)</f>
        <v/>
      </c>
      <c r="V272">
        <f>IF(검색어="",1,IF(ISNUMBER(SEARCH(검색어,$A272)),1,0))</f>
        <v/>
      </c>
      <c r="W272">
        <f>IF($V272=1,$W271+1,$W271)</f>
        <v/>
      </c>
      <c r="X272">
        <f>IFERROR(INDEX($A$4:$A$517,MATCH(269,$W$4:$W$517,0)),"")</f>
        <v/>
      </c>
    </row>
    <row r="273">
      <c r="A273" s="95" t="inlineStr">
        <is>
          <t>KoAct 코리아밸류업액티브</t>
        </is>
      </c>
      <c r="B273" s="95" t="inlineStr">
        <is>
          <t>495230</t>
        </is>
      </c>
      <c r="C273" s="95" t="inlineStr">
        <is>
          <t>삼성액티브자산(ETF)</t>
        </is>
      </c>
      <c r="D273" s="96" t="n">
        <v>30650</v>
      </c>
      <c r="E273" s="96" t="n">
        <v>242135000000</v>
      </c>
      <c r="F273" s="96" t="n">
        <v>3581747738</v>
      </c>
      <c r="G273" s="97" t="n">
        <v>0.005</v>
      </c>
      <c r="H273" s="97" t="n">
        <v>0.5506</v>
      </c>
      <c r="I273" s="97" t="n">
        <v>0.002</v>
      </c>
      <c r="J273" s="97" t="n">
        <v>0.019706</v>
      </c>
      <c r="K273" s="96" t="n">
        <v>21</v>
      </c>
      <c r="L273" s="95" t="inlineStr">
        <is>
          <t>20260828</t>
        </is>
      </c>
      <c r="M273" s="95" t="inlineStr">
        <is>
          <t>제외</t>
        </is>
      </c>
      <c r="N273" s="95" t="inlineStr">
        <is>
          <t>변동성 55.1%(1년 기준, 기준 35% 초과)</t>
        </is>
      </c>
      <c r="O273" s="95" t="inlineStr">
        <is>
          <t>코리아 밸류업 지수</t>
        </is>
      </c>
      <c r="P273" s="95" t="inlineStr">
        <is>
          <t>일반</t>
        </is>
      </c>
      <c r="Q273" s="95" t="inlineStr">
        <is>
          <t>주식</t>
        </is>
      </c>
      <c r="R273" s="95" t="inlineStr">
        <is>
          <t>월배당</t>
        </is>
      </c>
      <c r="S273" s="96" t="n">
        <v>11</v>
      </c>
      <c r="T273">
        <f>IF(AND($J273&lt;&gt;"",OR(조회_주기="전체",$R273=조회_주기),$J273&gt;=조회_최소,$J273&lt;=조회_최대),1,0)</f>
        <v/>
      </c>
      <c r="U273">
        <f>IF($T273=1,$U272+1,$U272)</f>
        <v/>
      </c>
      <c r="V273">
        <f>IF(검색어="",1,IF(ISNUMBER(SEARCH(검색어,$A273)),1,0))</f>
        <v/>
      </c>
      <c r="W273">
        <f>IF($V273=1,$W272+1,$W272)</f>
        <v/>
      </c>
      <c r="X273">
        <f>IFERROR(INDEX($A$4:$A$517,MATCH(270,$W$4:$W$517,0)),"")</f>
        <v/>
      </c>
    </row>
    <row r="274">
      <c r="A274" s="95" t="inlineStr">
        <is>
          <t>KIWOOM 미국방어배당성장나스닥</t>
        </is>
      </c>
      <c r="B274" s="95" t="inlineStr">
        <is>
          <t>373790</t>
        </is>
      </c>
      <c r="C274" s="95" t="inlineStr">
        <is>
          <t>키움투자자산운용</t>
        </is>
      </c>
      <c r="D274" s="96" t="n">
        <v>15360</v>
      </c>
      <c r="E274" s="96" t="n">
        <v>4300800000</v>
      </c>
      <c r="F274" s="96" t="n">
        <v>11094861</v>
      </c>
      <c r="G274" s="97" t="n">
        <v>0.004</v>
      </c>
      <c r="H274" s="97" t="n">
        <v>0.1427</v>
      </c>
      <c r="I274" s="97" t="n">
        <v>0.0019</v>
      </c>
      <c r="J274" s="97" t="n">
        <v>0.019661</v>
      </c>
      <c r="K274" s="96" t="n">
        <v>33</v>
      </c>
      <c r="L274" s="95" t="inlineStr">
        <is>
          <t>20260828</t>
        </is>
      </c>
      <c r="M274" s="95" t="inlineStr">
        <is>
          <t>제외</t>
        </is>
      </c>
      <c r="N274" s="95" t="inlineStr">
        <is>
          <t>순자산 43억(기준 300억 미만), 60일 거래대금 0.1억(기준 5억 미만)</t>
        </is>
      </c>
      <c r="O274" s="95" t="inlineStr">
        <is>
          <t>Nasdaq US Low Volatility Dividend Achievers Index</t>
        </is>
      </c>
      <c r="P274" s="95" t="inlineStr">
        <is>
          <t>일반</t>
        </is>
      </c>
      <c r="Q274" s="95" t="inlineStr">
        <is>
          <t>주식</t>
        </is>
      </c>
      <c r="R274" s="95" t="inlineStr">
        <is>
          <t>월배당</t>
        </is>
      </c>
      <c r="S274" s="96" t="n">
        <v>11</v>
      </c>
      <c r="T274">
        <f>IF(AND($J274&lt;&gt;"",OR(조회_주기="전체",$R274=조회_주기),$J274&gt;=조회_최소,$J274&lt;=조회_최대),1,0)</f>
        <v/>
      </c>
      <c r="U274">
        <f>IF($T274=1,$U273+1,$U273)</f>
        <v/>
      </c>
      <c r="V274">
        <f>IF(검색어="",1,IF(ISNUMBER(SEARCH(검색어,$A274)),1,0))</f>
        <v/>
      </c>
      <c r="W274">
        <f>IF($V274=1,$W273+1,$W273)</f>
        <v/>
      </c>
      <c r="X274">
        <f>IFERROR(INDEX($A$4:$A$517,MATCH(271,$W$4:$W$517,0)),"")</f>
        <v/>
      </c>
    </row>
    <row r="275">
      <c r="A275" s="95" t="inlineStr">
        <is>
          <t>RISE 미국은행TOP10</t>
        </is>
      </c>
      <c r="B275" s="95" t="inlineStr">
        <is>
          <t>0013P0</t>
        </is>
      </c>
      <c r="C275" s="95" t="inlineStr">
        <is>
          <t>KB자산운용</t>
        </is>
      </c>
      <c r="D275" s="96" t="n">
        <v>12430</v>
      </c>
      <c r="E275" s="96" t="n">
        <v>13673000000</v>
      </c>
      <c r="F275" s="96" t="n">
        <v>298229285</v>
      </c>
      <c r="G275" s="97" t="n">
        <v>0.002</v>
      </c>
      <c r="H275" s="97" t="n">
        <v>0.2225</v>
      </c>
      <c r="I275" s="97" t="n">
        <v>0.0018</v>
      </c>
      <c r="J275" s="97" t="n">
        <v>0.019469</v>
      </c>
      <c r="K275" s="96" t="n">
        <v>17</v>
      </c>
      <c r="L275" s="95" t="inlineStr">
        <is>
          <t>20260828</t>
        </is>
      </c>
      <c r="M275" s="95" t="inlineStr">
        <is>
          <t>제외</t>
        </is>
      </c>
      <c r="N275" s="95" t="inlineStr">
        <is>
          <t>순자산 137억(기준 300억 미만), 60일 거래대금 3.0억(기준 5억 미만)</t>
        </is>
      </c>
      <c r="O275" s="95" t="inlineStr">
        <is>
          <t>KEDI U.S. Bank TOP10 Index (Price Return)</t>
        </is>
      </c>
      <c r="P275" s="95" t="inlineStr">
        <is>
          <t>일반</t>
        </is>
      </c>
      <c r="Q275" s="95" t="inlineStr">
        <is>
          <t>주식</t>
        </is>
      </c>
      <c r="R275" s="95" t="inlineStr">
        <is>
          <t>월배당</t>
        </is>
      </c>
      <c r="S275" s="96" t="n">
        <v>11</v>
      </c>
      <c r="T275">
        <f>IF(AND($J275&lt;&gt;"",OR(조회_주기="전체",$R275=조회_주기),$J275&gt;=조회_최소,$J275&lt;=조회_최대),1,0)</f>
        <v/>
      </c>
      <c r="U275">
        <f>IF($T275=1,$U274+1,$U274)</f>
        <v/>
      </c>
      <c r="V275">
        <f>IF(검색어="",1,IF(ISNUMBER(SEARCH(검색어,$A275)),1,0))</f>
        <v/>
      </c>
      <c r="W275">
        <f>IF($V275=1,$W274+1,$W274)</f>
        <v/>
      </c>
      <c r="X275">
        <f>IFERROR(INDEX($A$4:$A$517,MATCH(272,$W$4:$W$517,0)),"")</f>
        <v/>
      </c>
    </row>
    <row r="276">
      <c r="A276" s="95" t="inlineStr">
        <is>
          <t>RISE 고배당</t>
        </is>
      </c>
      <c r="B276" s="95" t="inlineStr">
        <is>
          <t>266160</t>
        </is>
      </c>
      <c r="C276" s="95" t="inlineStr">
        <is>
          <t>KB자산운용</t>
        </is>
      </c>
      <c r="D276" s="96" t="n">
        <v>32820</v>
      </c>
      <c r="E276" s="96" t="n">
        <v>208407000000</v>
      </c>
      <c r="F276" s="96" t="n">
        <v>1397736196</v>
      </c>
      <c r="G276" s="97" t="n">
        <v>0.002</v>
      </c>
      <c r="H276" s="97" t="n">
        <v>0.4803</v>
      </c>
      <c r="I276" s="97" t="n">
        <v>0.0028</v>
      </c>
      <c r="J276" s="97" t="n">
        <v>0.019043</v>
      </c>
      <c r="K276" s="96" t="n">
        <v>19</v>
      </c>
      <c r="L276" s="95" t="inlineStr">
        <is>
          <t>20260730</t>
        </is>
      </c>
      <c r="M276" s="95" t="inlineStr">
        <is>
          <t>제외</t>
        </is>
      </c>
      <c r="N276" s="95" t="inlineStr">
        <is>
          <t>변동성 48.0%(1년 기준, 기준 35% 초과)</t>
        </is>
      </c>
      <c r="O276" s="95" t="inlineStr">
        <is>
          <t>FnGuide 고배당포커스 지수</t>
        </is>
      </c>
      <c r="P276" s="95" t="inlineStr">
        <is>
          <t>일반</t>
        </is>
      </c>
      <c r="Q276" s="95" t="inlineStr">
        <is>
          <t>주식</t>
        </is>
      </c>
      <c r="R276" s="95" t="inlineStr">
        <is>
          <t>분기배당</t>
        </is>
      </c>
      <c r="S276" s="96" t="n">
        <v>4</v>
      </c>
      <c r="T276">
        <f>IF(AND($J276&lt;&gt;"",OR(조회_주기="전체",$R276=조회_주기),$J276&gt;=조회_최소,$J276&lt;=조회_최대),1,0)</f>
        <v/>
      </c>
      <c r="U276">
        <f>IF($T276=1,$U275+1,$U275)</f>
        <v/>
      </c>
      <c r="V276">
        <f>IF(검색어="",1,IF(ISNUMBER(SEARCH(검색어,$A276)),1,0))</f>
        <v/>
      </c>
      <c r="W276">
        <f>IF($V276=1,$W275+1,$W275)</f>
        <v/>
      </c>
      <c r="X276">
        <f>IFERROR(INDEX($A$4:$A$517,MATCH(273,$W$4:$W$517,0)),"")</f>
        <v/>
      </c>
    </row>
    <row r="277">
      <c r="A277" s="95" t="inlineStr">
        <is>
          <t>KODEX TRF7030</t>
        </is>
      </c>
      <c r="B277" s="95" t="inlineStr">
        <is>
          <t>329670</t>
        </is>
      </c>
      <c r="C277" s="95" t="inlineStr">
        <is>
          <t>삼성자산운용(ETF)</t>
        </is>
      </c>
      <c r="D277" s="96" t="n">
        <v>21760</v>
      </c>
      <c r="E277" s="96" t="n">
        <v>87040000000</v>
      </c>
      <c r="F277" s="96" t="n">
        <v>348694273</v>
      </c>
      <c r="G277" s="97" t="n">
        <v>0.001</v>
      </c>
      <c r="H277" s="97" t="n">
        <v>0.1026</v>
      </c>
      <c r="I277" s="97" t="n">
        <v>0.0015</v>
      </c>
      <c r="J277" s="97" t="n">
        <v>0.01852</v>
      </c>
      <c r="K277" s="96" t="n">
        <v>14</v>
      </c>
      <c r="L277" s="95" t="inlineStr">
        <is>
          <t>20260914</t>
        </is>
      </c>
      <c r="M277" s="95" t="inlineStr">
        <is>
          <t>제외</t>
        </is>
      </c>
      <c r="N277" s="95" t="inlineStr">
        <is>
          <t>60일 거래대금 3.5억(기준 5억 미만)</t>
        </is>
      </c>
      <c r="O277" s="95" t="inlineStr">
        <is>
          <t>FnGuide TRF 7030 지수</t>
        </is>
      </c>
      <c r="P277" s="95" t="inlineStr">
        <is>
          <t>일반</t>
        </is>
      </c>
      <c r="Q277" s="95" t="inlineStr">
        <is>
          <t>멀티에셋</t>
        </is>
      </c>
      <c r="R277" s="95" t="inlineStr">
        <is>
          <t>월배당</t>
        </is>
      </c>
      <c r="S277" s="96" t="n">
        <v>12</v>
      </c>
      <c r="T277">
        <f>IF(AND($J277&lt;&gt;"",OR(조회_주기="전체",$R277=조회_주기),$J277&gt;=조회_최소,$J277&lt;=조회_최대),1,0)</f>
        <v/>
      </c>
      <c r="U277">
        <f>IF($T277=1,$U276+1,$U276)</f>
        <v/>
      </c>
      <c r="V277">
        <f>IF(검색어="",1,IF(ISNUMBER(SEARCH(검색어,$A277)),1,0))</f>
        <v/>
      </c>
      <c r="W277">
        <f>IF($V277=1,$W276+1,$W276)</f>
        <v/>
      </c>
      <c r="X277">
        <f>IFERROR(INDEX($A$4:$A$517,MATCH(274,$W$4:$W$517,0)),"")</f>
        <v/>
      </c>
    </row>
    <row r="278">
      <c r="A278" s="95" t="inlineStr">
        <is>
          <t>RISE 단기채권알파액티브</t>
        </is>
      </c>
      <c r="B278" s="95" t="inlineStr">
        <is>
          <t>385550</t>
        </is>
      </c>
      <c r="C278" s="95" t="inlineStr">
        <is>
          <t>KB자산운용</t>
        </is>
      </c>
      <c r="D278" s="96" t="n">
        <v>114265</v>
      </c>
      <c r="E278" s="96" t="n">
        <v>373303755000</v>
      </c>
      <c r="F278" s="96" t="n">
        <v>411012004</v>
      </c>
      <c r="G278" s="97" t="n">
        <v>0.0005</v>
      </c>
      <c r="H278" s="97" t="n">
        <v>0.0185</v>
      </c>
      <c r="I278" s="97" t="n">
        <v>0.018</v>
      </c>
      <c r="J278" s="97" t="n">
        <v>0.017958</v>
      </c>
      <c r="K278" s="96" t="n">
        <v>1</v>
      </c>
      <c r="L278" s="95" t="inlineStr">
        <is>
          <t>20251212</t>
        </is>
      </c>
      <c r="M278" s="95" t="inlineStr">
        <is>
          <t>제외</t>
        </is>
      </c>
      <c r="N278" s="95" t="inlineStr">
        <is>
          <t>60일 거래대금 4.1억(기준 5억 미만)</t>
        </is>
      </c>
      <c r="O278" s="95" t="inlineStr">
        <is>
          <t>KIS 단기종합채권 지수(AA-이상)</t>
        </is>
      </c>
      <c r="P278" s="95" t="inlineStr">
        <is>
          <t>일반</t>
        </is>
      </c>
      <c r="Q278" s="95" t="inlineStr">
        <is>
          <t>채권</t>
        </is>
      </c>
      <c r="R278" s="95" t="inlineStr">
        <is>
          <t>연배당</t>
        </is>
      </c>
      <c r="S278" s="96" t="n">
        <v>1</v>
      </c>
      <c r="T278">
        <f>IF(AND($J278&lt;&gt;"",OR(조회_주기="전체",$R278=조회_주기),$J278&gt;=조회_최소,$J278&lt;=조회_최대),1,0)</f>
        <v/>
      </c>
      <c r="U278">
        <f>IF($T278=1,$U277+1,$U277)</f>
        <v/>
      </c>
      <c r="V278">
        <f>IF(검색어="",1,IF(ISNUMBER(SEARCH(검색어,$A278)),1,0))</f>
        <v/>
      </c>
      <c r="W278">
        <f>IF($V278=1,$W277+1,$W277)</f>
        <v/>
      </c>
      <c r="X278">
        <f>IFERROR(INDEX($A$4:$A$517,MATCH(275,$W$4:$W$517,0)),"")</f>
        <v/>
      </c>
    </row>
    <row r="279">
      <c r="A279" s="95" t="inlineStr">
        <is>
          <t>KODEX 26-12 회사채(AA-이상)액티브</t>
        </is>
      </c>
      <c r="B279" s="95" t="inlineStr">
        <is>
          <t>473290</t>
        </is>
      </c>
      <c r="C279" s="95" t="inlineStr">
        <is>
          <t>삼성자산운용(ETF)</t>
        </is>
      </c>
      <c r="D279" s="96" t="n">
        <v>10890</v>
      </c>
      <c r="E279" s="96" t="n">
        <v>392584500000</v>
      </c>
      <c r="F279" s="96" t="n">
        <v>489384967</v>
      </c>
      <c r="G279" s="97" t="n">
        <v>0.0009</v>
      </c>
      <c r="H279" s="97" t="n">
        <v>0.0185</v>
      </c>
      <c r="I279" s="97" t="n">
        <v>0.0179</v>
      </c>
      <c r="J279" s="97" t="n">
        <v>0.017906</v>
      </c>
      <c r="K279" s="96" t="n">
        <v>1</v>
      </c>
      <c r="L279" s="95" t="inlineStr">
        <is>
          <t>20251212</t>
        </is>
      </c>
      <c r="M279" s="95" t="inlineStr">
        <is>
          <t>제외</t>
        </is>
      </c>
      <c r="N279" s="95" t="inlineStr">
        <is>
          <t>60일 거래대금 4.9억(기준 5억 미만)</t>
        </is>
      </c>
      <c r="O279" s="95" t="inlineStr">
        <is>
          <t>KAP 26-12 회사채 총수익 지수(AA- 이상)</t>
        </is>
      </c>
      <c r="P279" s="95" t="inlineStr">
        <is>
          <t>일반</t>
        </is>
      </c>
      <c r="Q279" s="95" t="inlineStr">
        <is>
          <t>채권</t>
        </is>
      </c>
      <c r="R279" s="95" t="inlineStr">
        <is>
          <t>연배당</t>
        </is>
      </c>
      <c r="S279" s="96" t="n">
        <v>1</v>
      </c>
      <c r="T279">
        <f>IF(AND($J279&lt;&gt;"",OR(조회_주기="전체",$R279=조회_주기),$J279&gt;=조회_최소,$J279&lt;=조회_최대),1,0)</f>
        <v/>
      </c>
      <c r="U279">
        <f>IF($T279=1,$U278+1,$U278)</f>
        <v/>
      </c>
      <c r="V279">
        <f>IF(검색어="",1,IF(ISNUMBER(SEARCH(검색어,$A279)),1,0))</f>
        <v/>
      </c>
      <c r="W279">
        <f>IF($V279=1,$W278+1,$W278)</f>
        <v/>
      </c>
      <c r="X279">
        <f>IFERROR(INDEX($A$4:$A$517,MATCH(276,$W$4:$W$517,0)),"")</f>
        <v/>
      </c>
    </row>
    <row r="280">
      <c r="A280" s="95" t="inlineStr">
        <is>
          <t>KODEX TDF2030액티브 적격</t>
        </is>
      </c>
      <c r="B280" s="95" t="inlineStr">
        <is>
          <t>433970</t>
        </is>
      </c>
      <c r="C280" s="95" t="inlineStr">
        <is>
          <t>삼성자산운용(ETF)</t>
        </is>
      </c>
      <c r="D280" s="96" t="n">
        <v>13820</v>
      </c>
      <c r="E280" s="96" t="n">
        <v>93976000000</v>
      </c>
      <c r="F280" s="96" t="n">
        <v>380093504</v>
      </c>
      <c r="G280" s="97" t="n">
        <v>0.002</v>
      </c>
      <c r="H280" s="97" t="n">
        <v>0.0759</v>
      </c>
      <c r="I280" s="97" t="n">
        <v>0.004699999999999999</v>
      </c>
      <c r="J280" s="97" t="n">
        <v>0.0178</v>
      </c>
      <c r="K280" s="96" t="n">
        <v>11</v>
      </c>
      <c r="L280" s="95" t="inlineStr">
        <is>
          <t>20260730</t>
        </is>
      </c>
      <c r="M280" s="95" t="inlineStr">
        <is>
          <t>제외</t>
        </is>
      </c>
      <c r="N280" s="95" t="inlineStr">
        <is>
          <t>60일 거래대금 3.8억(기준 5억 미만)</t>
        </is>
      </c>
      <c r="O280" s="95" t="inlineStr">
        <is>
          <t>Samsung Korea Target Date 2030 Index</t>
        </is>
      </c>
      <c r="P280" s="95" t="inlineStr">
        <is>
          <t>일반</t>
        </is>
      </c>
      <c r="Q280" s="95" t="inlineStr">
        <is>
          <t>멀티에셋</t>
        </is>
      </c>
      <c r="R280" s="95" t="inlineStr">
        <is>
          <t>분기배당</t>
        </is>
      </c>
      <c r="S280" s="96" t="n">
        <v>4</v>
      </c>
      <c r="T280">
        <f>IF(AND($J280&lt;&gt;"",OR(조회_주기="전체",$R280=조회_주기),$J280&gt;=조회_최소,$J280&lt;=조회_최대),1,0)</f>
        <v/>
      </c>
      <c r="U280">
        <f>IF($T280=1,$U279+1,$U279)</f>
        <v/>
      </c>
      <c r="V280">
        <f>IF(검색어="",1,IF(ISNUMBER(SEARCH(검색어,$A280)),1,0))</f>
        <v/>
      </c>
      <c r="W280">
        <f>IF($V280=1,$W279+1,$W279)</f>
        <v/>
      </c>
      <c r="X280">
        <f>IFERROR(INDEX($A$4:$A$517,MATCH(277,$W$4:$W$517,0)),"")</f>
        <v/>
      </c>
    </row>
    <row r="281">
      <c r="A281" s="95" t="inlineStr">
        <is>
          <t>KODEX 장기종합채권(AA-이상)액티브</t>
        </is>
      </c>
      <c r="B281" s="95" t="inlineStr">
        <is>
          <t>363570</t>
        </is>
      </c>
      <c r="C281" s="95" t="inlineStr">
        <is>
          <t>삼성자산운용(ETF)</t>
        </is>
      </c>
      <c r="D281" s="96" t="n">
        <v>85910</v>
      </c>
      <c r="E281" s="96" t="n">
        <v>233073830000</v>
      </c>
      <c r="F281" s="96" t="n">
        <v>161092983</v>
      </c>
      <c r="G281" s="97" t="n">
        <v>0.00045</v>
      </c>
      <c r="H281" s="97" t="n">
        <v>0.08220000000000001</v>
      </c>
      <c r="I281" s="97" t="n">
        <v>0.0151</v>
      </c>
      <c r="J281" s="97" t="n">
        <v>0.017099</v>
      </c>
      <c r="K281" s="96" t="n">
        <v>1</v>
      </c>
      <c r="L281" s="95" t="inlineStr">
        <is>
          <t>20251212</t>
        </is>
      </c>
      <c r="M281" s="95" t="inlineStr">
        <is>
          <t>제외</t>
        </is>
      </c>
      <c r="N281" s="95" t="inlineStr">
        <is>
          <t>60일 거래대금 1.6억(기준 5억 미만)</t>
        </is>
      </c>
      <c r="O281" s="95" t="inlineStr">
        <is>
          <t>KAP 한국장기종합채권지수(AA- 이상,총수익)</t>
        </is>
      </c>
      <c r="P281" s="95" t="inlineStr">
        <is>
          <t>일반</t>
        </is>
      </c>
      <c r="Q281" s="95" t="inlineStr">
        <is>
          <t>채권</t>
        </is>
      </c>
      <c r="R281" s="95" t="inlineStr">
        <is>
          <t>연배당</t>
        </is>
      </c>
      <c r="S281" s="96" t="n">
        <v>1</v>
      </c>
      <c r="T281">
        <f>IF(AND($J281&lt;&gt;"",OR(조회_주기="전체",$R281=조회_주기),$J281&gt;=조회_최소,$J281&lt;=조회_최대),1,0)</f>
        <v/>
      </c>
      <c r="U281">
        <f>IF($T281=1,$U280+1,$U280)</f>
        <v/>
      </c>
      <c r="V281">
        <f>IF(검색어="",1,IF(ISNUMBER(SEARCH(검색어,$A281)),1,0))</f>
        <v/>
      </c>
      <c r="W281">
        <f>IF($V281=1,$W280+1,$W280)</f>
        <v/>
      </c>
      <c r="X281">
        <f>IFERROR(INDEX($A$4:$A$517,MATCH(278,$W$4:$W$517,0)),"")</f>
        <v/>
      </c>
    </row>
    <row r="282">
      <c r="A282" s="95" t="inlineStr">
        <is>
          <t>KODEX ESG종합채권(A-이상)액티브</t>
        </is>
      </c>
      <c r="B282" s="95" t="inlineStr">
        <is>
          <t>439860</t>
        </is>
      </c>
      <c r="C282" s="95" t="inlineStr">
        <is>
          <t>삼성자산운용(ETF)</t>
        </is>
      </c>
      <c r="D282" s="96" t="n">
        <v>113380</v>
      </c>
      <c r="E282" s="96" t="n">
        <v>370072320000</v>
      </c>
      <c r="F282" s="96" t="n">
        <v>60205790</v>
      </c>
      <c r="G282" s="97" t="n">
        <v>0.0007000000000000001</v>
      </c>
      <c r="H282" s="97" t="n">
        <v>0.0248</v>
      </c>
      <c r="I282" s="97" t="n">
        <v>0.0168</v>
      </c>
      <c r="J282" s="97" t="n">
        <v>0.017075</v>
      </c>
      <c r="K282" s="96" t="n">
        <v>1</v>
      </c>
      <c r="L282" s="95" t="inlineStr">
        <is>
          <t>20251212</t>
        </is>
      </c>
      <c r="M282" s="95" t="inlineStr">
        <is>
          <t>제외</t>
        </is>
      </c>
      <c r="N282" s="95" t="inlineStr">
        <is>
          <t>60일 거래대금 0.6억(기준 5억 미만)</t>
        </is>
      </c>
      <c r="O282" s="95" t="inlineStr">
        <is>
          <t>KAP ESG 종합채권지수(A- 이상, 총수익)</t>
        </is>
      </c>
      <c r="P282" s="95" t="inlineStr">
        <is>
          <t>일반</t>
        </is>
      </c>
      <c r="Q282" s="95" t="inlineStr">
        <is>
          <t>채권</t>
        </is>
      </c>
      <c r="R282" s="95" t="inlineStr">
        <is>
          <t>연배당</t>
        </is>
      </c>
      <c r="S282" s="96" t="n">
        <v>1</v>
      </c>
      <c r="T282">
        <f>IF(AND($J282&lt;&gt;"",OR(조회_주기="전체",$R282=조회_주기),$J282&gt;=조회_최소,$J282&lt;=조회_최대),1,0)</f>
        <v/>
      </c>
      <c r="U282">
        <f>IF($T282=1,$U281+1,$U281)</f>
        <v/>
      </c>
      <c r="V282">
        <f>IF(검색어="",1,IF(ISNUMBER(SEARCH(검색어,$A282)),1,0))</f>
        <v/>
      </c>
      <c r="W282">
        <f>IF($V282=1,$W281+1,$W281)</f>
        <v/>
      </c>
      <c r="X282">
        <f>IFERROR(INDEX($A$4:$A$517,MATCH(279,$W$4:$W$517,0)),"")</f>
        <v/>
      </c>
    </row>
    <row r="283">
      <c r="A283" s="95" t="inlineStr">
        <is>
          <t>SOL 자동차TOP3플러스</t>
        </is>
      </c>
      <c r="B283" s="95" t="inlineStr">
        <is>
          <t>466930</t>
        </is>
      </c>
      <c r="C283" s="95" t="inlineStr">
        <is>
          <t>신한자산운용</t>
        </is>
      </c>
      <c r="D283" s="96" t="n">
        <v>23300</v>
      </c>
      <c r="E283" s="96" t="n">
        <v>184070000000</v>
      </c>
      <c r="F283" s="96" t="n">
        <v>15562042016</v>
      </c>
      <c r="G283" s="97" t="n">
        <v>0.004500000000000001</v>
      </c>
      <c r="H283" s="97" t="n">
        <v>0.578</v>
      </c>
      <c r="I283" s="97" t="n">
        <v>0.0155</v>
      </c>
      <c r="J283" s="97" t="n">
        <v>0.016824</v>
      </c>
      <c r="K283" s="96" t="n">
        <v>3</v>
      </c>
      <c r="L283" s="95" t="inlineStr">
        <is>
          <t>20260429</t>
        </is>
      </c>
      <c r="M283" s="95" t="inlineStr">
        <is>
          <t>제외</t>
        </is>
      </c>
      <c r="N283" s="95" t="inlineStr">
        <is>
          <t>변동성 57.8%(1년 기준, 기준 35% 초과)</t>
        </is>
      </c>
      <c r="O283" s="95" t="inlineStr">
        <is>
          <t>FnGuide 자동차 TOP3 플러스 지수</t>
        </is>
      </c>
      <c r="P283" s="95" t="inlineStr">
        <is>
          <t>일반</t>
        </is>
      </c>
      <c r="Q283" s="95" t="inlineStr">
        <is>
          <t>주식</t>
        </is>
      </c>
      <c r="R283" s="95" t="inlineStr">
        <is>
          <t>연배당</t>
        </is>
      </c>
      <c r="S283" s="96" t="n">
        <v>1</v>
      </c>
      <c r="T283">
        <f>IF(AND($J283&lt;&gt;"",OR(조회_주기="전체",$R283=조회_주기),$J283&gt;=조회_최소,$J283&lt;=조회_최대),1,0)</f>
        <v/>
      </c>
      <c r="U283">
        <f>IF($T283=1,$U282+1,$U282)</f>
        <v/>
      </c>
      <c r="V283">
        <f>IF(검색어="",1,IF(ISNUMBER(SEARCH(검색어,$A283)),1,0))</f>
        <v/>
      </c>
      <c r="W283">
        <f>IF($V283=1,$W282+1,$W282)</f>
        <v/>
      </c>
      <c r="X283">
        <f>IFERROR(INDEX($A$4:$A$517,MATCH(280,$W$4:$W$517,0)),"")</f>
        <v/>
      </c>
    </row>
    <row r="284">
      <c r="A284" s="95" t="inlineStr">
        <is>
          <t>KODEX 보험</t>
        </is>
      </c>
      <c r="B284" s="95" t="inlineStr">
        <is>
          <t>140700</t>
        </is>
      </c>
      <c r="C284" s="95" t="inlineStr">
        <is>
          <t>삼성자산운용(ETF)</t>
        </is>
      </c>
      <c r="D284" s="96" t="n">
        <v>21195</v>
      </c>
      <c r="E284" s="96" t="n">
        <v>63585000000</v>
      </c>
      <c r="F284" s="96" t="n">
        <v>2929937941</v>
      </c>
      <c r="G284" s="97" t="n">
        <v>0.004500000000000001</v>
      </c>
      <c r="H284" s="97" t="n">
        <v>0.4093</v>
      </c>
      <c r="I284" s="97" t="n">
        <v>0.0014</v>
      </c>
      <c r="J284" s="97" t="n">
        <v>0.016608</v>
      </c>
      <c r="K284" s="96" t="n">
        <v>6</v>
      </c>
      <c r="L284" s="95" t="inlineStr">
        <is>
          <t>20260730</t>
        </is>
      </c>
      <c r="M284" s="95" t="inlineStr">
        <is>
          <t>제외</t>
        </is>
      </c>
      <c r="N284" s="95" t="inlineStr">
        <is>
          <t>변동성 40.9%(1년 기준, 기준 35% 초과)</t>
        </is>
      </c>
      <c r="O284" s="95" t="inlineStr">
        <is>
          <t>KRX 보험</t>
        </is>
      </c>
      <c r="P284" s="95" t="inlineStr">
        <is>
          <t>일반</t>
        </is>
      </c>
      <c r="Q284" s="95" t="inlineStr">
        <is>
          <t>주식</t>
        </is>
      </c>
      <c r="R284" s="95" t="inlineStr">
        <is>
          <t>연배당</t>
        </is>
      </c>
      <c r="S284" s="96" t="n">
        <v>2</v>
      </c>
      <c r="T284">
        <f>IF(AND($J284&lt;&gt;"",OR(조회_주기="전체",$R284=조회_주기),$J284&gt;=조회_최소,$J284&lt;=조회_최대),1,0)</f>
        <v/>
      </c>
      <c r="U284">
        <f>IF($T284=1,$U283+1,$U283)</f>
        <v/>
      </c>
      <c r="V284">
        <f>IF(검색어="",1,IF(ISNUMBER(SEARCH(검색어,$A284)),1,0))</f>
        <v/>
      </c>
      <c r="W284">
        <f>IF($V284=1,$W283+1,$W283)</f>
        <v/>
      </c>
      <c r="X284">
        <f>IFERROR(INDEX($A$4:$A$517,MATCH(281,$W$4:$W$517,0)),"")</f>
        <v/>
      </c>
    </row>
    <row r="285">
      <c r="A285" s="95" t="inlineStr">
        <is>
          <t>TIGER 글로벌비만치료제TOP2Plus</t>
        </is>
      </c>
      <c r="B285" s="95" t="inlineStr">
        <is>
          <t>476690</t>
        </is>
      </c>
      <c r="C285" s="95" t="inlineStr">
        <is>
          <t>미래에셋자산운용</t>
        </is>
      </c>
      <c r="D285" s="96" t="n">
        <v>10180</v>
      </c>
      <c r="E285" s="96" t="n">
        <v>30540000000</v>
      </c>
      <c r="F285" s="96" t="n">
        <v>221975133</v>
      </c>
      <c r="G285" s="97" t="n">
        <v>0.004500000000000001</v>
      </c>
      <c r="H285" s="97" t="n">
        <v>0.2428</v>
      </c>
      <c r="I285" s="97" t="n">
        <v>0.001</v>
      </c>
      <c r="J285" s="97" t="n">
        <v>0.01611</v>
      </c>
      <c r="K285" s="96" t="n">
        <v>30</v>
      </c>
      <c r="L285" s="95" t="inlineStr">
        <is>
          <t>20260828</t>
        </is>
      </c>
      <c r="M285" s="95" t="inlineStr">
        <is>
          <t>제외</t>
        </is>
      </c>
      <c r="N285" s="95" t="inlineStr">
        <is>
          <t>60일 거래대금 2.2억(기준 5억 미만)</t>
        </is>
      </c>
      <c r="O285" s="95" t="inlineStr">
        <is>
          <t>Indxx Global Obesity Treatment Top 2 Plus Index</t>
        </is>
      </c>
      <c r="P285" s="95" t="inlineStr">
        <is>
          <t>일반</t>
        </is>
      </c>
      <c r="Q285" s="95" t="inlineStr">
        <is>
          <t>주식</t>
        </is>
      </c>
      <c r="R285" s="95" t="inlineStr">
        <is>
          <t>월배당</t>
        </is>
      </c>
      <c r="S285" s="96" t="n">
        <v>11</v>
      </c>
      <c r="T285">
        <f>IF(AND($J285&lt;&gt;"",OR(조회_주기="전체",$R285=조회_주기),$J285&gt;=조회_최소,$J285&lt;=조회_최대),1,0)</f>
        <v/>
      </c>
      <c r="U285">
        <f>IF($T285=1,$U284+1,$U284)</f>
        <v/>
      </c>
      <c r="V285">
        <f>IF(검색어="",1,IF(ISNUMBER(SEARCH(검색어,$A285)),1,0))</f>
        <v/>
      </c>
      <c r="W285">
        <f>IF($V285=1,$W284+1,$W284)</f>
        <v/>
      </c>
      <c r="X285">
        <f>IFERROR(INDEX($A$4:$A$517,MATCH(282,$W$4:$W$517,0)),"")</f>
        <v/>
      </c>
    </row>
    <row r="286">
      <c r="A286" s="95" t="inlineStr">
        <is>
          <t>TIGER 중국소비테마</t>
        </is>
      </c>
      <c r="B286" s="95" t="inlineStr">
        <is>
          <t>150460</t>
        </is>
      </c>
      <c r="C286" s="95" t="inlineStr">
        <is>
          <t>미래에셋자산운용</t>
        </is>
      </c>
      <c r="D286" s="96" t="n">
        <v>7440</v>
      </c>
      <c r="E286" s="96" t="n">
        <v>54907200000</v>
      </c>
      <c r="F286" s="96" t="n">
        <v>214153319</v>
      </c>
      <c r="G286" s="97" t="n">
        <v>0.005</v>
      </c>
      <c r="H286" s="97" t="n">
        <v>0.3001</v>
      </c>
      <c r="I286" s="97" t="n">
        <v>0.0121</v>
      </c>
      <c r="J286" s="97" t="n">
        <v>0.015457</v>
      </c>
      <c r="K286" s="96" t="n">
        <v>7</v>
      </c>
      <c r="L286" s="95" t="inlineStr">
        <is>
          <t>20260429</t>
        </is>
      </c>
      <c r="M286" s="95" t="inlineStr">
        <is>
          <t>제외</t>
        </is>
      </c>
      <c r="N286" s="95" t="inlineStr">
        <is>
          <t>60일 거래대금 2.1억(기준 5억 미만)</t>
        </is>
      </c>
      <c r="O286" s="95" t="inlineStr">
        <is>
          <t>FnGuide 중국내수테마</t>
        </is>
      </c>
      <c r="P286" s="95" t="inlineStr">
        <is>
          <t>일반</t>
        </is>
      </c>
      <c r="Q286" s="95" t="inlineStr">
        <is>
          <t>주식</t>
        </is>
      </c>
      <c r="R286" s="95" t="inlineStr">
        <is>
          <t>연배당</t>
        </is>
      </c>
      <c r="S286" s="96" t="n">
        <v>2</v>
      </c>
      <c r="T286">
        <f>IF(AND($J286&lt;&gt;"",OR(조회_주기="전체",$R286=조회_주기),$J286&gt;=조회_최소,$J286&lt;=조회_최대),1,0)</f>
        <v/>
      </c>
      <c r="U286">
        <f>IF($T286=1,$U285+1,$U285)</f>
        <v/>
      </c>
      <c r="V286">
        <f>IF(검색어="",1,IF(ISNUMBER(SEARCH(검색어,$A286)),1,0))</f>
        <v/>
      </c>
      <c r="W286">
        <f>IF($V286=1,$W285+1,$W285)</f>
        <v/>
      </c>
      <c r="X286">
        <f>IFERROR(INDEX($A$4:$A$517,MATCH(283,$W$4:$W$517,0)),"")</f>
        <v/>
      </c>
    </row>
    <row r="287">
      <c r="A287" s="95" t="inlineStr">
        <is>
          <t>KODEX 27-12 회사채(AA-이상)액티브</t>
        </is>
      </c>
      <c r="B287" s="95" t="inlineStr">
        <is>
          <t>0007F0</t>
        </is>
      </c>
      <c r="C287" s="95" t="inlineStr">
        <is>
          <t>삼성자산운용(ETF)</t>
        </is>
      </c>
      <c r="D287" s="96" t="n">
        <v>10180</v>
      </c>
      <c r="E287" s="96" t="n">
        <v>649484000000</v>
      </c>
      <c r="F287" s="96" t="n">
        <v>380325155</v>
      </c>
      <c r="G287" s="97" t="n">
        <v>0.0009</v>
      </c>
      <c r="H287" s="97" t="n">
        <v>0.0188</v>
      </c>
      <c r="I287" s="97" t="n">
        <v>0.0154</v>
      </c>
      <c r="J287" s="97" t="n">
        <v>0.015422</v>
      </c>
      <c r="K287" s="96" t="n">
        <v>1</v>
      </c>
      <c r="L287" s="95" t="inlineStr">
        <is>
          <t>20251212</t>
        </is>
      </c>
      <c r="M287" s="95" t="inlineStr">
        <is>
          <t>제외</t>
        </is>
      </c>
      <c r="N287" s="95" t="inlineStr">
        <is>
          <t>60일 거래대금 3.8억(기준 5억 미만)</t>
        </is>
      </c>
      <c r="O287" s="95" t="inlineStr">
        <is>
          <t>KAP 27-12 회사채 총수익 지수(AA-이상)</t>
        </is>
      </c>
      <c r="P287" s="95" t="inlineStr">
        <is>
          <t>일반</t>
        </is>
      </c>
      <c r="Q287" s="95" t="inlineStr">
        <is>
          <t>채권</t>
        </is>
      </c>
      <c r="R287" s="95" t="inlineStr">
        <is>
          <t>연배당</t>
        </is>
      </c>
      <c r="S287" s="96" t="n">
        <v>1</v>
      </c>
      <c r="T287">
        <f>IF(AND($J287&lt;&gt;"",OR(조회_주기="전체",$R287=조회_주기),$J287&gt;=조회_최소,$J287&lt;=조회_최대),1,0)</f>
        <v/>
      </c>
      <c r="U287">
        <f>IF($T287=1,$U286+1,$U286)</f>
        <v/>
      </c>
      <c r="V287">
        <f>IF(검색어="",1,IF(ISNUMBER(SEARCH(검색어,$A287)),1,0))</f>
        <v/>
      </c>
      <c r="W287">
        <f>IF($V287=1,$W286+1,$W286)</f>
        <v/>
      </c>
      <c r="X287">
        <f>IFERROR(INDEX($A$4:$A$517,MATCH(284,$W$4:$W$517,0)),"")</f>
        <v/>
      </c>
    </row>
    <row r="288">
      <c r="A288" s="95" t="inlineStr">
        <is>
          <t>ACE 11월만기자동연장회사채AA-이상액티브</t>
        </is>
      </c>
      <c r="B288" s="95" t="inlineStr">
        <is>
          <t>473440</t>
        </is>
      </c>
      <c r="C288" s="95" t="inlineStr">
        <is>
          <t>한국투신운용(ETF)</t>
        </is>
      </c>
      <c r="D288" s="96" t="n">
        <v>10850</v>
      </c>
      <c r="E288" s="96" t="n">
        <v>94395000000</v>
      </c>
      <c r="F288" s="96" t="n">
        <v>29464531</v>
      </c>
      <c r="G288" s="97" t="n">
        <v>0.0005</v>
      </c>
      <c r="H288" s="97" t="n">
        <v>0.0158</v>
      </c>
      <c r="I288" s="97" t="n">
        <v>0.0155</v>
      </c>
      <c r="J288" s="97" t="n">
        <v>0.015392</v>
      </c>
      <c r="K288" s="96" t="n">
        <v>1</v>
      </c>
      <c r="L288" s="95" t="inlineStr">
        <is>
          <t>20251127</t>
        </is>
      </c>
      <c r="M288" s="95" t="inlineStr">
        <is>
          <t>제외</t>
        </is>
      </c>
      <c r="N288" s="95" t="inlineStr">
        <is>
          <t>60일 거래대금 0.3억(기준 5억 미만)</t>
        </is>
      </c>
      <c r="O288" s="95" t="inlineStr">
        <is>
          <t>KIS 11월 만기자동연장회사채 (AA-이상) 총수익 지수</t>
        </is>
      </c>
      <c r="P288" s="95" t="inlineStr">
        <is>
          <t>일반</t>
        </is>
      </c>
      <c r="Q288" s="95" t="inlineStr">
        <is>
          <t>채권</t>
        </is>
      </c>
      <c r="R288" s="95" t="inlineStr">
        <is>
          <t>연배당</t>
        </is>
      </c>
      <c r="S288" s="96" t="n">
        <v>1</v>
      </c>
      <c r="T288">
        <f>IF(AND($J288&lt;&gt;"",OR(조회_주기="전체",$R288=조회_주기),$J288&gt;=조회_최소,$J288&lt;=조회_최대),1,0)</f>
        <v/>
      </c>
      <c r="U288">
        <f>IF($T288=1,$U287+1,$U287)</f>
        <v/>
      </c>
      <c r="V288">
        <f>IF(검색어="",1,IF(ISNUMBER(SEARCH(검색어,$A288)),1,0))</f>
        <v/>
      </c>
      <c r="W288">
        <f>IF($V288=1,$W287+1,$W287)</f>
        <v/>
      </c>
      <c r="X288">
        <f>IFERROR(INDEX($A$4:$A$517,MATCH(285,$W$4:$W$517,0)),"")</f>
        <v/>
      </c>
    </row>
    <row r="289">
      <c r="A289" s="95" t="inlineStr">
        <is>
          <t>KODEX 일본TOPIX100</t>
        </is>
      </c>
      <c r="B289" s="95" t="inlineStr">
        <is>
          <t>101280</t>
        </is>
      </c>
      <c r="C289" s="95" t="inlineStr">
        <is>
          <t>삼성자산운용(ETF)</t>
        </is>
      </c>
      <c r="D289" s="96" t="n">
        <v>30950</v>
      </c>
      <c r="E289" s="96" t="n">
        <v>53234000000</v>
      </c>
      <c r="F289" s="96" t="n">
        <v>363104671</v>
      </c>
      <c r="G289" s="97" t="n">
        <v>0.0019</v>
      </c>
      <c r="H289" s="97" t="n">
        <v>0.2476</v>
      </c>
      <c r="I289" s="97" t="n">
        <v>0.0017</v>
      </c>
      <c r="J289" s="97" t="n">
        <v>0.015347</v>
      </c>
      <c r="K289" s="96" t="n">
        <v>10</v>
      </c>
      <c r="L289" s="95" t="inlineStr">
        <is>
          <t>20260730</t>
        </is>
      </c>
      <c r="M289" s="95" t="inlineStr">
        <is>
          <t>제외</t>
        </is>
      </c>
      <c r="N289" s="95" t="inlineStr">
        <is>
          <t>60일 거래대금 3.6억(기준 5억 미만)</t>
        </is>
      </c>
      <c r="O289" s="95" t="inlineStr">
        <is>
          <t>TOPIX 100</t>
        </is>
      </c>
      <c r="P289" s="95" t="inlineStr">
        <is>
          <t>일반</t>
        </is>
      </c>
      <c r="Q289" s="95" t="inlineStr">
        <is>
          <t>주식</t>
        </is>
      </c>
      <c r="R289" s="95" t="inlineStr">
        <is>
          <t>분기배당</t>
        </is>
      </c>
      <c r="S289" s="96" t="n">
        <v>4</v>
      </c>
      <c r="T289">
        <f>IF(AND($J289&lt;&gt;"",OR(조회_주기="전체",$R289=조회_주기),$J289&gt;=조회_최소,$J289&lt;=조회_최대),1,0)</f>
        <v/>
      </c>
      <c r="U289">
        <f>IF($T289=1,$U288+1,$U288)</f>
        <v/>
      </c>
      <c r="V289">
        <f>IF(검색어="",1,IF(ISNUMBER(SEARCH(검색어,$A289)),1,0))</f>
        <v/>
      </c>
      <c r="W289">
        <f>IF($V289=1,$W288+1,$W288)</f>
        <v/>
      </c>
      <c r="X289">
        <f>IFERROR(INDEX($A$4:$A$517,MATCH(286,$W$4:$W$517,0)),"")</f>
        <v/>
      </c>
    </row>
    <row r="290">
      <c r="A290" s="95" t="inlineStr">
        <is>
          <t>TIGER 미국캐시카우100</t>
        </is>
      </c>
      <c r="B290" s="95" t="inlineStr">
        <is>
          <t>465670</t>
        </is>
      </c>
      <c r="C290" s="95" t="inlineStr">
        <is>
          <t>미래에셋자산운용</t>
        </is>
      </c>
      <c r="D290" s="96" t="n">
        <v>16695</v>
      </c>
      <c r="E290" s="96" t="n">
        <v>22538250000</v>
      </c>
      <c r="F290" s="96" t="n">
        <v>315844814</v>
      </c>
      <c r="G290" s="97" t="n">
        <v>0.0025</v>
      </c>
      <c r="H290" s="97" t="n">
        <v>0.172</v>
      </c>
      <c r="I290" s="97" t="n">
        <v>0.001</v>
      </c>
      <c r="J290" s="97" t="n">
        <v>0.014855</v>
      </c>
      <c r="K290" s="96" t="n">
        <v>35</v>
      </c>
      <c r="L290" s="95" t="inlineStr">
        <is>
          <t>20260828</t>
        </is>
      </c>
      <c r="M290" s="95" t="inlineStr">
        <is>
          <t>제외</t>
        </is>
      </c>
      <c r="N290" s="95" t="inlineStr">
        <is>
          <t>순자산 225억(기준 300억 미만), 60일 거래대금 3.2억(기준 5억 미만)</t>
        </is>
      </c>
      <c r="O290" s="95" t="inlineStr">
        <is>
          <t>Global X U.S. Cash Flow Kings 100 Index PR</t>
        </is>
      </c>
      <c r="P290" s="95" t="inlineStr">
        <is>
          <t>일반</t>
        </is>
      </c>
      <c r="Q290" s="95" t="inlineStr">
        <is>
          <t>주식</t>
        </is>
      </c>
      <c r="R290" s="95" t="inlineStr">
        <is>
          <t>월배당</t>
        </is>
      </c>
      <c r="S290" s="96" t="n">
        <v>11</v>
      </c>
      <c r="T290">
        <f>IF(AND($J290&lt;&gt;"",OR(조회_주기="전체",$R290=조회_주기),$J290&gt;=조회_최소,$J290&lt;=조회_최대),1,0)</f>
        <v/>
      </c>
      <c r="U290">
        <f>IF($T290=1,$U289+1,$U289)</f>
        <v/>
      </c>
      <c r="V290">
        <f>IF(검색어="",1,IF(ISNUMBER(SEARCH(검색어,$A290)),1,0))</f>
        <v/>
      </c>
      <c r="W290">
        <f>IF($V290=1,$W289+1,$W289)</f>
        <v/>
      </c>
      <c r="X290">
        <f>IFERROR(INDEX($A$4:$A$517,MATCH(287,$W$4:$W$517,0)),"")</f>
        <v/>
      </c>
    </row>
    <row r="291">
      <c r="A291" s="95" t="inlineStr">
        <is>
          <t>RISE 코스피</t>
        </is>
      </c>
      <c r="B291" s="95" t="inlineStr">
        <is>
          <t>302450</t>
        </is>
      </c>
      <c r="C291" s="95" t="inlineStr">
        <is>
          <t>KB자산운용</t>
        </is>
      </c>
      <c r="D291" s="96" t="n">
        <v>69410</v>
      </c>
      <c r="E291" s="96" t="n">
        <v>388696000000</v>
      </c>
      <c r="F291" s="96" t="n">
        <v>4596118633</v>
      </c>
      <c r="G291" s="97" t="n">
        <v>0.0002</v>
      </c>
      <c r="H291" s="97" t="n">
        <v>0.539</v>
      </c>
      <c r="I291" s="97" t="n">
        <v>0.001</v>
      </c>
      <c r="J291" s="97" t="n">
        <v>0.014811</v>
      </c>
      <c r="K291" s="96" t="n">
        <v>11</v>
      </c>
      <c r="L291" s="95" t="inlineStr">
        <is>
          <t>20260730</t>
        </is>
      </c>
      <c r="M291" s="95" t="inlineStr">
        <is>
          <t>제외</t>
        </is>
      </c>
      <c r="N291" s="95" t="inlineStr">
        <is>
          <t>변동성 53.9%(1년 기준, 기준 35% 초과)</t>
        </is>
      </c>
      <c r="O291" s="95" t="inlineStr">
        <is>
          <t>코스피</t>
        </is>
      </c>
      <c r="P291" s="95" t="inlineStr">
        <is>
          <t>일반</t>
        </is>
      </c>
      <c r="Q291" s="95" t="inlineStr">
        <is>
          <t>주식</t>
        </is>
      </c>
      <c r="R291" s="95" t="inlineStr">
        <is>
          <t>분기배당</t>
        </is>
      </c>
      <c r="S291" s="96" t="n">
        <v>4</v>
      </c>
      <c r="T291">
        <f>IF(AND($J291&lt;&gt;"",OR(조회_주기="전체",$R291=조회_주기),$J291&gt;=조회_최소,$J291&lt;=조회_최대),1,0)</f>
        <v/>
      </c>
      <c r="U291">
        <f>IF($T291=1,$U290+1,$U290)</f>
        <v/>
      </c>
      <c r="V291">
        <f>IF(검색어="",1,IF(ISNUMBER(SEARCH(검색어,$A291)),1,0))</f>
        <v/>
      </c>
      <c r="W291">
        <f>IF($V291=1,$W290+1,$W290)</f>
        <v/>
      </c>
      <c r="X291">
        <f>IFERROR(INDEX($A$4:$A$517,MATCH(288,$W$4:$W$517,0)),"")</f>
        <v/>
      </c>
    </row>
    <row r="292">
      <c r="A292" s="95" t="inlineStr">
        <is>
          <t>1Q 현대차그룹채권(A+이상)&amp;국고통안</t>
        </is>
      </c>
      <c r="B292" s="95" t="inlineStr">
        <is>
          <t>492500</t>
        </is>
      </c>
      <c r="C292" s="95" t="inlineStr">
        <is>
          <t>하나자산운용</t>
        </is>
      </c>
      <c r="D292" s="96" t="n">
        <v>51330</v>
      </c>
      <c r="E292" s="96" t="n">
        <v>67858260000</v>
      </c>
      <c r="F292" s="96" t="n">
        <v>31359745</v>
      </c>
      <c r="G292" s="97" t="n">
        <v>0.001</v>
      </c>
      <c r="H292" s="97" t="n">
        <v>0.0179</v>
      </c>
      <c r="I292" s="97" t="n">
        <v>0.0146</v>
      </c>
      <c r="J292" s="97" t="n">
        <v>0.014748</v>
      </c>
      <c r="K292" s="96" t="n">
        <v>1</v>
      </c>
      <c r="L292" s="95" t="inlineStr">
        <is>
          <t>20251229</t>
        </is>
      </c>
      <c r="M292" s="95" t="inlineStr">
        <is>
          <t>제외</t>
        </is>
      </c>
      <c r="N292" s="95" t="inlineStr">
        <is>
          <t>60일 거래대금 0.3억(기준 5억 미만)</t>
        </is>
      </c>
      <c r="O292" s="95" t="inlineStr">
        <is>
          <t>KIS-하나 현대자동차그룹 채권(A+이상)&amp;국고통안 총수익지수</t>
        </is>
      </c>
      <c r="P292" s="95" t="inlineStr">
        <is>
          <t>일반</t>
        </is>
      </c>
      <c r="Q292" s="95" t="inlineStr">
        <is>
          <t>채권</t>
        </is>
      </c>
      <c r="R292" s="95" t="inlineStr">
        <is>
          <t>연배당</t>
        </is>
      </c>
      <c r="S292" s="96" t="n">
        <v>1</v>
      </c>
      <c r="T292">
        <f>IF(AND($J292&lt;&gt;"",OR(조회_주기="전체",$R292=조회_주기),$J292&gt;=조회_최소,$J292&lt;=조회_최대),1,0)</f>
        <v/>
      </c>
      <c r="U292">
        <f>IF($T292=1,$U291+1,$U291)</f>
        <v/>
      </c>
      <c r="V292">
        <f>IF(검색어="",1,IF(ISNUMBER(SEARCH(검색어,$A292)),1,0))</f>
        <v/>
      </c>
      <c r="W292">
        <f>IF($V292=1,$W291+1,$W291)</f>
        <v/>
      </c>
      <c r="X292">
        <f>IFERROR(INDEX($A$4:$A$517,MATCH(289,$W$4:$W$517,0)),"")</f>
        <v/>
      </c>
    </row>
    <row r="293">
      <c r="A293" s="95" t="inlineStr">
        <is>
          <t>ACE 단기채권알파액티브</t>
        </is>
      </c>
      <c r="B293" s="95" t="inlineStr">
        <is>
          <t>440640</t>
        </is>
      </c>
      <c r="C293" s="95" t="inlineStr">
        <is>
          <t>한국투신운용(ETF)</t>
        </is>
      </c>
      <c r="D293" s="96" t="n">
        <v>112800</v>
      </c>
      <c r="E293" s="96" t="n">
        <v>59558400000</v>
      </c>
      <c r="F293" s="96" t="n">
        <v>300230783</v>
      </c>
      <c r="G293" s="97" t="n">
        <v>0.0015</v>
      </c>
      <c r="H293" s="97" t="n">
        <v>0.015</v>
      </c>
      <c r="I293" s="97" t="n">
        <v>0.0146</v>
      </c>
      <c r="J293" s="97" t="n">
        <v>0.014495</v>
      </c>
      <c r="K293" s="96" t="n">
        <v>1</v>
      </c>
      <c r="L293" s="95" t="inlineStr">
        <is>
          <t>20251127</t>
        </is>
      </c>
      <c r="M293" s="95" t="inlineStr">
        <is>
          <t>제외</t>
        </is>
      </c>
      <c r="N293" s="95" t="inlineStr">
        <is>
          <t>60일 거래대금 3.0억(기준 5억 미만)</t>
        </is>
      </c>
      <c r="O293" s="95" t="inlineStr">
        <is>
          <t>KIS 단기채권알파 AA-이상 지수</t>
        </is>
      </c>
      <c r="P293" s="95" t="inlineStr">
        <is>
          <t>일반</t>
        </is>
      </c>
      <c r="Q293" s="95" t="inlineStr">
        <is>
          <t>채권</t>
        </is>
      </c>
      <c r="R293" s="95" t="inlineStr">
        <is>
          <t>연배당</t>
        </is>
      </c>
      <c r="S293" s="96" t="n">
        <v>1</v>
      </c>
      <c r="T293">
        <f>IF(AND($J293&lt;&gt;"",OR(조회_주기="전체",$R293=조회_주기),$J293&gt;=조회_최소,$J293&lt;=조회_최대),1,0)</f>
        <v/>
      </c>
      <c r="U293">
        <f>IF($T293=1,$U292+1,$U292)</f>
        <v/>
      </c>
      <c r="V293">
        <f>IF(검색어="",1,IF(ISNUMBER(SEARCH(검색어,$A293)),1,0))</f>
        <v/>
      </c>
      <c r="W293">
        <f>IF($V293=1,$W292+1,$W292)</f>
        <v/>
      </c>
      <c r="X293">
        <f>IFERROR(INDEX($A$4:$A$517,MATCH(290,$W$4:$W$517,0)),"")</f>
        <v/>
      </c>
    </row>
    <row r="294">
      <c r="A294" s="95" t="inlineStr">
        <is>
          <t>ACE 미국배당퀄리티</t>
        </is>
      </c>
      <c r="B294" s="95" t="inlineStr">
        <is>
          <t>0046Y0</t>
        </is>
      </c>
      <c r="C294" s="95" t="inlineStr">
        <is>
          <t>한국투신운용(ETF)</t>
        </is>
      </c>
      <c r="D294" s="96" t="n">
        <v>12380</v>
      </c>
      <c r="E294" s="96" t="n">
        <v>53234000000</v>
      </c>
      <c r="F294" s="96" t="n">
        <v>188909544</v>
      </c>
      <c r="G294" s="97" t="n">
        <v>0.0015</v>
      </c>
      <c r="H294" s="97" t="n">
        <v>0.1295</v>
      </c>
      <c r="I294" s="97" t="n">
        <v>0.001</v>
      </c>
      <c r="J294" s="97" t="n">
        <v>0.014136</v>
      </c>
      <c r="K294" s="96" t="n">
        <v>15</v>
      </c>
      <c r="L294" s="95" t="inlineStr">
        <is>
          <t>20260828</t>
        </is>
      </c>
      <c r="M294" s="95" t="inlineStr">
        <is>
          <t>제외</t>
        </is>
      </c>
      <c r="N294" s="95" t="inlineStr">
        <is>
          <t>60일 거래대금 1.9억(기준 5억 미만)</t>
        </is>
      </c>
      <c r="O294" s="95" t="inlineStr">
        <is>
          <t>Wisdom Tree U.S. Quality Dividend Growth Index</t>
        </is>
      </c>
      <c r="P294" s="95" t="inlineStr">
        <is>
          <t>일반</t>
        </is>
      </c>
      <c r="Q294" s="95" t="inlineStr">
        <is>
          <t>주식</t>
        </is>
      </c>
      <c r="R294" s="95" t="inlineStr">
        <is>
          <t>월배당</t>
        </is>
      </c>
      <c r="S294" s="96" t="n">
        <v>11</v>
      </c>
      <c r="T294">
        <f>IF(AND($J294&lt;&gt;"",OR(조회_주기="전체",$R294=조회_주기),$J294&gt;=조회_최소,$J294&lt;=조회_최대),1,0)</f>
        <v/>
      </c>
      <c r="U294">
        <f>IF($T294=1,$U293+1,$U293)</f>
        <v/>
      </c>
      <c r="V294">
        <f>IF(검색어="",1,IF(ISNUMBER(SEARCH(검색어,$A294)),1,0))</f>
        <v/>
      </c>
      <c r="W294">
        <f>IF($V294=1,$W293+1,$W293)</f>
        <v/>
      </c>
      <c r="X294">
        <f>IFERROR(INDEX($A$4:$A$517,MATCH(291,$W$4:$W$517,0)),"")</f>
        <v/>
      </c>
    </row>
    <row r="295">
      <c r="A295" s="95" t="inlineStr">
        <is>
          <t>KODEX 미국10년국채선물</t>
        </is>
      </c>
      <c r="B295" s="95" t="inlineStr">
        <is>
          <t>308620</t>
        </is>
      </c>
      <c r="C295" s="95" t="inlineStr">
        <is>
          <t>삼성자산운용(ETF)</t>
        </is>
      </c>
      <c r="D295" s="96" t="n">
        <v>11350</v>
      </c>
      <c r="E295" s="96" t="n">
        <v>94205000000</v>
      </c>
      <c r="F295" s="96" t="n">
        <v>439487989</v>
      </c>
      <c r="G295" s="97" t="n">
        <v>0.0009</v>
      </c>
      <c r="H295" s="97" t="n">
        <v>0.1066</v>
      </c>
      <c r="I295" s="97" t="n">
        <v>0.0129</v>
      </c>
      <c r="J295" s="97" t="n">
        <v>0.014097</v>
      </c>
      <c r="K295" s="96" t="n">
        <v>1</v>
      </c>
      <c r="L295" s="95" t="inlineStr">
        <is>
          <t>20251229</t>
        </is>
      </c>
      <c r="M295" s="95" t="inlineStr">
        <is>
          <t>제외</t>
        </is>
      </c>
      <c r="N295" s="95" t="inlineStr">
        <is>
          <t>60일 거래대금 4.4억(기준 5억 미만)</t>
        </is>
      </c>
      <c r="O295" s="95" t="inlineStr">
        <is>
          <t>S&amp;P 10-Year U.S. Treasury Note Futures KRW ER</t>
        </is>
      </c>
      <c r="P295" s="95" t="inlineStr">
        <is>
          <t>일반</t>
        </is>
      </c>
      <c r="Q295" s="95" t="inlineStr">
        <is>
          <t>채권</t>
        </is>
      </c>
      <c r="R295" s="95" t="inlineStr">
        <is>
          <t>연배당</t>
        </is>
      </c>
      <c r="S295" s="96" t="n">
        <v>1</v>
      </c>
      <c r="T295">
        <f>IF(AND($J295&lt;&gt;"",OR(조회_주기="전체",$R295=조회_주기),$J295&gt;=조회_최소,$J295&lt;=조회_최대),1,0)</f>
        <v/>
      </c>
      <c r="U295">
        <f>IF($T295=1,$U294+1,$U294)</f>
        <v/>
      </c>
      <c r="V295">
        <f>IF(검색어="",1,IF(ISNUMBER(SEARCH(검색어,$A295)),1,0))</f>
        <v/>
      </c>
      <c r="W295">
        <f>IF($V295=1,$W294+1,$W294)</f>
        <v/>
      </c>
      <c r="X295">
        <f>IFERROR(INDEX($A$4:$A$517,MATCH(292,$W$4:$W$517,0)),"")</f>
        <v/>
      </c>
    </row>
    <row r="296">
      <c r="A296" s="95" t="inlineStr">
        <is>
          <t>KIWOOM 미국테크100월간목표헤지액티브</t>
        </is>
      </c>
      <c r="B296" s="95" t="inlineStr">
        <is>
          <t>0084D0</t>
        </is>
      </c>
      <c r="C296" s="95" t="inlineStr">
        <is>
          <t>키움투자자산운용</t>
        </is>
      </c>
      <c r="D296" s="96" t="n">
        <v>11215</v>
      </c>
      <c r="E296" s="96" t="n">
        <v>8972000000</v>
      </c>
      <c r="F296" s="96" t="n">
        <v>56824885</v>
      </c>
      <c r="G296" s="97" t="n">
        <v>0.0049</v>
      </c>
      <c r="H296" s="97" t="n">
        <v>0.1354</v>
      </c>
      <c r="I296" s="97" t="n">
        <v>0.0012</v>
      </c>
      <c r="J296" s="97" t="n">
        <v>0.014088</v>
      </c>
      <c r="K296" s="96" t="n">
        <v>13</v>
      </c>
      <c r="L296" s="95" t="inlineStr">
        <is>
          <t>20260828</t>
        </is>
      </c>
      <c r="M296" s="95" t="inlineStr">
        <is>
          <t>제외</t>
        </is>
      </c>
      <c r="N296" s="95" t="inlineStr">
        <is>
          <t>순자산 90억(기준 300억 미만), 60일 거래대금 0.6억(기준 5억 미만)</t>
        </is>
      </c>
      <c r="O296" s="95" t="inlineStr">
        <is>
          <t>Akros U.S. Tech 100 Protective Allocation Monthly Index TR</t>
        </is>
      </c>
      <c r="P296" s="95" t="inlineStr">
        <is>
          <t>일반</t>
        </is>
      </c>
      <c r="Q296" s="95" t="inlineStr">
        <is>
          <t>멀티에셋</t>
        </is>
      </c>
      <c r="R296" s="95" t="inlineStr">
        <is>
          <t>월배당</t>
        </is>
      </c>
      <c r="S296" s="96" t="n">
        <v>11</v>
      </c>
      <c r="T296">
        <f>IF(AND($J296&lt;&gt;"",OR(조회_주기="전체",$R296=조회_주기),$J296&gt;=조회_최소,$J296&lt;=조회_최대),1,0)</f>
        <v/>
      </c>
      <c r="U296">
        <f>IF($T296=1,$U295+1,$U295)</f>
        <v/>
      </c>
      <c r="V296">
        <f>IF(검색어="",1,IF(ISNUMBER(SEARCH(검색어,$A296)),1,0))</f>
        <v/>
      </c>
      <c r="W296">
        <f>IF($V296=1,$W295+1,$W295)</f>
        <v/>
      </c>
      <c r="X296">
        <f>IFERROR(INDEX($A$4:$A$517,MATCH(293,$W$4:$W$517,0)),"")</f>
        <v/>
      </c>
    </row>
    <row r="297">
      <c r="A297" s="95" t="inlineStr">
        <is>
          <t>WON 전단채플러스액티브</t>
        </is>
      </c>
      <c r="B297" s="95" t="inlineStr">
        <is>
          <t>496020</t>
        </is>
      </c>
      <c r="C297" s="95" t="inlineStr">
        <is>
          <t>우리자산운용</t>
        </is>
      </c>
      <c r="D297" s="96" t="n">
        <v>52550</v>
      </c>
      <c r="E297" s="96" t="n">
        <v>492498600000</v>
      </c>
      <c r="F297" s="96" t="n">
        <v>225966583</v>
      </c>
      <c r="G297" s="97" t="n">
        <v>0.0005</v>
      </c>
      <c r="H297" s="97" t="n">
        <v>0.0143</v>
      </c>
      <c r="I297" s="97" t="n">
        <v>0.0142</v>
      </c>
      <c r="J297" s="97" t="n">
        <v>0.014006</v>
      </c>
      <c r="K297" s="96" t="n">
        <v>1</v>
      </c>
      <c r="L297" s="95" t="inlineStr">
        <is>
          <t>20251229</t>
        </is>
      </c>
      <c r="M297" s="95" t="inlineStr">
        <is>
          <t>제외</t>
        </is>
      </c>
      <c r="N297" s="95" t="inlineStr">
        <is>
          <t>60일 거래대금 2.3억(기준 5억 미만)</t>
        </is>
      </c>
      <c r="O297" s="95" t="inlineStr">
        <is>
          <t>KIS 전단채플러스 TR 지수</t>
        </is>
      </c>
      <c r="P297" s="95" t="inlineStr">
        <is>
          <t>일반</t>
        </is>
      </c>
      <c r="Q297" s="95" t="inlineStr">
        <is>
          <t>단기자금(파킹형)</t>
        </is>
      </c>
      <c r="R297" s="95" t="inlineStr">
        <is>
          <t>연배당</t>
        </is>
      </c>
      <c r="S297" s="96" t="n">
        <v>1</v>
      </c>
      <c r="T297">
        <f>IF(AND($J297&lt;&gt;"",OR(조회_주기="전체",$R297=조회_주기),$J297&gt;=조회_최소,$J297&lt;=조회_최대),1,0)</f>
        <v/>
      </c>
      <c r="U297">
        <f>IF($T297=1,$U296+1,$U296)</f>
        <v/>
      </c>
      <c r="V297">
        <f>IF(검색어="",1,IF(ISNUMBER(SEARCH(검색어,$A297)),1,0))</f>
        <v/>
      </c>
      <c r="W297">
        <f>IF($V297=1,$W296+1,$W296)</f>
        <v/>
      </c>
      <c r="X297">
        <f>IFERROR(INDEX($A$4:$A$517,MATCH(294,$W$4:$W$517,0)),"")</f>
        <v/>
      </c>
    </row>
    <row r="298">
      <c r="A298" s="95" t="inlineStr">
        <is>
          <t>PLUS 종합채권(AA-이상)액티브</t>
        </is>
      </c>
      <c r="B298" s="95" t="inlineStr">
        <is>
          <t>451000</t>
        </is>
      </c>
      <c r="C298" s="95" t="inlineStr">
        <is>
          <t>한화자산운용</t>
        </is>
      </c>
      <c r="D298" s="96" t="n">
        <v>106920</v>
      </c>
      <c r="E298" s="96" t="n">
        <v>554717845000</v>
      </c>
      <c r="F298" s="96" t="n">
        <v>37526341</v>
      </c>
      <c r="G298" s="97" t="n">
        <v>0.00045</v>
      </c>
      <c r="H298" s="97" t="n">
        <v>0.0429</v>
      </c>
      <c r="I298" s="97" t="n">
        <v>0.013</v>
      </c>
      <c r="J298" s="97" t="n">
        <v>0.013702</v>
      </c>
      <c r="K298" s="96" t="n">
        <v>1</v>
      </c>
      <c r="L298" s="95" t="inlineStr">
        <is>
          <t>20251212</t>
        </is>
      </c>
      <c r="M298" s="95" t="inlineStr">
        <is>
          <t>제외</t>
        </is>
      </c>
      <c r="N298" s="95" t="inlineStr">
        <is>
          <t>60일 거래대금 0.4억(기준 5억 미만)</t>
        </is>
      </c>
      <c r="O298" s="95" t="inlineStr">
        <is>
          <t>KAP 종합채권지수(AA-이상, 총수익)</t>
        </is>
      </c>
      <c r="P298" s="95" t="inlineStr">
        <is>
          <t>일반</t>
        </is>
      </c>
      <c r="Q298" s="95" t="inlineStr">
        <is>
          <t>채권</t>
        </is>
      </c>
      <c r="R298" s="95" t="inlineStr">
        <is>
          <t>연배당</t>
        </is>
      </c>
      <c r="S298" s="96" t="n">
        <v>1</v>
      </c>
      <c r="T298">
        <f>IF(AND($J298&lt;&gt;"",OR(조회_주기="전체",$R298=조회_주기),$J298&gt;=조회_최소,$J298&lt;=조회_최대),1,0)</f>
        <v/>
      </c>
      <c r="U298">
        <f>IF($T298=1,$U297+1,$U297)</f>
        <v/>
      </c>
      <c r="V298">
        <f>IF(검색어="",1,IF(ISNUMBER(SEARCH(검색어,$A298)),1,0))</f>
        <v/>
      </c>
      <c r="W298">
        <f>IF($V298=1,$W297+1,$W297)</f>
        <v/>
      </c>
      <c r="X298">
        <f>IFERROR(INDEX($A$4:$A$517,MATCH(295,$W$4:$W$517,0)),"")</f>
        <v/>
      </c>
    </row>
    <row r="299">
      <c r="A299" s="95" t="inlineStr">
        <is>
          <t>RISE 국고채10년액티브</t>
        </is>
      </c>
      <c r="B299" s="95" t="inlineStr">
        <is>
          <t>481430</t>
        </is>
      </c>
      <c r="C299" s="95" t="inlineStr">
        <is>
          <t>KB자산운용</t>
        </is>
      </c>
      <c r="D299" s="96" t="n">
        <v>97015</v>
      </c>
      <c r="E299" s="96" t="n">
        <v>75089610000</v>
      </c>
      <c r="F299" s="96" t="n">
        <v>308834931</v>
      </c>
      <c r="G299" s="97" t="n">
        <v>0.00012</v>
      </c>
      <c r="H299" s="97" t="n">
        <v>0.06509999999999999</v>
      </c>
      <c r="I299" s="97" t="n">
        <v>0.0127</v>
      </c>
      <c r="J299" s="97" t="n">
        <v>0.013616</v>
      </c>
      <c r="K299" s="96" t="n">
        <v>1</v>
      </c>
      <c r="L299" s="95" t="inlineStr">
        <is>
          <t>20251212</t>
        </is>
      </c>
      <c r="M299" s="95" t="inlineStr">
        <is>
          <t>제외</t>
        </is>
      </c>
      <c r="N299" s="95" t="inlineStr">
        <is>
          <t>60일 거래대금 3.1억(기준 5억 미만)</t>
        </is>
      </c>
      <c r="O299" s="95" t="inlineStr">
        <is>
          <t>KAP 국고채 10년 지수(총수익)</t>
        </is>
      </c>
      <c r="P299" s="95" t="inlineStr">
        <is>
          <t>일반</t>
        </is>
      </c>
      <c r="Q299" s="95" t="inlineStr">
        <is>
          <t>채권</t>
        </is>
      </c>
      <c r="R299" s="95" t="inlineStr">
        <is>
          <t>연배당</t>
        </is>
      </c>
      <c r="S299" s="96" t="n">
        <v>1</v>
      </c>
      <c r="T299">
        <f>IF(AND($J299&lt;&gt;"",OR(조회_주기="전체",$R299=조회_주기),$J299&gt;=조회_최소,$J299&lt;=조회_최대),1,0)</f>
        <v/>
      </c>
      <c r="U299">
        <f>IF($T299=1,$U298+1,$U298)</f>
        <v/>
      </c>
      <c r="V299">
        <f>IF(검색어="",1,IF(ISNUMBER(SEARCH(검색어,$A299)),1,0))</f>
        <v/>
      </c>
      <c r="W299">
        <f>IF($V299=1,$W298+1,$W298)</f>
        <v/>
      </c>
      <c r="X299">
        <f>IFERROR(INDEX($A$4:$A$517,MATCH(296,$W$4:$W$517,0)),"")</f>
        <v/>
      </c>
    </row>
    <row r="300">
      <c r="A300" s="95" t="inlineStr">
        <is>
          <t>PLUS 국고채10년액티브</t>
        </is>
      </c>
      <c r="B300" s="95" t="inlineStr">
        <is>
          <t>461460</t>
        </is>
      </c>
      <c r="C300" s="95" t="inlineStr">
        <is>
          <t>한화자산운용</t>
        </is>
      </c>
      <c r="D300" s="96" t="n">
        <v>50630</v>
      </c>
      <c r="E300" s="96" t="n">
        <v>82121860000</v>
      </c>
      <c r="F300" s="96" t="n">
        <v>184479602</v>
      </c>
      <c r="G300" s="97" t="n">
        <v>0.00045</v>
      </c>
      <c r="H300" s="97" t="n">
        <v>0.0646</v>
      </c>
      <c r="I300" s="97" t="n">
        <v>0.0126</v>
      </c>
      <c r="J300" s="97" t="n">
        <v>0.013451</v>
      </c>
      <c r="K300" s="96" t="n">
        <v>1</v>
      </c>
      <c r="L300" s="95" t="inlineStr">
        <is>
          <t>20251212</t>
        </is>
      </c>
      <c r="M300" s="95" t="inlineStr">
        <is>
          <t>제외</t>
        </is>
      </c>
      <c r="N300" s="95" t="inlineStr">
        <is>
          <t>60일 거래대금 1.8억(기준 5억 미만)</t>
        </is>
      </c>
      <c r="O300" s="95" t="inlineStr">
        <is>
          <t>KAP 국고채 10년 동일가중 지수(총수익)</t>
        </is>
      </c>
      <c r="P300" s="95" t="inlineStr">
        <is>
          <t>일반</t>
        </is>
      </c>
      <c r="Q300" s="95" t="inlineStr">
        <is>
          <t>채권</t>
        </is>
      </c>
      <c r="R300" s="95" t="inlineStr">
        <is>
          <t>연배당</t>
        </is>
      </c>
      <c r="S300" s="96" t="n">
        <v>1</v>
      </c>
      <c r="T300">
        <f>IF(AND($J300&lt;&gt;"",OR(조회_주기="전체",$R300=조회_주기),$J300&gt;=조회_최소,$J300&lt;=조회_최대),1,0)</f>
        <v/>
      </c>
      <c r="U300">
        <f>IF($T300=1,$U299+1,$U299)</f>
        <v/>
      </c>
      <c r="V300">
        <f>IF(검색어="",1,IF(ISNUMBER(SEARCH(검색어,$A300)),1,0))</f>
        <v/>
      </c>
      <c r="W300">
        <f>IF($V300=1,$W299+1,$W299)</f>
        <v/>
      </c>
      <c r="X300">
        <f>IFERROR(INDEX($A$4:$A$517,MATCH(297,$W$4:$W$517,0)),"")</f>
        <v/>
      </c>
    </row>
    <row r="301">
      <c r="A301" s="95" t="inlineStr">
        <is>
          <t>ACE 코스피</t>
        </is>
      </c>
      <c r="B301" s="95" t="inlineStr">
        <is>
          <t>305050</t>
        </is>
      </c>
      <c r="C301" s="95" t="inlineStr">
        <is>
          <t>한국투신운용(ETF)</t>
        </is>
      </c>
      <c r="D301" s="96" t="n">
        <v>69960</v>
      </c>
      <c r="E301" s="96" t="n">
        <v>45474000000</v>
      </c>
      <c r="F301" s="96" t="n">
        <v>488806794</v>
      </c>
      <c r="G301" s="97" t="n">
        <v>0.0002</v>
      </c>
      <c r="H301" s="97" t="n">
        <v>0.5386</v>
      </c>
      <c r="I301" s="97" t="n">
        <v>0.0135</v>
      </c>
      <c r="J301" s="97" t="n">
        <v>0.013436</v>
      </c>
      <c r="K301" s="96" t="n">
        <v>5</v>
      </c>
      <c r="L301" s="95" t="inlineStr">
        <is>
          <t>20260429</t>
        </is>
      </c>
      <c r="M301" s="95" t="inlineStr">
        <is>
          <t>제외</t>
        </is>
      </c>
      <c r="N301" s="95" t="inlineStr">
        <is>
          <t>60일 거래대금 4.9억(기준 5억 미만), 변동성 53.9%(1년 기준, 기준 35% 초과)</t>
        </is>
      </c>
      <c r="O301" s="95" t="inlineStr">
        <is>
          <t>코스피</t>
        </is>
      </c>
      <c r="P301" s="95" t="inlineStr">
        <is>
          <t>일반</t>
        </is>
      </c>
      <c r="Q301" s="95" t="inlineStr">
        <is>
          <t>주식</t>
        </is>
      </c>
      <c r="R301" s="95" t="inlineStr">
        <is>
          <t>연배당</t>
        </is>
      </c>
      <c r="S301" s="96" t="n">
        <v>1</v>
      </c>
      <c r="T301">
        <f>IF(AND($J301&lt;&gt;"",OR(조회_주기="전체",$R301=조회_주기),$J301&gt;=조회_최소,$J301&lt;=조회_최대),1,0)</f>
        <v/>
      </c>
      <c r="U301">
        <f>IF($T301=1,$U300+1,$U300)</f>
        <v/>
      </c>
      <c r="V301">
        <f>IF(검색어="",1,IF(ISNUMBER(SEARCH(검색어,$A301)),1,0))</f>
        <v/>
      </c>
      <c r="W301">
        <f>IF($V301=1,$W300+1,$W300)</f>
        <v/>
      </c>
      <c r="X301">
        <f>IFERROR(INDEX($A$4:$A$517,MATCH(298,$W$4:$W$517,0)),"")</f>
        <v/>
      </c>
    </row>
    <row r="302">
      <c r="A302" s="95" t="inlineStr">
        <is>
          <t>KODEX 미국S&amp;P500금융</t>
        </is>
      </c>
      <c r="B302" s="95" t="inlineStr">
        <is>
          <t>453650</t>
        </is>
      </c>
      <c r="C302" s="95" t="inlineStr">
        <is>
          <t>삼성자산운용(ETF)</t>
        </is>
      </c>
      <c r="D302" s="96" t="n">
        <v>18960</v>
      </c>
      <c r="E302" s="96" t="n">
        <v>47400000000</v>
      </c>
      <c r="F302" s="96" t="n">
        <v>457110896</v>
      </c>
      <c r="G302" s="97" t="n">
        <v>0.0025</v>
      </c>
      <c r="H302" s="97" t="n">
        <v>0.1668</v>
      </c>
      <c r="I302" s="97" t="n">
        <v>0.0031</v>
      </c>
      <c r="J302" s="97" t="n">
        <v>0.013397</v>
      </c>
      <c r="K302" s="96" t="n">
        <v>13</v>
      </c>
      <c r="L302" s="95" t="inlineStr">
        <is>
          <t>20260730</t>
        </is>
      </c>
      <c r="M302" s="95" t="inlineStr">
        <is>
          <t>제외</t>
        </is>
      </c>
      <c r="N302" s="95" t="inlineStr">
        <is>
          <t>60일 거래대금 4.6억(기준 5억 미만)</t>
        </is>
      </c>
      <c r="O302" s="95" t="inlineStr">
        <is>
          <t>S&amp;P Select Sector Financials</t>
        </is>
      </c>
      <c r="P302" s="95" t="inlineStr">
        <is>
          <t>일반</t>
        </is>
      </c>
      <c r="Q302" s="95" t="inlineStr">
        <is>
          <t>주식</t>
        </is>
      </c>
      <c r="R302" s="95" t="inlineStr">
        <is>
          <t>분기배당</t>
        </is>
      </c>
      <c r="S302" s="96" t="n">
        <v>4</v>
      </c>
      <c r="T302">
        <f>IF(AND($J302&lt;&gt;"",OR(조회_주기="전체",$R302=조회_주기),$J302&gt;=조회_최소,$J302&lt;=조회_최대),1,0)</f>
        <v/>
      </c>
      <c r="U302">
        <f>IF($T302=1,$U301+1,$U301)</f>
        <v/>
      </c>
      <c r="V302">
        <f>IF(검색어="",1,IF(ISNUMBER(SEARCH(검색어,$A302)),1,0))</f>
        <v/>
      </c>
      <c r="W302">
        <f>IF($V302=1,$W301+1,$W301)</f>
        <v/>
      </c>
      <c r="X302">
        <f>IFERROR(INDEX($A$4:$A$517,MATCH(299,$W$4:$W$517,0)),"")</f>
        <v/>
      </c>
    </row>
    <row r="303">
      <c r="A303" s="95" t="inlineStr">
        <is>
          <t>TIGER 지주회사</t>
        </is>
      </c>
      <c r="B303" s="95" t="inlineStr">
        <is>
          <t>307520</t>
        </is>
      </c>
      <c r="C303" s="95" t="inlineStr">
        <is>
          <t>미래에셋자산운용</t>
        </is>
      </c>
      <c r="D303" s="96" t="n">
        <v>22185</v>
      </c>
      <c r="E303" s="96" t="n">
        <v>272875500000</v>
      </c>
      <c r="F303" s="96" t="n">
        <v>14489785605</v>
      </c>
      <c r="G303" s="97" t="n">
        <v>0.005</v>
      </c>
      <c r="H303" s="97" t="n">
        <v>0.4683</v>
      </c>
      <c r="I303" s="97" t="n">
        <v>0.0035</v>
      </c>
      <c r="J303" s="97" t="n">
        <v>0.013162</v>
      </c>
      <c r="K303" s="96" t="n">
        <v>12</v>
      </c>
      <c r="L303" s="95" t="inlineStr">
        <is>
          <t>20260730</t>
        </is>
      </c>
      <c r="M303" s="95" t="inlineStr">
        <is>
          <t>제외</t>
        </is>
      </c>
      <c r="N303" s="95" t="inlineStr">
        <is>
          <t>변동성 46.8%(1년 기준, 기준 35% 초과)</t>
        </is>
      </c>
      <c r="O303" s="95" t="inlineStr">
        <is>
          <t>FnGuide 지주회사 지수</t>
        </is>
      </c>
      <c r="P303" s="95" t="inlineStr">
        <is>
          <t>일반</t>
        </is>
      </c>
      <c r="Q303" s="95" t="inlineStr">
        <is>
          <t>주식</t>
        </is>
      </c>
      <c r="R303" s="95" t="inlineStr">
        <is>
          <t>분기배당</t>
        </is>
      </c>
      <c r="S303" s="96" t="n">
        <v>3</v>
      </c>
      <c r="T303">
        <f>IF(AND($J303&lt;&gt;"",OR(조회_주기="전체",$R303=조회_주기),$J303&gt;=조회_최소,$J303&lt;=조회_최대),1,0)</f>
        <v/>
      </c>
      <c r="U303">
        <f>IF($T303=1,$U302+1,$U302)</f>
        <v/>
      </c>
      <c r="V303">
        <f>IF(검색어="",1,IF(ISNUMBER(SEARCH(검색어,$A303)),1,0))</f>
        <v/>
      </c>
      <c r="W303">
        <f>IF($V303=1,$W302+1,$W302)</f>
        <v/>
      </c>
      <c r="X303">
        <f>IFERROR(INDEX($A$4:$A$517,MATCH(300,$W$4:$W$517,0)),"")</f>
        <v/>
      </c>
    </row>
    <row r="304">
      <c r="A304" s="95" t="inlineStr">
        <is>
          <t>아이엠에셋 200</t>
        </is>
      </c>
      <c r="B304" s="95" t="inlineStr">
        <is>
          <t>0007N0</t>
        </is>
      </c>
      <c r="C304" s="95" t="inlineStr">
        <is>
          <t>iM에셋자산운용</t>
        </is>
      </c>
      <c r="D304" s="96" t="n">
        <v>106980</v>
      </c>
      <c r="E304" s="96" t="n">
        <v>90933000000</v>
      </c>
      <c r="F304" s="96" t="n">
        <v>287043142</v>
      </c>
      <c r="G304" s="97" t="n">
        <v>0.0005</v>
      </c>
      <c r="H304" s="97" t="n">
        <v>0.5834</v>
      </c>
      <c r="I304" s="97" t="n">
        <v>0.0017</v>
      </c>
      <c r="J304" s="97" t="n">
        <v>0.012619</v>
      </c>
      <c r="K304" s="96" t="n">
        <v>2</v>
      </c>
      <c r="L304" s="95" t="inlineStr">
        <is>
          <t>20260730</t>
        </is>
      </c>
      <c r="M304" s="95" t="inlineStr">
        <is>
          <t>제외</t>
        </is>
      </c>
      <c r="N304" s="95" t="inlineStr">
        <is>
          <t>60일 거래대금 2.9억(기준 5억 미만), 변동성 58.3%(1년 기준, 기준 35% 초과)</t>
        </is>
      </c>
      <c r="O304" s="95" t="inlineStr">
        <is>
          <t>KOSPI 200</t>
        </is>
      </c>
      <c r="P304" s="95" t="inlineStr">
        <is>
          <t>일반</t>
        </is>
      </c>
      <c r="Q304" s="95" t="inlineStr">
        <is>
          <t>주식</t>
        </is>
      </c>
      <c r="R304" s="95" t="inlineStr">
        <is>
          <t>연배당</t>
        </is>
      </c>
      <c r="S304" s="96" t="n">
        <v>2</v>
      </c>
      <c r="T304">
        <f>IF(AND($J304&lt;&gt;"",OR(조회_주기="전체",$R304=조회_주기),$J304&gt;=조회_최소,$J304&lt;=조회_최대),1,0)</f>
        <v/>
      </c>
      <c r="U304">
        <f>IF($T304=1,$U303+1,$U303)</f>
        <v/>
      </c>
      <c r="V304">
        <f>IF(검색어="",1,IF(ISNUMBER(SEARCH(검색어,$A304)),1,0))</f>
        <v/>
      </c>
      <c r="W304">
        <f>IF($V304=1,$W303+1,$W303)</f>
        <v/>
      </c>
      <c r="X304">
        <f>IFERROR(INDEX($A$4:$A$517,MATCH(301,$W$4:$W$517,0)),"")</f>
        <v/>
      </c>
    </row>
    <row r="305">
      <c r="A305" s="95" t="inlineStr">
        <is>
          <t>ACE 2월만기자동연장회사채AA-이상액티브</t>
        </is>
      </c>
      <c r="B305" s="95" t="inlineStr">
        <is>
          <t>475260</t>
        </is>
      </c>
      <c r="C305" s="95" t="inlineStr">
        <is>
          <t>한국투신운용(ETF)</t>
        </is>
      </c>
      <c r="D305" s="96" t="n">
        <v>10765</v>
      </c>
      <c r="E305" s="96" t="n">
        <v>50703150000</v>
      </c>
      <c r="F305" s="96" t="n">
        <v>5720425</v>
      </c>
      <c r="G305" s="97" t="n">
        <v>0.0005</v>
      </c>
      <c r="H305" s="97" t="n">
        <v>0.013</v>
      </c>
      <c r="I305" s="97" t="n">
        <v>0.0127</v>
      </c>
      <c r="J305" s="97" t="n">
        <v>0.012541</v>
      </c>
      <c r="K305" s="96" t="n">
        <v>1</v>
      </c>
      <c r="L305" s="95" t="inlineStr">
        <is>
          <t>20251127</t>
        </is>
      </c>
      <c r="M305" s="95" t="inlineStr">
        <is>
          <t>제외</t>
        </is>
      </c>
      <c r="N305" s="95" t="inlineStr">
        <is>
          <t>60일 거래대금 0.1억(기준 5억 미만)</t>
        </is>
      </c>
      <c r="O305" s="95" t="inlineStr">
        <is>
          <t>KAP 2월 만기자동연장 회사채(AA-이상) 총수익지수</t>
        </is>
      </c>
      <c r="P305" s="95" t="inlineStr">
        <is>
          <t>일반</t>
        </is>
      </c>
      <c r="Q305" s="95" t="inlineStr">
        <is>
          <t>채권</t>
        </is>
      </c>
      <c r="R305" s="95" t="inlineStr">
        <is>
          <t>연배당</t>
        </is>
      </c>
      <c r="S305" s="96" t="n">
        <v>1</v>
      </c>
      <c r="T305">
        <f>IF(AND($J305&lt;&gt;"",OR(조회_주기="전체",$R305=조회_주기),$J305&gt;=조회_최소,$J305&lt;=조회_최대),1,0)</f>
        <v/>
      </c>
      <c r="U305">
        <f>IF($T305=1,$U304+1,$U304)</f>
        <v/>
      </c>
      <c r="V305">
        <f>IF(검색어="",1,IF(ISNUMBER(SEARCH(검색어,$A305)),1,0))</f>
        <v/>
      </c>
      <c r="W305">
        <f>IF($V305=1,$W304+1,$W304)</f>
        <v/>
      </c>
      <c r="X305">
        <f>IFERROR(INDEX($A$4:$A$517,MATCH(302,$W$4:$W$517,0)),"")</f>
        <v/>
      </c>
    </row>
    <row r="306">
      <c r="A306" s="95" t="inlineStr">
        <is>
          <t>1Q 200액티브</t>
        </is>
      </c>
      <c r="B306" s="95" t="inlineStr">
        <is>
          <t>451060</t>
        </is>
      </c>
      <c r="C306" s="95" t="inlineStr">
        <is>
          <t>하나자산운용</t>
        </is>
      </c>
      <c r="D306" s="96" t="n">
        <v>34040</v>
      </c>
      <c r="E306" s="96" t="n">
        <v>428904000000</v>
      </c>
      <c r="F306" s="96" t="n">
        <v>4965501629</v>
      </c>
      <c r="G306" s="97" t="n">
        <v>0.0001</v>
      </c>
      <c r="H306" s="97" t="n">
        <v>0.5892000000000001</v>
      </c>
      <c r="I306" s="97" t="n">
        <v>0.0011</v>
      </c>
      <c r="J306" s="97" t="n">
        <v>0.012485</v>
      </c>
      <c r="K306" s="96" t="n">
        <v>4</v>
      </c>
      <c r="L306" s="95" t="inlineStr">
        <is>
          <t>20260730</t>
        </is>
      </c>
      <c r="M306" s="95" t="inlineStr">
        <is>
          <t>제외</t>
        </is>
      </c>
      <c r="N306" s="95" t="inlineStr">
        <is>
          <t>변동성 58.9%(1년 기준, 기준 35% 초과)</t>
        </is>
      </c>
      <c r="O306" s="95" t="inlineStr">
        <is>
          <t>KOSPI 200</t>
        </is>
      </c>
      <c r="P306" s="95" t="inlineStr">
        <is>
          <t>일반</t>
        </is>
      </c>
      <c r="Q306" s="95" t="inlineStr">
        <is>
          <t>주식</t>
        </is>
      </c>
      <c r="R306" s="95" t="inlineStr">
        <is>
          <t>분기배당</t>
        </is>
      </c>
      <c r="S306" s="96" t="n">
        <v>4</v>
      </c>
      <c r="T306">
        <f>IF(AND($J306&lt;&gt;"",OR(조회_주기="전체",$R306=조회_주기),$J306&gt;=조회_최소,$J306&lt;=조회_최대),1,0)</f>
        <v/>
      </c>
      <c r="U306">
        <f>IF($T306=1,$U305+1,$U305)</f>
        <v/>
      </c>
      <c r="V306">
        <f>IF(검색어="",1,IF(ISNUMBER(SEARCH(검색어,$A306)),1,0))</f>
        <v/>
      </c>
      <c r="W306">
        <f>IF($V306=1,$W305+1,$W305)</f>
        <v/>
      </c>
      <c r="X306">
        <f>IFERROR(INDEX($A$4:$A$517,MATCH(303,$W$4:$W$517,0)),"")</f>
        <v/>
      </c>
    </row>
    <row r="307">
      <c r="A307" s="95" t="inlineStr">
        <is>
          <t>ACE 라이프자산주주가치액티브</t>
        </is>
      </c>
      <c r="B307" s="95" t="inlineStr">
        <is>
          <t>494330</t>
        </is>
      </c>
      <c r="C307" s="95" t="inlineStr">
        <is>
          <t>한국투신운용(ETF)</t>
        </is>
      </c>
      <c r="D307" s="96" t="n">
        <v>32570</v>
      </c>
      <c r="E307" s="96" t="n">
        <v>182392000000</v>
      </c>
      <c r="F307" s="96" t="n">
        <v>1859662175</v>
      </c>
      <c r="G307" s="97" t="n">
        <v>0.005</v>
      </c>
      <c r="H307" s="97" t="n">
        <v>0.4379999999999999</v>
      </c>
      <c r="I307" s="97" t="n">
        <v>0.0035</v>
      </c>
      <c r="J307" s="97" t="n">
        <v>0.012281</v>
      </c>
      <c r="K307" s="96" t="n">
        <v>6</v>
      </c>
      <c r="L307" s="95" t="inlineStr">
        <is>
          <t>20260730</t>
        </is>
      </c>
      <c r="M307" s="95" t="inlineStr">
        <is>
          <t>제외</t>
        </is>
      </c>
      <c r="N307" s="95" t="inlineStr">
        <is>
          <t>변동성 43.8%(1년 기준, 기준 35% 초과)</t>
        </is>
      </c>
      <c r="O307" s="95" t="inlineStr">
        <is>
          <t>FnGuide 기업가치 지수</t>
        </is>
      </c>
      <c r="P307" s="95" t="inlineStr">
        <is>
          <t>일반</t>
        </is>
      </c>
      <c r="Q307" s="95" t="inlineStr">
        <is>
          <t>주식</t>
        </is>
      </c>
      <c r="R307" s="95" t="inlineStr">
        <is>
          <t>분기배당</t>
        </is>
      </c>
      <c r="S307" s="96" t="n">
        <v>4</v>
      </c>
      <c r="T307">
        <f>IF(AND($J307&lt;&gt;"",OR(조회_주기="전체",$R307=조회_주기),$J307&gt;=조회_최소,$J307&lt;=조회_최대),1,0)</f>
        <v/>
      </c>
      <c r="U307">
        <f>IF($T307=1,$U306+1,$U306)</f>
        <v/>
      </c>
      <c r="V307">
        <f>IF(검색어="",1,IF(ISNUMBER(SEARCH(검색어,$A307)),1,0))</f>
        <v/>
      </c>
      <c r="W307">
        <f>IF($V307=1,$W306+1,$W306)</f>
        <v/>
      </c>
      <c r="X307">
        <f>IFERROR(INDEX($A$4:$A$517,MATCH(304,$W$4:$W$517,0)),"")</f>
        <v/>
      </c>
    </row>
    <row r="308">
      <c r="A308" s="95" t="inlineStr">
        <is>
          <t>1Q 중단기회사채(A-이상)액티브</t>
        </is>
      </c>
      <c r="B308" s="95" t="inlineStr">
        <is>
          <t>0052T0</t>
        </is>
      </c>
      <c r="C308" s="95" t="inlineStr">
        <is>
          <t>하나자산운용</t>
        </is>
      </c>
      <c r="D308" s="96" t="n">
        <v>50700</v>
      </c>
      <c r="E308" s="96" t="n">
        <v>90753000000</v>
      </c>
      <c r="F308" s="96" t="n">
        <v>441457610</v>
      </c>
      <c r="G308" s="97" t="n">
        <v>0.0005</v>
      </c>
      <c r="H308" s="97" t="n">
        <v>0.0158</v>
      </c>
      <c r="I308" s="97" t="n">
        <v>0.0123</v>
      </c>
      <c r="J308" s="97" t="n">
        <v>0.012229</v>
      </c>
      <c r="K308" s="96" t="n">
        <v>1</v>
      </c>
      <c r="L308" s="95" t="inlineStr">
        <is>
          <t>20251113</t>
        </is>
      </c>
      <c r="M308" s="95" t="inlineStr">
        <is>
          <t>제외</t>
        </is>
      </c>
      <c r="N308" s="95" t="inlineStr">
        <is>
          <t>60일 거래대금 4.4억(기준 5억 미만)</t>
        </is>
      </c>
      <c r="O308" s="95" t="inlineStr">
        <is>
          <t>KEDI 중단기크레딧플러스채권(AAA~A-) 지수(총수익)</t>
        </is>
      </c>
      <c r="P308" s="95" t="inlineStr">
        <is>
          <t>일반</t>
        </is>
      </c>
      <c r="Q308" s="95" t="inlineStr">
        <is>
          <t>채권</t>
        </is>
      </c>
      <c r="R308" s="95" t="inlineStr">
        <is>
          <t>연배당</t>
        </is>
      </c>
      <c r="S308" s="96" t="n">
        <v>1</v>
      </c>
      <c r="T308">
        <f>IF(AND($J308&lt;&gt;"",OR(조회_주기="전체",$R308=조회_주기),$J308&gt;=조회_최소,$J308&lt;=조회_최대),1,0)</f>
        <v/>
      </c>
      <c r="U308">
        <f>IF($T308=1,$U307+1,$U307)</f>
        <v/>
      </c>
      <c r="V308">
        <f>IF(검색어="",1,IF(ISNUMBER(SEARCH(검색어,$A308)),1,0))</f>
        <v/>
      </c>
      <c r="W308">
        <f>IF($V308=1,$W307+1,$W307)</f>
        <v/>
      </c>
      <c r="X308">
        <f>IFERROR(INDEX($A$4:$A$517,MATCH(305,$W$4:$W$517,0)),"")</f>
        <v/>
      </c>
    </row>
    <row r="309">
      <c r="A309" s="95" t="inlineStr">
        <is>
          <t>RISE 단기특수은행채액티브</t>
        </is>
      </c>
      <c r="B309" s="95" t="inlineStr">
        <is>
          <t>0061Z0</t>
        </is>
      </c>
      <c r="C309" s="95" t="inlineStr">
        <is>
          <t>KB자산운용</t>
        </is>
      </c>
      <c r="D309" s="96" t="n">
        <v>51065</v>
      </c>
      <c r="E309" s="96" t="n">
        <v>723284660000</v>
      </c>
      <c r="F309" s="96" t="n">
        <v>365634578</v>
      </c>
      <c r="G309" s="97" t="n">
        <v>0.0001</v>
      </c>
      <c r="H309" s="97" t="n">
        <v>0.0123</v>
      </c>
      <c r="I309" s="97" t="n">
        <v>0.0121</v>
      </c>
      <c r="J309" s="97" t="n">
        <v>0.011985</v>
      </c>
      <c r="K309" s="96" t="n">
        <v>1</v>
      </c>
      <c r="L309" s="95" t="inlineStr">
        <is>
          <t>20251212</t>
        </is>
      </c>
      <c r="M309" s="95" t="inlineStr">
        <is>
          <t>제외</t>
        </is>
      </c>
      <c r="N309" s="95" t="inlineStr">
        <is>
          <t>60일 거래대금 3.7억(기준 5억 미만)</t>
        </is>
      </c>
      <c r="O309" s="95" t="inlineStr">
        <is>
          <t>KAP 단기 특수은행채 지수</t>
        </is>
      </c>
      <c r="P309" s="95" t="inlineStr">
        <is>
          <t>일반</t>
        </is>
      </c>
      <c r="Q309" s="95" t="inlineStr">
        <is>
          <t>단기자금(파킹형)</t>
        </is>
      </c>
      <c r="R309" s="95" t="inlineStr">
        <is>
          <t>연배당</t>
        </is>
      </c>
      <c r="S309" s="96" t="n">
        <v>1</v>
      </c>
      <c r="T309">
        <f>IF(AND($J309&lt;&gt;"",OR(조회_주기="전체",$R309=조회_주기),$J309&gt;=조회_최소,$J309&lt;=조회_최대),1,0)</f>
        <v/>
      </c>
      <c r="U309">
        <f>IF($T309=1,$U308+1,$U308)</f>
        <v/>
      </c>
      <c r="V309">
        <f>IF(검색어="",1,IF(ISNUMBER(SEARCH(검색어,$A309)),1,0))</f>
        <v/>
      </c>
      <c r="W309">
        <f>IF($V309=1,$W308+1,$W308)</f>
        <v/>
      </c>
      <c r="X309">
        <f>IFERROR(INDEX($A$4:$A$517,MATCH(306,$W$4:$W$517,0)),"")</f>
        <v/>
      </c>
    </row>
    <row r="310">
      <c r="A310" s="95" t="inlineStr">
        <is>
          <t>ACE 8월만기자동연장회사채AA-이상액티브</t>
        </is>
      </c>
      <c r="B310" s="95" t="inlineStr">
        <is>
          <t>475280</t>
        </is>
      </c>
      <c r="C310" s="95" t="inlineStr">
        <is>
          <t>한국투신운용(ETF)</t>
        </is>
      </c>
      <c r="D310" s="96" t="n">
        <v>10750</v>
      </c>
      <c r="E310" s="96" t="n">
        <v>101265000000</v>
      </c>
      <c r="F310" s="96" t="n">
        <v>7841123</v>
      </c>
      <c r="G310" s="97" t="n">
        <v>0.0005</v>
      </c>
      <c r="H310" s="97" t="n">
        <v>0.0124</v>
      </c>
      <c r="I310" s="97" t="n">
        <v>0.0121</v>
      </c>
      <c r="J310" s="97" t="n">
        <v>0.011907</v>
      </c>
      <c r="K310" s="96" t="n">
        <v>1</v>
      </c>
      <c r="L310" s="95" t="inlineStr">
        <is>
          <t>20251127</t>
        </is>
      </c>
      <c r="M310" s="95" t="inlineStr">
        <is>
          <t>제외</t>
        </is>
      </c>
      <c r="N310" s="95" t="inlineStr">
        <is>
          <t>60일 거래대금 0.1억(기준 5억 미만)</t>
        </is>
      </c>
      <c r="O310" s="95" t="inlineStr">
        <is>
          <t>KAP 8월 만기자동연장 회사채(AA-이상) 총수익지수</t>
        </is>
      </c>
      <c r="P310" s="95" t="inlineStr">
        <is>
          <t>일반</t>
        </is>
      </c>
      <c r="Q310" s="95" t="inlineStr">
        <is>
          <t>채권</t>
        </is>
      </c>
      <c r="R310" s="95" t="inlineStr">
        <is>
          <t>연배당</t>
        </is>
      </c>
      <c r="S310" s="96" t="n">
        <v>1</v>
      </c>
      <c r="T310">
        <f>IF(AND($J310&lt;&gt;"",OR(조회_주기="전체",$R310=조회_주기),$J310&gt;=조회_최소,$J310&lt;=조회_최대),1,0)</f>
        <v/>
      </c>
      <c r="U310">
        <f>IF($T310=1,$U309+1,$U309)</f>
        <v/>
      </c>
      <c r="V310">
        <f>IF(검색어="",1,IF(ISNUMBER(SEARCH(검색어,$A310)),1,0))</f>
        <v/>
      </c>
      <c r="W310">
        <f>IF($V310=1,$W309+1,$W309)</f>
        <v/>
      </c>
      <c r="X310">
        <f>IFERROR(INDEX($A$4:$A$517,MATCH(307,$W$4:$W$517,0)),"")</f>
        <v/>
      </c>
    </row>
    <row r="311">
      <c r="A311" s="95" t="inlineStr">
        <is>
          <t>ACE 미국WideMoat동일가중</t>
        </is>
      </c>
      <c r="B311" s="95" t="inlineStr">
        <is>
          <t>309230</t>
        </is>
      </c>
      <c r="C311" s="95" t="inlineStr">
        <is>
          <t>한국투신운용(ETF)</t>
        </is>
      </c>
      <c r="D311" s="96" t="n">
        <v>30230</v>
      </c>
      <c r="E311" s="96" t="n">
        <v>111246400000</v>
      </c>
      <c r="F311" s="96" t="n">
        <v>288724350</v>
      </c>
      <c r="G311" s="97" t="n">
        <v>0.004</v>
      </c>
      <c r="H311" s="97" t="n">
        <v>0.1594</v>
      </c>
      <c r="I311" s="97" t="n">
        <v>0.0031</v>
      </c>
      <c r="J311" s="97" t="n">
        <v>0.011843</v>
      </c>
      <c r="K311" s="96" t="n">
        <v>10</v>
      </c>
      <c r="L311" s="95" t="inlineStr">
        <is>
          <t>20260730</t>
        </is>
      </c>
      <c r="M311" s="95" t="inlineStr">
        <is>
          <t>제외</t>
        </is>
      </c>
      <c r="N311" s="95" t="inlineStr">
        <is>
          <t>60일 거래대금 2.9억(기준 5억 미만)</t>
        </is>
      </c>
      <c r="O311" s="95" t="inlineStr">
        <is>
          <t>Morningstar Wide Moat Focus Index</t>
        </is>
      </c>
      <c r="P311" s="95" t="inlineStr">
        <is>
          <t>일반</t>
        </is>
      </c>
      <c r="Q311" s="95" t="inlineStr">
        <is>
          <t>주식</t>
        </is>
      </c>
      <c r="R311" s="95" t="inlineStr">
        <is>
          <t>분기배당</t>
        </is>
      </c>
      <c r="S311" s="96" t="n">
        <v>4</v>
      </c>
      <c r="T311">
        <f>IF(AND($J311&lt;&gt;"",OR(조회_주기="전체",$R311=조회_주기),$J311&gt;=조회_최소,$J311&lt;=조회_최대),1,0)</f>
        <v/>
      </c>
      <c r="U311">
        <f>IF($T311=1,$U310+1,$U310)</f>
        <v/>
      </c>
      <c r="V311">
        <f>IF(검색어="",1,IF(ISNUMBER(SEARCH(검색어,$A311)),1,0))</f>
        <v/>
      </c>
      <c r="W311">
        <f>IF($V311=1,$W310+1,$W310)</f>
        <v/>
      </c>
      <c r="X311">
        <f>IFERROR(INDEX($A$4:$A$517,MATCH(308,$W$4:$W$517,0)),"")</f>
        <v/>
      </c>
    </row>
    <row r="312">
      <c r="A312" s="95" t="inlineStr">
        <is>
          <t>ACE 포스코그룹포커스</t>
        </is>
      </c>
      <c r="B312" s="95" t="inlineStr">
        <is>
          <t>469170</t>
        </is>
      </c>
      <c r="C312" s="95" t="inlineStr">
        <is>
          <t>한국투신운용(ETF)</t>
        </is>
      </c>
      <c r="D312" s="96" t="n">
        <v>6005</v>
      </c>
      <c r="E312" s="96" t="n">
        <v>122502000000</v>
      </c>
      <c r="F312" s="96" t="n">
        <v>4889685205</v>
      </c>
      <c r="G312" s="97" t="n">
        <v>0.003</v>
      </c>
      <c r="H312" s="97" t="n">
        <v>0.5185</v>
      </c>
      <c r="I312" s="97" t="n">
        <v>0.0017</v>
      </c>
      <c r="J312" s="97" t="n">
        <v>0.011823</v>
      </c>
      <c r="K312" s="96" t="n">
        <v>10</v>
      </c>
      <c r="L312" s="95" t="inlineStr">
        <is>
          <t>20260730</t>
        </is>
      </c>
      <c r="M312" s="95" t="inlineStr">
        <is>
          <t>제외</t>
        </is>
      </c>
      <c r="N312" s="95" t="inlineStr">
        <is>
          <t>변동성 51.9%(1년 기준, 기준 35% 초과)</t>
        </is>
      </c>
      <c r="O312" s="95" t="inlineStr">
        <is>
          <t>FnGuide 포스코그룹 포커스 지수</t>
        </is>
      </c>
      <c r="P312" s="95" t="inlineStr">
        <is>
          <t>일반</t>
        </is>
      </c>
      <c r="Q312" s="95" t="inlineStr">
        <is>
          <t>주식</t>
        </is>
      </c>
      <c r="R312" s="95" t="inlineStr">
        <is>
          <t>분기배당</t>
        </is>
      </c>
      <c r="S312" s="96" t="n">
        <v>4</v>
      </c>
      <c r="T312">
        <f>IF(AND($J312&lt;&gt;"",OR(조회_주기="전체",$R312=조회_주기),$J312&gt;=조회_최소,$J312&lt;=조회_최대),1,0)</f>
        <v/>
      </c>
      <c r="U312">
        <f>IF($T312=1,$U311+1,$U311)</f>
        <v/>
      </c>
      <c r="V312">
        <f>IF(검색어="",1,IF(ISNUMBER(SEARCH(검색어,$A312)),1,0))</f>
        <v/>
      </c>
      <c r="W312">
        <f>IF($V312=1,$W311+1,$W311)</f>
        <v/>
      </c>
      <c r="X312">
        <f>IFERROR(INDEX($A$4:$A$517,MATCH(309,$W$4:$W$517,0)),"")</f>
        <v/>
      </c>
    </row>
    <row r="313">
      <c r="A313" s="95" t="inlineStr">
        <is>
          <t>TIGER LG그룹플러스</t>
        </is>
      </c>
      <c r="B313" s="95" t="inlineStr">
        <is>
          <t>138530</t>
        </is>
      </c>
      <c r="C313" s="95" t="inlineStr">
        <is>
          <t>미래에셋자산운용</t>
        </is>
      </c>
      <c r="D313" s="96" t="n">
        <v>12085</v>
      </c>
      <c r="E313" s="96" t="n">
        <v>78310800000</v>
      </c>
      <c r="F313" s="96" t="n">
        <v>2429788760</v>
      </c>
      <c r="G313" s="97" t="n">
        <v>0.0015</v>
      </c>
      <c r="H313" s="97" t="n">
        <v>0.467</v>
      </c>
      <c r="I313" s="97" t="n">
        <v>0.0091</v>
      </c>
      <c r="J313" s="97" t="n">
        <v>0.011585</v>
      </c>
      <c r="K313" s="96" t="n">
        <v>9</v>
      </c>
      <c r="L313" s="95" t="inlineStr">
        <is>
          <t>20260429</t>
        </is>
      </c>
      <c r="M313" s="95" t="inlineStr">
        <is>
          <t>제외</t>
        </is>
      </c>
      <c r="N313" s="95" t="inlineStr">
        <is>
          <t>변동성 46.7%(1년 기준, 기준 35% 초과)</t>
        </is>
      </c>
      <c r="O313" s="95" t="inlineStr">
        <is>
          <t>FnGuide LG그룹+ FW</t>
        </is>
      </c>
      <c r="P313" s="95" t="inlineStr">
        <is>
          <t>일반</t>
        </is>
      </c>
      <c r="Q313" s="95" t="inlineStr">
        <is>
          <t>주식</t>
        </is>
      </c>
      <c r="R313" s="95" t="inlineStr">
        <is>
          <t>연배당</t>
        </is>
      </c>
      <c r="S313" s="96" t="n">
        <v>2</v>
      </c>
      <c r="T313">
        <f>IF(AND($J313&lt;&gt;"",OR(조회_주기="전체",$R313=조회_주기),$J313&gt;=조회_최소,$J313&lt;=조회_최대),1,0)</f>
        <v/>
      </c>
      <c r="U313">
        <f>IF($T313=1,$U312+1,$U312)</f>
        <v/>
      </c>
      <c r="V313">
        <f>IF(검색어="",1,IF(ISNUMBER(SEARCH(검색어,$A313)),1,0))</f>
        <v/>
      </c>
      <c r="W313">
        <f>IF($V313=1,$W312+1,$W312)</f>
        <v/>
      </c>
      <c r="X313">
        <f>IFERROR(INDEX($A$4:$A$517,MATCH(310,$W$4:$W$517,0)),"")</f>
        <v/>
      </c>
    </row>
    <row r="314">
      <c r="A314" s="95" t="inlineStr">
        <is>
          <t>KODEX 코리아밸류업</t>
        </is>
      </c>
      <c r="B314" s="95" t="inlineStr">
        <is>
          <t>495850</t>
        </is>
      </c>
      <c r="C314" s="95" t="inlineStr">
        <is>
          <t>삼성자산운용(ETF)</t>
        </is>
      </c>
      <c r="D314" s="96" t="n">
        <v>31530</v>
      </c>
      <c r="E314" s="96" t="n">
        <v>654247500000</v>
      </c>
      <c r="F314" s="96" t="n">
        <v>10335099501</v>
      </c>
      <c r="G314" s="97" t="n">
        <v>8.000000000000001e-05</v>
      </c>
      <c r="H314" s="97" t="n">
        <v>0.5247999999999999</v>
      </c>
      <c r="I314" s="97" t="n">
        <v>0.0012</v>
      </c>
      <c r="J314" s="97" t="n">
        <v>0.011545</v>
      </c>
      <c r="K314" s="96" t="n">
        <v>21</v>
      </c>
      <c r="L314" s="95" t="inlineStr">
        <is>
          <t>20260828</t>
        </is>
      </c>
      <c r="M314" s="95" t="inlineStr">
        <is>
          <t>제외</t>
        </is>
      </c>
      <c r="N314" s="95" t="inlineStr">
        <is>
          <t>변동성 52.5%(1년 기준, 기준 35% 초과)</t>
        </is>
      </c>
      <c r="O314" s="95" t="inlineStr">
        <is>
          <t>코리아 밸류업 지수</t>
        </is>
      </c>
      <c r="P314" s="95" t="inlineStr">
        <is>
          <t>일반</t>
        </is>
      </c>
      <c r="Q314" s="95" t="inlineStr">
        <is>
          <t>주식</t>
        </is>
      </c>
      <c r="R314" s="95" t="inlineStr">
        <is>
          <t>월배당</t>
        </is>
      </c>
      <c r="S314" s="96" t="n">
        <v>11</v>
      </c>
      <c r="T314">
        <f>IF(AND($J314&lt;&gt;"",OR(조회_주기="전체",$R314=조회_주기),$J314&gt;=조회_최소,$J314&lt;=조회_최대),1,0)</f>
        <v/>
      </c>
      <c r="U314">
        <f>IF($T314=1,$U313+1,$U313)</f>
        <v/>
      </c>
      <c r="V314">
        <f>IF(검색어="",1,IF(ISNUMBER(SEARCH(검색어,$A314)),1,0))</f>
        <v/>
      </c>
      <c r="W314">
        <f>IF($V314=1,$W313+1,$W313)</f>
        <v/>
      </c>
      <c r="X314">
        <f>IFERROR(INDEX($A$4:$A$517,MATCH(311,$W$4:$W$517,0)),"")</f>
        <v/>
      </c>
    </row>
    <row r="315">
      <c r="A315" s="95" t="inlineStr">
        <is>
          <t>ACE 5월만기자동연장회사채AA-이상액티브</t>
        </is>
      </c>
      <c r="B315" s="95" t="inlineStr">
        <is>
          <t>475270</t>
        </is>
      </c>
      <c r="C315" s="95" t="inlineStr">
        <is>
          <t>한국투신운용(ETF)</t>
        </is>
      </c>
      <c r="D315" s="96" t="n">
        <v>10745</v>
      </c>
      <c r="E315" s="96" t="n">
        <v>44699200000</v>
      </c>
      <c r="F315" s="96" t="n">
        <v>6219935</v>
      </c>
      <c r="G315" s="97" t="n">
        <v>0.0005</v>
      </c>
      <c r="H315" s="97" t="n">
        <v>0.0119</v>
      </c>
      <c r="I315" s="97" t="n">
        <v>0.0116</v>
      </c>
      <c r="J315" s="97" t="n">
        <v>0.011447</v>
      </c>
      <c r="K315" s="96" t="n">
        <v>1</v>
      </c>
      <c r="L315" s="95" t="inlineStr">
        <is>
          <t>20251127</t>
        </is>
      </c>
      <c r="M315" s="95" t="inlineStr">
        <is>
          <t>제외</t>
        </is>
      </c>
      <c r="N315" s="95" t="inlineStr">
        <is>
          <t>60일 거래대금 0.1억(기준 5억 미만)</t>
        </is>
      </c>
      <c r="O315" s="95" t="inlineStr">
        <is>
          <t>KIS 5월 만기자동연장회사채(AA-이상) 총수익 지수</t>
        </is>
      </c>
      <c r="P315" s="95" t="inlineStr">
        <is>
          <t>일반</t>
        </is>
      </c>
      <c r="Q315" s="95" t="inlineStr">
        <is>
          <t>채권</t>
        </is>
      </c>
      <c r="R315" s="95" t="inlineStr">
        <is>
          <t>연배당</t>
        </is>
      </c>
      <c r="S315" s="96" t="n">
        <v>1</v>
      </c>
      <c r="T315">
        <f>IF(AND($J315&lt;&gt;"",OR(조회_주기="전체",$R315=조회_주기),$J315&gt;=조회_최소,$J315&lt;=조회_최대),1,0)</f>
        <v/>
      </c>
      <c r="U315">
        <f>IF($T315=1,$U314+1,$U314)</f>
        <v/>
      </c>
      <c r="V315">
        <f>IF(검색어="",1,IF(ISNUMBER(SEARCH(검색어,$A315)),1,0))</f>
        <v/>
      </c>
      <c r="W315">
        <f>IF($V315=1,$W314+1,$W314)</f>
        <v/>
      </c>
      <c r="X315">
        <f>IFERROR(INDEX($A$4:$A$517,MATCH(312,$W$4:$W$517,0)),"")</f>
        <v/>
      </c>
    </row>
    <row r="316">
      <c r="A316" s="95" t="inlineStr">
        <is>
          <t>1Q 종합채권(AA-이상)액티브</t>
        </is>
      </c>
      <c r="B316" s="95" t="inlineStr">
        <is>
          <t>0017Y0</t>
        </is>
      </c>
      <c r="C316" s="95" t="inlineStr">
        <is>
          <t>하나자산운용</t>
        </is>
      </c>
      <c r="D316" s="96" t="n">
        <v>93505</v>
      </c>
      <c r="E316" s="96" t="n">
        <v>81255845000</v>
      </c>
      <c r="F316" s="96" t="n">
        <v>106603397</v>
      </c>
      <c r="G316" s="97" t="n">
        <v>0.00025</v>
      </c>
      <c r="H316" s="97" t="n">
        <v>0.0443</v>
      </c>
      <c r="I316" s="97" t="n">
        <v>0.0107</v>
      </c>
      <c r="J316" s="97" t="n">
        <v>0.01139</v>
      </c>
      <c r="K316" s="96" t="n">
        <v>1</v>
      </c>
      <c r="L316" s="95" t="inlineStr">
        <is>
          <t>20251113</t>
        </is>
      </c>
      <c r="M316" s="95" t="inlineStr">
        <is>
          <t>제외</t>
        </is>
      </c>
      <c r="N316" s="95" t="inlineStr">
        <is>
          <t>60일 거래대금 1.1억(기준 5억 미만)</t>
        </is>
      </c>
      <c r="O316" s="95" t="inlineStr">
        <is>
          <t>KIS 종합채권형 지수(AA-이상)</t>
        </is>
      </c>
      <c r="P316" s="95" t="inlineStr">
        <is>
          <t>일반</t>
        </is>
      </c>
      <c r="Q316" s="95" t="inlineStr">
        <is>
          <t>채권</t>
        </is>
      </c>
      <c r="R316" s="95" t="inlineStr">
        <is>
          <t>연배당</t>
        </is>
      </c>
      <c r="S316" s="96" t="n">
        <v>1</v>
      </c>
      <c r="T316">
        <f>IF(AND($J316&lt;&gt;"",OR(조회_주기="전체",$R316=조회_주기),$J316&gt;=조회_최소,$J316&lt;=조회_최대),1,0)</f>
        <v/>
      </c>
      <c r="U316">
        <f>IF($T316=1,$U315+1,$U315)</f>
        <v/>
      </c>
      <c r="V316">
        <f>IF(검색어="",1,IF(ISNUMBER(SEARCH(검색어,$A316)),1,0))</f>
        <v/>
      </c>
      <c r="W316">
        <f>IF($V316=1,$W315+1,$W315)</f>
        <v/>
      </c>
      <c r="X316">
        <f>IFERROR(INDEX($A$4:$A$517,MATCH(313,$W$4:$W$517,0)),"")</f>
        <v/>
      </c>
    </row>
    <row r="317">
      <c r="A317" s="95" t="inlineStr">
        <is>
          <t>ACE 중장기국공채액티브</t>
        </is>
      </c>
      <c r="B317" s="95" t="inlineStr">
        <is>
          <t>272910</t>
        </is>
      </c>
      <c r="C317" s="95" t="inlineStr">
        <is>
          <t>한국투신운용(ETF)</t>
        </is>
      </c>
      <c r="D317" s="96" t="n">
        <v>105575</v>
      </c>
      <c r="E317" s="96" t="n">
        <v>73691350000</v>
      </c>
      <c r="F317" s="96" t="n">
        <v>7411251</v>
      </c>
      <c r="G317" s="97" t="n">
        <v>0.0008</v>
      </c>
      <c r="H317" s="97" t="n">
        <v>0.0297</v>
      </c>
      <c r="I317" s="97" t="n">
        <v>0.0111</v>
      </c>
      <c r="J317" s="97" t="n">
        <v>0.011385</v>
      </c>
      <c r="K317" s="96" t="n">
        <v>2</v>
      </c>
      <c r="L317" s="95" t="inlineStr">
        <is>
          <t>20251127</t>
        </is>
      </c>
      <c r="M317" s="95" t="inlineStr">
        <is>
          <t>제외</t>
        </is>
      </c>
      <c r="N317" s="95" t="inlineStr">
        <is>
          <t>60일 거래대금 0.1억(기준 5억 미만)</t>
        </is>
      </c>
      <c r="O317" s="95" t="inlineStr">
        <is>
          <t>KIS 종합채권 국공채 1-10Y</t>
        </is>
      </c>
      <c r="P317" s="95" t="inlineStr">
        <is>
          <t>일반</t>
        </is>
      </c>
      <c r="Q317" s="95" t="inlineStr">
        <is>
          <t>채권</t>
        </is>
      </c>
      <c r="R317" s="95" t="inlineStr">
        <is>
          <t>연배당</t>
        </is>
      </c>
      <c r="S317" s="96" t="n">
        <v>1</v>
      </c>
      <c r="T317">
        <f>IF(AND($J317&lt;&gt;"",OR(조회_주기="전체",$R317=조회_주기),$J317&gt;=조회_최소,$J317&lt;=조회_최대),1,0)</f>
        <v/>
      </c>
      <c r="U317">
        <f>IF($T317=1,$U316+1,$U316)</f>
        <v/>
      </c>
      <c r="V317">
        <f>IF(검색어="",1,IF(ISNUMBER(SEARCH(검색어,$A317)),1,0))</f>
        <v/>
      </c>
      <c r="W317">
        <f>IF($V317=1,$W316+1,$W316)</f>
        <v/>
      </c>
      <c r="X317">
        <f>IFERROR(INDEX($A$4:$A$517,MATCH(314,$W$4:$W$517,0)),"")</f>
        <v/>
      </c>
    </row>
    <row r="318">
      <c r="A318" s="95" t="inlineStr">
        <is>
          <t>1Q 코리아밸류업</t>
        </is>
      </c>
      <c r="B318" s="95" t="inlineStr">
        <is>
          <t>495330</t>
        </is>
      </c>
      <c r="C318" s="95" t="inlineStr">
        <is>
          <t>하나자산운용</t>
        </is>
      </c>
      <c r="D318" s="96" t="n">
        <v>31355</v>
      </c>
      <c r="E318" s="96" t="n">
        <v>134826500000</v>
      </c>
      <c r="F318" s="96" t="n">
        <v>609452156</v>
      </c>
      <c r="G318" s="97" t="n">
        <v>0.0002</v>
      </c>
      <c r="H318" s="97" t="n">
        <v>0.5251</v>
      </c>
      <c r="I318" s="97" t="n">
        <v>0.0012</v>
      </c>
      <c r="J318" s="97" t="n">
        <v>0.011258</v>
      </c>
      <c r="K318" s="96" t="n">
        <v>20</v>
      </c>
      <c r="L318" s="95" t="inlineStr">
        <is>
          <t>20260828</t>
        </is>
      </c>
      <c r="M318" s="95" t="inlineStr">
        <is>
          <t>제외</t>
        </is>
      </c>
      <c r="N318" s="95" t="inlineStr">
        <is>
          <t>변동성 52.5%(1년 기준, 기준 35% 초과)</t>
        </is>
      </c>
      <c r="O318" s="95" t="inlineStr">
        <is>
          <t>코리아 밸류업 지수</t>
        </is>
      </c>
      <c r="P318" s="95" t="inlineStr">
        <is>
          <t>일반</t>
        </is>
      </c>
      <c r="Q318" s="95" t="inlineStr">
        <is>
          <t>주식</t>
        </is>
      </c>
      <c r="R318" s="95" t="inlineStr">
        <is>
          <t>월배당</t>
        </is>
      </c>
      <c r="S318" s="96" t="n">
        <v>10</v>
      </c>
      <c r="T318">
        <f>IF(AND($J318&lt;&gt;"",OR(조회_주기="전체",$R318=조회_주기),$J318&gt;=조회_최소,$J318&lt;=조회_최대),1,0)</f>
        <v/>
      </c>
      <c r="U318">
        <f>IF($T318=1,$U317+1,$U317)</f>
        <v/>
      </c>
      <c r="V318">
        <f>IF(검색어="",1,IF(ISNUMBER(SEARCH(검색어,$A318)),1,0))</f>
        <v/>
      </c>
      <c r="W318">
        <f>IF($V318=1,$W317+1,$W317)</f>
        <v/>
      </c>
      <c r="X318">
        <f>IFERROR(INDEX($A$4:$A$517,MATCH(315,$W$4:$W$517,0)),"")</f>
        <v/>
      </c>
    </row>
    <row r="319">
      <c r="A319" s="95" t="inlineStr">
        <is>
          <t>RISE 종합채권(A-이상)액티브</t>
        </is>
      </c>
      <c r="B319" s="95" t="inlineStr">
        <is>
          <t>385540</t>
        </is>
      </c>
      <c r="C319" s="95" t="inlineStr">
        <is>
          <t>KB자산운용</t>
        </is>
      </c>
      <c r="D319" s="96" t="n">
        <v>102740</v>
      </c>
      <c r="E319" s="96" t="n">
        <v>2182711300000</v>
      </c>
      <c r="F319" s="96" t="n">
        <v>472260265</v>
      </c>
      <c r="G319" s="97" t="n">
        <v>0.00012</v>
      </c>
      <c r="H319" s="97" t="n">
        <v>0.0418</v>
      </c>
      <c r="I319" s="97" t="n">
        <v>0.0106</v>
      </c>
      <c r="J319" s="97" t="n">
        <v>0.011164</v>
      </c>
      <c r="K319" s="96" t="n">
        <v>1</v>
      </c>
      <c r="L319" s="95" t="inlineStr">
        <is>
          <t>20251212</t>
        </is>
      </c>
      <c r="M319" s="95" t="inlineStr">
        <is>
          <t>제외</t>
        </is>
      </c>
      <c r="N319" s="95" t="inlineStr">
        <is>
          <t>60일 거래대금 4.7억(기준 5억 미만)</t>
        </is>
      </c>
      <c r="O319" s="95" t="inlineStr">
        <is>
          <t>KIS 종합채권 지수(A-이상)</t>
        </is>
      </c>
      <c r="P319" s="95" t="inlineStr">
        <is>
          <t>일반</t>
        </is>
      </c>
      <c r="Q319" s="95" t="inlineStr">
        <is>
          <t>채권</t>
        </is>
      </c>
      <c r="R319" s="95" t="inlineStr">
        <is>
          <t>연배당</t>
        </is>
      </c>
      <c r="S319" s="96" t="n">
        <v>1</v>
      </c>
      <c r="T319">
        <f>IF(AND($J319&lt;&gt;"",OR(조회_주기="전체",$R319=조회_주기),$J319&gt;=조회_최소,$J319&lt;=조회_최대),1,0)</f>
        <v/>
      </c>
      <c r="U319">
        <f>IF($T319=1,$U318+1,$U318)</f>
        <v/>
      </c>
      <c r="V319">
        <f>IF(검색어="",1,IF(ISNUMBER(SEARCH(검색어,$A319)),1,0))</f>
        <v/>
      </c>
      <c r="W319">
        <f>IF($V319=1,$W318+1,$W318)</f>
        <v/>
      </c>
      <c r="X319">
        <f>IFERROR(INDEX($A$4:$A$517,MATCH(316,$W$4:$W$517,0)),"")</f>
        <v/>
      </c>
    </row>
    <row r="320">
      <c r="A320" s="95" t="inlineStr">
        <is>
          <t>ACE 미국빅테크TOP7 Plus레버리지(합성)</t>
        </is>
      </c>
      <c r="B320" s="95" t="inlineStr">
        <is>
          <t>465610</t>
        </is>
      </c>
      <c r="C320" s="95" t="inlineStr">
        <is>
          <t>한국투신운용(ETF)</t>
        </is>
      </c>
      <c r="D320" s="96" t="n">
        <v>42175</v>
      </c>
      <c r="E320" s="96" t="n">
        <v>101220000000</v>
      </c>
      <c r="F320" s="96" t="n">
        <v>573581706</v>
      </c>
      <c r="G320" s="97" t="n">
        <v>0.006</v>
      </c>
      <c r="H320" s="97" t="n">
        <v>0.4233</v>
      </c>
      <c r="I320" s="97" t="n">
        <v>0.0116</v>
      </c>
      <c r="J320" s="97" t="n">
        <v>0.011144</v>
      </c>
      <c r="K320" s="96" t="n">
        <v>1</v>
      </c>
      <c r="L320" s="95" t="inlineStr">
        <is>
          <t>20251229</t>
        </is>
      </c>
      <c r="M320" s="95" t="inlineStr">
        <is>
          <t>제외</t>
        </is>
      </c>
      <c r="N320" s="95" t="inlineStr">
        <is>
          <t>변동성 42.3%(1년 기준, 기준 35% 초과)</t>
        </is>
      </c>
      <c r="O320" s="95" t="inlineStr">
        <is>
          <t>Solactive US Big Tech Top 7 Plus Index PR</t>
        </is>
      </c>
      <c r="P320" s="95" t="inlineStr">
        <is>
          <t>일반</t>
        </is>
      </c>
      <c r="Q320" s="95" t="inlineStr">
        <is>
          <t>주식</t>
        </is>
      </c>
      <c r="R320" s="95" t="inlineStr">
        <is>
          <t>연배당</t>
        </is>
      </c>
      <c r="S320" s="96" t="n">
        <v>1</v>
      </c>
      <c r="T320">
        <f>IF(AND($J320&lt;&gt;"",OR(조회_주기="전체",$R320=조회_주기),$J320&gt;=조회_최소,$J320&lt;=조회_최대),1,0)</f>
        <v/>
      </c>
      <c r="U320">
        <f>IF($T320=1,$U319+1,$U319)</f>
        <v/>
      </c>
      <c r="V320">
        <f>IF(검색어="",1,IF(ISNUMBER(SEARCH(검색어,$A320)),1,0))</f>
        <v/>
      </c>
      <c r="W320">
        <f>IF($V320=1,$W319+1,$W319)</f>
        <v/>
      </c>
      <c r="X320">
        <f>IFERROR(INDEX($A$4:$A$517,MATCH(317,$W$4:$W$517,0)),"")</f>
        <v/>
      </c>
    </row>
    <row r="321">
      <c r="A321" s="95" t="inlineStr">
        <is>
          <t>WON 국공채머니마켓액티브</t>
        </is>
      </c>
      <c r="B321" s="95" t="inlineStr">
        <is>
          <t>458030</t>
        </is>
      </c>
      <c r="C321" s="95" t="inlineStr">
        <is>
          <t>우리자산운용</t>
        </is>
      </c>
      <c r="D321" s="96" t="n">
        <v>55110</v>
      </c>
      <c r="E321" s="96" t="n">
        <v>103937460000</v>
      </c>
      <c r="F321" s="96" t="n">
        <v>47349351</v>
      </c>
      <c r="G321" s="97" t="n">
        <v>0.00065</v>
      </c>
      <c r="H321" s="97" t="n">
        <v>0.0111</v>
      </c>
      <c r="I321" s="97" t="n">
        <v>0.0111</v>
      </c>
      <c r="J321" s="97" t="n">
        <v>0.01096</v>
      </c>
      <c r="K321" s="96" t="n">
        <v>1</v>
      </c>
      <c r="L321" s="95" t="inlineStr">
        <is>
          <t>20251229</t>
        </is>
      </c>
      <c r="M321" s="95" t="inlineStr">
        <is>
          <t>제외</t>
        </is>
      </c>
      <c r="N321" s="95" t="inlineStr">
        <is>
          <t>60일 거래대금 0.5억(기준 5억 미만)</t>
        </is>
      </c>
      <c r="O321" s="95" t="inlineStr">
        <is>
          <t>KAP 국공채 머니마켓 총수익 지수</t>
        </is>
      </c>
      <c r="P321" s="95" t="inlineStr">
        <is>
          <t>일반</t>
        </is>
      </c>
      <c r="Q321" s="95" t="inlineStr">
        <is>
          <t>단기자금(파킹형)</t>
        </is>
      </c>
      <c r="R321" s="95" t="inlineStr">
        <is>
          <t>연배당</t>
        </is>
      </c>
      <c r="S321" s="96" t="n">
        <v>1</v>
      </c>
      <c r="T321">
        <f>IF(AND($J321&lt;&gt;"",OR(조회_주기="전체",$R321=조회_주기),$J321&gt;=조회_최소,$J321&lt;=조회_최대),1,0)</f>
        <v/>
      </c>
      <c r="U321">
        <f>IF($T321=1,$U320+1,$U320)</f>
        <v/>
      </c>
      <c r="V321">
        <f>IF(검색어="",1,IF(ISNUMBER(SEARCH(검색어,$A321)),1,0))</f>
        <v/>
      </c>
      <c r="W321">
        <f>IF($V321=1,$W320+1,$W320)</f>
        <v/>
      </c>
      <c r="X321">
        <f>IFERROR(INDEX($A$4:$A$517,MATCH(318,$W$4:$W$517,0)),"")</f>
        <v/>
      </c>
    </row>
    <row r="322">
      <c r="A322" s="95" t="inlineStr">
        <is>
          <t>RISE TDF2040액티브 적격</t>
        </is>
      </c>
      <c r="B322" s="95" t="inlineStr">
        <is>
          <t>442560</t>
        </is>
      </c>
      <c r="C322" s="95" t="inlineStr">
        <is>
          <t>KB자산운용</t>
        </is>
      </c>
      <c r="D322" s="96" t="n">
        <v>16235</v>
      </c>
      <c r="E322" s="96" t="n">
        <v>54387250000</v>
      </c>
      <c r="F322" s="96" t="n">
        <v>324297264</v>
      </c>
      <c r="G322" s="97" t="n">
        <v>0.0001</v>
      </c>
      <c r="H322" s="97" t="n">
        <v>0.1189</v>
      </c>
      <c r="I322" s="97" t="n">
        <v>0.0033</v>
      </c>
      <c r="J322" s="97" t="n">
        <v>0.010902</v>
      </c>
      <c r="K322" s="96" t="n">
        <v>2</v>
      </c>
      <c r="L322" s="95" t="inlineStr">
        <is>
          <t>20260730</t>
        </is>
      </c>
      <c r="M322" s="95" t="inlineStr">
        <is>
          <t>제외</t>
        </is>
      </c>
      <c r="N322" s="95" t="inlineStr">
        <is>
          <t>60일 거래대금 3.2억(기준 5억 미만)</t>
        </is>
      </c>
      <c r="O322" s="95" t="inlineStr">
        <is>
          <t>iSelect Tactical Asset Allocation TDF 2040 PR Index</t>
        </is>
      </c>
      <c r="P322" s="95" t="inlineStr">
        <is>
          <t>일반</t>
        </is>
      </c>
      <c r="Q322" s="95" t="inlineStr">
        <is>
          <t>멀티에셋</t>
        </is>
      </c>
      <c r="R322" s="95" t="inlineStr">
        <is>
          <t>연배당</t>
        </is>
      </c>
      <c r="S322" s="96" t="n">
        <v>2</v>
      </c>
      <c r="T322">
        <f>IF(AND($J322&lt;&gt;"",OR(조회_주기="전체",$R322=조회_주기),$J322&gt;=조회_최소,$J322&lt;=조회_최대),1,0)</f>
        <v/>
      </c>
      <c r="U322">
        <f>IF($T322=1,$U321+1,$U321)</f>
        <v/>
      </c>
      <c r="V322">
        <f>IF(검색어="",1,IF(ISNUMBER(SEARCH(검색어,$A322)),1,0))</f>
        <v/>
      </c>
      <c r="W322">
        <f>IF($V322=1,$W321+1,$W321)</f>
        <v/>
      </c>
      <c r="X322">
        <f>IFERROR(INDEX($A$4:$A$517,MATCH(319,$W$4:$W$517,0)),"")</f>
        <v/>
      </c>
    </row>
    <row r="323">
      <c r="A323" s="95" t="inlineStr">
        <is>
          <t>SOL 미국S&amp;P500엔화노출(H)</t>
        </is>
      </c>
      <c r="B323" s="95" t="inlineStr">
        <is>
          <t>499150</t>
        </is>
      </c>
      <c r="C323" s="95" t="inlineStr">
        <is>
          <t>신한자산운용</t>
        </is>
      </c>
      <c r="D323" s="96" t="n">
        <v>10930</v>
      </c>
      <c r="E323" s="96" t="n">
        <v>5465000000</v>
      </c>
      <c r="F323" s="96" t="n">
        <v>22341056</v>
      </c>
      <c r="G323" s="97" t="n">
        <v>0.0015</v>
      </c>
      <c r="H323" s="97" t="n">
        <v>0.153</v>
      </c>
      <c r="I323" s="97" t="n">
        <v>0.0009</v>
      </c>
      <c r="J323" s="97" t="n">
        <v>0.010887</v>
      </c>
      <c r="K323" s="96" t="n">
        <v>20</v>
      </c>
      <c r="L323" s="95" t="inlineStr">
        <is>
          <t>20260828</t>
        </is>
      </c>
      <c r="M323" s="95" t="inlineStr">
        <is>
          <t>제외</t>
        </is>
      </c>
      <c r="N323" s="95" t="inlineStr">
        <is>
          <t>순자산 55억(기준 300억 미만), 60일 거래대금 0.2억(기준 5억 미만)</t>
        </is>
      </c>
      <c r="O323" s="95" t="inlineStr">
        <is>
          <t>S&amp;P 500 YEN Hdg</t>
        </is>
      </c>
      <c r="P323" s="95" t="inlineStr">
        <is>
          <t>일반</t>
        </is>
      </c>
      <c r="Q323" s="95" t="inlineStr">
        <is>
          <t>주식</t>
        </is>
      </c>
      <c r="R323" s="95" t="inlineStr">
        <is>
          <t>월배당</t>
        </is>
      </c>
      <c r="S323" s="96" t="n">
        <v>11</v>
      </c>
      <c r="T323">
        <f>IF(AND($J323&lt;&gt;"",OR(조회_주기="전체",$R323=조회_주기),$J323&gt;=조회_최소,$J323&lt;=조회_최대),1,0)</f>
        <v/>
      </c>
      <c r="U323">
        <f>IF($T323=1,$U322+1,$U322)</f>
        <v/>
      </c>
      <c r="V323">
        <f>IF(검색어="",1,IF(ISNUMBER(SEARCH(검색어,$A323)),1,0))</f>
        <v/>
      </c>
      <c r="W323">
        <f>IF($V323=1,$W322+1,$W322)</f>
        <v/>
      </c>
      <c r="X323">
        <f>IFERROR(INDEX($A$4:$A$517,MATCH(320,$W$4:$W$517,0)),"")</f>
        <v/>
      </c>
    </row>
    <row r="324">
      <c r="A324" s="95" t="inlineStr">
        <is>
          <t>TIGER 27-04회사채(A+이상)액티브</t>
        </is>
      </c>
      <c r="B324" s="95" t="inlineStr">
        <is>
          <t>480260</t>
        </is>
      </c>
      <c r="C324" s="95" t="inlineStr">
        <is>
          <t>미래에셋자산운용</t>
        </is>
      </c>
      <c r="D324" s="96" t="n">
        <v>53855</v>
      </c>
      <c r="E324" s="96" t="n">
        <v>397126770000</v>
      </c>
      <c r="F324" s="96" t="n">
        <v>435316018</v>
      </c>
      <c r="G324" s="97" t="n">
        <v>0.001</v>
      </c>
      <c r="H324" s="97" t="n">
        <v>0.0127</v>
      </c>
      <c r="I324" s="97" t="n">
        <v>0.0108</v>
      </c>
      <c r="J324" s="97" t="n">
        <v>0.010788</v>
      </c>
      <c r="K324" s="96" t="n">
        <v>1</v>
      </c>
      <c r="L324" s="95" t="inlineStr">
        <is>
          <t>20251127</t>
        </is>
      </c>
      <c r="M324" s="95" t="inlineStr">
        <is>
          <t>제외</t>
        </is>
      </c>
      <c r="N324" s="95" t="inlineStr">
        <is>
          <t>60일 거래대금 4.4억(기준 5억 미만)</t>
        </is>
      </c>
      <c r="O324" s="95" t="inlineStr">
        <is>
          <t>KIS 회사채 2704만기형 지수</t>
        </is>
      </c>
      <c r="P324" s="95" t="inlineStr">
        <is>
          <t>일반</t>
        </is>
      </c>
      <c r="Q324" s="95" t="inlineStr">
        <is>
          <t>채권</t>
        </is>
      </c>
      <c r="R324" s="95" t="inlineStr">
        <is>
          <t>연배당</t>
        </is>
      </c>
      <c r="S324" s="96" t="n">
        <v>1</v>
      </c>
      <c r="T324">
        <f>IF(AND($J324&lt;&gt;"",OR(조회_주기="전체",$R324=조회_주기),$J324&gt;=조회_최소,$J324&lt;=조회_최대),1,0)</f>
        <v/>
      </c>
      <c r="U324">
        <f>IF($T324=1,$U323+1,$U323)</f>
        <v/>
      </c>
      <c r="V324">
        <f>IF(검색어="",1,IF(ISNUMBER(SEARCH(검색어,$A324)),1,0))</f>
        <v/>
      </c>
      <c r="W324">
        <f>IF($V324=1,$W323+1,$W323)</f>
        <v/>
      </c>
      <c r="X324">
        <f>IFERROR(INDEX($A$4:$A$517,MATCH(321,$W$4:$W$517,0)),"")</f>
        <v/>
      </c>
    </row>
    <row r="325">
      <c r="A325" s="95" t="inlineStr">
        <is>
          <t>TIGER 골드선물(H)</t>
        </is>
      </c>
      <c r="B325" s="95" t="inlineStr">
        <is>
          <t>319640</t>
        </is>
      </c>
      <c r="C325" s="95" t="inlineStr">
        <is>
          <t>미래에셋자산운용</t>
        </is>
      </c>
      <c r="D325" s="96" t="n">
        <v>25300</v>
      </c>
      <c r="E325" s="96" t="n">
        <v>116380000000</v>
      </c>
      <c r="F325" s="96" t="n">
        <v>470957495</v>
      </c>
      <c r="G325" s="97" t="n">
        <v>0.0039</v>
      </c>
      <c r="H325" s="97" t="n">
        <v>0.2885</v>
      </c>
      <c r="I325" s="97" t="n">
        <v>0.0098</v>
      </c>
      <c r="J325" s="97" t="n">
        <v>0.010751</v>
      </c>
      <c r="K325" s="96" t="n">
        <v>1</v>
      </c>
      <c r="L325" s="95" t="inlineStr">
        <is>
          <t>20251229</t>
        </is>
      </c>
      <c r="M325" s="95" t="inlineStr">
        <is>
          <t>제외</t>
        </is>
      </c>
      <c r="N325" s="95" t="inlineStr">
        <is>
          <t>60일 거래대금 4.7억(기준 5억 미만)</t>
        </is>
      </c>
      <c r="O325" s="95" t="inlineStr">
        <is>
          <t>S&amp;P GSCI Gold Index TR CME</t>
        </is>
      </c>
      <c r="P325" s="95" t="inlineStr">
        <is>
          <t>일반</t>
        </is>
      </c>
      <c r="Q325" s="95" t="inlineStr">
        <is>
          <t>원자재</t>
        </is>
      </c>
      <c r="R325" s="95" t="inlineStr">
        <is>
          <t>연배당</t>
        </is>
      </c>
      <c r="S325" s="96" t="n">
        <v>1</v>
      </c>
      <c r="T325">
        <f>IF(AND($J325&lt;&gt;"",OR(조회_주기="전체",$R325=조회_주기),$J325&gt;=조회_최소,$J325&lt;=조회_최대),1,0)</f>
        <v/>
      </c>
      <c r="U325">
        <f>IF($T325=1,$U324+1,$U324)</f>
        <v/>
      </c>
      <c r="V325">
        <f>IF(검색어="",1,IF(ISNUMBER(SEARCH(검색어,$A325)),1,0))</f>
        <v/>
      </c>
      <c r="W325">
        <f>IF($V325=1,$W324+1,$W324)</f>
        <v/>
      </c>
      <c r="X325">
        <f>IFERROR(INDEX($A$4:$A$517,MATCH(322,$W$4:$W$517,0)),"")</f>
        <v/>
      </c>
    </row>
    <row r="326">
      <c r="A326" s="95" t="inlineStr">
        <is>
          <t>PLUS 미국나스닥100미국채혼합50</t>
        </is>
      </c>
      <c r="B326" s="95" t="inlineStr">
        <is>
          <t>0089B0</t>
        </is>
      </c>
      <c r="C326" s="95" t="inlineStr">
        <is>
          <t>한화자산운용</t>
        </is>
      </c>
      <c r="D326" s="96" t="n">
        <v>11160</v>
      </c>
      <c r="E326" s="96" t="n">
        <v>33480000000</v>
      </c>
      <c r="F326" s="96" t="n">
        <v>433227479</v>
      </c>
      <c r="G326" s="97" t="n">
        <v>0.0015</v>
      </c>
      <c r="H326" s="97" t="n">
        <v>0.13</v>
      </c>
      <c r="I326" s="97" t="n">
        <v>0.0009</v>
      </c>
      <c r="J326" s="97" t="n">
        <v>0.010573</v>
      </c>
      <c r="K326" s="96" t="n">
        <v>9</v>
      </c>
      <c r="L326" s="95" t="inlineStr">
        <is>
          <t>20260828</t>
        </is>
      </c>
      <c r="M326" s="95" t="inlineStr">
        <is>
          <t>제외</t>
        </is>
      </c>
      <c r="N326" s="95" t="inlineStr">
        <is>
          <t>60일 거래대금 4.3억(기준 5억 미만)</t>
        </is>
      </c>
      <c r="O326" s="95" t="inlineStr">
        <is>
          <t>Nasdaq-100 US T-Bills 1-3 Month 50/50 Index</t>
        </is>
      </c>
      <c r="P326" s="95" t="inlineStr">
        <is>
          <t>일반</t>
        </is>
      </c>
      <c r="Q326" s="95" t="inlineStr">
        <is>
          <t>멀티에셋</t>
        </is>
      </c>
      <c r="R326" s="95" t="inlineStr">
        <is>
          <t>비정기</t>
        </is>
      </c>
      <c r="S326" s="96" t="n">
        <v>9</v>
      </c>
      <c r="T326">
        <f>IF(AND($J326&lt;&gt;"",OR(조회_주기="전체",$R326=조회_주기),$J326&gt;=조회_최소,$J326&lt;=조회_최대),1,0)</f>
        <v/>
      </c>
      <c r="U326">
        <f>IF($T326=1,$U325+1,$U325)</f>
        <v/>
      </c>
      <c r="V326">
        <f>IF(검색어="",1,IF(ISNUMBER(SEARCH(검색어,$A326)),1,0))</f>
        <v/>
      </c>
      <c r="W326">
        <f>IF($V326=1,$W325+1,$W325)</f>
        <v/>
      </c>
      <c r="X326">
        <f>IFERROR(INDEX($A$4:$A$517,MATCH(323,$W$4:$W$517,0)),"")</f>
        <v/>
      </c>
    </row>
    <row r="327">
      <c r="A327" s="95" t="inlineStr">
        <is>
          <t>HK 200</t>
        </is>
      </c>
      <c r="B327" s="95" t="inlineStr">
        <is>
          <t>491700</t>
        </is>
      </c>
      <c r="C327" s="95" t="inlineStr">
        <is>
          <t>흥국자산운용</t>
        </is>
      </c>
      <c r="D327" s="96" t="n">
        <v>107280</v>
      </c>
      <c r="E327" s="96" t="n">
        <v>64368000000</v>
      </c>
      <c r="F327" s="96" t="n">
        <v>288115118</v>
      </c>
      <c r="G327" s="97" t="n">
        <v>0.0005</v>
      </c>
      <c r="H327" s="97" t="n">
        <v>0.5844</v>
      </c>
      <c r="I327" s="97" t="n">
        <v>0.0067</v>
      </c>
      <c r="J327" s="97" t="n">
        <v>0.010468</v>
      </c>
      <c r="K327" s="96" t="n">
        <v>3</v>
      </c>
      <c r="L327" s="95" t="inlineStr">
        <is>
          <t>20260429</t>
        </is>
      </c>
      <c r="M327" s="95" t="inlineStr">
        <is>
          <t>제외</t>
        </is>
      </c>
      <c r="N327" s="95" t="inlineStr">
        <is>
          <t>60일 거래대금 2.9억(기준 5억 미만), 변동성 58.4%(1년 기준, 기준 35% 초과)</t>
        </is>
      </c>
      <c r="O327" s="95" t="inlineStr">
        <is>
          <t>KOSPI 200</t>
        </is>
      </c>
      <c r="P327" s="95" t="inlineStr">
        <is>
          <t>일반</t>
        </is>
      </c>
      <c r="Q327" s="95" t="inlineStr">
        <is>
          <t>주식</t>
        </is>
      </c>
      <c r="R327" s="95" t="inlineStr">
        <is>
          <t>연배당</t>
        </is>
      </c>
      <c r="S327" s="96" t="n">
        <v>2</v>
      </c>
      <c r="T327">
        <f>IF(AND($J327&lt;&gt;"",OR(조회_주기="전체",$R327=조회_주기),$J327&gt;=조회_최소,$J327&lt;=조회_최대),1,0)</f>
        <v/>
      </c>
      <c r="U327">
        <f>IF($T327=1,$U326+1,$U326)</f>
        <v/>
      </c>
      <c r="V327">
        <f>IF(검색어="",1,IF(ISNUMBER(SEARCH(검색어,$A327)),1,0))</f>
        <v/>
      </c>
      <c r="W327">
        <f>IF($V327=1,$W326+1,$W326)</f>
        <v/>
      </c>
      <c r="X327">
        <f>IFERROR(INDEX($A$4:$A$517,MATCH(324,$W$4:$W$517,0)),"")</f>
        <v/>
      </c>
    </row>
    <row r="328">
      <c r="A328" s="95" t="inlineStr">
        <is>
          <t>TIGER 중장기국채</t>
        </is>
      </c>
      <c r="B328" s="95" t="inlineStr">
        <is>
          <t>302190</t>
        </is>
      </c>
      <c r="C328" s="95" t="inlineStr">
        <is>
          <t>미래에셋자산운용</t>
        </is>
      </c>
      <c r="D328" s="96" t="n">
        <v>49665</v>
      </c>
      <c r="E328" s="96" t="n">
        <v>191706900000</v>
      </c>
      <c r="F328" s="96" t="n">
        <v>335134131</v>
      </c>
      <c r="G328" s="97" t="n">
        <v>0.0015</v>
      </c>
      <c r="H328" s="97" t="n">
        <v>0.0428</v>
      </c>
      <c r="I328" s="97" t="n">
        <v>0.009899999999999999</v>
      </c>
      <c r="J328" s="97" t="n">
        <v>0.010369</v>
      </c>
      <c r="K328" s="96" t="n">
        <v>5</v>
      </c>
      <c r="L328" s="95" t="inlineStr">
        <is>
          <t>20251127</t>
        </is>
      </c>
      <c r="M328" s="95" t="inlineStr">
        <is>
          <t>제외</t>
        </is>
      </c>
      <c r="N328" s="95" t="inlineStr">
        <is>
          <t>60일 거래대금 3.4억(기준 5억 미만)</t>
        </is>
      </c>
      <c r="O328" s="95" t="inlineStr">
        <is>
          <t>KIS 3Y10Y KTB</t>
        </is>
      </c>
      <c r="P328" s="95" t="inlineStr">
        <is>
          <t>일반</t>
        </is>
      </c>
      <c r="Q328" s="95" t="inlineStr">
        <is>
          <t>채권</t>
        </is>
      </c>
      <c r="R328" s="95" t="inlineStr">
        <is>
          <t>연배당</t>
        </is>
      </c>
      <c r="S328" s="96" t="n">
        <v>1</v>
      </c>
      <c r="T328">
        <f>IF(AND($J328&lt;&gt;"",OR(조회_주기="전체",$R328=조회_주기),$J328&gt;=조회_최소,$J328&lt;=조회_최대),1,0)</f>
        <v/>
      </c>
      <c r="U328">
        <f>IF($T328=1,$U327+1,$U327)</f>
        <v/>
      </c>
      <c r="V328">
        <f>IF(검색어="",1,IF(ISNUMBER(SEARCH(검색어,$A328)),1,0))</f>
        <v/>
      </c>
      <c r="W328">
        <f>IF($V328=1,$W327+1,$W327)</f>
        <v/>
      </c>
      <c r="X328">
        <f>IFERROR(INDEX($A$4:$A$517,MATCH(325,$W$4:$W$517,0)),"")</f>
        <v/>
      </c>
    </row>
    <row r="329">
      <c r="A329" s="95" t="inlineStr">
        <is>
          <t>KODEX 삼성그룹밸류</t>
        </is>
      </c>
      <c r="B329" s="95" t="inlineStr">
        <is>
          <t>213610</t>
        </is>
      </c>
      <c r="C329" s="95" t="inlineStr">
        <is>
          <t>삼성자산운용(ETF)</t>
        </is>
      </c>
      <c r="D329" s="96" t="n">
        <v>21800</v>
      </c>
      <c r="E329" s="96" t="n">
        <v>259420000000</v>
      </c>
      <c r="F329" s="96" t="n">
        <v>604011965</v>
      </c>
      <c r="G329" s="97" t="n">
        <v>0.0009</v>
      </c>
      <c r="H329" s="97" t="n">
        <v>0.4593</v>
      </c>
      <c r="I329" s="97" t="n">
        <v>0.0002</v>
      </c>
      <c r="J329" s="97" t="n">
        <v>0.010275</v>
      </c>
      <c r="K329" s="96" t="n">
        <v>6</v>
      </c>
      <c r="L329" s="95" t="inlineStr">
        <is>
          <t>20260730</t>
        </is>
      </c>
      <c r="M329" s="95" t="inlineStr">
        <is>
          <t>제외</t>
        </is>
      </c>
      <c r="N329" s="95" t="inlineStr">
        <is>
          <t>변동성 45.9%(1년 기준, 기준 35% 초과)</t>
        </is>
      </c>
      <c r="O329" s="95" t="inlineStr">
        <is>
          <t>WISE 삼성그룹밸류인덱스</t>
        </is>
      </c>
      <c r="P329" s="95" t="inlineStr">
        <is>
          <t>일반</t>
        </is>
      </c>
      <c r="Q329" s="95" t="inlineStr">
        <is>
          <t>주식</t>
        </is>
      </c>
      <c r="R329" s="95" t="inlineStr">
        <is>
          <t>연배당</t>
        </is>
      </c>
      <c r="S329" s="96" t="n">
        <v>2</v>
      </c>
      <c r="T329">
        <f>IF(AND($J329&lt;&gt;"",OR(조회_주기="전체",$R329=조회_주기),$J329&gt;=조회_최소,$J329&lt;=조회_최대),1,0)</f>
        <v/>
      </c>
      <c r="U329">
        <f>IF($T329=1,$U328+1,$U328)</f>
        <v/>
      </c>
      <c r="V329">
        <f>IF(검색어="",1,IF(ISNUMBER(SEARCH(검색어,$A329)),1,0))</f>
        <v/>
      </c>
      <c r="W329">
        <f>IF($V329=1,$W328+1,$W328)</f>
        <v/>
      </c>
      <c r="X329">
        <f>IFERROR(INDEX($A$4:$A$517,MATCH(326,$W$4:$W$517,0)),"")</f>
        <v/>
      </c>
    </row>
    <row r="330">
      <c r="A330" s="95" t="inlineStr">
        <is>
          <t>TIGER 미국S&amp;P500선물(H)</t>
        </is>
      </c>
      <c r="B330" s="95" t="inlineStr">
        <is>
          <t>143850</t>
        </is>
      </c>
      <c r="C330" s="95" t="inlineStr">
        <is>
          <t>미래에셋자산운용</t>
        </is>
      </c>
      <c r="D330" s="96" t="n">
        <v>76500</v>
      </c>
      <c r="E330" s="96" t="n">
        <v>89887500000</v>
      </c>
      <c r="F330" s="96" t="n">
        <v>297782727</v>
      </c>
      <c r="G330" s="97" t="n">
        <v>0.003</v>
      </c>
      <c r="H330" s="97" t="n">
        <v>0.1269</v>
      </c>
      <c r="I330" s="97" t="n">
        <v>0.0109</v>
      </c>
      <c r="J330" s="97" t="n">
        <v>0.010261</v>
      </c>
      <c r="K330" s="96" t="n">
        <v>1</v>
      </c>
      <c r="L330" s="95" t="inlineStr">
        <is>
          <t>20251229</t>
        </is>
      </c>
      <c r="M330" s="95" t="inlineStr">
        <is>
          <t>제외</t>
        </is>
      </c>
      <c r="N330" s="95" t="inlineStr">
        <is>
          <t>60일 거래대금 3.0억(기준 5억 미만)</t>
        </is>
      </c>
      <c r="O330" s="95" t="inlineStr">
        <is>
          <t>S&amp;P 500 Futures Index</t>
        </is>
      </c>
      <c r="P330" s="95" t="inlineStr">
        <is>
          <t>일반</t>
        </is>
      </c>
      <c r="Q330" s="95" t="inlineStr">
        <is>
          <t>주식</t>
        </is>
      </c>
      <c r="R330" s="95" t="inlineStr">
        <is>
          <t>연배당</t>
        </is>
      </c>
      <c r="S330" s="96" t="n">
        <v>1</v>
      </c>
      <c r="T330">
        <f>IF(AND($J330&lt;&gt;"",OR(조회_주기="전체",$R330=조회_주기),$J330&gt;=조회_최소,$J330&lt;=조회_최대),1,0)</f>
        <v/>
      </c>
      <c r="U330">
        <f>IF($T330=1,$U329+1,$U329)</f>
        <v/>
      </c>
      <c r="V330">
        <f>IF(검색어="",1,IF(ISNUMBER(SEARCH(검색어,$A330)),1,0))</f>
        <v/>
      </c>
      <c r="W330">
        <f>IF($V330=1,$W329+1,$W329)</f>
        <v/>
      </c>
      <c r="X330">
        <f>IFERROR(INDEX($A$4:$A$517,MATCH(327,$W$4:$W$517,0)),"")</f>
        <v/>
      </c>
    </row>
    <row r="331">
      <c r="A331" s="95" t="inlineStr">
        <is>
          <t>RISE 미국S&amp;P500(H)</t>
        </is>
      </c>
      <c r="B331" s="95" t="inlineStr">
        <is>
          <t>453330</t>
        </is>
      </c>
      <c r="C331" s="95" t="inlineStr">
        <is>
          <t>KB자산운용</t>
        </is>
      </c>
      <c r="D331" s="96" t="n">
        <v>17980</v>
      </c>
      <c r="E331" s="96" t="n">
        <v>82708000000</v>
      </c>
      <c r="F331" s="96" t="n">
        <v>464585277</v>
      </c>
      <c r="G331" s="97" t="n">
        <v>4.7e-05</v>
      </c>
      <c r="H331" s="97" t="n">
        <v>0.1304</v>
      </c>
      <c r="I331" s="97" t="n">
        <v>0.0008</v>
      </c>
      <c r="J331" s="97" t="n">
        <v>0.010178</v>
      </c>
      <c r="K331" s="96" t="n">
        <v>41</v>
      </c>
      <c r="L331" s="95" t="inlineStr">
        <is>
          <t>20260828</t>
        </is>
      </c>
      <c r="M331" s="95" t="inlineStr">
        <is>
          <t>제외</t>
        </is>
      </c>
      <c r="N331" s="95" t="inlineStr">
        <is>
          <t>60일 거래대금 4.6억(기준 5억 미만)</t>
        </is>
      </c>
      <c r="O331" s="95" t="inlineStr">
        <is>
          <t>S&amp;P 500</t>
        </is>
      </c>
      <c r="P331" s="95" t="inlineStr">
        <is>
          <t>일반</t>
        </is>
      </c>
      <c r="Q331" s="95" t="inlineStr">
        <is>
          <t>주식</t>
        </is>
      </c>
      <c r="R331" s="95" t="inlineStr">
        <is>
          <t>월배당</t>
        </is>
      </c>
      <c r="S331" s="96" t="n">
        <v>11</v>
      </c>
      <c r="T331">
        <f>IF(AND($J331&lt;&gt;"",OR(조회_주기="전체",$R331=조회_주기),$J331&gt;=조회_최소,$J331&lt;=조회_최대),1,0)</f>
        <v/>
      </c>
      <c r="U331">
        <f>IF($T331=1,$U330+1,$U330)</f>
        <v/>
      </c>
      <c r="V331">
        <f>IF(검색어="",1,IF(ISNUMBER(SEARCH(검색어,$A331)),1,0))</f>
        <v/>
      </c>
      <c r="W331">
        <f>IF($V331=1,$W330+1,$W330)</f>
        <v/>
      </c>
      <c r="X331">
        <f>IFERROR(INDEX($A$4:$A$517,MATCH(328,$W$4:$W$517,0)),"")</f>
        <v/>
      </c>
    </row>
    <row r="332">
      <c r="A332" s="95" t="inlineStr">
        <is>
          <t>HANARO 코리아밸류업</t>
        </is>
      </c>
      <c r="B332" s="95" t="inlineStr">
        <is>
          <t>495750</t>
        </is>
      </c>
      <c r="C332" s="95" t="inlineStr">
        <is>
          <t>NH-Amundi자산운용</t>
        </is>
      </c>
      <c r="D332" s="96" t="n">
        <v>31500</v>
      </c>
      <c r="E332" s="96" t="n">
        <v>77175000000</v>
      </c>
      <c r="F332" s="96" t="n">
        <v>89718672</v>
      </c>
      <c r="G332" s="97" t="n">
        <v>8.000000000000001e-05</v>
      </c>
      <c r="H332" s="97" t="n">
        <v>0.5236</v>
      </c>
      <c r="I332" s="97" t="n">
        <v>0.0031</v>
      </c>
      <c r="J332" s="97" t="n">
        <v>0.010159</v>
      </c>
      <c r="K332" s="96" t="n">
        <v>6</v>
      </c>
      <c r="L332" s="95" t="inlineStr">
        <is>
          <t>20260730</t>
        </is>
      </c>
      <c r="M332" s="95" t="inlineStr">
        <is>
          <t>제외</t>
        </is>
      </c>
      <c r="N332" s="95" t="inlineStr">
        <is>
          <t>60일 거래대금 0.9억(기준 5억 미만), 변동성 52.4%(1년 기준, 기준 35% 초과)</t>
        </is>
      </c>
      <c r="O332" s="95" t="inlineStr">
        <is>
          <t>코리아 밸류업 지수</t>
        </is>
      </c>
      <c r="P332" s="95" t="inlineStr">
        <is>
          <t>일반</t>
        </is>
      </c>
      <c r="Q332" s="95" t="inlineStr">
        <is>
          <t>주식</t>
        </is>
      </c>
      <c r="R332" s="95" t="inlineStr">
        <is>
          <t>분기배당</t>
        </is>
      </c>
      <c r="S332" s="96" t="n">
        <v>4</v>
      </c>
      <c r="T332">
        <f>IF(AND($J332&lt;&gt;"",OR(조회_주기="전체",$R332=조회_주기),$J332&gt;=조회_최소,$J332&lt;=조회_최대),1,0)</f>
        <v/>
      </c>
      <c r="U332">
        <f>IF($T332=1,$U331+1,$U331)</f>
        <v/>
      </c>
      <c r="V332">
        <f>IF(검색어="",1,IF(ISNUMBER(SEARCH(검색어,$A332)),1,0))</f>
        <v/>
      </c>
      <c r="W332">
        <f>IF($V332=1,$W331+1,$W331)</f>
        <v/>
      </c>
      <c r="X332">
        <f>IFERROR(INDEX($A$4:$A$517,MATCH(329,$W$4:$W$517,0)),"")</f>
        <v/>
      </c>
    </row>
    <row r="333">
      <c r="A333" s="95" t="inlineStr">
        <is>
          <t>PLUS 코리아밸류업</t>
        </is>
      </c>
      <c r="B333" s="95" t="inlineStr">
        <is>
          <t>495040</t>
        </is>
      </c>
      <c r="C333" s="95" t="inlineStr">
        <is>
          <t>한화자산운용</t>
        </is>
      </c>
      <c r="D333" s="96" t="n">
        <v>31230</v>
      </c>
      <c r="E333" s="96" t="n">
        <v>84321000000</v>
      </c>
      <c r="F333" s="96" t="n">
        <v>190157473</v>
      </c>
      <c r="G333" s="97" t="n">
        <v>8.999999999999999e-05</v>
      </c>
      <c r="H333" s="97" t="n">
        <v>0.5236999999999999</v>
      </c>
      <c r="I333" s="97" t="n">
        <v>0.0014</v>
      </c>
      <c r="J333" s="97" t="n">
        <v>0.010086</v>
      </c>
      <c r="K333" s="96" t="n">
        <v>21</v>
      </c>
      <c r="L333" s="95" t="inlineStr">
        <is>
          <t>20260914</t>
        </is>
      </c>
      <c r="M333" s="95" t="inlineStr">
        <is>
          <t>제외</t>
        </is>
      </c>
      <c r="N333" s="95" t="inlineStr">
        <is>
          <t>60일 거래대금 1.9억(기준 5억 미만), 변동성 52.4%(1년 기준, 기준 35% 초과)</t>
        </is>
      </c>
      <c r="O333" s="95" t="inlineStr">
        <is>
          <t>코리아 밸류업 지수</t>
        </is>
      </c>
      <c r="P333" s="95" t="inlineStr">
        <is>
          <t>일반</t>
        </is>
      </c>
      <c r="Q333" s="95" t="inlineStr">
        <is>
          <t>주식</t>
        </is>
      </c>
      <c r="R333" s="95" t="inlineStr">
        <is>
          <t>월배당</t>
        </is>
      </c>
      <c r="S333" s="96" t="n">
        <v>12</v>
      </c>
      <c r="T333">
        <f>IF(AND($J333&lt;&gt;"",OR(조회_주기="전체",$R333=조회_주기),$J333&gt;=조회_최소,$J333&lt;=조회_최대),1,0)</f>
        <v/>
      </c>
      <c r="U333">
        <f>IF($T333=1,$U332+1,$U332)</f>
        <v/>
      </c>
      <c r="V333">
        <f>IF(검색어="",1,IF(ISNUMBER(SEARCH(검색어,$A333)),1,0))</f>
        <v/>
      </c>
      <c r="W333">
        <f>IF($V333=1,$W332+1,$W332)</f>
        <v/>
      </c>
      <c r="X333">
        <f>IFERROR(INDEX($A$4:$A$517,MATCH(330,$W$4:$W$517,0)),"")</f>
        <v/>
      </c>
    </row>
    <row r="334">
      <c r="A334" s="95" t="inlineStr">
        <is>
          <t>KIWOOM 200</t>
        </is>
      </c>
      <c r="B334" s="95" t="inlineStr">
        <is>
          <t>069660</t>
        </is>
      </c>
      <c r="C334" s="95" t="inlineStr">
        <is>
          <t>키움투자자산운용</t>
        </is>
      </c>
      <c r="D334" s="96" t="n">
        <v>106295</v>
      </c>
      <c r="E334" s="96" t="n">
        <v>754694500000</v>
      </c>
      <c r="F334" s="96" t="n">
        <v>20472964270</v>
      </c>
      <c r="G334" s="97" t="n">
        <v>0.0005</v>
      </c>
      <c r="H334" s="97" t="n">
        <v>0.5832000000000001</v>
      </c>
      <c r="I334" s="97" t="n">
        <v>0.0015</v>
      </c>
      <c r="J334" s="97" t="n">
        <v>0.010066</v>
      </c>
      <c r="K334" s="96" t="n">
        <v>12</v>
      </c>
      <c r="L334" s="95" t="inlineStr">
        <is>
          <t>20260730</t>
        </is>
      </c>
      <c r="M334" s="95" t="inlineStr">
        <is>
          <t>제외</t>
        </is>
      </c>
      <c r="N334" s="95" t="inlineStr">
        <is>
          <t>변동성 58.3%(1년 기준, 기준 35% 초과)</t>
        </is>
      </c>
      <c r="O334" s="95" t="inlineStr">
        <is>
          <t>KOSPI 200</t>
        </is>
      </c>
      <c r="P334" s="95" t="inlineStr">
        <is>
          <t>일반</t>
        </is>
      </c>
      <c r="Q334" s="95" t="inlineStr">
        <is>
          <t>주식</t>
        </is>
      </c>
      <c r="R334" s="95" t="inlineStr">
        <is>
          <t>분기배당</t>
        </is>
      </c>
      <c r="S334" s="96" t="n">
        <v>4</v>
      </c>
      <c r="T334">
        <f>IF(AND($J334&lt;&gt;"",OR(조회_주기="전체",$R334=조회_주기),$J334&gt;=조회_최소,$J334&lt;=조회_최대),1,0)</f>
        <v/>
      </c>
      <c r="U334">
        <f>IF($T334=1,$U333+1,$U333)</f>
        <v/>
      </c>
      <c r="V334">
        <f>IF(검색어="",1,IF(ISNUMBER(SEARCH(검색어,$A334)),1,0))</f>
        <v/>
      </c>
      <c r="W334">
        <f>IF($V334=1,$W333+1,$W333)</f>
        <v/>
      </c>
      <c r="X334">
        <f>IFERROR(INDEX($A$4:$A$517,MATCH(331,$W$4:$W$517,0)),"")</f>
        <v/>
      </c>
    </row>
    <row r="335">
      <c r="A335" s="95" t="inlineStr">
        <is>
          <t>TIGER 미국나스닥100레버리지(합성)</t>
        </is>
      </c>
      <c r="B335" s="95" t="inlineStr">
        <is>
          <t>418660</t>
        </is>
      </c>
      <c r="C335" s="95" t="inlineStr">
        <is>
          <t>미래에셋자산운용</t>
        </is>
      </c>
      <c r="D335" s="96" t="n">
        <v>39060</v>
      </c>
      <c r="E335" s="96" t="n">
        <v>675738000000</v>
      </c>
      <c r="F335" s="96" t="n">
        <v>12938373505</v>
      </c>
      <c r="G335" s="97" t="n">
        <v>0.0025</v>
      </c>
      <c r="H335" s="97" t="n">
        <v>0.4121</v>
      </c>
      <c r="I335" s="97" t="n">
        <v>0.0107</v>
      </c>
      <c r="J335" s="97" t="n">
        <v>0.009729</v>
      </c>
      <c r="K335" s="96" t="n">
        <v>1</v>
      </c>
      <c r="L335" s="95" t="inlineStr">
        <is>
          <t>20251229</t>
        </is>
      </c>
      <c r="M335" s="95" t="inlineStr">
        <is>
          <t>제외</t>
        </is>
      </c>
      <c r="N335" s="95" t="inlineStr">
        <is>
          <t>변동성 41.2%(1년 기준, 기준 35% 초과)</t>
        </is>
      </c>
      <c r="O335" s="95" t="inlineStr">
        <is>
          <t>나스닥 100</t>
        </is>
      </c>
      <c r="P335" s="95" t="inlineStr">
        <is>
          <t>일반</t>
        </is>
      </c>
      <c r="Q335" s="95" t="inlineStr">
        <is>
          <t>주식</t>
        </is>
      </c>
      <c r="R335" s="95" t="inlineStr">
        <is>
          <t>연배당</t>
        </is>
      </c>
      <c r="S335" s="96" t="n">
        <v>1</v>
      </c>
      <c r="T335">
        <f>IF(AND($J335&lt;&gt;"",OR(조회_주기="전체",$R335=조회_주기),$J335&gt;=조회_최소,$J335&lt;=조회_최대),1,0)</f>
        <v/>
      </c>
      <c r="U335">
        <f>IF($T335=1,$U334+1,$U334)</f>
        <v/>
      </c>
      <c r="V335">
        <f>IF(검색어="",1,IF(ISNUMBER(SEARCH(검색어,$A335)),1,0))</f>
        <v/>
      </c>
      <c r="W335">
        <f>IF($V335=1,$W334+1,$W334)</f>
        <v/>
      </c>
      <c r="X335">
        <f>IFERROR(INDEX($A$4:$A$517,MATCH(332,$W$4:$W$517,0)),"")</f>
        <v/>
      </c>
    </row>
    <row r="336">
      <c r="A336" s="95" t="inlineStr">
        <is>
          <t>TIGER 차이나CSI300레버리지(합성)</t>
        </is>
      </c>
      <c r="B336" s="95" t="inlineStr">
        <is>
          <t>204480</t>
        </is>
      </c>
      <c r="C336" s="95" t="inlineStr">
        <is>
          <t>미래에셋자산운용</t>
        </is>
      </c>
      <c r="D336" s="96" t="n">
        <v>22950</v>
      </c>
      <c r="E336" s="96" t="n">
        <v>85374000000</v>
      </c>
      <c r="F336" s="96" t="n">
        <v>129911473</v>
      </c>
      <c r="G336" s="97" t="n">
        <v>0.0058</v>
      </c>
      <c r="H336" s="97" t="n">
        <v>0.4544</v>
      </c>
      <c r="I336" s="97" t="n">
        <v>0.008100000000000001</v>
      </c>
      <c r="J336" s="97" t="n">
        <v>0.009586000000000001</v>
      </c>
      <c r="K336" s="96" t="n">
        <v>1</v>
      </c>
      <c r="L336" s="95" t="inlineStr">
        <is>
          <t>20251229</t>
        </is>
      </c>
      <c r="M336" s="95" t="inlineStr">
        <is>
          <t>제외</t>
        </is>
      </c>
      <c r="N336" s="95" t="inlineStr">
        <is>
          <t>60일 거래대금 1.3억(기준 5억 미만), 변동성 45.4%(1년 기준, 기준 35% 초과)</t>
        </is>
      </c>
      <c r="O336" s="95" t="inlineStr">
        <is>
          <t>CSI 300 INDEX</t>
        </is>
      </c>
      <c r="P336" s="95" t="inlineStr">
        <is>
          <t>일반</t>
        </is>
      </c>
      <c r="Q336" s="95" t="inlineStr">
        <is>
          <t>주식</t>
        </is>
      </c>
      <c r="R336" s="95" t="inlineStr">
        <is>
          <t>연배당</t>
        </is>
      </c>
      <c r="S336" s="96" t="n">
        <v>1</v>
      </c>
      <c r="T336">
        <f>IF(AND($J336&lt;&gt;"",OR(조회_주기="전체",$R336=조회_주기),$J336&gt;=조회_최소,$J336&lt;=조회_최대),1,0)</f>
        <v/>
      </c>
      <c r="U336">
        <f>IF($T336=1,$U335+1,$U335)</f>
        <v/>
      </c>
      <c r="V336">
        <f>IF(검색어="",1,IF(ISNUMBER(SEARCH(검색어,$A336)),1,0))</f>
        <v/>
      </c>
      <c r="W336">
        <f>IF($V336=1,$W335+1,$W335)</f>
        <v/>
      </c>
      <c r="X336">
        <f>IFERROR(INDEX($A$4:$A$517,MATCH(333,$W$4:$W$517,0)),"")</f>
        <v/>
      </c>
    </row>
    <row r="337">
      <c r="A337" s="95" t="inlineStr">
        <is>
          <t>ACE 삼성그룹섹터가중</t>
        </is>
      </c>
      <c r="B337" s="95" t="inlineStr">
        <is>
          <t>108450</t>
        </is>
      </c>
      <c r="C337" s="95" t="inlineStr">
        <is>
          <t>한국투신운용(ETF)</t>
        </is>
      </c>
      <c r="D337" s="96" t="n">
        <v>38800</v>
      </c>
      <c r="E337" s="96" t="n">
        <v>77600000000</v>
      </c>
      <c r="F337" s="96" t="n">
        <v>765142694</v>
      </c>
      <c r="G337" s="97" t="n">
        <v>0.0015</v>
      </c>
      <c r="H337" s="97" t="n">
        <v>0.4834000000000001</v>
      </c>
      <c r="I337" s="97" t="n">
        <v>0.009899999999999999</v>
      </c>
      <c r="J337" s="97" t="n">
        <v>0.009535999999999999</v>
      </c>
      <c r="K337" s="96" t="n">
        <v>5</v>
      </c>
      <c r="L337" s="95" t="inlineStr">
        <is>
          <t>20260429</t>
        </is>
      </c>
      <c r="M337" s="95" t="inlineStr">
        <is>
          <t>제외</t>
        </is>
      </c>
      <c r="N337" s="95" t="inlineStr">
        <is>
          <t>변동성 48.3%(1년 기준, 기준 35% 초과)</t>
        </is>
      </c>
      <c r="O337" s="95" t="inlineStr">
        <is>
          <t>FnGuide SAMs SW</t>
        </is>
      </c>
      <c r="P337" s="95" t="inlineStr">
        <is>
          <t>일반</t>
        </is>
      </c>
      <c r="Q337" s="95" t="inlineStr">
        <is>
          <t>주식</t>
        </is>
      </c>
      <c r="R337" s="95" t="inlineStr">
        <is>
          <t>연배당</t>
        </is>
      </c>
      <c r="S337" s="96" t="n">
        <v>1</v>
      </c>
      <c r="T337">
        <f>IF(AND($J337&lt;&gt;"",OR(조회_주기="전체",$R337=조회_주기),$J337&gt;=조회_최소,$J337&lt;=조회_최대),1,0)</f>
        <v/>
      </c>
      <c r="U337">
        <f>IF($T337=1,$U336+1,$U336)</f>
        <v/>
      </c>
      <c r="V337">
        <f>IF(검색어="",1,IF(ISNUMBER(SEARCH(검색어,$A337)),1,0))</f>
        <v/>
      </c>
      <c r="W337">
        <f>IF($V337=1,$W336+1,$W336)</f>
        <v/>
      </c>
      <c r="X337">
        <f>IFERROR(INDEX($A$4:$A$517,MATCH(334,$W$4:$W$517,0)),"")</f>
        <v/>
      </c>
    </row>
    <row r="338">
      <c r="A338" s="95" t="inlineStr">
        <is>
          <t>KIWOOM 코리아밸류업</t>
        </is>
      </c>
      <c r="B338" s="95" t="inlineStr">
        <is>
          <t>496090</t>
        </is>
      </c>
      <c r="C338" s="95" t="inlineStr">
        <is>
          <t>키움투자자산운용</t>
        </is>
      </c>
      <c r="D338" s="96" t="n">
        <v>31490</v>
      </c>
      <c r="E338" s="96" t="n">
        <v>103917000000</v>
      </c>
      <c r="F338" s="96" t="n">
        <v>101194779</v>
      </c>
      <c r="G338" s="97" t="n">
        <v>8.999999999999999e-05</v>
      </c>
      <c r="H338" s="97" t="n">
        <v>0.5243</v>
      </c>
      <c r="I338" s="97" t="n">
        <v>0.0018</v>
      </c>
      <c r="J338" s="97" t="n">
        <v>0.009527000000000001</v>
      </c>
      <c r="K338" s="96" t="n">
        <v>6</v>
      </c>
      <c r="L338" s="95" t="inlineStr">
        <is>
          <t>20260730</t>
        </is>
      </c>
      <c r="M338" s="95" t="inlineStr">
        <is>
          <t>제외</t>
        </is>
      </c>
      <c r="N338" s="95" t="inlineStr">
        <is>
          <t>60일 거래대금 1.0억(기준 5억 미만), 변동성 52.4%(1년 기준, 기준 35% 초과)</t>
        </is>
      </c>
      <c r="O338" s="95" t="inlineStr">
        <is>
          <t>코리아 밸류업 지수</t>
        </is>
      </c>
      <c r="P338" s="95" t="inlineStr">
        <is>
          <t>일반</t>
        </is>
      </c>
      <c r="Q338" s="95" t="inlineStr">
        <is>
          <t>주식</t>
        </is>
      </c>
      <c r="R338" s="95" t="inlineStr">
        <is>
          <t>분기배당</t>
        </is>
      </c>
      <c r="S338" s="96" t="n">
        <v>4</v>
      </c>
      <c r="T338">
        <f>IF(AND($J338&lt;&gt;"",OR(조회_주기="전체",$R338=조회_주기),$J338&gt;=조회_최소,$J338&lt;=조회_최대),1,0)</f>
        <v/>
      </c>
      <c r="U338">
        <f>IF($T338=1,$U337+1,$U337)</f>
        <v/>
      </c>
      <c r="V338">
        <f>IF(검색어="",1,IF(ISNUMBER(SEARCH(검색어,$A338)),1,0))</f>
        <v/>
      </c>
      <c r="W338">
        <f>IF($V338=1,$W337+1,$W337)</f>
        <v/>
      </c>
      <c r="X338">
        <f>IFERROR(INDEX($A$4:$A$517,MATCH(335,$W$4:$W$517,0)),"")</f>
        <v/>
      </c>
    </row>
    <row r="339">
      <c r="A339" s="95" t="inlineStr">
        <is>
          <t>TIGER 코리아밸류업</t>
        </is>
      </c>
      <c r="B339" s="95" t="inlineStr">
        <is>
          <t>496080</t>
        </is>
      </c>
      <c r="C339" s="95" t="inlineStr">
        <is>
          <t>미래에셋자산운용</t>
        </is>
      </c>
      <c r="D339" s="96" t="n">
        <v>31635</v>
      </c>
      <c r="E339" s="96" t="n">
        <v>495087750000</v>
      </c>
      <c r="F339" s="96" t="n">
        <v>12454450295</v>
      </c>
      <c r="G339" s="97" t="n">
        <v>8.000000000000001e-05</v>
      </c>
      <c r="H339" s="97" t="n">
        <v>0.5228</v>
      </c>
      <c r="I339" s="97" t="n">
        <v>0.0009</v>
      </c>
      <c r="J339" s="97" t="n">
        <v>0.009483</v>
      </c>
      <c r="K339" s="96" t="n">
        <v>20</v>
      </c>
      <c r="L339" s="95" t="inlineStr">
        <is>
          <t>20260828</t>
        </is>
      </c>
      <c r="M339" s="95" t="inlineStr">
        <is>
          <t>제외</t>
        </is>
      </c>
      <c r="N339" s="95" t="inlineStr">
        <is>
          <t>변동성 52.3%(1년 기준, 기준 35% 초과)</t>
        </is>
      </c>
      <c r="O339" s="95" t="inlineStr">
        <is>
          <t>코리아 밸류업 지수</t>
        </is>
      </c>
      <c r="P339" s="95" t="inlineStr">
        <is>
          <t>일반</t>
        </is>
      </c>
      <c r="Q339" s="95" t="inlineStr">
        <is>
          <t>주식</t>
        </is>
      </c>
      <c r="R339" s="95" t="inlineStr">
        <is>
          <t>월배당</t>
        </is>
      </c>
      <c r="S339" s="96" t="n">
        <v>11</v>
      </c>
      <c r="T339">
        <f>IF(AND($J339&lt;&gt;"",OR(조회_주기="전체",$R339=조회_주기),$J339&gt;=조회_최소,$J339&lt;=조회_최대),1,0)</f>
        <v/>
      </c>
      <c r="U339">
        <f>IF($T339=1,$U338+1,$U338)</f>
        <v/>
      </c>
      <c r="V339">
        <f>IF(검색어="",1,IF(ISNUMBER(SEARCH(검색어,$A339)),1,0))</f>
        <v/>
      </c>
      <c r="W339">
        <f>IF($V339=1,$W338+1,$W338)</f>
        <v/>
      </c>
      <c r="X339">
        <f>IFERROR(INDEX($A$4:$A$517,MATCH(336,$W$4:$W$517,0)),"")</f>
        <v/>
      </c>
    </row>
    <row r="340">
      <c r="A340" s="95" t="inlineStr">
        <is>
          <t>RISE 200</t>
        </is>
      </c>
      <c r="B340" s="95" t="inlineStr">
        <is>
          <t>148020</t>
        </is>
      </c>
      <c r="C340" s="95" t="inlineStr">
        <is>
          <t>KB자산운용</t>
        </is>
      </c>
      <c r="D340" s="96" t="n">
        <v>107185</v>
      </c>
      <c r="E340" s="96" t="n">
        <v>4335633250000</v>
      </c>
      <c r="F340" s="96" t="n">
        <v>138346460331</v>
      </c>
      <c r="G340" s="97" t="n">
        <v>0.00017</v>
      </c>
      <c r="H340" s="97" t="n">
        <v>0.5844</v>
      </c>
      <c r="I340" s="97" t="n">
        <v>0.0013</v>
      </c>
      <c r="J340" s="97" t="n">
        <v>0.009423000000000001</v>
      </c>
      <c r="K340" s="96" t="n">
        <v>20</v>
      </c>
      <c r="L340" s="95" t="inlineStr">
        <is>
          <t>20260730</t>
        </is>
      </c>
      <c r="M340" s="95" t="inlineStr">
        <is>
          <t>제외</t>
        </is>
      </c>
      <c r="N340" s="95" t="inlineStr">
        <is>
          <t>변동성 58.4%(1년 기준, 기준 35% 초과)</t>
        </is>
      </c>
      <c r="O340" s="95" t="inlineStr">
        <is>
          <t>KOSPI 200</t>
        </is>
      </c>
      <c r="P340" s="95" t="inlineStr">
        <is>
          <t>일반</t>
        </is>
      </c>
      <c r="Q340" s="95" t="inlineStr">
        <is>
          <t>주식</t>
        </is>
      </c>
      <c r="R340" s="95" t="inlineStr">
        <is>
          <t>분기배당</t>
        </is>
      </c>
      <c r="S340" s="96" t="n">
        <v>4</v>
      </c>
      <c r="T340">
        <f>IF(AND($J340&lt;&gt;"",OR(조회_주기="전체",$R340=조회_주기),$J340&gt;=조회_최소,$J340&lt;=조회_최대),1,0)</f>
        <v/>
      </c>
      <c r="U340">
        <f>IF($T340=1,$U339+1,$U339)</f>
        <v/>
      </c>
      <c r="V340">
        <f>IF(검색어="",1,IF(ISNUMBER(SEARCH(검색어,$A340)),1,0))</f>
        <v/>
      </c>
      <c r="W340">
        <f>IF($V340=1,$W339+1,$W339)</f>
        <v/>
      </c>
      <c r="X340">
        <f>IFERROR(INDEX($A$4:$A$517,MATCH(337,$W$4:$W$517,0)),"")</f>
        <v/>
      </c>
    </row>
    <row r="341">
      <c r="A341" s="95" t="inlineStr">
        <is>
          <t>마이티 다이나믹퀀트액티브</t>
        </is>
      </c>
      <c r="B341" s="95" t="inlineStr">
        <is>
          <t>442260</t>
        </is>
      </c>
      <c r="C341" s="95" t="inlineStr">
        <is>
          <t>DB자산운용</t>
        </is>
      </c>
      <c r="D341" s="96" t="n">
        <v>37180</v>
      </c>
      <c r="E341" s="96" t="n">
        <v>46103200000</v>
      </c>
      <c r="F341" s="96" t="n">
        <v>250408746</v>
      </c>
      <c r="G341" s="97" t="n">
        <v>0.00295</v>
      </c>
      <c r="H341" s="97" t="n">
        <v>0.5969</v>
      </c>
      <c r="I341" s="97" t="n">
        <v>0.009899999999999999</v>
      </c>
      <c r="J341" s="97" t="n">
        <v>0.009414</v>
      </c>
      <c r="K341" s="96" t="n">
        <v>4</v>
      </c>
      <c r="L341" s="95" t="inlineStr">
        <is>
          <t>20260429</t>
        </is>
      </c>
      <c r="M341" s="95" t="inlineStr">
        <is>
          <t>제외</t>
        </is>
      </c>
      <c r="N341" s="95" t="inlineStr">
        <is>
          <t>60일 거래대금 2.5억(기준 5억 미만), 변동성 59.7%(1년 기준, 기준 35% 초과)</t>
        </is>
      </c>
      <c r="O341" s="95" t="inlineStr">
        <is>
          <t>KOSPI 200</t>
        </is>
      </c>
      <c r="P341" s="95" t="inlineStr">
        <is>
          <t>일반</t>
        </is>
      </c>
      <c r="Q341" s="95" t="inlineStr">
        <is>
          <t>주식</t>
        </is>
      </c>
      <c r="R341" s="95" t="inlineStr">
        <is>
          <t>연배당</t>
        </is>
      </c>
      <c r="S341" s="96" t="n">
        <v>1</v>
      </c>
      <c r="T341">
        <f>IF(AND($J341&lt;&gt;"",OR(조회_주기="전체",$R341=조회_주기),$J341&gt;=조회_최소,$J341&lt;=조회_최대),1,0)</f>
        <v/>
      </c>
      <c r="U341">
        <f>IF($T341=1,$U340+1,$U340)</f>
        <v/>
      </c>
      <c r="V341">
        <f>IF(검색어="",1,IF(ISNUMBER(SEARCH(검색어,$A341)),1,0))</f>
        <v/>
      </c>
      <c r="W341">
        <f>IF($V341=1,$W340+1,$W340)</f>
        <v/>
      </c>
      <c r="X341">
        <f>IFERROR(INDEX($A$4:$A$517,MATCH(338,$W$4:$W$517,0)),"")</f>
        <v/>
      </c>
    </row>
    <row r="342">
      <c r="A342" s="95" t="inlineStr">
        <is>
          <t>PLUS 미국S&amp;P500</t>
        </is>
      </c>
      <c r="B342" s="95" t="inlineStr">
        <is>
          <t>429760</t>
        </is>
      </c>
      <c r="C342" s="95" t="inlineStr">
        <is>
          <t>한화자산운용</t>
        </is>
      </c>
      <c r="D342" s="96" t="n">
        <v>19405</v>
      </c>
      <c r="E342" s="96" t="n">
        <v>44631500000</v>
      </c>
      <c r="F342" s="96" t="n">
        <v>184280440</v>
      </c>
      <c r="G342" s="97" t="n">
        <v>6.2e-05</v>
      </c>
      <c r="H342" s="97" t="n">
        <v>0.1449</v>
      </c>
      <c r="I342" s="97" t="n">
        <v>0.002</v>
      </c>
      <c r="J342" s="97" t="n">
        <v>0.009379</v>
      </c>
      <c r="K342" s="96" t="n">
        <v>11</v>
      </c>
      <c r="L342" s="95" t="inlineStr">
        <is>
          <t>20260730</t>
        </is>
      </c>
      <c r="M342" s="95" t="inlineStr">
        <is>
          <t>제외</t>
        </is>
      </c>
      <c r="N342" s="95" t="inlineStr">
        <is>
          <t>60일 거래대금 1.8억(기준 5억 미만)</t>
        </is>
      </c>
      <c r="O342" s="95" t="inlineStr">
        <is>
          <t>S&amp;P 500</t>
        </is>
      </c>
      <c r="P342" s="95" t="inlineStr">
        <is>
          <t>일반</t>
        </is>
      </c>
      <c r="Q342" s="95" t="inlineStr">
        <is>
          <t>주식</t>
        </is>
      </c>
      <c r="R342" s="95" t="inlineStr">
        <is>
          <t>분기배당</t>
        </is>
      </c>
      <c r="S342" s="96" t="n">
        <v>4</v>
      </c>
      <c r="T342">
        <f>IF(AND($J342&lt;&gt;"",OR(조회_주기="전체",$R342=조회_주기),$J342&gt;=조회_최소,$J342&lt;=조회_최대),1,0)</f>
        <v/>
      </c>
      <c r="U342">
        <f>IF($T342=1,$U341+1,$U341)</f>
        <v/>
      </c>
      <c r="V342">
        <f>IF(검색어="",1,IF(ISNUMBER(SEARCH(검색어,$A342)),1,0))</f>
        <v/>
      </c>
      <c r="W342">
        <f>IF($V342=1,$W341+1,$W341)</f>
        <v/>
      </c>
      <c r="X342">
        <f>IFERROR(INDEX($A$4:$A$517,MATCH(339,$W$4:$W$517,0)),"")</f>
        <v/>
      </c>
    </row>
    <row r="343">
      <c r="A343" s="95" t="inlineStr">
        <is>
          <t>TIGER 글로벌자율주행&amp;전기차SOLACTIVE</t>
        </is>
      </c>
      <c r="B343" s="95" t="inlineStr">
        <is>
          <t>394660</t>
        </is>
      </c>
      <c r="C343" s="95" t="inlineStr">
        <is>
          <t>미래에셋자산운용</t>
        </is>
      </c>
      <c r="D343" s="96" t="n">
        <v>15135</v>
      </c>
      <c r="E343" s="96" t="n">
        <v>99285600000</v>
      </c>
      <c r="F343" s="96" t="n">
        <v>151849066</v>
      </c>
      <c r="G343" s="97" t="n">
        <v>0.0049</v>
      </c>
      <c r="H343" s="97" t="n">
        <v>0.2726</v>
      </c>
      <c r="I343" s="97" t="n">
        <v>0.009599999999999999</v>
      </c>
      <c r="J343" s="97" t="n">
        <v>0.009316</v>
      </c>
      <c r="K343" s="96" t="n">
        <v>1</v>
      </c>
      <c r="L343" s="95" t="inlineStr">
        <is>
          <t>20251229</t>
        </is>
      </c>
      <c r="M343" s="95" t="inlineStr">
        <is>
          <t>제외</t>
        </is>
      </c>
      <c r="N343" s="95" t="inlineStr">
        <is>
          <t>60일 거래대금 1.5억(기준 5억 미만)</t>
        </is>
      </c>
      <c r="O343" s="95" t="inlineStr">
        <is>
          <t>Solactive Autonomous &amp; Electric Vehicles Index PR</t>
        </is>
      </c>
      <c r="P343" s="95" t="inlineStr">
        <is>
          <t>일반</t>
        </is>
      </c>
      <c r="Q343" s="95" t="inlineStr">
        <is>
          <t>주식</t>
        </is>
      </c>
      <c r="R343" s="95" t="inlineStr">
        <is>
          <t>연배당</t>
        </is>
      </c>
      <c r="S343" s="96" t="n">
        <v>1</v>
      </c>
      <c r="T343">
        <f>IF(AND($J343&lt;&gt;"",OR(조회_주기="전체",$R343=조회_주기),$J343&gt;=조회_최소,$J343&lt;=조회_최대),1,0)</f>
        <v/>
      </c>
      <c r="U343">
        <f>IF($T343=1,$U342+1,$U342)</f>
        <v/>
      </c>
      <c r="V343">
        <f>IF(검색어="",1,IF(ISNUMBER(SEARCH(검색어,$A343)),1,0))</f>
        <v/>
      </c>
      <c r="W343">
        <f>IF($V343=1,$W342+1,$W342)</f>
        <v/>
      </c>
      <c r="X343">
        <f>IFERROR(INDEX($A$4:$A$517,MATCH(340,$W$4:$W$517,0)),"")</f>
        <v/>
      </c>
    </row>
    <row r="344">
      <c r="A344" s="95" t="inlineStr">
        <is>
          <t>KODEX KRX300</t>
        </is>
      </c>
      <c r="B344" s="95" t="inlineStr">
        <is>
          <t>292190</t>
        </is>
      </c>
      <c r="C344" s="95" t="inlineStr">
        <is>
          <t>삼성자산운용(ETF)</t>
        </is>
      </c>
      <c r="D344" s="96" t="n">
        <v>46880</v>
      </c>
      <c r="E344" s="96" t="n">
        <v>70320000000</v>
      </c>
      <c r="F344" s="96" t="n">
        <v>1448519644</v>
      </c>
      <c r="G344" s="97" t="n">
        <v>0.0005</v>
      </c>
      <c r="H344" s="97" t="n">
        <v>0.573</v>
      </c>
      <c r="I344" s="97" t="n">
        <v>0.0024</v>
      </c>
      <c r="J344" s="97" t="n">
        <v>0.009214999999999999</v>
      </c>
      <c r="K344" s="96" t="n">
        <v>6</v>
      </c>
      <c r="L344" s="95" t="inlineStr">
        <is>
          <t>20260730</t>
        </is>
      </c>
      <c r="M344" s="95" t="inlineStr">
        <is>
          <t>제외</t>
        </is>
      </c>
      <c r="N344" s="95" t="inlineStr">
        <is>
          <t>변동성 57.3%(1년 기준, 기준 35% 초과)</t>
        </is>
      </c>
      <c r="O344" s="95" t="inlineStr">
        <is>
          <t>KRX300</t>
        </is>
      </c>
      <c r="P344" s="95" t="inlineStr">
        <is>
          <t>일반</t>
        </is>
      </c>
      <c r="Q344" s="95" t="inlineStr">
        <is>
          <t>주식</t>
        </is>
      </c>
      <c r="R344" s="95" t="inlineStr">
        <is>
          <t>연배당</t>
        </is>
      </c>
      <c r="S344" s="96" t="n">
        <v>2</v>
      </c>
      <c r="T344">
        <f>IF(AND($J344&lt;&gt;"",OR(조회_주기="전체",$R344=조회_주기),$J344&gt;=조회_최소,$J344&lt;=조회_최대),1,0)</f>
        <v/>
      </c>
      <c r="U344">
        <f>IF($T344=1,$U343+1,$U343)</f>
        <v/>
      </c>
      <c r="V344">
        <f>IF(검색어="",1,IF(ISNUMBER(SEARCH(검색어,$A344)),1,0))</f>
        <v/>
      </c>
      <c r="W344">
        <f>IF($V344=1,$W343+1,$W343)</f>
        <v/>
      </c>
      <c r="X344">
        <f>IFERROR(INDEX($A$4:$A$517,MATCH(341,$W$4:$W$517,0)),"")</f>
        <v/>
      </c>
    </row>
    <row r="345">
      <c r="A345" s="95" t="inlineStr">
        <is>
          <t>ACE 200</t>
        </is>
      </c>
      <c r="B345" s="95" t="inlineStr">
        <is>
          <t>105190</t>
        </is>
      </c>
      <c r="C345" s="95" t="inlineStr">
        <is>
          <t>한국투신운용(ETF)</t>
        </is>
      </c>
      <c r="D345" s="96" t="n">
        <v>106585</v>
      </c>
      <c r="E345" s="96" t="n">
        <v>1641409000000</v>
      </c>
      <c r="F345" s="96" t="n">
        <v>42806309286</v>
      </c>
      <c r="G345" s="97" t="n">
        <v>0.00017</v>
      </c>
      <c r="H345" s="97" t="n">
        <v>0.5849</v>
      </c>
      <c r="I345" s="97" t="n">
        <v>0.0017</v>
      </c>
      <c r="J345" s="97" t="n">
        <v>0.009101</v>
      </c>
      <c r="K345" s="96" t="n">
        <v>9</v>
      </c>
      <c r="L345" s="95" t="inlineStr">
        <is>
          <t>20260730</t>
        </is>
      </c>
      <c r="M345" s="95" t="inlineStr">
        <is>
          <t>제외</t>
        </is>
      </c>
      <c r="N345" s="95" t="inlineStr">
        <is>
          <t>변동성 58.5%(1년 기준, 기준 35% 초과)</t>
        </is>
      </c>
      <c r="O345" s="95" t="inlineStr">
        <is>
          <t>KOSPI 200</t>
        </is>
      </c>
      <c r="P345" s="95" t="inlineStr">
        <is>
          <t>일반</t>
        </is>
      </c>
      <c r="Q345" s="95" t="inlineStr">
        <is>
          <t>주식</t>
        </is>
      </c>
      <c r="R345" s="95" t="inlineStr">
        <is>
          <t>분기배당</t>
        </is>
      </c>
      <c r="S345" s="96" t="n">
        <v>4</v>
      </c>
      <c r="T345">
        <f>IF(AND($J345&lt;&gt;"",OR(조회_주기="전체",$R345=조회_주기),$J345&gt;=조회_최소,$J345&lt;=조회_최대),1,0)</f>
        <v/>
      </c>
      <c r="U345">
        <f>IF($T345=1,$U344+1,$U344)</f>
        <v/>
      </c>
      <c r="V345">
        <f>IF(검색어="",1,IF(ISNUMBER(SEARCH(검색어,$A345)),1,0))</f>
        <v/>
      </c>
      <c r="W345">
        <f>IF($V345=1,$W344+1,$W344)</f>
        <v/>
      </c>
      <c r="X345">
        <f>IFERROR(INDEX($A$4:$A$517,MATCH(342,$W$4:$W$517,0)),"")</f>
        <v/>
      </c>
    </row>
    <row r="346">
      <c r="A346" s="95" t="inlineStr">
        <is>
          <t>SOL 미국S&amp;P500ESG</t>
        </is>
      </c>
      <c r="B346" s="95" t="inlineStr">
        <is>
          <t>399110</t>
        </is>
      </c>
      <c r="C346" s="95" t="inlineStr">
        <is>
          <t>신한자산운용</t>
        </is>
      </c>
      <c r="D346" s="96" t="n">
        <v>20580</v>
      </c>
      <c r="E346" s="96" t="n">
        <v>117306000000</v>
      </c>
      <c r="F346" s="96" t="n">
        <v>373660229</v>
      </c>
      <c r="G346" s="97" t="n">
        <v>0.0015</v>
      </c>
      <c r="H346" s="97" t="n">
        <v>0.148</v>
      </c>
      <c r="I346" s="97" t="n">
        <v>0.0022</v>
      </c>
      <c r="J346" s="97" t="n">
        <v>0.009038000000000001</v>
      </c>
      <c r="K346" s="96" t="n">
        <v>18</v>
      </c>
      <c r="L346" s="95" t="inlineStr">
        <is>
          <t>20260730</t>
        </is>
      </c>
      <c r="M346" s="95" t="inlineStr">
        <is>
          <t>제외</t>
        </is>
      </c>
      <c r="N346" s="95" t="inlineStr">
        <is>
          <t>60일 거래대금 3.7억(기준 5억 미만)</t>
        </is>
      </c>
      <c r="O346" s="95" t="inlineStr">
        <is>
          <t>S&amp;P 500 Scored &amp; Screened Index (USD)</t>
        </is>
      </c>
      <c r="P346" s="95" t="inlineStr">
        <is>
          <t>일반</t>
        </is>
      </c>
      <c r="Q346" s="95" t="inlineStr">
        <is>
          <t>주식</t>
        </is>
      </c>
      <c r="R346" s="95" t="inlineStr">
        <is>
          <t>분기배당</t>
        </is>
      </c>
      <c r="S346" s="96" t="n">
        <v>4</v>
      </c>
      <c r="T346">
        <f>IF(AND($J346&lt;&gt;"",OR(조회_주기="전체",$R346=조회_주기),$J346&gt;=조회_최소,$J346&lt;=조회_최대),1,0)</f>
        <v/>
      </c>
      <c r="U346">
        <f>IF($T346=1,$U345+1,$U345)</f>
        <v/>
      </c>
      <c r="V346">
        <f>IF(검색어="",1,IF(ISNUMBER(SEARCH(검색어,$A346)),1,0))</f>
        <v/>
      </c>
      <c r="W346">
        <f>IF($V346=1,$W345+1,$W345)</f>
        <v/>
      </c>
      <c r="X346">
        <f>IFERROR(INDEX($A$4:$A$517,MATCH(343,$W$4:$W$517,0)),"")</f>
        <v/>
      </c>
    </row>
    <row r="347">
      <c r="A347" s="95" t="inlineStr">
        <is>
          <t>PLUS 200</t>
        </is>
      </c>
      <c r="B347" s="95" t="inlineStr">
        <is>
          <t>152100</t>
        </is>
      </c>
      <c r="C347" s="95" t="inlineStr">
        <is>
          <t>한화자산운용</t>
        </is>
      </c>
      <c r="D347" s="96" t="n">
        <v>107900</v>
      </c>
      <c r="E347" s="96" t="n">
        <v>1451255000000</v>
      </c>
      <c r="F347" s="96" t="n">
        <v>42305730557</v>
      </c>
      <c r="G347" s="97" t="n">
        <v>0.00017</v>
      </c>
      <c r="H347" s="97" t="n">
        <v>0.5849</v>
      </c>
      <c r="I347" s="97" t="n">
        <v>0.0017</v>
      </c>
      <c r="J347" s="97" t="n">
        <v>0.00899</v>
      </c>
      <c r="K347" s="96" t="n">
        <v>14</v>
      </c>
      <c r="L347" s="95" t="inlineStr">
        <is>
          <t>20260730</t>
        </is>
      </c>
      <c r="M347" s="95" t="inlineStr">
        <is>
          <t>제외</t>
        </is>
      </c>
      <c r="N347" s="95" t="inlineStr">
        <is>
          <t>변동성 58.5%(1년 기준, 기준 35% 초과)</t>
        </is>
      </c>
      <c r="O347" s="95" t="inlineStr">
        <is>
          <t>KOSPI 200</t>
        </is>
      </c>
      <c r="P347" s="95" t="inlineStr">
        <is>
          <t>일반</t>
        </is>
      </c>
      <c r="Q347" s="95" t="inlineStr">
        <is>
          <t>주식</t>
        </is>
      </c>
      <c r="R347" s="95" t="inlineStr">
        <is>
          <t>분기배당</t>
        </is>
      </c>
      <c r="S347" s="96" t="n">
        <v>4</v>
      </c>
      <c r="T347">
        <f>IF(AND($J347&lt;&gt;"",OR(조회_주기="전체",$R347=조회_주기),$J347&gt;=조회_최소,$J347&lt;=조회_최대),1,0)</f>
        <v/>
      </c>
      <c r="U347">
        <f>IF($T347=1,$U346+1,$U346)</f>
        <v/>
      </c>
      <c r="V347">
        <f>IF(검색어="",1,IF(ISNUMBER(SEARCH(검색어,$A347)),1,0))</f>
        <v/>
      </c>
      <c r="W347">
        <f>IF($V347=1,$W346+1,$W346)</f>
        <v/>
      </c>
      <c r="X347">
        <f>IFERROR(INDEX($A$4:$A$517,MATCH(344,$W$4:$W$517,0)),"")</f>
        <v/>
      </c>
    </row>
    <row r="348">
      <c r="A348" s="95" t="inlineStr">
        <is>
          <t>파워 200</t>
        </is>
      </c>
      <c r="B348" s="95" t="inlineStr">
        <is>
          <t>152870</t>
        </is>
      </c>
      <c r="C348" s="95" t="inlineStr">
        <is>
          <t>교보악사자산운용</t>
        </is>
      </c>
      <c r="D348" s="96" t="n">
        <v>107315</v>
      </c>
      <c r="E348" s="96" t="n">
        <v>150241000000</v>
      </c>
      <c r="F348" s="96" t="n">
        <v>1338473196</v>
      </c>
      <c r="G348" s="97" t="n">
        <v>0.00145</v>
      </c>
      <c r="H348" s="97" t="n">
        <v>0.584</v>
      </c>
      <c r="I348" s="97" t="n">
        <v>0.001</v>
      </c>
      <c r="J348" s="97" t="n">
        <v>0.008983</v>
      </c>
      <c r="K348" s="96" t="n">
        <v>14</v>
      </c>
      <c r="L348" s="95" t="inlineStr">
        <is>
          <t>20260730</t>
        </is>
      </c>
      <c r="M348" s="95" t="inlineStr">
        <is>
          <t>제외</t>
        </is>
      </c>
      <c r="N348" s="95" t="inlineStr">
        <is>
          <t>변동성 58.4%(1년 기준, 기준 35% 초과)</t>
        </is>
      </c>
      <c r="O348" s="95" t="inlineStr">
        <is>
          <t>KOSPI 200</t>
        </is>
      </c>
      <c r="P348" s="95" t="inlineStr">
        <is>
          <t>일반</t>
        </is>
      </c>
      <c r="Q348" s="95" t="inlineStr">
        <is>
          <t>주식</t>
        </is>
      </c>
      <c r="R348" s="95" t="inlineStr">
        <is>
          <t>분기배당</t>
        </is>
      </c>
      <c r="S348" s="96" t="n">
        <v>3</v>
      </c>
      <c r="T348">
        <f>IF(AND($J348&lt;&gt;"",OR(조회_주기="전체",$R348=조회_주기),$J348&gt;=조회_최소,$J348&lt;=조회_최대),1,0)</f>
        <v/>
      </c>
      <c r="U348">
        <f>IF($T348=1,$U347+1,$U347)</f>
        <v/>
      </c>
      <c r="V348">
        <f>IF(검색어="",1,IF(ISNUMBER(SEARCH(검색어,$A348)),1,0))</f>
        <v/>
      </c>
      <c r="W348">
        <f>IF($V348=1,$W347+1,$W347)</f>
        <v/>
      </c>
      <c r="X348">
        <f>IFERROR(INDEX($A$4:$A$517,MATCH(345,$W$4:$W$517,0)),"")</f>
        <v/>
      </c>
    </row>
    <row r="349">
      <c r="A349" s="95" t="inlineStr">
        <is>
          <t>KODEX 코스피</t>
        </is>
      </c>
      <c r="B349" s="95" t="inlineStr">
        <is>
          <t>226490</t>
        </is>
      </c>
      <c r="C349" s="95" t="inlineStr">
        <is>
          <t>삼성자산운용(ETF)</t>
        </is>
      </c>
      <c r="D349" s="96" t="n">
        <v>69000</v>
      </c>
      <c r="E349" s="96" t="n">
        <v>1407600000000</v>
      </c>
      <c r="F349" s="96" t="n">
        <v>41102734244</v>
      </c>
      <c r="G349" s="97" t="n">
        <v>0.0015</v>
      </c>
      <c r="H349" s="97" t="n">
        <v>0.5393</v>
      </c>
      <c r="I349" s="97" t="n">
        <v>0.0026</v>
      </c>
      <c r="J349" s="97" t="n">
        <v>0.008971</v>
      </c>
      <c r="K349" s="96" t="n">
        <v>6</v>
      </c>
      <c r="L349" s="95" t="inlineStr">
        <is>
          <t>20260730</t>
        </is>
      </c>
      <c r="M349" s="95" t="inlineStr">
        <is>
          <t>제외</t>
        </is>
      </c>
      <c r="N349" s="95" t="inlineStr">
        <is>
          <t>변동성 53.9%(1년 기준, 기준 35% 초과)</t>
        </is>
      </c>
      <c r="O349" s="95" t="inlineStr">
        <is>
          <t>코스피</t>
        </is>
      </c>
      <c r="P349" s="95" t="inlineStr">
        <is>
          <t>일반</t>
        </is>
      </c>
      <c r="Q349" s="95" t="inlineStr">
        <is>
          <t>주식</t>
        </is>
      </c>
      <c r="R349" s="95" t="inlineStr">
        <is>
          <t>연배당</t>
        </is>
      </c>
      <c r="S349" s="96" t="n">
        <v>2</v>
      </c>
      <c r="T349">
        <f>IF(AND($J349&lt;&gt;"",OR(조회_주기="전체",$R349=조회_주기),$J349&gt;=조회_최소,$J349&lt;=조회_최대),1,0)</f>
        <v/>
      </c>
      <c r="U349">
        <f>IF($T349=1,$U348+1,$U348)</f>
        <v/>
      </c>
      <c r="V349">
        <f>IF(검색어="",1,IF(ISNUMBER(SEARCH(검색어,$A349)),1,0))</f>
        <v/>
      </c>
      <c r="W349">
        <f>IF($V349=1,$W348+1,$W348)</f>
        <v/>
      </c>
      <c r="X349">
        <f>IFERROR(INDEX($A$4:$A$517,MATCH(346,$W$4:$W$517,0)),"")</f>
        <v/>
      </c>
    </row>
    <row r="350">
      <c r="A350" s="95" t="inlineStr">
        <is>
          <t>TIGER 코스닥150바이오테크</t>
        </is>
      </c>
      <c r="B350" s="95" t="inlineStr">
        <is>
          <t>261070</t>
        </is>
      </c>
      <c r="C350" s="95" t="inlineStr">
        <is>
          <t>미래에셋자산운용</t>
        </is>
      </c>
      <c r="D350" s="96" t="n">
        <v>11255</v>
      </c>
      <c r="E350" s="96" t="n">
        <v>51998100000</v>
      </c>
      <c r="F350" s="96" t="n">
        <v>2948683312</v>
      </c>
      <c r="G350" s="97" t="n">
        <v>0.004</v>
      </c>
      <c r="H350" s="97" t="n">
        <v>0.5770000000000001</v>
      </c>
      <c r="I350" s="97" t="n">
        <v>0.0053</v>
      </c>
      <c r="J350" s="97" t="n">
        <v>0.008884999999999999</v>
      </c>
      <c r="K350" s="96" t="n">
        <v>5</v>
      </c>
      <c r="L350" s="95" t="inlineStr">
        <is>
          <t>20260429</t>
        </is>
      </c>
      <c r="M350" s="95" t="inlineStr">
        <is>
          <t>제외</t>
        </is>
      </c>
      <c r="N350" s="95" t="inlineStr">
        <is>
          <t>변동성 57.7%(1년 기준, 기준 35% 초과)</t>
        </is>
      </c>
      <c r="O350" s="95" t="inlineStr">
        <is>
          <t>코스닥 150 헬스케어</t>
        </is>
      </c>
      <c r="P350" s="95" t="inlineStr">
        <is>
          <t>일반</t>
        </is>
      </c>
      <c r="Q350" s="95" t="inlineStr">
        <is>
          <t>주식</t>
        </is>
      </c>
      <c r="R350" s="95" t="inlineStr">
        <is>
          <t>연배당</t>
        </is>
      </c>
      <c r="S350" s="96" t="n">
        <v>1</v>
      </c>
      <c r="T350">
        <f>IF(AND($J350&lt;&gt;"",OR(조회_주기="전체",$R350=조회_주기),$J350&gt;=조회_최소,$J350&lt;=조회_최대),1,0)</f>
        <v/>
      </c>
      <c r="U350">
        <f>IF($T350=1,$U349+1,$U349)</f>
        <v/>
      </c>
      <c r="V350">
        <f>IF(검색어="",1,IF(ISNUMBER(SEARCH(검색어,$A350)),1,0))</f>
        <v/>
      </c>
      <c r="W350">
        <f>IF($V350=1,$W349+1,$W349)</f>
        <v/>
      </c>
      <c r="X350">
        <f>IFERROR(INDEX($A$4:$A$517,MATCH(347,$W$4:$W$517,0)),"")</f>
        <v/>
      </c>
    </row>
    <row r="351">
      <c r="A351" s="95" t="inlineStr">
        <is>
          <t>TIGER 200</t>
        </is>
      </c>
      <c r="B351" s="95" t="inlineStr">
        <is>
          <t>102110</t>
        </is>
      </c>
      <c r="C351" s="95" t="inlineStr">
        <is>
          <t>미래에셋자산운용</t>
        </is>
      </c>
      <c r="D351" s="96" t="n">
        <v>106520</v>
      </c>
      <c r="E351" s="96" t="n">
        <v>9821144000000</v>
      </c>
      <c r="F351" s="96" t="n">
        <v>856260337778</v>
      </c>
      <c r="G351" s="97" t="n">
        <v>0.0005</v>
      </c>
      <c r="H351" s="97" t="n">
        <v>0.5852000000000001</v>
      </c>
      <c r="I351" s="97" t="n">
        <v>0.0015</v>
      </c>
      <c r="J351" s="97" t="n">
        <v>0.008711999999999999</v>
      </c>
      <c r="K351" s="96" t="n">
        <v>20</v>
      </c>
      <c r="L351" s="95" t="inlineStr">
        <is>
          <t>20260730</t>
        </is>
      </c>
      <c r="M351" s="95" t="inlineStr">
        <is>
          <t>제외</t>
        </is>
      </c>
      <c r="N351" s="95" t="inlineStr">
        <is>
          <t>변동성 58.5%(1년 기준, 기준 35% 초과)</t>
        </is>
      </c>
      <c r="O351" s="95" t="inlineStr">
        <is>
          <t>KOSPI 200</t>
        </is>
      </c>
      <c r="P351" s="95" t="inlineStr">
        <is>
          <t>일반</t>
        </is>
      </c>
      <c r="Q351" s="95" t="inlineStr">
        <is>
          <t>주식</t>
        </is>
      </c>
      <c r="R351" s="95" t="inlineStr">
        <is>
          <t>분기배당</t>
        </is>
      </c>
      <c r="S351" s="96" t="n">
        <v>4</v>
      </c>
      <c r="T351">
        <f>IF(AND($J351&lt;&gt;"",OR(조회_주기="전체",$R351=조회_주기),$J351&gt;=조회_최소,$J351&lt;=조회_최대),1,0)</f>
        <v/>
      </c>
      <c r="U351">
        <f>IF($T351=1,$U350+1,$U350)</f>
        <v/>
      </c>
      <c r="V351">
        <f>IF(검색어="",1,IF(ISNUMBER(SEARCH(검색어,$A351)),1,0))</f>
        <v/>
      </c>
      <c r="W351">
        <f>IF($V351=1,$W350+1,$W350)</f>
        <v/>
      </c>
      <c r="X351">
        <f>IFERROR(INDEX($A$4:$A$517,MATCH(348,$W$4:$W$517,0)),"")</f>
        <v/>
      </c>
    </row>
    <row r="352">
      <c r="A352" s="95" t="inlineStr">
        <is>
          <t>ACE KPOP포커스</t>
        </is>
      </c>
      <c r="B352" s="95" t="inlineStr">
        <is>
          <t>475050</t>
        </is>
      </c>
      <c r="C352" s="95" t="inlineStr">
        <is>
          <t>한국투신운용(ETF)</t>
        </is>
      </c>
      <c r="D352" s="96" t="n">
        <v>6940</v>
      </c>
      <c r="E352" s="96" t="n">
        <v>102712000000</v>
      </c>
      <c r="F352" s="96" t="n">
        <v>4303328093</v>
      </c>
      <c r="G352" s="97" t="n">
        <v>0.003</v>
      </c>
      <c r="H352" s="97" t="n">
        <v>0.4606</v>
      </c>
      <c r="I352" s="97" t="n">
        <v>0.0062</v>
      </c>
      <c r="J352" s="97" t="n">
        <v>0.008646000000000001</v>
      </c>
      <c r="K352" s="96" t="n">
        <v>2</v>
      </c>
      <c r="L352" s="95" t="inlineStr">
        <is>
          <t>20260429</t>
        </is>
      </c>
      <c r="M352" s="95" t="inlineStr">
        <is>
          <t>제외</t>
        </is>
      </c>
      <c r="N352" s="95" t="inlineStr">
        <is>
          <t>변동성 46.1%(1년 기준, 기준 35% 초과)</t>
        </is>
      </c>
      <c r="O352" s="95" t="inlineStr">
        <is>
          <t>iSelect K-POP 포커스 지수</t>
        </is>
      </c>
      <c r="P352" s="95" t="inlineStr">
        <is>
          <t>일반</t>
        </is>
      </c>
      <c r="Q352" s="95" t="inlineStr">
        <is>
          <t>주식</t>
        </is>
      </c>
      <c r="R352" s="95" t="inlineStr">
        <is>
          <t>연배당</t>
        </is>
      </c>
      <c r="S352" s="96" t="n">
        <v>1</v>
      </c>
      <c r="T352">
        <f>IF(AND($J352&lt;&gt;"",OR(조회_주기="전체",$R352=조회_주기),$J352&gt;=조회_최소,$J352&lt;=조회_최대),1,0)</f>
        <v/>
      </c>
      <c r="U352">
        <f>IF($T352=1,$U351+1,$U351)</f>
        <v/>
      </c>
      <c r="V352">
        <f>IF(검색어="",1,IF(ISNUMBER(SEARCH(검색어,$A352)),1,0))</f>
        <v/>
      </c>
      <c r="W352">
        <f>IF($V352=1,$W351+1,$W351)</f>
        <v/>
      </c>
      <c r="X352">
        <f>IFERROR(INDEX($A$4:$A$517,MATCH(349,$W$4:$W$517,0)),"")</f>
        <v/>
      </c>
    </row>
    <row r="353">
      <c r="A353" s="95" t="inlineStr">
        <is>
          <t>TIGER 인도빌리언컨슈머</t>
        </is>
      </c>
      <c r="B353" s="95" t="inlineStr">
        <is>
          <t>479730</t>
        </is>
      </c>
      <c r="C353" s="95" t="inlineStr">
        <is>
          <t>미래에셋자산운용</t>
        </is>
      </c>
      <c r="D353" s="96" t="n">
        <v>9650</v>
      </c>
      <c r="E353" s="96" t="n">
        <v>56935000000</v>
      </c>
      <c r="F353" s="96" t="n">
        <v>177778243</v>
      </c>
      <c r="G353" s="97" t="n">
        <v>0.0049</v>
      </c>
      <c r="H353" s="97" t="n">
        <v>0.195</v>
      </c>
      <c r="I353" s="97" t="n">
        <v>0.0033</v>
      </c>
      <c r="J353" s="97" t="n">
        <v>0.008600999999999999</v>
      </c>
      <c r="K353" s="96" t="n">
        <v>9</v>
      </c>
      <c r="L353" s="95" t="inlineStr">
        <is>
          <t>20260730</t>
        </is>
      </c>
      <c r="M353" s="95" t="inlineStr">
        <is>
          <t>제외</t>
        </is>
      </c>
      <c r="N353" s="95" t="inlineStr">
        <is>
          <t>60일 거래대금 1.8억(기준 5억 미만)</t>
        </is>
      </c>
      <c r="O353" s="95" t="inlineStr">
        <is>
          <t>Mirae Asset India Billion Consumer Index PR</t>
        </is>
      </c>
      <c r="P353" s="95" t="inlineStr">
        <is>
          <t>일반</t>
        </is>
      </c>
      <c r="Q353" s="95" t="inlineStr">
        <is>
          <t>주식</t>
        </is>
      </c>
      <c r="R353" s="95" t="inlineStr">
        <is>
          <t>분기배당</t>
        </is>
      </c>
      <c r="S353" s="96" t="n">
        <v>4</v>
      </c>
      <c r="T353">
        <f>IF(AND($J353&lt;&gt;"",OR(조회_주기="전체",$R353=조회_주기),$J353&gt;=조회_최소,$J353&lt;=조회_최대),1,0)</f>
        <v/>
      </c>
      <c r="U353">
        <f>IF($T353=1,$U352+1,$U352)</f>
        <v/>
      </c>
      <c r="V353">
        <f>IF(검색어="",1,IF(ISNUMBER(SEARCH(검색어,$A353)),1,0))</f>
        <v/>
      </c>
      <c r="W353">
        <f>IF($V353=1,$W352+1,$W352)</f>
        <v/>
      </c>
      <c r="X353">
        <f>IFERROR(INDEX($A$4:$A$517,MATCH(350,$W$4:$W$517,0)),"")</f>
        <v/>
      </c>
    </row>
    <row r="354">
      <c r="A354" s="95" t="inlineStr">
        <is>
          <t>TIGER 코리아TOP10</t>
        </is>
      </c>
      <c r="B354" s="95" t="inlineStr">
        <is>
          <t>292150</t>
        </is>
      </c>
      <c r="C354" s="95" t="inlineStr">
        <is>
          <t>미래에셋자산운용</t>
        </is>
      </c>
      <c r="D354" s="96" t="n">
        <v>37480</v>
      </c>
      <c r="E354" s="96" t="n">
        <v>1819654000000</v>
      </c>
      <c r="F354" s="96" t="n">
        <v>51246632012</v>
      </c>
      <c r="G354" s="97" t="n">
        <v>0.0015</v>
      </c>
      <c r="H354" s="97" t="n">
        <v>0.5936</v>
      </c>
      <c r="I354" s="97" t="n">
        <v>0.0027</v>
      </c>
      <c r="J354" s="97" t="n">
        <v>0.008591</v>
      </c>
      <c r="K354" s="96" t="n">
        <v>16</v>
      </c>
      <c r="L354" s="95" t="inlineStr">
        <is>
          <t>20260730</t>
        </is>
      </c>
      <c r="M354" s="95" t="inlineStr">
        <is>
          <t>제외</t>
        </is>
      </c>
      <c r="N354" s="95" t="inlineStr">
        <is>
          <t>변동성 59.4%(1년 기준, 기준 35% 초과)</t>
        </is>
      </c>
      <c r="O354" s="95" t="inlineStr">
        <is>
          <t>FnGuide TOP10 지수</t>
        </is>
      </c>
      <c r="P354" s="95" t="inlineStr">
        <is>
          <t>일반</t>
        </is>
      </c>
      <c r="Q354" s="95" t="inlineStr">
        <is>
          <t>주식</t>
        </is>
      </c>
      <c r="R354" s="95" t="inlineStr">
        <is>
          <t>분기배당</t>
        </is>
      </c>
      <c r="S354" s="96" t="n">
        <v>4</v>
      </c>
      <c r="T354">
        <f>IF(AND($J354&lt;&gt;"",OR(조회_주기="전체",$R354=조회_주기),$J354&gt;=조회_최소,$J354&lt;=조회_최대),1,0)</f>
        <v/>
      </c>
      <c r="U354">
        <f>IF($T354=1,$U353+1,$U353)</f>
        <v/>
      </c>
      <c r="V354">
        <f>IF(검색어="",1,IF(ISNUMBER(SEARCH(검색어,$A354)),1,0))</f>
        <v/>
      </c>
      <c r="W354">
        <f>IF($V354=1,$W353+1,$W353)</f>
        <v/>
      </c>
      <c r="X354">
        <f>IFERROR(INDEX($A$4:$A$517,MATCH(351,$W$4:$W$517,0)),"")</f>
        <v/>
      </c>
    </row>
    <row r="355">
      <c r="A355" s="95" t="inlineStr">
        <is>
          <t>TIGER 200 중공업</t>
        </is>
      </c>
      <c r="B355" s="95" t="inlineStr">
        <is>
          <t>139230</t>
        </is>
      </c>
      <c r="C355" s="95" t="inlineStr">
        <is>
          <t>미래에셋자산운용</t>
        </is>
      </c>
      <c r="D355" s="96" t="n">
        <v>13260</v>
      </c>
      <c r="E355" s="96" t="n">
        <v>258835200000</v>
      </c>
      <c r="F355" s="96" t="n">
        <v>3455750770</v>
      </c>
      <c r="G355" s="97" t="n">
        <v>0.004</v>
      </c>
      <c r="H355" s="97" t="n">
        <v>0.5297999999999999</v>
      </c>
      <c r="I355" s="97" t="n">
        <v>0.008</v>
      </c>
      <c r="J355" s="97" t="n">
        <v>0.008522</v>
      </c>
      <c r="K355" s="96" t="n">
        <v>6</v>
      </c>
      <c r="L355" s="95" t="inlineStr">
        <is>
          <t>20260730</t>
        </is>
      </c>
      <c r="M355" s="95" t="inlineStr">
        <is>
          <t>제외</t>
        </is>
      </c>
      <c r="N355" s="95" t="inlineStr">
        <is>
          <t>변동성 53.0%(1년 기준, 기준 35% 초과)</t>
        </is>
      </c>
      <c r="O355" s="95" t="inlineStr">
        <is>
          <t>K200중공업</t>
        </is>
      </c>
      <c r="P355" s="95" t="inlineStr">
        <is>
          <t>일반</t>
        </is>
      </c>
      <c r="Q355" s="95" t="inlineStr">
        <is>
          <t>주식</t>
        </is>
      </c>
      <c r="R355" s="95" t="inlineStr">
        <is>
          <t>연배당</t>
        </is>
      </c>
      <c r="S355" s="96" t="n">
        <v>2</v>
      </c>
      <c r="T355">
        <f>IF(AND($J355&lt;&gt;"",OR(조회_주기="전체",$R355=조회_주기),$J355&gt;=조회_최소,$J355&lt;=조회_최대),1,0)</f>
        <v/>
      </c>
      <c r="U355">
        <f>IF($T355=1,$U354+1,$U354)</f>
        <v/>
      </c>
      <c r="V355">
        <f>IF(검색어="",1,IF(ISNUMBER(SEARCH(검색어,$A355)),1,0))</f>
        <v/>
      </c>
      <c r="W355">
        <f>IF($V355=1,$W354+1,$W354)</f>
        <v/>
      </c>
      <c r="X355">
        <f>IFERROR(INDEX($A$4:$A$517,MATCH(352,$W$4:$W$517,0)),"")</f>
        <v/>
      </c>
    </row>
    <row r="356">
      <c r="A356" s="95" t="inlineStr">
        <is>
          <t>KODEX 200액티브</t>
        </is>
      </c>
      <c r="B356" s="95" t="inlineStr">
        <is>
          <t>494890</t>
        </is>
      </c>
      <c r="C356" s="95" t="inlineStr">
        <is>
          <t>삼성자산운용(ETF)</t>
        </is>
      </c>
      <c r="D356" s="96" t="n">
        <v>30625</v>
      </c>
      <c r="E356" s="96" t="n">
        <v>1032062500000</v>
      </c>
      <c r="F356" s="96" t="n">
        <v>18034192053</v>
      </c>
      <c r="G356" s="97" t="n">
        <v>0.0015</v>
      </c>
      <c r="H356" s="97" t="n">
        <v>0.5889</v>
      </c>
      <c r="I356" s="97" t="n">
        <v>0.0021</v>
      </c>
      <c r="J356" s="97" t="n">
        <v>0.008424000000000001</v>
      </c>
      <c r="K356" s="96" t="n">
        <v>6</v>
      </c>
      <c r="L356" s="95" t="inlineStr">
        <is>
          <t>20260730</t>
        </is>
      </c>
      <c r="M356" s="95" t="inlineStr">
        <is>
          <t>제외</t>
        </is>
      </c>
      <c r="N356" s="95" t="inlineStr">
        <is>
          <t>변동성 58.9%(1년 기준, 기준 35% 초과)</t>
        </is>
      </c>
      <c r="O356" s="95" t="inlineStr">
        <is>
          <t>KOSPI 200</t>
        </is>
      </c>
      <c r="P356" s="95" t="inlineStr">
        <is>
          <t>일반</t>
        </is>
      </c>
      <c r="Q356" s="95" t="inlineStr">
        <is>
          <t>주식</t>
        </is>
      </c>
      <c r="R356" s="95" t="inlineStr">
        <is>
          <t>분기배당</t>
        </is>
      </c>
      <c r="S356" s="96" t="n">
        <v>4</v>
      </c>
      <c r="T356">
        <f>IF(AND($J356&lt;&gt;"",OR(조회_주기="전체",$R356=조회_주기),$J356&gt;=조회_최소,$J356&lt;=조회_최대),1,0)</f>
        <v/>
      </c>
      <c r="U356">
        <f>IF($T356=1,$U355+1,$U355)</f>
        <v/>
      </c>
      <c r="V356">
        <f>IF(검색어="",1,IF(ISNUMBER(SEARCH(검색어,$A356)),1,0))</f>
        <v/>
      </c>
      <c r="W356">
        <f>IF($V356=1,$W355+1,$W355)</f>
        <v/>
      </c>
      <c r="X356">
        <f>IFERROR(INDEX($A$4:$A$517,MATCH(353,$W$4:$W$517,0)),"")</f>
        <v/>
      </c>
    </row>
    <row r="357">
      <c r="A357" s="95" t="inlineStr">
        <is>
          <t>DAISHIN K200</t>
        </is>
      </c>
      <c r="B357" s="95" t="inlineStr">
        <is>
          <t>434960</t>
        </is>
      </c>
      <c r="C357" s="95" t="inlineStr">
        <is>
          <t>대신자산운용</t>
        </is>
      </c>
      <c r="D357" s="96" t="n">
        <v>107150</v>
      </c>
      <c r="E357" s="96" t="n">
        <v>64290000000</v>
      </c>
      <c r="F357" s="96" t="n">
        <v>347294483</v>
      </c>
      <c r="G357" s="97" t="n">
        <v>0.001</v>
      </c>
      <c r="H357" s="97" t="n">
        <v>0.5857</v>
      </c>
      <c r="I357" s="97" t="n">
        <v>0.0013</v>
      </c>
      <c r="J357" s="97" t="n">
        <v>0.008399</v>
      </c>
      <c r="K357" s="96" t="n">
        <v>16</v>
      </c>
      <c r="L357" s="95" t="inlineStr">
        <is>
          <t>20260730</t>
        </is>
      </c>
      <c r="M357" s="95" t="inlineStr">
        <is>
          <t>제외</t>
        </is>
      </c>
      <c r="N357" s="95" t="inlineStr">
        <is>
          <t>60일 거래대금 3.5억(기준 5억 미만), 변동성 58.6%(1년 기준, 기준 35% 초과)</t>
        </is>
      </c>
      <c r="O357" s="95" t="inlineStr">
        <is>
          <t>KOSPI 200</t>
        </is>
      </c>
      <c r="P357" s="95" t="inlineStr">
        <is>
          <t>일반</t>
        </is>
      </c>
      <c r="Q357" s="95" t="inlineStr">
        <is>
          <t>주식</t>
        </is>
      </c>
      <c r="R357" s="95" t="inlineStr">
        <is>
          <t>분기배당</t>
        </is>
      </c>
      <c r="S357" s="96" t="n">
        <v>4</v>
      </c>
      <c r="T357">
        <f>IF(AND($J357&lt;&gt;"",OR(조회_주기="전체",$R357=조회_주기),$J357&gt;=조회_최소,$J357&lt;=조회_최대),1,0)</f>
        <v/>
      </c>
      <c r="U357">
        <f>IF($T357=1,$U356+1,$U356)</f>
        <v/>
      </c>
      <c r="V357">
        <f>IF(검색어="",1,IF(ISNUMBER(SEARCH(검색어,$A357)),1,0))</f>
        <v/>
      </c>
      <c r="W357">
        <f>IF($V357=1,$W356+1,$W356)</f>
        <v/>
      </c>
      <c r="X357">
        <f>IFERROR(INDEX($A$4:$A$517,MATCH(354,$W$4:$W$517,0)),"")</f>
        <v/>
      </c>
    </row>
    <row r="358">
      <c r="A358" s="95" t="inlineStr">
        <is>
          <t>TIGER 차이나휴머노이드로봇</t>
        </is>
      </c>
      <c r="B358" s="95" t="inlineStr">
        <is>
          <t>0053L0</t>
        </is>
      </c>
      <c r="C358" s="95" t="inlineStr">
        <is>
          <t>미래에셋자산운용</t>
        </is>
      </c>
      <c r="D358" s="96" t="n">
        <v>9060</v>
      </c>
      <c r="E358" s="96" t="n">
        <v>243714000000</v>
      </c>
      <c r="F358" s="96" t="n">
        <v>5370299687</v>
      </c>
      <c r="G358" s="97" t="n">
        <v>0.0049</v>
      </c>
      <c r="H358" s="97" t="n">
        <v>0.3778</v>
      </c>
      <c r="I358" s="97" t="n">
        <v>0.0037</v>
      </c>
      <c r="J358" s="97" t="n">
        <v>0.008389000000000001</v>
      </c>
      <c r="K358" s="96" t="n">
        <v>5</v>
      </c>
      <c r="L358" s="95" t="inlineStr">
        <is>
          <t>20260730</t>
        </is>
      </c>
      <c r="M358" s="95" t="inlineStr">
        <is>
          <t>제외</t>
        </is>
      </c>
      <c r="N358" s="95" t="inlineStr">
        <is>
          <t>변동성 37.8%(1년 기준, 기준 35% 초과)</t>
        </is>
      </c>
      <c r="O358" s="95" t="inlineStr">
        <is>
          <t>Mirae Asset China Humanoid Robot Index</t>
        </is>
      </c>
      <c r="P358" s="95" t="inlineStr">
        <is>
          <t>일반</t>
        </is>
      </c>
      <c r="Q358" s="95" t="inlineStr">
        <is>
          <t>주식</t>
        </is>
      </c>
      <c r="R358" s="95" t="inlineStr">
        <is>
          <t>분기배당</t>
        </is>
      </c>
      <c r="S358" s="96" t="n">
        <v>4</v>
      </c>
      <c r="T358">
        <f>IF(AND($J358&lt;&gt;"",OR(조회_주기="전체",$R358=조회_주기),$J358&gt;=조회_최소,$J358&lt;=조회_최대),1,0)</f>
        <v/>
      </c>
      <c r="U358">
        <f>IF($T358=1,$U357+1,$U357)</f>
        <v/>
      </c>
      <c r="V358">
        <f>IF(검색어="",1,IF(ISNUMBER(SEARCH(검색어,$A358)),1,0))</f>
        <v/>
      </c>
      <c r="W358">
        <f>IF($V358=1,$W357+1,$W357)</f>
        <v/>
      </c>
      <c r="X358">
        <f>IFERROR(INDEX($A$4:$A$517,MATCH(355,$W$4:$W$517,0)),"")</f>
        <v/>
      </c>
    </row>
    <row r="359">
      <c r="A359" s="95" t="inlineStr">
        <is>
          <t>KODEX 탄소효율그린뉴딜</t>
        </is>
      </c>
      <c r="B359" s="95" t="inlineStr">
        <is>
          <t>375770</t>
        </is>
      </c>
      <c r="C359" s="95" t="inlineStr">
        <is>
          <t>삼성자산운용(ETF)</t>
        </is>
      </c>
      <c r="D359" s="96" t="n">
        <v>24210</v>
      </c>
      <c r="E359" s="96" t="n">
        <v>43578000000</v>
      </c>
      <c r="F359" s="96" t="n">
        <v>27952753</v>
      </c>
      <c r="G359" s="97" t="n">
        <v>0.0009</v>
      </c>
      <c r="H359" s="97" t="n">
        <v>0.5414</v>
      </c>
      <c r="I359" s="97" t="n">
        <v>0.0023</v>
      </c>
      <c r="J359" s="97" t="n">
        <v>0.008385</v>
      </c>
      <c r="K359" s="96" t="n">
        <v>7</v>
      </c>
      <c r="L359" s="95" t="inlineStr">
        <is>
          <t>20260730</t>
        </is>
      </c>
      <c r="M359" s="95" t="inlineStr">
        <is>
          <t>제외</t>
        </is>
      </c>
      <c r="N359" s="95" t="inlineStr">
        <is>
          <t>60일 거래대금 0.3억(기준 5억 미만), 변동성 54.1%(1년 기준, 기준 35% 초과)</t>
        </is>
      </c>
      <c r="O359" s="95" t="inlineStr">
        <is>
          <t>KRX/S&amp;P 탄소효율 그린뉴딜지수</t>
        </is>
      </c>
      <c r="P359" s="95" t="inlineStr">
        <is>
          <t>일반</t>
        </is>
      </c>
      <c r="Q359" s="95" t="inlineStr">
        <is>
          <t>주식</t>
        </is>
      </c>
      <c r="R359" s="95" t="inlineStr">
        <is>
          <t>분기배당</t>
        </is>
      </c>
      <c r="S359" s="96" t="n">
        <v>3</v>
      </c>
      <c r="T359">
        <f>IF(AND($J359&lt;&gt;"",OR(조회_주기="전체",$R359=조회_주기),$J359&gt;=조회_최소,$J359&lt;=조회_최대),1,0)</f>
        <v/>
      </c>
      <c r="U359">
        <f>IF($T359=1,$U358+1,$U358)</f>
        <v/>
      </c>
      <c r="V359">
        <f>IF(검색어="",1,IF(ISNUMBER(SEARCH(검색어,$A359)),1,0))</f>
        <v/>
      </c>
      <c r="W359">
        <f>IF($V359=1,$W358+1,$W358)</f>
        <v/>
      </c>
      <c r="X359">
        <f>IFERROR(INDEX($A$4:$A$517,MATCH(356,$W$4:$W$517,0)),"")</f>
        <v/>
      </c>
    </row>
    <row r="360">
      <c r="A360" s="95" t="inlineStr">
        <is>
          <t>HANARO 200</t>
        </is>
      </c>
      <c r="B360" s="95" t="inlineStr">
        <is>
          <t>293180</t>
        </is>
      </c>
      <c r="C360" s="95" t="inlineStr">
        <is>
          <t>NH-Amundi자산운용</t>
        </is>
      </c>
      <c r="D360" s="96" t="n">
        <v>106565</v>
      </c>
      <c r="E360" s="96" t="n">
        <v>420931750000</v>
      </c>
      <c r="F360" s="96" t="n">
        <v>8747241044</v>
      </c>
      <c r="G360" s="97" t="n">
        <v>0.00036</v>
      </c>
      <c r="H360" s="97" t="n">
        <v>0.5839</v>
      </c>
      <c r="I360" s="97" t="n">
        <v>0.002</v>
      </c>
      <c r="J360" s="97" t="n">
        <v>0.008352</v>
      </c>
      <c r="K360" s="96" t="n">
        <v>20</v>
      </c>
      <c r="L360" s="95" t="inlineStr">
        <is>
          <t>20260730</t>
        </is>
      </c>
      <c r="M360" s="95" t="inlineStr">
        <is>
          <t>제외</t>
        </is>
      </c>
      <c r="N360" s="95" t="inlineStr">
        <is>
          <t>변동성 58.4%(1년 기준, 기준 35% 초과)</t>
        </is>
      </c>
      <c r="O360" s="95" t="inlineStr">
        <is>
          <t>KOSPI 200</t>
        </is>
      </c>
      <c r="P360" s="95" t="inlineStr">
        <is>
          <t>일반</t>
        </is>
      </c>
      <c r="Q360" s="95" t="inlineStr">
        <is>
          <t>주식</t>
        </is>
      </c>
      <c r="R360" s="95" t="inlineStr">
        <is>
          <t>분기배당</t>
        </is>
      </c>
      <c r="S360" s="96" t="n">
        <v>4</v>
      </c>
      <c r="T360">
        <f>IF(AND($J360&lt;&gt;"",OR(조회_주기="전체",$R360=조회_주기),$J360&gt;=조회_최소,$J360&lt;=조회_최대),1,0)</f>
        <v/>
      </c>
      <c r="U360">
        <f>IF($T360=1,$U359+1,$U359)</f>
        <v/>
      </c>
      <c r="V360">
        <f>IF(검색어="",1,IF(ISNUMBER(SEARCH(검색어,$A360)),1,0))</f>
        <v/>
      </c>
      <c r="W360">
        <f>IF($V360=1,$W359+1,$W359)</f>
        <v/>
      </c>
      <c r="X360">
        <f>IFERROR(INDEX($A$4:$A$517,MATCH(357,$W$4:$W$517,0)),"")</f>
        <v/>
      </c>
    </row>
    <row r="361">
      <c r="A361" s="95" t="inlineStr">
        <is>
          <t>TIGER 조선TOP10</t>
        </is>
      </c>
      <c r="B361" s="95" t="inlineStr">
        <is>
          <t>494670</t>
        </is>
      </c>
      <c r="C361" s="95" t="inlineStr">
        <is>
          <t>미래에셋자산운용</t>
        </is>
      </c>
      <c r="D361" s="96" t="n">
        <v>22250</v>
      </c>
      <c r="E361" s="96" t="n">
        <v>568487500000</v>
      </c>
      <c r="F361" s="96" t="n">
        <v>19911694424</v>
      </c>
      <c r="G361" s="97" t="n">
        <v>0.0035</v>
      </c>
      <c r="H361" s="97" t="n">
        <v>0.5432</v>
      </c>
      <c r="I361" s="97" t="n">
        <v>0.004</v>
      </c>
      <c r="J361" s="97" t="n">
        <v>0.008314999999999999</v>
      </c>
      <c r="K361" s="96" t="n">
        <v>3</v>
      </c>
      <c r="L361" s="95" t="inlineStr">
        <is>
          <t>20260429</t>
        </is>
      </c>
      <c r="M361" s="95" t="inlineStr">
        <is>
          <t>제외</t>
        </is>
      </c>
      <c r="N361" s="95" t="inlineStr">
        <is>
          <t>변동성 54.3%(1년 기준, 기준 35% 초과)</t>
        </is>
      </c>
      <c r="O361" s="95" t="inlineStr">
        <is>
          <t>iSelect 조선 TOP10 지수</t>
        </is>
      </c>
      <c r="P361" s="95" t="inlineStr">
        <is>
          <t>일반</t>
        </is>
      </c>
      <c r="Q361" s="95" t="inlineStr">
        <is>
          <t>주식</t>
        </is>
      </c>
      <c r="R361" s="95" t="inlineStr">
        <is>
          <t>연배당</t>
        </is>
      </c>
      <c r="S361" s="96" t="n">
        <v>2</v>
      </c>
      <c r="T361">
        <f>IF(AND($J361&lt;&gt;"",OR(조회_주기="전체",$R361=조회_주기),$J361&gt;=조회_최소,$J361&lt;=조회_최대),1,0)</f>
        <v/>
      </c>
      <c r="U361">
        <f>IF($T361=1,$U360+1,$U360)</f>
        <v/>
      </c>
      <c r="V361">
        <f>IF(검색어="",1,IF(ISNUMBER(SEARCH(검색어,$A361)),1,0))</f>
        <v/>
      </c>
      <c r="W361">
        <f>IF($V361=1,$W360+1,$W360)</f>
        <v/>
      </c>
      <c r="X361">
        <f>IFERROR(INDEX($A$4:$A$517,MATCH(358,$W$4:$W$517,0)),"")</f>
        <v/>
      </c>
    </row>
    <row r="362">
      <c r="A362" s="95" t="inlineStr">
        <is>
          <t>KODEX 코스피100</t>
        </is>
      </c>
      <c r="B362" s="95" t="inlineStr">
        <is>
          <t>237350</t>
        </is>
      </c>
      <c r="C362" s="95" t="inlineStr">
        <is>
          <t>삼성자산운용(ETF)</t>
        </is>
      </c>
      <c r="D362" s="96" t="n">
        <v>84855</v>
      </c>
      <c r="E362" s="96" t="n">
        <v>920676750000</v>
      </c>
      <c r="F362" s="96" t="n">
        <v>36374932280</v>
      </c>
      <c r="G362" s="97" t="n">
        <v>0.0015</v>
      </c>
      <c r="H362" s="97" t="n">
        <v>0.5942000000000001</v>
      </c>
      <c r="I362" s="97" t="n">
        <v>0.0019</v>
      </c>
      <c r="J362" s="97" t="n">
        <v>0.008273000000000001</v>
      </c>
      <c r="K362" s="96" t="n">
        <v>6</v>
      </c>
      <c r="L362" s="95" t="inlineStr">
        <is>
          <t>20260730</t>
        </is>
      </c>
      <c r="M362" s="95" t="inlineStr">
        <is>
          <t>제외</t>
        </is>
      </c>
      <c r="N362" s="95" t="inlineStr">
        <is>
          <t>변동성 59.4%(1년 기준, 기준 35% 초과)</t>
        </is>
      </c>
      <c r="O362" s="95" t="inlineStr">
        <is>
          <t>KOSPI 100</t>
        </is>
      </c>
      <c r="P362" s="95" t="inlineStr">
        <is>
          <t>일반</t>
        </is>
      </c>
      <c r="Q362" s="95" t="inlineStr">
        <is>
          <t>주식</t>
        </is>
      </c>
      <c r="R362" s="95" t="inlineStr">
        <is>
          <t>연배당</t>
        </is>
      </c>
      <c r="S362" s="96" t="n">
        <v>2</v>
      </c>
      <c r="T362">
        <f>IF(AND($J362&lt;&gt;"",OR(조회_주기="전체",$R362=조회_주기),$J362&gt;=조회_최소,$J362&lt;=조회_최대),1,0)</f>
        <v/>
      </c>
      <c r="U362">
        <f>IF($T362=1,$U361+1,$U361)</f>
        <v/>
      </c>
      <c r="V362">
        <f>IF(검색어="",1,IF(ISNUMBER(SEARCH(검색어,$A362)),1,0))</f>
        <v/>
      </c>
      <c r="W362">
        <f>IF($V362=1,$W361+1,$W361)</f>
        <v/>
      </c>
      <c r="X362">
        <f>IFERROR(INDEX($A$4:$A$517,MATCH(359,$W$4:$W$517,0)),"")</f>
        <v/>
      </c>
    </row>
    <row r="363">
      <c r="A363" s="95" t="inlineStr">
        <is>
          <t>TIGER 200 건설</t>
        </is>
      </c>
      <c r="B363" s="95" t="inlineStr">
        <is>
          <t>139220</t>
        </is>
      </c>
      <c r="C363" s="95" t="inlineStr">
        <is>
          <t>미래에셋자산운용</t>
        </is>
      </c>
      <c r="D363" s="96" t="n">
        <v>8085</v>
      </c>
      <c r="E363" s="96" t="n">
        <v>136313100000</v>
      </c>
      <c r="F363" s="96" t="n">
        <v>6838753889</v>
      </c>
      <c r="G363" s="97" t="n">
        <v>0.004</v>
      </c>
      <c r="H363" s="97" t="n">
        <v>0.5986</v>
      </c>
      <c r="I363" s="97" t="n">
        <v>0.0062</v>
      </c>
      <c r="J363" s="97" t="n">
        <v>0.00804</v>
      </c>
      <c r="K363" s="96" t="n">
        <v>5</v>
      </c>
      <c r="L363" s="95" t="inlineStr">
        <is>
          <t>20260429</t>
        </is>
      </c>
      <c r="M363" s="95" t="inlineStr">
        <is>
          <t>제외</t>
        </is>
      </c>
      <c r="N363" s="95" t="inlineStr">
        <is>
          <t>변동성 59.9%(1년 기준, 기준 35% 초과)</t>
        </is>
      </c>
      <c r="O363" s="95" t="inlineStr">
        <is>
          <t>K200건설</t>
        </is>
      </c>
      <c r="P363" s="95" t="inlineStr">
        <is>
          <t>일반</t>
        </is>
      </c>
      <c r="Q363" s="95" t="inlineStr">
        <is>
          <t>주식</t>
        </is>
      </c>
      <c r="R363" s="95" t="inlineStr">
        <is>
          <t>연배당</t>
        </is>
      </c>
      <c r="S363" s="96" t="n">
        <v>1</v>
      </c>
      <c r="T363">
        <f>IF(AND($J363&lt;&gt;"",OR(조회_주기="전체",$R363=조회_주기),$J363&gt;=조회_최소,$J363&lt;=조회_최대),1,0)</f>
        <v/>
      </c>
      <c r="U363">
        <f>IF($T363=1,$U362+1,$U362)</f>
        <v/>
      </c>
      <c r="V363">
        <f>IF(검색어="",1,IF(ISNUMBER(SEARCH(검색어,$A363)),1,0))</f>
        <v/>
      </c>
      <c r="W363">
        <f>IF($V363=1,$W362+1,$W362)</f>
        <v/>
      </c>
      <c r="X363">
        <f>IFERROR(INDEX($A$4:$A$517,MATCH(360,$W$4:$W$517,0)),"")</f>
        <v/>
      </c>
    </row>
    <row r="364">
      <c r="A364" s="95" t="inlineStr">
        <is>
          <t>파워 코스피100</t>
        </is>
      </c>
      <c r="B364" s="95" t="inlineStr">
        <is>
          <t>140950</t>
        </is>
      </c>
      <c r="C364" s="95" t="inlineStr">
        <is>
          <t>교보악사자산운용</t>
        </is>
      </c>
      <c r="D364" s="96" t="n">
        <v>83600</v>
      </c>
      <c r="E364" s="96" t="n">
        <v>46816000000</v>
      </c>
      <c r="F364" s="96" t="n">
        <v>215565485</v>
      </c>
      <c r="G364" s="97" t="n">
        <v>0.00155</v>
      </c>
      <c r="H364" s="97" t="n">
        <v>0.5942000000000001</v>
      </c>
      <c r="I364" s="97" t="n">
        <v>0.001</v>
      </c>
      <c r="J364" s="97" t="n">
        <v>0.008014</v>
      </c>
      <c r="K364" s="96" t="n">
        <v>14</v>
      </c>
      <c r="L364" s="95" t="inlineStr">
        <is>
          <t>20260730</t>
        </is>
      </c>
      <c r="M364" s="95" t="inlineStr">
        <is>
          <t>제외</t>
        </is>
      </c>
      <c r="N364" s="95" t="inlineStr">
        <is>
          <t>60일 거래대금 2.2억(기준 5억 미만), 변동성 59.4%(1년 기준, 기준 35% 초과)</t>
        </is>
      </c>
      <c r="O364" s="95" t="inlineStr">
        <is>
          <t>KOSPI 100</t>
        </is>
      </c>
      <c r="P364" s="95" t="inlineStr">
        <is>
          <t>일반</t>
        </is>
      </c>
      <c r="Q364" s="95" t="inlineStr">
        <is>
          <t>주식</t>
        </is>
      </c>
      <c r="R364" s="95" t="inlineStr">
        <is>
          <t>분기배당</t>
        </is>
      </c>
      <c r="S364" s="96" t="n">
        <v>3</v>
      </c>
      <c r="T364">
        <f>IF(AND($J364&lt;&gt;"",OR(조회_주기="전체",$R364=조회_주기),$J364&gt;=조회_최소,$J364&lt;=조회_최대),1,0)</f>
        <v/>
      </c>
      <c r="U364">
        <f>IF($T364=1,$U363+1,$U363)</f>
        <v/>
      </c>
      <c r="V364">
        <f>IF(검색어="",1,IF(ISNUMBER(SEARCH(검색어,$A364)),1,0))</f>
        <v/>
      </c>
      <c r="W364">
        <f>IF($V364=1,$W363+1,$W363)</f>
        <v/>
      </c>
      <c r="X364">
        <f>IFERROR(INDEX($A$4:$A$517,MATCH(361,$W$4:$W$517,0)),"")</f>
        <v/>
      </c>
    </row>
    <row r="365">
      <c r="A365" s="95" t="inlineStr">
        <is>
          <t>KODEX 200</t>
        </is>
      </c>
      <c r="B365" s="95" t="inlineStr">
        <is>
          <t>069500</t>
        </is>
      </c>
      <c r="C365" s="95" t="inlineStr">
        <is>
          <t>삼성자산운용(ETF)</t>
        </is>
      </c>
      <c r="D365" s="96" t="n">
        <v>106280</v>
      </c>
      <c r="E365" s="96" t="n">
        <v>24646332000000</v>
      </c>
      <c r="F365" s="96" t="n">
        <v>2517426194404</v>
      </c>
      <c r="G365" s="97" t="n">
        <v>0.0015</v>
      </c>
      <c r="H365" s="97" t="n">
        <v>0.5844</v>
      </c>
      <c r="I365" s="97" t="n">
        <v>0.002</v>
      </c>
      <c r="J365" s="97" t="n">
        <v>0.007988</v>
      </c>
      <c r="K365" s="96" t="n">
        <v>20</v>
      </c>
      <c r="L365" s="95" t="inlineStr">
        <is>
          <t>20260730</t>
        </is>
      </c>
      <c r="M365" s="95" t="inlineStr">
        <is>
          <t>제외</t>
        </is>
      </c>
      <c r="N365" s="95" t="inlineStr">
        <is>
          <t>변동성 58.4%(1년 기준, 기준 35% 초과)</t>
        </is>
      </c>
      <c r="O365" s="95" t="inlineStr">
        <is>
          <t>KOSPI 200</t>
        </is>
      </c>
      <c r="P365" s="95" t="inlineStr">
        <is>
          <t>일반</t>
        </is>
      </c>
      <c r="Q365" s="95" t="inlineStr">
        <is>
          <t>주식</t>
        </is>
      </c>
      <c r="R365" s="95" t="inlineStr">
        <is>
          <t>분기배당</t>
        </is>
      </c>
      <c r="S365" s="96" t="n">
        <v>4</v>
      </c>
      <c r="T365">
        <f>IF(AND($J365&lt;&gt;"",OR(조회_주기="전체",$R365=조회_주기),$J365&gt;=조회_최소,$J365&lt;=조회_최대),1,0)</f>
        <v/>
      </c>
      <c r="U365">
        <f>IF($T365=1,$U364+1,$U364)</f>
        <v/>
      </c>
      <c r="V365">
        <f>IF(검색어="",1,IF(ISNUMBER(SEARCH(검색어,$A365)),1,0))</f>
        <v/>
      </c>
      <c r="W365">
        <f>IF($V365=1,$W364+1,$W364)</f>
        <v/>
      </c>
      <c r="X365">
        <f>IFERROR(INDEX($A$4:$A$517,MATCH(362,$W$4:$W$517,0)),"")</f>
        <v/>
      </c>
    </row>
    <row r="366">
      <c r="A366" s="95" t="inlineStr">
        <is>
          <t>RISE 코스닥150선물레버리지</t>
        </is>
      </c>
      <c r="B366" s="95" t="inlineStr">
        <is>
          <t>278240</t>
        </is>
      </c>
      <c r="C366" s="95" t="inlineStr">
        <is>
          <t>KB자산운용</t>
        </is>
      </c>
      <c r="D366" s="96" t="n">
        <v>7530</v>
      </c>
      <c r="E366" s="96" t="n">
        <v>53387700000</v>
      </c>
      <c r="F366" s="96" t="n">
        <v>1197405556</v>
      </c>
      <c r="G366" s="97" t="n">
        <v>0.0032</v>
      </c>
      <c r="H366" s="97" t="n">
        <v>1.1343</v>
      </c>
      <c r="I366" s="97" t="n">
        <v>0.0046</v>
      </c>
      <c r="J366" s="97" t="n">
        <v>0.007967999999999999</v>
      </c>
      <c r="K366" s="96" t="n">
        <v>1</v>
      </c>
      <c r="L366" s="95" t="inlineStr">
        <is>
          <t>20251229</t>
        </is>
      </c>
      <c r="M366" s="95" t="inlineStr">
        <is>
          <t>제외</t>
        </is>
      </c>
      <c r="N366" s="95" t="inlineStr">
        <is>
          <t>변동성 113.4%(1년 기준, 기준 35% 초과)</t>
        </is>
      </c>
      <c r="O366" s="95" t="inlineStr">
        <is>
          <t>코스닥150선물지수</t>
        </is>
      </c>
      <c r="P366" s="95" t="inlineStr">
        <is>
          <t>일반</t>
        </is>
      </c>
      <c r="Q366" s="95" t="inlineStr">
        <is>
          <t>주식</t>
        </is>
      </c>
      <c r="R366" s="95" t="inlineStr">
        <is>
          <t>연배당</t>
        </is>
      </c>
      <c r="S366" s="96" t="n">
        <v>1</v>
      </c>
      <c r="T366">
        <f>IF(AND($J366&lt;&gt;"",OR(조회_주기="전체",$R366=조회_주기),$J366&gt;=조회_최소,$J366&lt;=조회_최대),1,0)</f>
        <v/>
      </c>
      <c r="U366">
        <f>IF($T366=1,$U365+1,$U365)</f>
        <v/>
      </c>
      <c r="V366">
        <f>IF(검색어="",1,IF(ISNUMBER(SEARCH(검색어,$A366)),1,0))</f>
        <v/>
      </c>
      <c r="W366">
        <f>IF($V366=1,$W365+1,$W365)</f>
        <v/>
      </c>
      <c r="X366">
        <f>IFERROR(INDEX($A$4:$A$517,MATCH(363,$W$4:$W$517,0)),"")</f>
        <v/>
      </c>
    </row>
    <row r="367">
      <c r="A367" s="95" t="inlineStr">
        <is>
          <t>PLUS TDF2060액티브 적격</t>
        </is>
      </c>
      <c r="B367" s="95" t="inlineStr">
        <is>
          <t>433880</t>
        </is>
      </c>
      <c r="C367" s="95" t="inlineStr">
        <is>
          <t>한화자산운용</t>
        </is>
      </c>
      <c r="D367" s="96" t="n">
        <v>18230</v>
      </c>
      <c r="E367" s="96" t="n">
        <v>65810300000</v>
      </c>
      <c r="F367" s="96" t="n">
        <v>333106478</v>
      </c>
      <c r="G367" s="97" t="n">
        <v>0.002</v>
      </c>
      <c r="H367" s="97" t="n">
        <v>0.1221</v>
      </c>
      <c r="I367" s="97" t="n">
        <v>0.0021</v>
      </c>
      <c r="J367" s="97" t="n">
        <v>0.007953999999999999</v>
      </c>
      <c r="K367" s="96" t="n">
        <v>5</v>
      </c>
      <c r="L367" s="95" t="inlineStr">
        <is>
          <t>20260730</t>
        </is>
      </c>
      <c r="M367" s="95" t="inlineStr">
        <is>
          <t>제외</t>
        </is>
      </c>
      <c r="N367" s="95" t="inlineStr">
        <is>
          <t>60일 거래대금 3.3억(기준 5억 미만)</t>
        </is>
      </c>
      <c r="O367" s="95" t="inlineStr">
        <is>
          <t>Morningstar Korea Lifetime Allocation Moderate 2060 GR KRW</t>
        </is>
      </c>
      <c r="P367" s="95" t="inlineStr">
        <is>
          <t>일반</t>
        </is>
      </c>
      <c r="Q367" s="95" t="inlineStr">
        <is>
          <t>멀티에셋</t>
        </is>
      </c>
      <c r="R367" s="95" t="inlineStr">
        <is>
          <t>분기배당</t>
        </is>
      </c>
      <c r="S367" s="96" t="n">
        <v>4</v>
      </c>
      <c r="T367">
        <f>IF(AND($J367&lt;&gt;"",OR(조회_주기="전체",$R367=조회_주기),$J367&gt;=조회_최소,$J367&lt;=조회_최대),1,0)</f>
        <v/>
      </c>
      <c r="U367">
        <f>IF($T367=1,$U366+1,$U366)</f>
        <v/>
      </c>
      <c r="V367">
        <f>IF(검색어="",1,IF(ISNUMBER(SEARCH(검색어,$A367)),1,0))</f>
        <v/>
      </c>
      <c r="W367">
        <f>IF($V367=1,$W366+1,$W366)</f>
        <v/>
      </c>
      <c r="X367">
        <f>IFERROR(INDEX($A$4:$A$517,MATCH(364,$W$4:$W$517,0)),"")</f>
        <v/>
      </c>
    </row>
    <row r="368">
      <c r="A368" s="95" t="inlineStr">
        <is>
          <t>TIGER 소프트웨어</t>
        </is>
      </c>
      <c r="B368" s="95" t="inlineStr">
        <is>
          <t>157490</t>
        </is>
      </c>
      <c r="C368" s="95" t="inlineStr">
        <is>
          <t>미래에셋자산운용</t>
        </is>
      </c>
      <c r="D368" s="96" t="n">
        <v>7865</v>
      </c>
      <c r="E368" s="96" t="n">
        <v>73144500000</v>
      </c>
      <c r="F368" s="96" t="n">
        <v>1687623853</v>
      </c>
      <c r="G368" s="97" t="n">
        <v>0.004</v>
      </c>
      <c r="H368" s="97" t="n">
        <v>0.4194</v>
      </c>
      <c r="I368" s="97" t="n">
        <v>0.006500000000000001</v>
      </c>
      <c r="J368" s="97" t="n">
        <v>0.007882999999999999</v>
      </c>
      <c r="K368" s="96" t="n">
        <v>5</v>
      </c>
      <c r="L368" s="95" t="inlineStr">
        <is>
          <t>20260429</t>
        </is>
      </c>
      <c r="M368" s="95" t="inlineStr">
        <is>
          <t>제외</t>
        </is>
      </c>
      <c r="N368" s="95" t="inlineStr">
        <is>
          <t>변동성 41.9%(1년 기준, 기준 35% 초과)</t>
        </is>
      </c>
      <c r="O368" s="95" t="inlineStr">
        <is>
          <t>FnGuide 소프트웨어</t>
        </is>
      </c>
      <c r="P368" s="95" t="inlineStr">
        <is>
          <t>일반</t>
        </is>
      </c>
      <c r="Q368" s="95" t="inlineStr">
        <is>
          <t>주식</t>
        </is>
      </c>
      <c r="R368" s="95" t="inlineStr">
        <is>
          <t>연배당</t>
        </is>
      </c>
      <c r="S368" s="96" t="n">
        <v>1</v>
      </c>
      <c r="T368">
        <f>IF(AND($J368&lt;&gt;"",OR(조회_주기="전체",$R368=조회_주기),$J368&gt;=조회_최소,$J368&lt;=조회_최대),1,0)</f>
        <v/>
      </c>
      <c r="U368">
        <f>IF($T368=1,$U367+1,$U367)</f>
        <v/>
      </c>
      <c r="V368">
        <f>IF(검색어="",1,IF(ISNUMBER(SEARCH(검색어,$A368)),1,0))</f>
        <v/>
      </c>
      <c r="W368">
        <f>IF($V368=1,$W367+1,$W367)</f>
        <v/>
      </c>
      <c r="X368">
        <f>IFERROR(INDEX($A$4:$A$517,MATCH(365,$W$4:$W$517,0)),"")</f>
        <v/>
      </c>
    </row>
    <row r="369">
      <c r="A369" s="95" t="inlineStr">
        <is>
          <t>KODEX 코스피대형주</t>
        </is>
      </c>
      <c r="B369" s="95" t="inlineStr">
        <is>
          <t>337140</t>
        </is>
      </c>
      <c r="C369" s="95" t="inlineStr">
        <is>
          <t>삼성자산운용(ETF)</t>
        </is>
      </c>
      <c r="D369" s="96" t="n">
        <v>35300</v>
      </c>
      <c r="E369" s="96" t="n">
        <v>77660000000</v>
      </c>
      <c r="F369" s="96" t="n">
        <v>1631709578</v>
      </c>
      <c r="G369" s="97" t="n">
        <v>0.0015</v>
      </c>
      <c r="H369" s="97" t="n">
        <v>0.5661999999999999</v>
      </c>
      <c r="I369" s="97" t="n">
        <v>0.002</v>
      </c>
      <c r="J369" s="97" t="n">
        <v>0.00779</v>
      </c>
      <c r="K369" s="96" t="n">
        <v>6</v>
      </c>
      <c r="L369" s="95" t="inlineStr">
        <is>
          <t>20260730</t>
        </is>
      </c>
      <c r="M369" s="95" t="inlineStr">
        <is>
          <t>제외</t>
        </is>
      </c>
      <c r="N369" s="95" t="inlineStr">
        <is>
          <t>변동성 56.6%(1년 기준, 기준 35% 초과)</t>
        </is>
      </c>
      <c r="O369" s="95" t="inlineStr">
        <is>
          <t>대형주</t>
        </is>
      </c>
      <c r="P369" s="95" t="inlineStr">
        <is>
          <t>일반</t>
        </is>
      </c>
      <c r="Q369" s="95" t="inlineStr">
        <is>
          <t>주식</t>
        </is>
      </c>
      <c r="R369" s="95" t="inlineStr">
        <is>
          <t>연배당</t>
        </is>
      </c>
      <c r="S369" s="96" t="n">
        <v>2</v>
      </c>
      <c r="T369">
        <f>IF(AND($J369&lt;&gt;"",OR(조회_주기="전체",$R369=조회_주기),$J369&gt;=조회_최소,$J369&lt;=조회_최대),1,0)</f>
        <v/>
      </c>
      <c r="U369">
        <f>IF($T369=1,$U368+1,$U368)</f>
        <v/>
      </c>
      <c r="V369">
        <f>IF(검색어="",1,IF(ISNUMBER(SEARCH(검색어,$A369)),1,0))</f>
        <v/>
      </c>
      <c r="W369">
        <f>IF($V369=1,$W368+1,$W368)</f>
        <v/>
      </c>
      <c r="X369">
        <f>IFERROR(INDEX($A$4:$A$517,MATCH(366,$W$4:$W$517,0)),"")</f>
        <v/>
      </c>
    </row>
    <row r="370">
      <c r="A370" s="95" t="inlineStr">
        <is>
          <t>TIGER 코스피</t>
        </is>
      </c>
      <c r="B370" s="95" t="inlineStr">
        <is>
          <t>277630</t>
        </is>
      </c>
      <c r="C370" s="95" t="inlineStr">
        <is>
          <t>미래에셋자산운용</t>
        </is>
      </c>
      <c r="D370" s="96" t="n">
        <v>69920</v>
      </c>
      <c r="E370" s="96" t="n">
        <v>576840000000</v>
      </c>
      <c r="F370" s="96" t="n">
        <v>9937571539</v>
      </c>
      <c r="G370" s="97" t="n">
        <v>0.0015</v>
      </c>
      <c r="H370" s="97" t="n">
        <v>0.5378000000000001</v>
      </c>
      <c r="I370" s="97" t="n">
        <v>0.001</v>
      </c>
      <c r="J370" s="97" t="n">
        <v>0.007652</v>
      </c>
      <c r="K370" s="96" t="n">
        <v>15</v>
      </c>
      <c r="L370" s="95" t="inlineStr">
        <is>
          <t>20260730</t>
        </is>
      </c>
      <c r="M370" s="95" t="inlineStr">
        <is>
          <t>제외</t>
        </is>
      </c>
      <c r="N370" s="95" t="inlineStr">
        <is>
          <t>변동성 53.8%(1년 기준, 기준 35% 초과)</t>
        </is>
      </c>
      <c r="O370" s="95" t="inlineStr">
        <is>
          <t>코스피</t>
        </is>
      </c>
      <c r="P370" s="95" t="inlineStr">
        <is>
          <t>일반</t>
        </is>
      </c>
      <c r="Q370" s="95" t="inlineStr">
        <is>
          <t>주식</t>
        </is>
      </c>
      <c r="R370" s="95" t="inlineStr">
        <is>
          <t>분기배당</t>
        </is>
      </c>
      <c r="S370" s="96" t="n">
        <v>4</v>
      </c>
      <c r="T370">
        <f>IF(AND($J370&lt;&gt;"",OR(조회_주기="전체",$R370=조회_주기),$J370&gt;=조회_최소,$J370&lt;=조회_최대),1,0)</f>
        <v/>
      </c>
      <c r="U370">
        <f>IF($T370=1,$U369+1,$U369)</f>
        <v/>
      </c>
      <c r="V370">
        <f>IF(검색어="",1,IF(ISNUMBER(SEARCH(검색어,$A370)),1,0))</f>
        <v/>
      </c>
      <c r="W370">
        <f>IF($V370=1,$W369+1,$W369)</f>
        <v/>
      </c>
      <c r="X370">
        <f>IFERROR(INDEX($A$4:$A$517,MATCH(367,$W$4:$W$517,0)),"")</f>
        <v/>
      </c>
    </row>
    <row r="371">
      <c r="A371" s="95" t="inlineStr">
        <is>
          <t>TIGER Fn신재생에너지</t>
        </is>
      </c>
      <c r="B371" s="95" t="inlineStr">
        <is>
          <t>377990</t>
        </is>
      </c>
      <c r="C371" s="95" t="inlineStr">
        <is>
          <t>미래에셋자산운용</t>
        </is>
      </c>
      <c r="D371" s="96" t="n">
        <v>23835</v>
      </c>
      <c r="E371" s="96" t="n">
        <v>117983250000</v>
      </c>
      <c r="F371" s="96" t="n">
        <v>3876392267</v>
      </c>
      <c r="G371" s="97" t="n">
        <v>0.005</v>
      </c>
      <c r="H371" s="97" t="n">
        <v>0.6475</v>
      </c>
      <c r="I371" s="97" t="n">
        <v>0.0101</v>
      </c>
      <c r="J371" s="97" t="n">
        <v>0.007552</v>
      </c>
      <c r="K371" s="96" t="n">
        <v>5</v>
      </c>
      <c r="L371" s="95" t="inlineStr">
        <is>
          <t>20260730</t>
        </is>
      </c>
      <c r="M371" s="95" t="inlineStr">
        <is>
          <t>제외</t>
        </is>
      </c>
      <c r="N371" s="95" t="inlineStr">
        <is>
          <t>변동성 64.8%(1년 기준, 기준 35% 초과)</t>
        </is>
      </c>
      <c r="O371" s="95" t="inlineStr">
        <is>
          <t>FnGuide 신재생에너지 지수</t>
        </is>
      </c>
      <c r="P371" s="95" t="inlineStr">
        <is>
          <t>일반</t>
        </is>
      </c>
      <c r="Q371" s="95" t="inlineStr">
        <is>
          <t>주식</t>
        </is>
      </c>
      <c r="R371" s="95" t="inlineStr">
        <is>
          <t>연배당</t>
        </is>
      </c>
      <c r="S371" s="96" t="n">
        <v>1</v>
      </c>
      <c r="T371">
        <f>IF(AND($J371&lt;&gt;"",OR(조회_주기="전체",$R371=조회_주기),$J371&gt;=조회_최소,$J371&lt;=조회_최대),1,0)</f>
        <v/>
      </c>
      <c r="U371">
        <f>IF($T371=1,$U370+1,$U370)</f>
        <v/>
      </c>
      <c r="V371">
        <f>IF(검색어="",1,IF(ISNUMBER(SEARCH(검색어,$A371)),1,0))</f>
        <v/>
      </c>
      <c r="W371">
        <f>IF($V371=1,$W370+1,$W370)</f>
        <v/>
      </c>
      <c r="X371">
        <f>IFERROR(INDEX($A$4:$A$517,MATCH(368,$W$4:$W$517,0)),"")</f>
        <v/>
      </c>
    </row>
    <row r="372">
      <c r="A372" s="95" t="inlineStr">
        <is>
          <t>KODEX 미국S&amp;P500선물(H)</t>
        </is>
      </c>
      <c r="B372" s="95" t="inlineStr">
        <is>
          <t>219480</t>
        </is>
      </c>
      <c r="C372" s="95" t="inlineStr">
        <is>
          <t>삼성자산운용(ETF)</t>
        </is>
      </c>
      <c r="D372" s="96" t="n">
        <v>32770</v>
      </c>
      <c r="E372" s="96" t="n">
        <v>147465000000</v>
      </c>
      <c r="F372" s="96" t="n">
        <v>393386769</v>
      </c>
      <c r="G372" s="97" t="n">
        <v>0.0005</v>
      </c>
      <c r="H372" s="97" t="n">
        <v>0.1295</v>
      </c>
      <c r="I372" s="97" t="n">
        <v>0.008</v>
      </c>
      <c r="J372" s="97" t="n">
        <v>0.007476</v>
      </c>
      <c r="K372" s="96" t="n">
        <v>1</v>
      </c>
      <c r="L372" s="95" t="inlineStr">
        <is>
          <t>20251229</t>
        </is>
      </c>
      <c r="M372" s="95" t="inlineStr">
        <is>
          <t>제외</t>
        </is>
      </c>
      <c r="N372" s="95" t="inlineStr">
        <is>
          <t>60일 거래대금 3.9억(기준 5억 미만)</t>
        </is>
      </c>
      <c r="O372" s="95" t="inlineStr">
        <is>
          <t>S&amp;P 500 Futures Total Return Index</t>
        </is>
      </c>
      <c r="P372" s="95" t="inlineStr">
        <is>
          <t>일반</t>
        </is>
      </c>
      <c r="Q372" s="95" t="inlineStr">
        <is>
          <t>주식</t>
        </is>
      </c>
      <c r="R372" s="95" t="inlineStr">
        <is>
          <t>연배당</t>
        </is>
      </c>
      <c r="S372" s="96" t="n">
        <v>1</v>
      </c>
      <c r="T372">
        <f>IF(AND($J372&lt;&gt;"",OR(조회_주기="전체",$R372=조회_주기),$J372&gt;=조회_최소,$J372&lt;=조회_최대),1,0)</f>
        <v/>
      </c>
      <c r="U372">
        <f>IF($T372=1,$U371+1,$U371)</f>
        <v/>
      </c>
      <c r="V372">
        <f>IF(검색어="",1,IF(ISNUMBER(SEARCH(검색어,$A372)),1,0))</f>
        <v/>
      </c>
      <c r="W372">
        <f>IF($V372=1,$W371+1,$W371)</f>
        <v/>
      </c>
      <c r="X372">
        <f>IFERROR(INDEX($A$4:$A$517,MATCH(369,$W$4:$W$517,0)),"")</f>
        <v/>
      </c>
    </row>
    <row r="373">
      <c r="A373" s="95" t="inlineStr">
        <is>
          <t>TIGER 글로벌혁신블루칩TOP10</t>
        </is>
      </c>
      <c r="B373" s="95" t="inlineStr">
        <is>
          <t>464930</t>
        </is>
      </c>
      <c r="C373" s="95" t="inlineStr">
        <is>
          <t>미래에셋자산운용</t>
        </is>
      </c>
      <c r="D373" s="96" t="n">
        <v>20250</v>
      </c>
      <c r="E373" s="96" t="n">
        <v>105300000000</v>
      </c>
      <c r="F373" s="96" t="n">
        <v>449922354</v>
      </c>
      <c r="G373" s="97" t="n">
        <v>0.0049</v>
      </c>
      <c r="H373" s="97" t="n">
        <v>0.1873</v>
      </c>
      <c r="I373" s="97" t="n">
        <v>0.0075</v>
      </c>
      <c r="J373" s="97" t="n">
        <v>0.007407</v>
      </c>
      <c r="K373" s="96" t="n">
        <v>1</v>
      </c>
      <c r="L373" s="95" t="inlineStr">
        <is>
          <t>20251229</t>
        </is>
      </c>
      <c r="M373" s="95" t="inlineStr">
        <is>
          <t>제외</t>
        </is>
      </c>
      <c r="N373" s="95" t="inlineStr">
        <is>
          <t>60일 거래대금 4.5억(기준 5억 미만)</t>
        </is>
      </c>
      <c r="O373" s="95" t="inlineStr">
        <is>
          <t>Mirae Asset Global Innovative Bluechip Top 10 Index PR</t>
        </is>
      </c>
      <c r="P373" s="95" t="inlineStr">
        <is>
          <t>일반</t>
        </is>
      </c>
      <c r="Q373" s="95" t="inlineStr">
        <is>
          <t>주식</t>
        </is>
      </c>
      <c r="R373" s="95" t="inlineStr">
        <is>
          <t>연배당</t>
        </is>
      </c>
      <c r="S373" s="96" t="n">
        <v>1</v>
      </c>
      <c r="T373">
        <f>IF(AND($J373&lt;&gt;"",OR(조회_주기="전체",$R373=조회_주기),$J373&gt;=조회_최소,$J373&lt;=조회_최대),1,0)</f>
        <v/>
      </c>
      <c r="U373">
        <f>IF($T373=1,$U372+1,$U372)</f>
        <v/>
      </c>
      <c r="V373">
        <f>IF(검색어="",1,IF(ISNUMBER(SEARCH(검색어,$A373)),1,0))</f>
        <v/>
      </c>
      <c r="W373">
        <f>IF($V373=1,$W372+1,$W372)</f>
        <v/>
      </c>
      <c r="X373">
        <f>IFERROR(INDEX($A$4:$A$517,MATCH(370,$W$4:$W$517,0)),"")</f>
        <v/>
      </c>
    </row>
    <row r="374">
      <c r="A374" s="95" t="inlineStr">
        <is>
          <t>HANARO Fn조선해운</t>
        </is>
      </c>
      <c r="B374" s="95" t="inlineStr">
        <is>
          <t>441540</t>
        </is>
      </c>
      <c r="C374" s="95" t="inlineStr">
        <is>
          <t>NH-Amundi자산운용</t>
        </is>
      </c>
      <c r="D374" s="96" t="n">
        <v>27225</v>
      </c>
      <c r="E374" s="96" t="n">
        <v>73507500000</v>
      </c>
      <c r="F374" s="96" t="n">
        <v>623178618</v>
      </c>
      <c r="G374" s="97" t="n">
        <v>0.004500000000000001</v>
      </c>
      <c r="H374" s="97" t="n">
        <v>0.4778</v>
      </c>
      <c r="I374" s="97" t="n">
        <v>0.0053</v>
      </c>
      <c r="J374" s="97" t="n">
        <v>0.007346</v>
      </c>
      <c r="K374" s="96" t="n">
        <v>4</v>
      </c>
      <c r="L374" s="95" t="inlineStr">
        <is>
          <t>20260429</t>
        </is>
      </c>
      <c r="M374" s="95" t="inlineStr">
        <is>
          <t>제외</t>
        </is>
      </c>
      <c r="N374" s="95" t="inlineStr">
        <is>
          <t>변동성 47.8%(1년 기준, 기준 35% 초과)</t>
        </is>
      </c>
      <c r="O374" s="95" t="inlineStr">
        <is>
          <t>FnGuide 조선해운 지수</t>
        </is>
      </c>
      <c r="P374" s="95" t="inlineStr">
        <is>
          <t>일반</t>
        </is>
      </c>
      <c r="Q374" s="95" t="inlineStr">
        <is>
          <t>주식</t>
        </is>
      </c>
      <c r="R374" s="95" t="inlineStr">
        <is>
          <t>연배당</t>
        </is>
      </c>
      <c r="S374" s="96" t="n">
        <v>1</v>
      </c>
      <c r="T374">
        <f>IF(AND($J374&lt;&gt;"",OR(조회_주기="전체",$R374=조회_주기),$J374&gt;=조회_최소,$J374&lt;=조회_최대),1,0)</f>
        <v/>
      </c>
      <c r="U374">
        <f>IF($T374=1,$U373+1,$U373)</f>
        <v/>
      </c>
      <c r="V374">
        <f>IF(검색어="",1,IF(ISNUMBER(SEARCH(검색어,$A374)),1,0))</f>
        <v/>
      </c>
      <c r="W374">
        <f>IF($V374=1,$W373+1,$W373)</f>
        <v/>
      </c>
      <c r="X374">
        <f>IFERROR(INDEX($A$4:$A$517,MATCH(371,$W$4:$W$517,0)),"")</f>
        <v/>
      </c>
    </row>
    <row r="375">
      <c r="A375" s="95" t="inlineStr">
        <is>
          <t>KODEX 차이나휴머노이드로봇</t>
        </is>
      </c>
      <c r="B375" s="95" t="inlineStr">
        <is>
          <t>0048K0</t>
        </is>
      </c>
      <c r="C375" s="95" t="inlineStr">
        <is>
          <t>삼성자산운용(ETF)</t>
        </is>
      </c>
      <c r="D375" s="96" t="n">
        <v>7960</v>
      </c>
      <c r="E375" s="96" t="n">
        <v>143280000000</v>
      </c>
      <c r="F375" s="96" t="n">
        <v>7479749697</v>
      </c>
      <c r="G375" s="97" t="n">
        <v>0.004500000000000001</v>
      </c>
      <c r="H375" s="97" t="n">
        <v>0.4139</v>
      </c>
      <c r="I375" s="97" t="n">
        <v>0.0027</v>
      </c>
      <c r="J375" s="97" t="n">
        <v>0.007286</v>
      </c>
      <c r="K375" s="96" t="n">
        <v>5</v>
      </c>
      <c r="L375" s="95" t="inlineStr">
        <is>
          <t>20260730</t>
        </is>
      </c>
      <c r="M375" s="95" t="inlineStr">
        <is>
          <t>제외</t>
        </is>
      </c>
      <c r="N375" s="95" t="inlineStr">
        <is>
          <t>변동성 41.4%(1년 기준, 기준 35% 초과)</t>
        </is>
      </c>
      <c r="O375" s="95" t="inlineStr">
        <is>
          <t>Solactive China humanoid Robotics Index (PR)</t>
        </is>
      </c>
      <c r="P375" s="95" t="inlineStr">
        <is>
          <t>일반</t>
        </is>
      </c>
      <c r="Q375" s="95" t="inlineStr">
        <is>
          <t>주식</t>
        </is>
      </c>
      <c r="R375" s="95" t="inlineStr">
        <is>
          <t>분기배당</t>
        </is>
      </c>
      <c r="S375" s="96" t="n">
        <v>4</v>
      </c>
      <c r="T375">
        <f>IF(AND($J375&lt;&gt;"",OR(조회_주기="전체",$R375=조회_주기),$J375&gt;=조회_최소,$J375&lt;=조회_최대),1,0)</f>
        <v/>
      </c>
      <c r="U375">
        <f>IF($T375=1,$U374+1,$U374)</f>
        <v/>
      </c>
      <c r="V375">
        <f>IF(검색어="",1,IF(ISNUMBER(SEARCH(검색어,$A375)),1,0))</f>
        <v/>
      </c>
      <c r="W375">
        <f>IF($V375=1,$W374+1,$W374)</f>
        <v/>
      </c>
      <c r="X375">
        <f>IFERROR(INDEX($A$4:$A$517,MATCH(372,$W$4:$W$517,0)),"")</f>
        <v/>
      </c>
    </row>
    <row r="376">
      <c r="A376" s="95" t="inlineStr">
        <is>
          <t>TIGER 차이나바이오테크SOLACTIVE</t>
        </is>
      </c>
      <c r="B376" s="95" t="inlineStr">
        <is>
          <t>371470</t>
        </is>
      </c>
      <c r="C376" s="95" t="inlineStr">
        <is>
          <t>미래에셋자산운용</t>
        </is>
      </c>
      <c r="D376" s="96" t="n">
        <v>8410</v>
      </c>
      <c r="E376" s="96" t="n">
        <v>44404800000</v>
      </c>
      <c r="F376" s="96" t="n">
        <v>446782500</v>
      </c>
      <c r="G376" s="97" t="n">
        <v>0.0049</v>
      </c>
      <c r="H376" s="97" t="n">
        <v>0.3165</v>
      </c>
      <c r="I376" s="97" t="n">
        <v>0.006999999999999999</v>
      </c>
      <c r="J376" s="97" t="n">
        <v>0.007134000000000001</v>
      </c>
      <c r="K376" s="96" t="n">
        <v>1</v>
      </c>
      <c r="L376" s="95" t="inlineStr">
        <is>
          <t>20251229</t>
        </is>
      </c>
      <c r="M376" s="95" t="inlineStr">
        <is>
          <t>제외</t>
        </is>
      </c>
      <c r="N376" s="95" t="inlineStr">
        <is>
          <t>60일 거래대금 4.5억(기준 5억 미만)</t>
        </is>
      </c>
      <c r="O376" s="95" t="inlineStr">
        <is>
          <t>Solactive China Biotech Index PR</t>
        </is>
      </c>
      <c r="P376" s="95" t="inlineStr">
        <is>
          <t>일반</t>
        </is>
      </c>
      <c r="Q376" s="95" t="inlineStr">
        <is>
          <t>주식</t>
        </is>
      </c>
      <c r="R376" s="95" t="inlineStr">
        <is>
          <t>연배당</t>
        </is>
      </c>
      <c r="S376" s="96" t="n">
        <v>1</v>
      </c>
      <c r="T376">
        <f>IF(AND($J376&lt;&gt;"",OR(조회_주기="전체",$R376=조회_주기),$J376&gt;=조회_최소,$J376&lt;=조회_최대),1,0)</f>
        <v/>
      </c>
      <c r="U376">
        <f>IF($T376=1,$U375+1,$U375)</f>
        <v/>
      </c>
      <c r="V376">
        <f>IF(검색어="",1,IF(ISNUMBER(SEARCH(검색어,$A376)),1,0))</f>
        <v/>
      </c>
      <c r="W376">
        <f>IF($V376=1,$W375+1,$W375)</f>
        <v/>
      </c>
      <c r="X376">
        <f>IFERROR(INDEX($A$4:$A$517,MATCH(373,$W$4:$W$517,0)),"")</f>
        <v/>
      </c>
    </row>
    <row r="377">
      <c r="A377" s="95" t="inlineStr">
        <is>
          <t>KODEX 미국나스닥100선물(H)</t>
        </is>
      </c>
      <c r="B377" s="95" t="inlineStr">
        <is>
          <t>304940</t>
        </is>
      </c>
      <c r="C377" s="95" t="inlineStr">
        <is>
          <t>삼성자산운용(ETF)</t>
        </is>
      </c>
      <c r="D377" s="96" t="n">
        <v>32015</v>
      </c>
      <c r="E377" s="96" t="n">
        <v>108851000000</v>
      </c>
      <c r="F377" s="96" t="n">
        <v>374078522</v>
      </c>
      <c r="G377" s="97" t="n">
        <v>0.0005</v>
      </c>
      <c r="H377" s="97" t="n">
        <v>0.1978</v>
      </c>
      <c r="I377" s="97" t="n">
        <v>0.007900000000000001</v>
      </c>
      <c r="J377" s="97" t="n">
        <v>0.007122000000000001</v>
      </c>
      <c r="K377" s="96" t="n">
        <v>1</v>
      </c>
      <c r="L377" s="95" t="inlineStr">
        <is>
          <t>20251229</t>
        </is>
      </c>
      <c r="M377" s="95" t="inlineStr">
        <is>
          <t>제외</t>
        </is>
      </c>
      <c r="N377" s="95" t="inlineStr">
        <is>
          <t>60일 거래대금 3.7억(기준 5억 미만)</t>
        </is>
      </c>
      <c r="O377" s="95" t="inlineStr">
        <is>
          <t>나스닥 100</t>
        </is>
      </c>
      <c r="P377" s="95" t="inlineStr">
        <is>
          <t>일반</t>
        </is>
      </c>
      <c r="Q377" s="95" t="inlineStr">
        <is>
          <t>주식</t>
        </is>
      </c>
      <c r="R377" s="95" t="inlineStr">
        <is>
          <t>연배당</t>
        </is>
      </c>
      <c r="S377" s="96" t="n">
        <v>1</v>
      </c>
      <c r="T377">
        <f>IF(AND($J377&lt;&gt;"",OR(조회_주기="전체",$R377=조회_주기),$J377&gt;=조회_최소,$J377&lt;=조회_최대),1,0)</f>
        <v/>
      </c>
      <c r="U377">
        <f>IF($T377=1,$U376+1,$U376)</f>
        <v/>
      </c>
      <c r="V377">
        <f>IF(검색어="",1,IF(ISNUMBER(SEARCH(검색어,$A377)),1,0))</f>
        <v/>
      </c>
      <c r="W377">
        <f>IF($V377=1,$W376+1,$W376)</f>
        <v/>
      </c>
      <c r="X377">
        <f>IFERROR(INDEX($A$4:$A$517,MATCH(374,$W$4:$W$517,0)),"")</f>
        <v/>
      </c>
    </row>
    <row r="378">
      <c r="A378" s="95" t="inlineStr">
        <is>
          <t>HANARO 미국S&amp;P500</t>
        </is>
      </c>
      <c r="B378" s="95" t="inlineStr">
        <is>
          <t>432840</t>
        </is>
      </c>
      <c r="C378" s="95" t="inlineStr">
        <is>
          <t>NH-Amundi자산운용</t>
        </is>
      </c>
      <c r="D378" s="96" t="n">
        <v>19550</v>
      </c>
      <c r="E378" s="96" t="n">
        <v>15640000000</v>
      </c>
      <c r="F378" s="96" t="n">
        <v>61922671</v>
      </c>
      <c r="G378" s="97" t="n">
        <v>0.00045</v>
      </c>
      <c r="H378" s="97" t="n">
        <v>0.145</v>
      </c>
      <c r="I378" s="97" t="n">
        <v>0.0005</v>
      </c>
      <c r="J378" s="97" t="n">
        <v>0.00711</v>
      </c>
      <c r="K378" s="96" t="n">
        <v>40</v>
      </c>
      <c r="L378" s="95" t="inlineStr">
        <is>
          <t>20260828</t>
        </is>
      </c>
      <c r="M378" s="95" t="inlineStr">
        <is>
          <t>제외</t>
        </is>
      </c>
      <c r="N378" s="95" t="inlineStr">
        <is>
          <t>순자산 156억(기준 300억 미만), 60일 거래대금 0.6억(기준 5억 미만)</t>
        </is>
      </c>
      <c r="O378" s="95" t="inlineStr">
        <is>
          <t>S&amp;P 500</t>
        </is>
      </c>
      <c r="P378" s="95" t="inlineStr">
        <is>
          <t>일반</t>
        </is>
      </c>
      <c r="Q378" s="95" t="inlineStr">
        <is>
          <t>주식</t>
        </is>
      </c>
      <c r="R378" s="95" t="inlineStr">
        <is>
          <t>월배당</t>
        </is>
      </c>
      <c r="S378" s="96" t="n">
        <v>11</v>
      </c>
      <c r="T378">
        <f>IF(AND($J378&lt;&gt;"",OR(조회_주기="전체",$R378=조회_주기),$J378&gt;=조회_최소,$J378&lt;=조회_최대),1,0)</f>
        <v/>
      </c>
      <c r="U378">
        <f>IF($T378=1,$U377+1,$U377)</f>
        <v/>
      </c>
      <c r="V378">
        <f>IF(검색어="",1,IF(ISNUMBER(SEARCH(검색어,$A378)),1,0))</f>
        <v/>
      </c>
      <c r="W378">
        <f>IF($V378=1,$W377+1,$W377)</f>
        <v/>
      </c>
      <c r="X378">
        <f>IFERROR(INDEX($A$4:$A$517,MATCH(375,$W$4:$W$517,0)),"")</f>
        <v/>
      </c>
    </row>
    <row r="379">
      <c r="A379" s="95" t="inlineStr">
        <is>
          <t>PLUS 코스피50</t>
        </is>
      </c>
      <c r="B379" s="95" t="inlineStr">
        <is>
          <t>122090</t>
        </is>
      </c>
      <c r="C379" s="95" t="inlineStr">
        <is>
          <t>한화자산운용</t>
        </is>
      </c>
      <c r="D379" s="96" t="n">
        <v>80100</v>
      </c>
      <c r="E379" s="96" t="n">
        <v>177822000000</v>
      </c>
      <c r="F379" s="96" t="n">
        <v>8084399065</v>
      </c>
      <c r="G379" s="97" t="n">
        <v>0.0033</v>
      </c>
      <c r="H379" s="97" t="n">
        <v>0.6162</v>
      </c>
      <c r="I379" s="97" t="n">
        <v>0.0013</v>
      </c>
      <c r="J379" s="97" t="n">
        <v>0.006866</v>
      </c>
      <c r="K379" s="96" t="n">
        <v>14</v>
      </c>
      <c r="L379" s="95" t="inlineStr">
        <is>
          <t>20260730</t>
        </is>
      </c>
      <c r="M379" s="95" t="inlineStr">
        <is>
          <t>제외</t>
        </is>
      </c>
      <c r="N379" s="95" t="inlineStr">
        <is>
          <t>변동성 61.6%(1년 기준, 기준 35% 초과)</t>
        </is>
      </c>
      <c r="O379" s="95" t="inlineStr">
        <is>
          <t>KOSPI 50</t>
        </is>
      </c>
      <c r="P379" s="95" t="inlineStr">
        <is>
          <t>일반</t>
        </is>
      </c>
      <c r="Q379" s="95" t="inlineStr">
        <is>
          <t>주식</t>
        </is>
      </c>
      <c r="R379" s="95" t="inlineStr">
        <is>
          <t>분기배당</t>
        </is>
      </c>
      <c r="S379" s="96" t="n">
        <v>4</v>
      </c>
      <c r="T379">
        <f>IF(AND($J379&lt;&gt;"",OR(조회_주기="전체",$R379=조회_주기),$J379&gt;=조회_최소,$J379&lt;=조회_최대),1,0)</f>
        <v/>
      </c>
      <c r="U379">
        <f>IF($T379=1,$U378+1,$U378)</f>
        <v/>
      </c>
      <c r="V379">
        <f>IF(검색어="",1,IF(ISNUMBER(SEARCH(검색어,$A379)),1,0))</f>
        <v/>
      </c>
      <c r="W379">
        <f>IF($V379=1,$W378+1,$W378)</f>
        <v/>
      </c>
      <c r="X379">
        <f>IFERROR(INDEX($A$4:$A$517,MATCH(376,$W$4:$W$517,0)),"")</f>
        <v/>
      </c>
    </row>
    <row r="380">
      <c r="A380" s="95" t="inlineStr">
        <is>
          <t>PLUS 글로벌휴머노이드로봇액티브</t>
        </is>
      </c>
      <c r="B380" s="95" t="inlineStr">
        <is>
          <t>0035T0</t>
        </is>
      </c>
      <c r="C380" s="95" t="inlineStr">
        <is>
          <t>한화자산운용</t>
        </is>
      </c>
      <c r="D380" s="96" t="n">
        <v>19010</v>
      </c>
      <c r="E380" s="96" t="n">
        <v>92198500000</v>
      </c>
      <c r="F380" s="96" t="n">
        <v>744241733</v>
      </c>
      <c r="G380" s="97" t="n">
        <v>0.004500000000000001</v>
      </c>
      <c r="H380" s="97" t="n">
        <v>0.3535</v>
      </c>
      <c r="I380" s="97" t="n">
        <v>0.0018</v>
      </c>
      <c r="J380" s="97" t="n">
        <v>0.006785999999999999</v>
      </c>
      <c r="K380" s="96" t="n">
        <v>2</v>
      </c>
      <c r="L380" s="95" t="inlineStr">
        <is>
          <t>20260429</t>
        </is>
      </c>
      <c r="M380" s="95" t="inlineStr">
        <is>
          <t>제외</t>
        </is>
      </c>
      <c r="N380" s="95" t="inlineStr">
        <is>
          <t>변동성 35.4%(1년 기준, 기준 35% 초과)</t>
        </is>
      </c>
      <c r="O380" s="95" t="inlineStr">
        <is>
          <t>iSelect Global Humanoid Robot Index</t>
        </is>
      </c>
      <c r="P380" s="95" t="inlineStr">
        <is>
          <t>일반</t>
        </is>
      </c>
      <c r="Q380" s="95" t="inlineStr">
        <is>
          <t>주식</t>
        </is>
      </c>
      <c r="R380" s="95" t="inlineStr">
        <is>
          <t>연배당</t>
        </is>
      </c>
      <c r="S380" s="96" t="n">
        <v>2</v>
      </c>
      <c r="T380">
        <f>IF(AND($J380&lt;&gt;"",OR(조회_주기="전체",$R380=조회_주기),$J380&gt;=조회_최소,$J380&lt;=조회_최대),1,0)</f>
        <v/>
      </c>
      <c r="U380">
        <f>IF($T380=1,$U379+1,$U379)</f>
        <v/>
      </c>
      <c r="V380">
        <f>IF(검색어="",1,IF(ISNUMBER(SEARCH(검색어,$A380)),1,0))</f>
        <v/>
      </c>
      <c r="W380">
        <f>IF($V380=1,$W379+1,$W379)</f>
        <v/>
      </c>
      <c r="X380">
        <f>IFERROR(INDEX($A$4:$A$517,MATCH(377,$W$4:$W$517,0)),"")</f>
        <v/>
      </c>
    </row>
    <row r="381">
      <c r="A381" s="95" t="inlineStr">
        <is>
          <t>SOL 27-12 회사채(AA-이상)액티브</t>
        </is>
      </c>
      <c r="B381" s="95" t="inlineStr">
        <is>
          <t>0092C0</t>
        </is>
      </c>
      <c r="C381" s="95" t="inlineStr">
        <is>
          <t>신한자산운용</t>
        </is>
      </c>
      <c r="D381" s="96" t="n">
        <v>50295</v>
      </c>
      <c r="E381" s="96" t="n">
        <v>229445790000</v>
      </c>
      <c r="F381" s="96" t="n">
        <v>239975189</v>
      </c>
      <c r="G381" s="97" t="n">
        <v>0.0005</v>
      </c>
      <c r="H381" s="97" t="n">
        <v>0.0106</v>
      </c>
      <c r="I381" s="97" t="n">
        <v>0.0068</v>
      </c>
      <c r="J381" s="97" t="n">
        <v>0.00676</v>
      </c>
      <c r="K381" s="96" t="n">
        <v>1</v>
      </c>
      <c r="L381" s="95" t="inlineStr">
        <is>
          <t>20251212</t>
        </is>
      </c>
      <c r="M381" s="95" t="inlineStr">
        <is>
          <t>제외</t>
        </is>
      </c>
      <c r="N381" s="95" t="inlineStr">
        <is>
          <t>60일 거래대금 2.4억(기준 5억 미만)</t>
        </is>
      </c>
      <c r="O381" s="95" t="inlineStr">
        <is>
          <t>KAP 27-12 크레딧 채권지수(AA-이상,총수익)</t>
        </is>
      </c>
      <c r="P381" s="95" t="inlineStr">
        <is>
          <t>일반</t>
        </is>
      </c>
      <c r="Q381" s="95" t="inlineStr">
        <is>
          <t>채권</t>
        </is>
      </c>
      <c r="R381" s="95" t="inlineStr">
        <is>
          <t>연배당</t>
        </is>
      </c>
      <c r="S381" s="96" t="n">
        <v>1</v>
      </c>
      <c r="T381">
        <f>IF(AND($J381&lt;&gt;"",OR(조회_주기="전체",$R381=조회_주기),$J381&gt;=조회_최소,$J381&lt;=조회_최대),1,0)</f>
        <v/>
      </c>
      <c r="U381">
        <f>IF($T381=1,$U380+1,$U380)</f>
        <v/>
      </c>
      <c r="V381">
        <f>IF(검색어="",1,IF(ISNUMBER(SEARCH(검색어,$A381)),1,0))</f>
        <v/>
      </c>
      <c r="W381">
        <f>IF($V381=1,$W380+1,$W380)</f>
        <v/>
      </c>
      <c r="X381">
        <f>IFERROR(INDEX($A$4:$A$517,MATCH(378,$W$4:$W$517,0)),"")</f>
        <v/>
      </c>
    </row>
    <row r="382">
      <c r="A382" s="95" t="inlineStr">
        <is>
          <t>TIGER 화장품</t>
        </is>
      </c>
      <c r="B382" s="95" t="inlineStr">
        <is>
          <t>228790</t>
        </is>
      </c>
      <c r="C382" s="95" t="inlineStr">
        <is>
          <t>미래에셋자산운용</t>
        </is>
      </c>
      <c r="D382" s="96" t="n">
        <v>4295</v>
      </c>
      <c r="E382" s="96" t="n">
        <v>249582450000</v>
      </c>
      <c r="F382" s="96" t="n">
        <v>28838458295</v>
      </c>
      <c r="G382" s="97" t="n">
        <v>0.005</v>
      </c>
      <c r="H382" s="97" t="n">
        <v>0.4041</v>
      </c>
      <c r="I382" s="97" t="n">
        <v>0.0048</v>
      </c>
      <c r="J382" s="97" t="n">
        <v>0.006752</v>
      </c>
      <c r="K382" s="96" t="n">
        <v>6</v>
      </c>
      <c r="L382" s="95" t="inlineStr">
        <is>
          <t>20260429</t>
        </is>
      </c>
      <c r="M382" s="95" t="inlineStr">
        <is>
          <t>제외</t>
        </is>
      </c>
      <c r="N382" s="95" t="inlineStr">
        <is>
          <t>변동성 40.4%(1년 기준, 기준 35% 초과)</t>
        </is>
      </c>
      <c r="O382" s="95" t="inlineStr">
        <is>
          <t>WISE 화장품 지수</t>
        </is>
      </c>
      <c r="P382" s="95" t="inlineStr">
        <is>
          <t>일반</t>
        </is>
      </c>
      <c r="Q382" s="95" t="inlineStr">
        <is>
          <t>주식</t>
        </is>
      </c>
      <c r="R382" s="95" t="inlineStr">
        <is>
          <t>연배당</t>
        </is>
      </c>
      <c r="S382" s="96" t="n">
        <v>2</v>
      </c>
      <c r="T382">
        <f>IF(AND($J382&lt;&gt;"",OR(조회_주기="전체",$R382=조회_주기),$J382&gt;=조회_최소,$J382&lt;=조회_최대),1,0)</f>
        <v/>
      </c>
      <c r="U382">
        <f>IF($T382=1,$U381+1,$U381)</f>
        <v/>
      </c>
      <c r="V382">
        <f>IF(검색어="",1,IF(ISNUMBER(SEARCH(검색어,$A382)),1,0))</f>
        <v/>
      </c>
      <c r="W382">
        <f>IF($V382=1,$W381+1,$W381)</f>
        <v/>
      </c>
      <c r="X382">
        <f>IFERROR(INDEX($A$4:$A$517,MATCH(379,$W$4:$W$517,0)),"")</f>
        <v/>
      </c>
    </row>
    <row r="383">
      <c r="A383" s="95" t="inlineStr">
        <is>
          <t>TIGER 바이오TOP10</t>
        </is>
      </c>
      <c r="B383" s="95" t="inlineStr">
        <is>
          <t>364970</t>
        </is>
      </c>
      <c r="C383" s="95" t="inlineStr">
        <is>
          <t>미래에셋자산운용</t>
        </is>
      </c>
      <c r="D383" s="96" t="n">
        <v>6720</v>
      </c>
      <c r="E383" s="96" t="n">
        <v>248640000000</v>
      </c>
      <c r="F383" s="96" t="n">
        <v>11549881362</v>
      </c>
      <c r="G383" s="97" t="n">
        <v>0.004</v>
      </c>
      <c r="H383" s="97" t="n">
        <v>0.4161</v>
      </c>
      <c r="I383" s="97" t="n">
        <v>0.005500000000000001</v>
      </c>
      <c r="J383" s="97" t="n">
        <v>0.006696</v>
      </c>
      <c r="K383" s="96" t="n">
        <v>5</v>
      </c>
      <c r="L383" s="95" t="inlineStr">
        <is>
          <t>20260429</t>
        </is>
      </c>
      <c r="M383" s="95" t="inlineStr">
        <is>
          <t>제외</t>
        </is>
      </c>
      <c r="N383" s="95" t="inlineStr">
        <is>
          <t>변동성 41.6%(1년 기준, 기준 35% 초과)</t>
        </is>
      </c>
      <c r="O383" s="95" t="inlineStr">
        <is>
          <t>KRX 바이오 TOP 10 지수</t>
        </is>
      </c>
      <c r="P383" s="95" t="inlineStr">
        <is>
          <t>일반</t>
        </is>
      </c>
      <c r="Q383" s="95" t="inlineStr">
        <is>
          <t>주식</t>
        </is>
      </c>
      <c r="R383" s="95" t="inlineStr">
        <is>
          <t>연배당</t>
        </is>
      </c>
      <c r="S383" s="96" t="n">
        <v>1</v>
      </c>
      <c r="T383">
        <f>IF(AND($J383&lt;&gt;"",OR(조회_주기="전체",$R383=조회_주기),$J383&gt;=조회_최소,$J383&lt;=조회_최대),1,0)</f>
        <v/>
      </c>
      <c r="U383">
        <f>IF($T383=1,$U382+1,$U382)</f>
        <v/>
      </c>
      <c r="V383">
        <f>IF(검색어="",1,IF(ISNUMBER(SEARCH(검색어,$A383)),1,0))</f>
        <v/>
      </c>
      <c r="W383">
        <f>IF($V383=1,$W382+1,$W382)</f>
        <v/>
      </c>
      <c r="X383">
        <f>IFERROR(INDEX($A$4:$A$517,MATCH(380,$W$4:$W$517,0)),"")</f>
        <v/>
      </c>
    </row>
    <row r="384">
      <c r="A384" s="95" t="inlineStr">
        <is>
          <t>WON 200</t>
        </is>
      </c>
      <c r="B384" s="95" t="inlineStr">
        <is>
          <t>448100</t>
        </is>
      </c>
      <c r="C384" s="95" t="inlineStr">
        <is>
          <t>우리자산운용</t>
        </is>
      </c>
      <c r="D384" s="96" t="n">
        <v>109310</v>
      </c>
      <c r="E384" s="96" t="n">
        <v>125706500000</v>
      </c>
      <c r="F384" s="96" t="n">
        <v>3532839338</v>
      </c>
      <c r="G384" s="97" t="n">
        <v>0.0005</v>
      </c>
      <c r="H384" s="97" t="n">
        <v>0.5859000000000001</v>
      </c>
      <c r="I384" s="97" t="n">
        <v>0.0005999999999999999</v>
      </c>
      <c r="J384" s="97" t="n">
        <v>0.006678</v>
      </c>
      <c r="K384" s="96" t="n">
        <v>40</v>
      </c>
      <c r="L384" s="95" t="inlineStr">
        <is>
          <t>20260828</t>
        </is>
      </c>
      <c r="M384" s="95" t="inlineStr">
        <is>
          <t>제외</t>
        </is>
      </c>
      <c r="N384" s="95" t="inlineStr">
        <is>
          <t>변동성 58.6%(1년 기준, 기준 35% 초과)</t>
        </is>
      </c>
      <c r="O384" s="95" t="inlineStr">
        <is>
          <t>KOSPI 200</t>
        </is>
      </c>
      <c r="P384" s="95" t="inlineStr">
        <is>
          <t>일반</t>
        </is>
      </c>
      <c r="Q384" s="95" t="inlineStr">
        <is>
          <t>주식</t>
        </is>
      </c>
      <c r="R384" s="95" t="inlineStr">
        <is>
          <t>월배당</t>
        </is>
      </c>
      <c r="S384" s="96" t="n">
        <v>11</v>
      </c>
      <c r="T384">
        <f>IF(AND($J384&lt;&gt;"",OR(조회_주기="전체",$R384=조회_주기),$J384&gt;=조회_최소,$J384&lt;=조회_최대),1,0)</f>
        <v/>
      </c>
      <c r="U384">
        <f>IF($T384=1,$U383+1,$U383)</f>
        <v/>
      </c>
      <c r="V384">
        <f>IF(검색어="",1,IF(ISNUMBER(SEARCH(검색어,$A384)),1,0))</f>
        <v/>
      </c>
      <c r="W384">
        <f>IF($V384=1,$W383+1,$W383)</f>
        <v/>
      </c>
      <c r="X384">
        <f>IFERROR(INDEX($A$4:$A$517,MATCH(381,$W$4:$W$517,0)),"")</f>
        <v/>
      </c>
    </row>
    <row r="385">
      <c r="A385" s="95" t="inlineStr">
        <is>
          <t>KIWOOM KRX100</t>
        </is>
      </c>
      <c r="B385" s="95" t="inlineStr">
        <is>
          <t>100910</t>
        </is>
      </c>
      <c r="C385" s="95" t="inlineStr">
        <is>
          <t>키움투자자산운용</t>
        </is>
      </c>
      <c r="D385" s="96" t="n">
        <v>16790</v>
      </c>
      <c r="E385" s="96" t="n">
        <v>45333000000</v>
      </c>
      <c r="F385" s="96" t="n">
        <v>923525851</v>
      </c>
      <c r="G385" s="97" t="n">
        <v>0.0023</v>
      </c>
      <c r="H385" s="97" t="n">
        <v>0.5893999999999999</v>
      </c>
      <c r="I385" s="97" t="n">
        <v>0.0011</v>
      </c>
      <c r="J385" s="97" t="n">
        <v>0.006552</v>
      </c>
      <c r="K385" s="96" t="n">
        <v>13</v>
      </c>
      <c r="L385" s="95" t="inlineStr">
        <is>
          <t>20260730</t>
        </is>
      </c>
      <c r="M385" s="95" t="inlineStr">
        <is>
          <t>제외</t>
        </is>
      </c>
      <c r="N385" s="95" t="inlineStr">
        <is>
          <t>변동성 58.9%(1년 기준, 기준 35% 초과)</t>
        </is>
      </c>
      <c r="O385" s="95" t="inlineStr">
        <is>
          <t>KRX100</t>
        </is>
      </c>
      <c r="P385" s="95" t="inlineStr">
        <is>
          <t>일반</t>
        </is>
      </c>
      <c r="Q385" s="95" t="inlineStr">
        <is>
          <t>주식</t>
        </is>
      </c>
      <c r="R385" s="95" t="inlineStr">
        <is>
          <t>분기배당</t>
        </is>
      </c>
      <c r="S385" s="96" t="n">
        <v>4</v>
      </c>
      <c r="T385">
        <f>IF(AND($J385&lt;&gt;"",OR(조회_주기="전체",$R385=조회_주기),$J385&gt;=조회_최소,$J385&lt;=조회_최대),1,0)</f>
        <v/>
      </c>
      <c r="U385">
        <f>IF($T385=1,$U384+1,$U384)</f>
        <v/>
      </c>
      <c r="V385">
        <f>IF(검색어="",1,IF(ISNUMBER(SEARCH(검색어,$A385)),1,0))</f>
        <v/>
      </c>
      <c r="W385">
        <f>IF($V385=1,$W384+1,$W384)</f>
        <v/>
      </c>
      <c r="X385">
        <f>IFERROR(INDEX($A$4:$A$517,MATCH(382,$W$4:$W$517,0)),"")</f>
        <v/>
      </c>
    </row>
    <row r="386">
      <c r="A386" s="95" t="inlineStr">
        <is>
          <t>SOL 미국AI전력인프라</t>
        </is>
      </c>
      <c r="B386" s="95" t="inlineStr">
        <is>
          <t>486450</t>
        </is>
      </c>
      <c r="C386" s="95" t="inlineStr">
        <is>
          <t>신한자산운용</t>
        </is>
      </c>
      <c r="D386" s="96" t="n">
        <v>18750</v>
      </c>
      <c r="E386" s="96" t="n">
        <v>204375000000</v>
      </c>
      <c r="F386" s="96" t="n">
        <v>1203753855</v>
      </c>
      <c r="G386" s="97" t="n">
        <v>0.004500000000000001</v>
      </c>
      <c r="H386" s="97" t="n">
        <v>0.39</v>
      </c>
      <c r="I386" s="97" t="n">
        <v>0.0048</v>
      </c>
      <c r="J386" s="97" t="n">
        <v>0.0064</v>
      </c>
      <c r="K386" s="96" t="n">
        <v>2</v>
      </c>
      <c r="L386" s="95" t="inlineStr">
        <is>
          <t>20260429</t>
        </is>
      </c>
      <c r="M386" s="95" t="inlineStr">
        <is>
          <t>제외</t>
        </is>
      </c>
      <c r="N386" s="95" t="inlineStr">
        <is>
          <t>변동성 39.0%(1년 기준, 기준 35% 초과)</t>
        </is>
      </c>
      <c r="O386" s="95" t="inlineStr">
        <is>
          <t>KEDI US AI Electric Power Infrastructure Index</t>
        </is>
      </c>
      <c r="P386" s="95" t="inlineStr">
        <is>
          <t>일반</t>
        </is>
      </c>
      <c r="Q386" s="95" t="inlineStr">
        <is>
          <t>주식</t>
        </is>
      </c>
      <c r="R386" s="95" t="inlineStr">
        <is>
          <t>연배당</t>
        </is>
      </c>
      <c r="S386" s="96" t="n">
        <v>1</v>
      </c>
      <c r="T386">
        <f>IF(AND($J386&lt;&gt;"",OR(조회_주기="전체",$R386=조회_주기),$J386&gt;=조회_최소,$J386&lt;=조회_최대),1,0)</f>
        <v/>
      </c>
      <c r="U386">
        <f>IF($T386=1,$U385+1,$U385)</f>
        <v/>
      </c>
      <c r="V386">
        <f>IF(검색어="",1,IF(ISNUMBER(SEARCH(검색어,$A386)),1,0))</f>
        <v/>
      </c>
      <c r="W386">
        <f>IF($V386=1,$W385+1,$W385)</f>
        <v/>
      </c>
      <c r="X386">
        <f>IFERROR(INDEX($A$4:$A$517,MATCH(383,$W$4:$W$517,0)),"")</f>
        <v/>
      </c>
    </row>
    <row r="387">
      <c r="A387" s="95" t="inlineStr">
        <is>
          <t>PLUS 200선물레버리지</t>
        </is>
      </c>
      <c r="B387" s="95" t="inlineStr">
        <is>
          <t>253150</t>
        </is>
      </c>
      <c r="C387" s="95" t="inlineStr">
        <is>
          <t>한화자산운용</t>
        </is>
      </c>
      <c r="D387" s="96" t="n">
        <v>190600</v>
      </c>
      <c r="E387" s="96" t="n">
        <v>47650000000</v>
      </c>
      <c r="F387" s="96" t="n">
        <v>19059499313</v>
      </c>
      <c r="G387" s="97" t="n">
        <v>0.0005999999999999999</v>
      </c>
      <c r="H387" s="97" t="n">
        <v>1.162</v>
      </c>
      <c r="I387" s="97" t="n">
        <v>0.0014</v>
      </c>
      <c r="J387" s="97" t="n">
        <v>0.006327</v>
      </c>
      <c r="K387" s="96" t="n">
        <v>2</v>
      </c>
      <c r="L387" s="95" t="inlineStr">
        <is>
          <t>20260429</t>
        </is>
      </c>
      <c r="M387" s="95" t="inlineStr">
        <is>
          <t>제외</t>
        </is>
      </c>
      <c r="N387" s="95" t="inlineStr">
        <is>
          <t>변동성 116.2%(1년 기준, 기준 35% 초과)</t>
        </is>
      </c>
      <c r="O387" s="95" t="inlineStr">
        <is>
          <t>KOSPI200선물지수</t>
        </is>
      </c>
      <c r="P387" s="95" t="inlineStr">
        <is>
          <t>일반</t>
        </is>
      </c>
      <c r="Q387" s="95" t="inlineStr">
        <is>
          <t>주식</t>
        </is>
      </c>
      <c r="R387" s="95" t="inlineStr">
        <is>
          <t>연배당</t>
        </is>
      </c>
      <c r="S387" s="96" t="n">
        <v>2</v>
      </c>
      <c r="T387">
        <f>IF(AND($J387&lt;&gt;"",OR(조회_주기="전체",$R387=조회_주기),$J387&gt;=조회_최소,$J387&lt;=조회_최대),1,0)</f>
        <v/>
      </c>
      <c r="U387">
        <f>IF($T387=1,$U386+1,$U386)</f>
        <v/>
      </c>
      <c r="V387">
        <f>IF(검색어="",1,IF(ISNUMBER(SEARCH(검색어,$A387)),1,0))</f>
        <v/>
      </c>
      <c r="W387">
        <f>IF($V387=1,$W386+1,$W386)</f>
        <v/>
      </c>
      <c r="X387">
        <f>IFERROR(INDEX($A$4:$A$517,MATCH(384,$W$4:$W$517,0)),"")</f>
        <v/>
      </c>
    </row>
    <row r="388">
      <c r="A388" s="95" t="inlineStr">
        <is>
          <t>TIGER 코스피대형주</t>
        </is>
      </c>
      <c r="B388" s="95" t="inlineStr">
        <is>
          <t>277640</t>
        </is>
      </c>
      <c r="C388" s="95" t="inlineStr">
        <is>
          <t>미래에셋자산운용</t>
        </is>
      </c>
      <c r="D388" s="96" t="n">
        <v>36430</v>
      </c>
      <c r="E388" s="96" t="n">
        <v>61931000000</v>
      </c>
      <c r="F388" s="96" t="n">
        <v>1487607969</v>
      </c>
      <c r="G388" s="97" t="n">
        <v>0.0029</v>
      </c>
      <c r="H388" s="97" t="n">
        <v>0.5652</v>
      </c>
      <c r="I388" s="97" t="n">
        <v>0.0016</v>
      </c>
      <c r="J388" s="97" t="n">
        <v>0.006313</v>
      </c>
      <c r="K388" s="96" t="n">
        <v>16</v>
      </c>
      <c r="L388" s="95" t="inlineStr">
        <is>
          <t>20260730</t>
        </is>
      </c>
      <c r="M388" s="95" t="inlineStr">
        <is>
          <t>제외</t>
        </is>
      </c>
      <c r="N388" s="95" t="inlineStr">
        <is>
          <t>변동성 56.5%(1년 기준, 기준 35% 초과)</t>
        </is>
      </c>
      <c r="O388" s="95" t="inlineStr">
        <is>
          <t>대형주</t>
        </is>
      </c>
      <c r="P388" s="95" t="inlineStr">
        <is>
          <t>일반</t>
        </is>
      </c>
      <c r="Q388" s="95" t="inlineStr">
        <is>
          <t>주식</t>
        </is>
      </c>
      <c r="R388" s="95" t="inlineStr">
        <is>
          <t>분기배당</t>
        </is>
      </c>
      <c r="S388" s="96" t="n">
        <v>3</v>
      </c>
      <c r="T388">
        <f>IF(AND($J388&lt;&gt;"",OR(조회_주기="전체",$R388=조회_주기),$J388&gt;=조회_최소,$J388&lt;=조회_최대),1,0)</f>
        <v/>
      </c>
      <c r="U388">
        <f>IF($T388=1,$U387+1,$U387)</f>
        <v/>
      </c>
      <c r="V388">
        <f>IF(검색어="",1,IF(ISNUMBER(SEARCH(검색어,$A388)),1,0))</f>
        <v/>
      </c>
      <c r="W388">
        <f>IF($V388=1,$W387+1,$W387)</f>
        <v/>
      </c>
      <c r="X388">
        <f>IFERROR(INDEX($A$4:$A$517,MATCH(385,$W$4:$W$517,0)),"")</f>
        <v/>
      </c>
    </row>
    <row r="389">
      <c r="A389" s="95" t="inlineStr">
        <is>
          <t>KODEX 미국나스닥100레버리지(합성 H)</t>
        </is>
      </c>
      <c r="B389" s="95" t="inlineStr">
        <is>
          <t>409820</t>
        </is>
      </c>
      <c r="C389" s="95" t="inlineStr">
        <is>
          <t>삼성자산운용(ETF)</t>
        </is>
      </c>
      <c r="D389" s="96" t="n">
        <v>19390</v>
      </c>
      <c r="E389" s="96" t="n">
        <v>245283500000</v>
      </c>
      <c r="F389" s="96" t="n">
        <v>2323718423</v>
      </c>
      <c r="G389" s="97" t="n">
        <v>0.003</v>
      </c>
      <c r="H389" s="97" t="n">
        <v>0.4046</v>
      </c>
      <c r="I389" s="97" t="n">
        <v>0.0075</v>
      </c>
      <c r="J389" s="97" t="n">
        <v>0.006292</v>
      </c>
      <c r="K389" s="96" t="n">
        <v>1</v>
      </c>
      <c r="L389" s="95" t="inlineStr">
        <is>
          <t>20251229</t>
        </is>
      </c>
      <c r="M389" s="95" t="inlineStr">
        <is>
          <t>제외</t>
        </is>
      </c>
      <c r="N389" s="95" t="inlineStr">
        <is>
          <t>변동성 40.5%(1년 기준, 기준 35% 초과)</t>
        </is>
      </c>
      <c r="O389" s="95" t="inlineStr">
        <is>
          <t>나스닥 100</t>
        </is>
      </c>
      <c r="P389" s="95" t="inlineStr">
        <is>
          <t>일반</t>
        </is>
      </c>
      <c r="Q389" s="95" t="inlineStr">
        <is>
          <t>주식</t>
        </is>
      </c>
      <c r="R389" s="95" t="inlineStr">
        <is>
          <t>연배당</t>
        </is>
      </c>
      <c r="S389" s="96" t="n">
        <v>1</v>
      </c>
      <c r="T389">
        <f>IF(AND($J389&lt;&gt;"",OR(조회_주기="전체",$R389=조회_주기),$J389&gt;=조회_최소,$J389&lt;=조회_최대),1,0)</f>
        <v/>
      </c>
      <c r="U389">
        <f>IF($T389=1,$U388+1,$U388)</f>
        <v/>
      </c>
      <c r="V389">
        <f>IF(검색어="",1,IF(ISNUMBER(SEARCH(검색어,$A389)),1,0))</f>
        <v/>
      </c>
      <c r="W389">
        <f>IF($V389=1,$W388+1,$W388)</f>
        <v/>
      </c>
      <c r="X389">
        <f>IFERROR(INDEX($A$4:$A$517,MATCH(386,$W$4:$W$517,0)),"")</f>
        <v/>
      </c>
    </row>
    <row r="390">
      <c r="A390" s="95" t="inlineStr">
        <is>
          <t>TIGER 글로벌4차산업혁신기술(합성 H)</t>
        </is>
      </c>
      <c r="B390" s="95" t="inlineStr">
        <is>
          <t>275980</t>
        </is>
      </c>
      <c r="C390" s="95" t="inlineStr">
        <is>
          <t>미래에셋자산운용</t>
        </is>
      </c>
      <c r="D390" s="96" t="n">
        <v>23045</v>
      </c>
      <c r="E390" s="96" t="n">
        <v>57612500000</v>
      </c>
      <c r="F390" s="96" t="n">
        <v>103264579</v>
      </c>
      <c r="G390" s="97" t="n">
        <v>0.004</v>
      </c>
      <c r="H390" s="97" t="n">
        <v>0.1808</v>
      </c>
      <c r="I390" s="97" t="n">
        <v>0.0066</v>
      </c>
      <c r="J390" s="97" t="n">
        <v>0.005945000000000001</v>
      </c>
      <c r="K390" s="96" t="n">
        <v>1</v>
      </c>
      <c r="L390" s="95" t="inlineStr">
        <is>
          <t>20251229</t>
        </is>
      </c>
      <c r="M390" s="95" t="inlineStr">
        <is>
          <t>제외</t>
        </is>
      </c>
      <c r="N390" s="95" t="inlineStr">
        <is>
          <t>60일 거래대금 1.0억(기준 5억 미만)</t>
        </is>
      </c>
      <c r="O390" s="95" t="inlineStr">
        <is>
          <t>Morningstar Exponential Technologies Equal Weighted Select P</t>
        </is>
      </c>
      <c r="P390" s="95" t="inlineStr">
        <is>
          <t>일반</t>
        </is>
      </c>
      <c r="Q390" s="95" t="inlineStr">
        <is>
          <t>주식</t>
        </is>
      </c>
      <c r="R390" s="95" t="inlineStr">
        <is>
          <t>연배당</t>
        </is>
      </c>
      <c r="S390" s="96" t="n">
        <v>1</v>
      </c>
      <c r="T390">
        <f>IF(AND($J390&lt;&gt;"",OR(조회_주기="전체",$R390=조회_주기),$J390&gt;=조회_최소,$J390&lt;=조회_최대),1,0)</f>
        <v/>
      </c>
      <c r="U390">
        <f>IF($T390=1,$U389+1,$U389)</f>
        <v/>
      </c>
      <c r="V390">
        <f>IF(검색어="",1,IF(ISNUMBER(SEARCH(검색어,$A390)),1,0))</f>
        <v/>
      </c>
      <c r="W390">
        <f>IF($V390=1,$W389+1,$W389)</f>
        <v/>
      </c>
      <c r="X390">
        <f>IFERROR(INDEX($A$4:$A$517,MATCH(387,$W$4:$W$517,0)),"")</f>
        <v/>
      </c>
    </row>
    <row r="391">
      <c r="A391" s="95" t="inlineStr">
        <is>
          <t>ACE ESG액티브</t>
        </is>
      </c>
      <c r="B391" s="95" t="inlineStr">
        <is>
          <t>385590</t>
        </is>
      </c>
      <c r="C391" s="95" t="inlineStr">
        <is>
          <t>한국투신운용(ETF)</t>
        </is>
      </c>
      <c r="D391" s="96" t="n">
        <v>23650</v>
      </c>
      <c r="E391" s="96" t="n">
        <v>54395000000</v>
      </c>
      <c r="F391" s="96" t="n">
        <v>32366353</v>
      </c>
      <c r="G391" s="97" t="n">
        <v>0.005</v>
      </c>
      <c r="H391" s="97" t="n">
        <v>0.5329999999999999</v>
      </c>
      <c r="I391" s="97" t="n">
        <v>0.0062</v>
      </c>
      <c r="J391" s="97" t="n">
        <v>0.005708</v>
      </c>
      <c r="K391" s="96" t="n">
        <v>5</v>
      </c>
      <c r="L391" s="95" t="inlineStr">
        <is>
          <t>20260429</t>
        </is>
      </c>
      <c r="M391" s="95" t="inlineStr">
        <is>
          <t>제외</t>
        </is>
      </c>
      <c r="N391" s="95" t="inlineStr">
        <is>
          <t>60일 거래대금 0.3억(기준 5억 미만), 변동성 53.3%(1년 기준, 기준 35% 초과)</t>
        </is>
      </c>
      <c r="O391" s="95" t="inlineStr">
        <is>
          <t>MSCI Korea Country ESG Leaders Custom Capped Index</t>
        </is>
      </c>
      <c r="P391" s="95" t="inlineStr">
        <is>
          <t>일반</t>
        </is>
      </c>
      <c r="Q391" s="95" t="inlineStr">
        <is>
          <t>주식</t>
        </is>
      </c>
      <c r="R391" s="95" t="inlineStr">
        <is>
          <t>연배당</t>
        </is>
      </c>
      <c r="S391" s="96" t="n">
        <v>1</v>
      </c>
      <c r="T391">
        <f>IF(AND($J391&lt;&gt;"",OR(조회_주기="전체",$R391=조회_주기),$J391&gt;=조회_최소,$J391&lt;=조회_최대),1,0)</f>
        <v/>
      </c>
      <c r="U391">
        <f>IF($T391=1,$U390+1,$U390)</f>
        <v/>
      </c>
      <c r="V391">
        <f>IF(검색어="",1,IF(ISNUMBER(SEARCH(검색어,$A391)),1,0))</f>
        <v/>
      </c>
      <c r="W391">
        <f>IF($V391=1,$W390+1,$W390)</f>
        <v/>
      </c>
      <c r="X391">
        <f>IFERROR(INDEX($A$4:$A$517,MATCH(388,$W$4:$W$517,0)),"")</f>
        <v/>
      </c>
    </row>
    <row r="392">
      <c r="A392" s="95" t="inlineStr">
        <is>
          <t>ACE 글로벌반도체TOP4 Plus</t>
        </is>
      </c>
      <c r="B392" s="95" t="inlineStr">
        <is>
          <t>446770</t>
        </is>
      </c>
      <c r="C392" s="95" t="inlineStr">
        <is>
          <t>한국투신운용(ETF)</t>
        </is>
      </c>
      <c r="D392" s="96" t="n">
        <v>75655</v>
      </c>
      <c r="E392" s="96" t="n">
        <v>1528231000000</v>
      </c>
      <c r="F392" s="96" t="n">
        <v>20325132606</v>
      </c>
      <c r="G392" s="97" t="n">
        <v>0.004500000000000001</v>
      </c>
      <c r="H392" s="97" t="n">
        <v>0.4118</v>
      </c>
      <c r="I392" s="97" t="n">
        <v>0.0018</v>
      </c>
      <c r="J392" s="97" t="n">
        <v>0.005631000000000001</v>
      </c>
      <c r="K392" s="96" t="n">
        <v>14</v>
      </c>
      <c r="L392" s="95" t="inlineStr">
        <is>
          <t>20260730</t>
        </is>
      </c>
      <c r="M392" s="95" t="inlineStr">
        <is>
          <t>제외</t>
        </is>
      </c>
      <c r="N392" s="95" t="inlineStr">
        <is>
          <t>변동성 41.2%(1년 기준, 기준 35% 초과)</t>
        </is>
      </c>
      <c r="O392" s="95" t="inlineStr">
        <is>
          <t>Solactive Global Semiconductor Top 4 Plus Index (PR) USD</t>
        </is>
      </c>
      <c r="P392" s="95" t="inlineStr">
        <is>
          <t>일반</t>
        </is>
      </c>
      <c r="Q392" s="95" t="inlineStr">
        <is>
          <t>주식</t>
        </is>
      </c>
      <c r="R392" s="95" t="inlineStr">
        <is>
          <t>분기배당</t>
        </is>
      </c>
      <c r="S392" s="96" t="n">
        <v>4</v>
      </c>
      <c r="T392">
        <f>IF(AND($J392&lt;&gt;"",OR(조회_주기="전체",$R392=조회_주기),$J392&gt;=조회_최소,$J392&lt;=조회_최대),1,0)</f>
        <v/>
      </c>
      <c r="U392">
        <f>IF($T392=1,$U391+1,$U391)</f>
        <v/>
      </c>
      <c r="V392">
        <f>IF(검색어="",1,IF(ISNUMBER(SEARCH(검색어,$A392)),1,0))</f>
        <v/>
      </c>
      <c r="W392">
        <f>IF($V392=1,$W391+1,$W391)</f>
        <v/>
      </c>
      <c r="X392">
        <f>IFERROR(INDEX($A$4:$A$517,MATCH(389,$W$4:$W$517,0)),"")</f>
        <v/>
      </c>
    </row>
    <row r="393">
      <c r="A393" s="95" t="inlineStr">
        <is>
          <t>PLUS 태양광&amp;ESS</t>
        </is>
      </c>
      <c r="B393" s="95" t="inlineStr">
        <is>
          <t>457990</t>
        </is>
      </c>
      <c r="C393" s="95" t="inlineStr">
        <is>
          <t>한화자산운용</t>
        </is>
      </c>
      <c r="D393" s="96" t="n">
        <v>33985</v>
      </c>
      <c r="E393" s="96" t="n">
        <v>130842250000</v>
      </c>
      <c r="F393" s="96" t="n">
        <v>13048480815</v>
      </c>
      <c r="G393" s="97" t="n">
        <v>0.004500000000000001</v>
      </c>
      <c r="H393" s="97" t="n">
        <v>0.6836</v>
      </c>
      <c r="I393" s="97" t="n">
        <v>0.0037</v>
      </c>
      <c r="J393" s="97" t="n">
        <v>0.005591</v>
      </c>
      <c r="K393" s="96" t="n">
        <v>3</v>
      </c>
      <c r="L393" s="95" t="inlineStr">
        <is>
          <t>20260429</t>
        </is>
      </c>
      <c r="M393" s="95" t="inlineStr">
        <is>
          <t>제외</t>
        </is>
      </c>
      <c r="N393" s="95" t="inlineStr">
        <is>
          <t>변동성 68.4%(1년 기준, 기준 35% 초과)</t>
        </is>
      </c>
      <c r="O393" s="95" t="inlineStr">
        <is>
          <t>FnGuide 태양광 &amp; ESS 지수</t>
        </is>
      </c>
      <c r="P393" s="95" t="inlineStr">
        <is>
          <t>일반</t>
        </is>
      </c>
      <c r="Q393" s="95" t="inlineStr">
        <is>
          <t>주식</t>
        </is>
      </c>
      <c r="R393" s="95" t="inlineStr">
        <is>
          <t>연배당</t>
        </is>
      </c>
      <c r="S393" s="96" t="n">
        <v>1</v>
      </c>
      <c r="T393">
        <f>IF(AND($J393&lt;&gt;"",OR(조회_주기="전체",$R393=조회_주기),$J393&gt;=조회_최소,$J393&lt;=조회_최대),1,0)</f>
        <v/>
      </c>
      <c r="U393">
        <f>IF($T393=1,$U392+1,$U392)</f>
        <v/>
      </c>
      <c r="V393">
        <f>IF(검색어="",1,IF(ISNUMBER(SEARCH(검색어,$A393)),1,0))</f>
        <v/>
      </c>
      <c r="W393">
        <f>IF($V393=1,$W392+1,$W392)</f>
        <v/>
      </c>
      <c r="X393">
        <f>IFERROR(INDEX($A$4:$A$517,MATCH(390,$W$4:$W$517,0)),"")</f>
        <v/>
      </c>
    </row>
    <row r="394">
      <c r="A394" s="95" t="inlineStr">
        <is>
          <t>ACE 레버리지</t>
        </is>
      </c>
      <c r="B394" s="95" t="inlineStr">
        <is>
          <t>152500</t>
        </is>
      </c>
      <c r="C394" s="95" t="inlineStr">
        <is>
          <t>한국투신운용(ETF)</t>
        </is>
      </c>
      <c r="D394" s="96" t="n">
        <v>42480</v>
      </c>
      <c r="E394" s="96" t="n">
        <v>46728000000</v>
      </c>
      <c r="F394" s="96" t="n">
        <v>2664261100</v>
      </c>
      <c r="G394" s="97" t="n">
        <v>0.003</v>
      </c>
      <c r="H394" s="97" t="n">
        <v>1.1674</v>
      </c>
      <c r="I394" s="97" t="n">
        <v>0.0127</v>
      </c>
      <c r="J394" s="97" t="n">
        <v>0.005556</v>
      </c>
      <c r="K394" s="96" t="n">
        <v>1</v>
      </c>
      <c r="L394" s="95" t="inlineStr">
        <is>
          <t>20251229</t>
        </is>
      </c>
      <c r="M394" s="95" t="inlineStr">
        <is>
          <t>제외</t>
        </is>
      </c>
      <c r="N394" s="95" t="inlineStr">
        <is>
          <t>변동성 116.7%(1년 기준, 기준 35% 초과)</t>
        </is>
      </c>
      <c r="O394" s="95" t="inlineStr">
        <is>
          <t>KOSPI 200</t>
        </is>
      </c>
      <c r="P394" s="95" t="inlineStr">
        <is>
          <t>일반</t>
        </is>
      </c>
      <c r="Q394" s="95" t="inlineStr">
        <is>
          <t>주식</t>
        </is>
      </c>
      <c r="R394" s="95" t="inlineStr">
        <is>
          <t>연배당</t>
        </is>
      </c>
      <c r="S394" s="96" t="n">
        <v>1</v>
      </c>
      <c r="T394">
        <f>IF(AND($J394&lt;&gt;"",OR(조회_주기="전체",$R394=조회_주기),$J394&gt;=조회_최소,$J394&lt;=조회_최대),1,0)</f>
        <v/>
      </c>
      <c r="U394">
        <f>IF($T394=1,$U393+1,$U393)</f>
        <v/>
      </c>
      <c r="V394">
        <f>IF(검색어="",1,IF(ISNUMBER(SEARCH(검색어,$A394)),1,0))</f>
        <v/>
      </c>
      <c r="W394">
        <f>IF($V394=1,$W393+1,$W393)</f>
        <v/>
      </c>
      <c r="X394">
        <f>IFERROR(INDEX($A$4:$A$517,MATCH(391,$W$4:$W$517,0)),"")</f>
        <v/>
      </c>
    </row>
    <row r="395">
      <c r="A395" s="95" t="inlineStr">
        <is>
          <t>RISE KOFR금리액티브(합성)</t>
        </is>
      </c>
      <c r="B395" s="95" t="inlineStr">
        <is>
          <t>479520</t>
        </is>
      </c>
      <c r="C395" s="95" t="inlineStr">
        <is>
          <t>KB자산운용</t>
        </is>
      </c>
      <c r="D395" s="96" t="n">
        <v>106520</v>
      </c>
      <c r="E395" s="96" t="n">
        <v>1033989640000</v>
      </c>
      <c r="F395" s="96" t="n">
        <v>381984091</v>
      </c>
      <c r="G395" s="97" t="n">
        <v>0.0002</v>
      </c>
      <c r="H395" s="97" t="n">
        <v>0.005699999999999999</v>
      </c>
      <c r="I395" s="97" t="n">
        <v>0.005600000000000001</v>
      </c>
      <c r="J395" s="97" t="n">
        <v>0.005501000000000001</v>
      </c>
      <c r="K395" s="96" t="n">
        <v>1</v>
      </c>
      <c r="L395" s="95" t="inlineStr">
        <is>
          <t>20251212</t>
        </is>
      </c>
      <c r="M395" s="95" t="inlineStr">
        <is>
          <t>제외</t>
        </is>
      </c>
      <c r="N395" s="95" t="inlineStr">
        <is>
          <t>60일 거래대금 3.8억(기준 5억 미만)</t>
        </is>
      </c>
      <c r="O395" s="95" t="inlineStr">
        <is>
          <t>KOFR 인덱스</t>
        </is>
      </c>
      <c r="P395" s="95" t="inlineStr">
        <is>
          <t>일반</t>
        </is>
      </c>
      <c r="Q395" s="95" t="inlineStr">
        <is>
          <t>단기자금(파킹형)</t>
        </is>
      </c>
      <c r="R395" s="95" t="inlineStr">
        <is>
          <t>연배당</t>
        </is>
      </c>
      <c r="S395" s="96" t="n">
        <v>1</v>
      </c>
      <c r="T395">
        <f>IF(AND($J395&lt;&gt;"",OR(조회_주기="전체",$R395=조회_주기),$J395&gt;=조회_최소,$J395&lt;=조회_최대),1,0)</f>
        <v/>
      </c>
      <c r="U395">
        <f>IF($T395=1,$U394+1,$U394)</f>
        <v/>
      </c>
      <c r="V395">
        <f>IF(검색어="",1,IF(ISNUMBER(SEARCH(검색어,$A395)),1,0))</f>
        <v/>
      </c>
      <c r="W395">
        <f>IF($V395=1,$W394+1,$W394)</f>
        <v/>
      </c>
      <c r="X395">
        <f>IFERROR(INDEX($A$4:$A$517,MATCH(392,$W$4:$W$517,0)),"")</f>
        <v/>
      </c>
    </row>
    <row r="396">
      <c r="A396" s="95" t="inlineStr">
        <is>
          <t>KODEX 삼성그룹</t>
        </is>
      </c>
      <c r="B396" s="95" t="inlineStr">
        <is>
          <t>102780</t>
        </is>
      </c>
      <c r="C396" s="95" t="inlineStr">
        <is>
          <t>삼성자산운용(ETF)</t>
        </is>
      </c>
      <c r="D396" s="96" t="n">
        <v>25310</v>
      </c>
      <c r="E396" s="96" t="n">
        <v>3242211000000</v>
      </c>
      <c r="F396" s="96" t="n">
        <v>25843144199</v>
      </c>
      <c r="G396" s="97" t="n">
        <v>0.0025</v>
      </c>
      <c r="H396" s="97" t="n">
        <v>0.5367999999999999</v>
      </c>
      <c r="I396" s="97" t="n">
        <v>0.006</v>
      </c>
      <c r="J396" s="97" t="n">
        <v>0.005452</v>
      </c>
      <c r="K396" s="96" t="n">
        <v>5</v>
      </c>
      <c r="L396" s="95" t="inlineStr">
        <is>
          <t>20260429</t>
        </is>
      </c>
      <c r="M396" s="95" t="inlineStr">
        <is>
          <t>제외</t>
        </is>
      </c>
      <c r="N396" s="95" t="inlineStr">
        <is>
          <t>변동성 53.7%(1년 기준, 기준 35% 초과)</t>
        </is>
      </c>
      <c r="O396" s="95" t="inlineStr">
        <is>
          <t>FnGuide 삼성그룹</t>
        </is>
      </c>
      <c r="P396" s="95" t="inlineStr">
        <is>
          <t>일반</t>
        </is>
      </c>
      <c r="Q396" s="95" t="inlineStr">
        <is>
          <t>주식</t>
        </is>
      </c>
      <c r="R396" s="95" t="inlineStr">
        <is>
          <t>연배당</t>
        </is>
      </c>
      <c r="S396" s="96" t="n">
        <v>1</v>
      </c>
      <c r="T396">
        <f>IF(AND($J396&lt;&gt;"",OR(조회_주기="전체",$R396=조회_주기),$J396&gt;=조회_최소,$J396&lt;=조회_최대),1,0)</f>
        <v/>
      </c>
      <c r="U396">
        <f>IF($T396=1,$U395+1,$U395)</f>
        <v/>
      </c>
      <c r="V396">
        <f>IF(검색어="",1,IF(ISNUMBER(SEARCH(검색어,$A396)),1,0))</f>
        <v/>
      </c>
      <c r="W396">
        <f>IF($V396=1,$W395+1,$W395)</f>
        <v/>
      </c>
      <c r="X396">
        <f>IFERROR(INDEX($A$4:$A$517,MATCH(393,$W$4:$W$517,0)),"")</f>
        <v/>
      </c>
    </row>
    <row r="397">
      <c r="A397" s="95" t="inlineStr">
        <is>
          <t>KODEX 친환경조선해운액티브</t>
        </is>
      </c>
      <c r="B397" s="95" t="inlineStr">
        <is>
          <t>445150</t>
        </is>
      </c>
      <c r="C397" s="95" t="inlineStr">
        <is>
          <t>삼성자산운용(ETF)</t>
        </is>
      </c>
      <c r="D397" s="96" t="n">
        <v>28240</v>
      </c>
      <c r="E397" s="96" t="n">
        <v>52244000000</v>
      </c>
      <c r="F397" s="96" t="n">
        <v>336043122</v>
      </c>
      <c r="G397" s="97" t="n">
        <v>0.005</v>
      </c>
      <c r="H397" s="97" t="n">
        <v>0.4829</v>
      </c>
      <c r="I397" s="97" t="n">
        <v>0.0002</v>
      </c>
      <c r="J397" s="97" t="n">
        <v>0.00517</v>
      </c>
      <c r="K397" s="96" t="n">
        <v>5</v>
      </c>
      <c r="L397" s="95" t="inlineStr">
        <is>
          <t>20260730</t>
        </is>
      </c>
      <c r="M397" s="95" t="inlineStr">
        <is>
          <t>제외</t>
        </is>
      </c>
      <c r="N397" s="95" t="inlineStr">
        <is>
          <t>60일 거래대금 3.4억(기준 5억 미만), 변동성 48.3%(1년 기준, 기준 35% 초과)</t>
        </is>
      </c>
      <c r="O397" s="95" t="inlineStr">
        <is>
          <t>FnGuide K-친환경 선박 지수</t>
        </is>
      </c>
      <c r="P397" s="95" t="inlineStr">
        <is>
          <t>일반</t>
        </is>
      </c>
      <c r="Q397" s="95" t="inlineStr">
        <is>
          <t>주식</t>
        </is>
      </c>
      <c r="R397" s="95" t="inlineStr">
        <is>
          <t>연배당</t>
        </is>
      </c>
      <c r="S397" s="96" t="n">
        <v>2</v>
      </c>
      <c r="T397">
        <f>IF(AND($J397&lt;&gt;"",OR(조회_주기="전체",$R397=조회_주기),$J397&gt;=조회_최소,$J397&lt;=조회_최대),1,0)</f>
        <v/>
      </c>
      <c r="U397">
        <f>IF($T397=1,$U396+1,$U396)</f>
        <v/>
      </c>
      <c r="V397">
        <f>IF(검색어="",1,IF(ISNUMBER(SEARCH(검색어,$A397)),1,0))</f>
        <v/>
      </c>
      <c r="W397">
        <f>IF($V397=1,$W396+1,$W396)</f>
        <v/>
      </c>
      <c r="X397">
        <f>IFERROR(INDEX($A$4:$A$517,MATCH(394,$W$4:$W$517,0)),"")</f>
        <v/>
      </c>
    </row>
    <row r="398">
      <c r="A398" s="95" t="inlineStr">
        <is>
          <t>SOL 화장품TOP3플러스</t>
        </is>
      </c>
      <c r="B398" s="95" t="inlineStr">
        <is>
          <t>0008T0</t>
        </is>
      </c>
      <c r="C398" s="95" t="inlineStr">
        <is>
          <t>신한자산운용</t>
        </is>
      </c>
      <c r="D398" s="96" t="n">
        <v>17640</v>
      </c>
      <c r="E398" s="96" t="n">
        <v>100548000000</v>
      </c>
      <c r="F398" s="96" t="n">
        <v>21536285623</v>
      </c>
      <c r="G398" s="97" t="n">
        <v>0.004500000000000001</v>
      </c>
      <c r="H398" s="97" t="n">
        <v>0.431</v>
      </c>
      <c r="I398" s="97" t="n">
        <v>0.0042</v>
      </c>
      <c r="J398" s="97" t="n">
        <v>0.005044999999999999</v>
      </c>
      <c r="K398" s="96" t="n">
        <v>2</v>
      </c>
      <c r="L398" s="95" t="inlineStr">
        <is>
          <t>20260429</t>
        </is>
      </c>
      <c r="M398" s="95" t="inlineStr">
        <is>
          <t>제외</t>
        </is>
      </c>
      <c r="N398" s="95" t="inlineStr">
        <is>
          <t>변동성 43.1%(1년 기준, 기준 35% 초과)</t>
        </is>
      </c>
      <c r="O398" s="95" t="inlineStr">
        <is>
          <t>FnGuide 화장품 TOP3 플러스 지수</t>
        </is>
      </c>
      <c r="P398" s="95" t="inlineStr">
        <is>
          <t>일반</t>
        </is>
      </c>
      <c r="Q398" s="95" t="inlineStr">
        <is>
          <t>주식</t>
        </is>
      </c>
      <c r="R398" s="95" t="inlineStr">
        <is>
          <t>연배당</t>
        </is>
      </c>
      <c r="S398" s="96" t="n">
        <v>2</v>
      </c>
      <c r="T398">
        <f>IF(AND($J398&lt;&gt;"",OR(조회_주기="전체",$R398=조회_주기),$J398&gt;=조회_최소,$J398&lt;=조회_최대),1,0)</f>
        <v/>
      </c>
      <c r="U398">
        <f>IF($T398=1,$U397+1,$U397)</f>
        <v/>
      </c>
      <c r="V398">
        <f>IF(검색어="",1,IF(ISNUMBER(SEARCH(검색어,$A398)),1,0))</f>
        <v/>
      </c>
      <c r="W398">
        <f>IF($V398=1,$W397+1,$W397)</f>
        <v/>
      </c>
      <c r="X398">
        <f>IFERROR(INDEX($A$4:$A$517,MATCH(395,$W$4:$W$517,0)),"")</f>
        <v/>
      </c>
    </row>
    <row r="399">
      <c r="A399" s="95" t="inlineStr">
        <is>
          <t>KIWOOM 미국나스닥100(H)</t>
        </is>
      </c>
      <c r="B399" s="95" t="inlineStr">
        <is>
          <t>453080</t>
        </is>
      </c>
      <c r="C399" s="95" t="inlineStr">
        <is>
          <t>키움투자자산운용</t>
        </is>
      </c>
      <c r="D399" s="96" t="n">
        <v>22630</v>
      </c>
      <c r="E399" s="96" t="n">
        <v>88257000000</v>
      </c>
      <c r="F399" s="96" t="n">
        <v>350874064</v>
      </c>
      <c r="G399" s="97" t="n">
        <v>0.0004</v>
      </c>
      <c r="H399" s="97" t="n">
        <v>0.1932</v>
      </c>
      <c r="I399" s="97" t="n">
        <v>0.0014</v>
      </c>
      <c r="J399" s="97" t="n">
        <v>0.004905</v>
      </c>
      <c r="K399" s="96" t="n">
        <v>6</v>
      </c>
      <c r="L399" s="95" t="inlineStr">
        <is>
          <t>20260730</t>
        </is>
      </c>
      <c r="M399" s="95" t="inlineStr">
        <is>
          <t>제외</t>
        </is>
      </c>
      <c r="N399" s="95" t="inlineStr">
        <is>
          <t>60일 거래대금 3.5억(기준 5억 미만)</t>
        </is>
      </c>
      <c r="O399" s="95" t="inlineStr">
        <is>
          <t>나스닥 100</t>
        </is>
      </c>
      <c r="P399" s="95" t="inlineStr">
        <is>
          <t>일반</t>
        </is>
      </c>
      <c r="Q399" s="95" t="inlineStr">
        <is>
          <t>주식</t>
        </is>
      </c>
      <c r="R399" s="95" t="inlineStr">
        <is>
          <t>분기배당</t>
        </is>
      </c>
      <c r="S399" s="96" t="n">
        <v>4</v>
      </c>
      <c r="T399">
        <f>IF(AND($J399&lt;&gt;"",OR(조회_주기="전체",$R399=조회_주기),$J399&gt;=조회_최소,$J399&lt;=조회_최대),1,0)</f>
        <v/>
      </c>
      <c r="U399">
        <f>IF($T399=1,$U398+1,$U398)</f>
        <v/>
      </c>
      <c r="V399">
        <f>IF(검색어="",1,IF(ISNUMBER(SEARCH(검색어,$A399)),1,0))</f>
        <v/>
      </c>
      <c r="W399">
        <f>IF($V399=1,$W398+1,$W398)</f>
        <v/>
      </c>
      <c r="X399">
        <f>IFERROR(INDEX($A$4:$A$517,MATCH(396,$W$4:$W$517,0)),"")</f>
        <v/>
      </c>
    </row>
    <row r="400">
      <c r="A400" s="95" t="inlineStr">
        <is>
          <t>TIGER BBIG</t>
        </is>
      </c>
      <c r="B400" s="95" t="inlineStr">
        <is>
          <t>364960</t>
        </is>
      </c>
      <c r="C400" s="95" t="inlineStr">
        <is>
          <t>미래에셋자산운용</t>
        </is>
      </c>
      <c r="D400" s="96" t="n">
        <v>6190</v>
      </c>
      <c r="E400" s="96" t="n">
        <v>73661000000</v>
      </c>
      <c r="F400" s="96" t="n">
        <v>206547543</v>
      </c>
      <c r="G400" s="97" t="n">
        <v>0.004</v>
      </c>
      <c r="H400" s="97" t="n">
        <v>0.3552</v>
      </c>
      <c r="I400" s="97" t="n">
        <v>0.0037</v>
      </c>
      <c r="J400" s="97" t="n">
        <v>0.004847000000000001</v>
      </c>
      <c r="K400" s="96" t="n">
        <v>5</v>
      </c>
      <c r="L400" s="95" t="inlineStr">
        <is>
          <t>20260429</t>
        </is>
      </c>
      <c r="M400" s="95" t="inlineStr">
        <is>
          <t>제외</t>
        </is>
      </c>
      <c r="N400" s="95" t="inlineStr">
        <is>
          <t>60일 거래대금 2.1억(기준 5억 미만), 변동성 35.5%(1년 기준, 기준 35% 초과)</t>
        </is>
      </c>
      <c r="O400" s="95" t="inlineStr">
        <is>
          <t>KRX BBIG 지수</t>
        </is>
      </c>
      <c r="P400" s="95" t="inlineStr">
        <is>
          <t>일반</t>
        </is>
      </c>
      <c r="Q400" s="95" t="inlineStr">
        <is>
          <t>주식</t>
        </is>
      </c>
      <c r="R400" s="95" t="inlineStr">
        <is>
          <t>연배당</t>
        </is>
      </c>
      <c r="S400" s="96" t="n">
        <v>1</v>
      </c>
      <c r="T400">
        <f>IF(AND($J400&lt;&gt;"",OR(조회_주기="전체",$R400=조회_주기),$J400&gt;=조회_최소,$J400&lt;=조회_최대),1,0)</f>
        <v/>
      </c>
      <c r="U400">
        <f>IF($T400=1,$U399+1,$U399)</f>
        <v/>
      </c>
      <c r="V400">
        <f>IF(검색어="",1,IF(ISNUMBER(SEARCH(검색어,$A400)),1,0))</f>
        <v/>
      </c>
      <c r="W400">
        <f>IF($V400=1,$W399+1,$W399)</f>
        <v/>
      </c>
      <c r="X400">
        <f>IFERROR(INDEX($A$4:$A$517,MATCH(397,$W$4:$W$517,0)),"")</f>
        <v/>
      </c>
    </row>
    <row r="401">
      <c r="A401" s="95" t="inlineStr">
        <is>
          <t>TIGER 미국필라델피아반도체레버리지(합성)</t>
        </is>
      </c>
      <c r="B401" s="95" t="inlineStr">
        <is>
          <t>423920</t>
        </is>
      </c>
      <c r="C401" s="95" t="inlineStr">
        <is>
          <t>미래에셋자산운용</t>
        </is>
      </c>
      <c r="D401" s="96" t="n">
        <v>75270</v>
      </c>
      <c r="E401" s="96" t="n">
        <v>510330600000</v>
      </c>
      <c r="F401" s="96" t="n">
        <v>13553316887</v>
      </c>
      <c r="G401" s="97" t="n">
        <v>0.0058</v>
      </c>
      <c r="H401" s="97" t="n">
        <v>0.9259999999999999</v>
      </c>
      <c r="I401" s="97" t="n">
        <v>0.0019</v>
      </c>
      <c r="J401" s="97" t="n">
        <v>0.00473</v>
      </c>
      <c r="K401" s="96" t="n">
        <v>9</v>
      </c>
      <c r="L401" s="95" t="inlineStr">
        <is>
          <t>20260730</t>
        </is>
      </c>
      <c r="M401" s="95" t="inlineStr">
        <is>
          <t>제외</t>
        </is>
      </c>
      <c r="N401" s="95" t="inlineStr">
        <is>
          <t>변동성 92.6%(1년 기준, 기준 35% 초과)</t>
        </is>
      </c>
      <c r="O401" s="95" t="inlineStr">
        <is>
          <t>PHLX Semiconductor Sector Index</t>
        </is>
      </c>
      <c r="P401" s="95" t="inlineStr">
        <is>
          <t>일반</t>
        </is>
      </c>
      <c r="Q401" s="95" t="inlineStr">
        <is>
          <t>주식</t>
        </is>
      </c>
      <c r="R401" s="95" t="inlineStr">
        <is>
          <t>분기배당</t>
        </is>
      </c>
      <c r="S401" s="96" t="n">
        <v>4</v>
      </c>
      <c r="T401">
        <f>IF(AND($J401&lt;&gt;"",OR(조회_주기="전체",$R401=조회_주기),$J401&gt;=조회_최소,$J401&lt;=조회_최대),1,0)</f>
        <v/>
      </c>
      <c r="U401">
        <f>IF($T401=1,$U400+1,$U400)</f>
        <v/>
      </c>
      <c r="V401">
        <f>IF(검색어="",1,IF(ISNUMBER(SEARCH(검색어,$A401)),1,0))</f>
        <v/>
      </c>
      <c r="W401">
        <f>IF($V401=1,$W400+1,$W400)</f>
        <v/>
      </c>
      <c r="X401">
        <f>IFERROR(INDEX($A$4:$A$517,MATCH(398,$W$4:$W$517,0)),"")</f>
        <v/>
      </c>
    </row>
    <row r="402">
      <c r="A402" s="95" t="inlineStr">
        <is>
          <t>KODEX 건설</t>
        </is>
      </c>
      <c r="B402" s="95" t="inlineStr">
        <is>
          <t>117700</t>
        </is>
      </c>
      <c r="C402" s="95" t="inlineStr">
        <is>
          <t>삼성자산운용(ETF)</t>
        </is>
      </c>
      <c r="D402" s="96" t="n">
        <v>7190</v>
      </c>
      <c r="E402" s="96" t="n">
        <v>222171000000</v>
      </c>
      <c r="F402" s="96" t="n">
        <v>14240280229</v>
      </c>
      <c r="G402" s="97" t="n">
        <v>0.004500000000000001</v>
      </c>
      <c r="H402" s="97" t="n">
        <v>0.589</v>
      </c>
      <c r="I402" s="97" t="n">
        <v>0.0037</v>
      </c>
      <c r="J402" s="97" t="n">
        <v>0.004729</v>
      </c>
      <c r="K402" s="96" t="n">
        <v>6</v>
      </c>
      <c r="L402" s="95" t="inlineStr">
        <is>
          <t>20260730</t>
        </is>
      </c>
      <c r="M402" s="95" t="inlineStr">
        <is>
          <t>제외</t>
        </is>
      </c>
      <c r="N402" s="95" t="inlineStr">
        <is>
          <t>변동성 58.9%(1년 기준, 기준 35% 초과)</t>
        </is>
      </c>
      <c r="O402" s="95" t="inlineStr">
        <is>
          <t>KRX 건설</t>
        </is>
      </c>
      <c r="P402" s="95" t="inlineStr">
        <is>
          <t>일반</t>
        </is>
      </c>
      <c r="Q402" s="95" t="inlineStr">
        <is>
          <t>주식</t>
        </is>
      </c>
      <c r="R402" s="95" t="inlineStr">
        <is>
          <t>연배당</t>
        </is>
      </c>
      <c r="S402" s="96" t="n">
        <v>2</v>
      </c>
      <c r="T402">
        <f>IF(AND($J402&lt;&gt;"",OR(조회_주기="전체",$R402=조회_주기),$J402&gt;=조회_최소,$J402&lt;=조회_최대),1,0)</f>
        <v/>
      </c>
      <c r="U402">
        <f>IF($T402=1,$U401+1,$U401)</f>
        <v/>
      </c>
      <c r="V402">
        <f>IF(검색어="",1,IF(ISNUMBER(SEARCH(검색어,$A402)),1,0))</f>
        <v/>
      </c>
      <c r="W402">
        <f>IF($V402=1,$W401+1,$W401)</f>
        <v/>
      </c>
      <c r="X402">
        <f>IFERROR(INDEX($A$4:$A$517,MATCH(399,$W$4:$W$517,0)),"")</f>
        <v/>
      </c>
    </row>
    <row r="403">
      <c r="A403" s="95" t="inlineStr">
        <is>
          <t>RISE 미국반도체NYSE</t>
        </is>
      </c>
      <c r="B403" s="95" t="inlineStr">
        <is>
          <t>469060</t>
        </is>
      </c>
      <c r="C403" s="95" t="inlineStr">
        <is>
          <t>KB자산운용</t>
        </is>
      </c>
      <c r="D403" s="96" t="n">
        <v>33565</v>
      </c>
      <c r="E403" s="96" t="n">
        <v>75521250000</v>
      </c>
      <c r="F403" s="96" t="n">
        <v>1753821677</v>
      </c>
      <c r="G403" s="97" t="n">
        <v>0.0001</v>
      </c>
      <c r="H403" s="97" t="n">
        <v>0.4632</v>
      </c>
      <c r="I403" s="97" t="n">
        <v>0.0013</v>
      </c>
      <c r="J403" s="97" t="n">
        <v>0.004677</v>
      </c>
      <c r="K403" s="96" t="n">
        <v>11</v>
      </c>
      <c r="L403" s="95" t="inlineStr">
        <is>
          <t>20260730</t>
        </is>
      </c>
      <c r="M403" s="95" t="inlineStr">
        <is>
          <t>제외</t>
        </is>
      </c>
      <c r="N403" s="95" t="inlineStr">
        <is>
          <t>변동성 46.3%(1년 기준, 기준 35% 초과)</t>
        </is>
      </c>
      <c r="O403" s="95" t="inlineStr">
        <is>
          <t>NYSE Semiconductor Index</t>
        </is>
      </c>
      <c r="P403" s="95" t="inlineStr">
        <is>
          <t>일반</t>
        </is>
      </c>
      <c r="Q403" s="95" t="inlineStr">
        <is>
          <t>주식</t>
        </is>
      </c>
      <c r="R403" s="95" t="inlineStr">
        <is>
          <t>분기배당</t>
        </is>
      </c>
      <c r="S403" s="96" t="n">
        <v>4</v>
      </c>
      <c r="T403">
        <f>IF(AND($J403&lt;&gt;"",OR(조회_주기="전체",$R403=조회_주기),$J403&gt;=조회_최소,$J403&lt;=조회_최대),1,0)</f>
        <v/>
      </c>
      <c r="U403">
        <f>IF($T403=1,$U402+1,$U402)</f>
        <v/>
      </c>
      <c r="V403">
        <f>IF(검색어="",1,IF(ISNUMBER(SEARCH(검색어,$A403)),1,0))</f>
        <v/>
      </c>
      <c r="W403">
        <f>IF($V403=1,$W402+1,$W402)</f>
        <v/>
      </c>
      <c r="X403">
        <f>IFERROR(INDEX($A$4:$A$517,MATCH(400,$W$4:$W$517,0)),"")</f>
        <v/>
      </c>
    </row>
    <row r="404">
      <c r="A404" s="95" t="inlineStr">
        <is>
          <t>ACE 원자력TOP10</t>
        </is>
      </c>
      <c r="B404" s="95" t="inlineStr">
        <is>
          <t>433500</t>
        </is>
      </c>
      <c r="C404" s="95" t="inlineStr">
        <is>
          <t>한국투신운용(ETF)</t>
        </is>
      </c>
      <c r="D404" s="96" t="n">
        <v>59890</v>
      </c>
      <c r="E404" s="96" t="n">
        <v>221593000000</v>
      </c>
      <c r="F404" s="96" t="n">
        <v>6981004681</v>
      </c>
      <c r="G404" s="97" t="n">
        <v>0.003</v>
      </c>
      <c r="H404" s="97" t="n">
        <v>0.6259</v>
      </c>
      <c r="I404" s="97" t="n">
        <v>0.0032</v>
      </c>
      <c r="J404" s="97" t="n">
        <v>0.004675</v>
      </c>
      <c r="K404" s="96" t="n">
        <v>4</v>
      </c>
      <c r="L404" s="95" t="inlineStr">
        <is>
          <t>20260429</t>
        </is>
      </c>
      <c r="M404" s="95" t="inlineStr">
        <is>
          <t>제외</t>
        </is>
      </c>
      <c r="N404" s="95" t="inlineStr">
        <is>
          <t>변동성 62.6%(1년 기준, 기준 35% 초과)</t>
        </is>
      </c>
      <c r="O404" s="95" t="inlineStr">
        <is>
          <t>DeepSearch 원자력Top10지수</t>
        </is>
      </c>
      <c r="P404" s="95" t="inlineStr">
        <is>
          <t>일반</t>
        </is>
      </c>
      <c r="Q404" s="95" t="inlineStr">
        <is>
          <t>주식</t>
        </is>
      </c>
      <c r="R404" s="95" t="inlineStr">
        <is>
          <t>연배당</t>
        </is>
      </c>
      <c r="S404" s="96" t="n">
        <v>1</v>
      </c>
      <c r="T404">
        <f>IF(AND($J404&lt;&gt;"",OR(조회_주기="전체",$R404=조회_주기),$J404&gt;=조회_최소,$J404&lt;=조회_최대),1,0)</f>
        <v/>
      </c>
      <c r="U404">
        <f>IF($T404=1,$U403+1,$U403)</f>
        <v/>
      </c>
      <c r="V404">
        <f>IF(검색어="",1,IF(ISNUMBER(SEARCH(검색어,$A404)),1,0))</f>
        <v/>
      </c>
      <c r="W404">
        <f>IF($V404=1,$W403+1,$W403)</f>
        <v/>
      </c>
      <c r="X404">
        <f>IFERROR(INDEX($A$4:$A$517,MATCH(401,$W$4:$W$517,0)),"")</f>
        <v/>
      </c>
    </row>
    <row r="405">
      <c r="A405" s="95" t="inlineStr">
        <is>
          <t>RISE 글로벌원자력</t>
        </is>
      </c>
      <c r="B405" s="95" t="inlineStr">
        <is>
          <t>442320</t>
        </is>
      </c>
      <c r="C405" s="95" t="inlineStr">
        <is>
          <t>KB자산운용</t>
        </is>
      </c>
      <c r="D405" s="96" t="n">
        <v>35085</v>
      </c>
      <c r="E405" s="96" t="n">
        <v>219632100000</v>
      </c>
      <c r="F405" s="96" t="n">
        <v>834580650</v>
      </c>
      <c r="G405" s="97" t="n">
        <v>0.004</v>
      </c>
      <c r="H405" s="97" t="n">
        <v>0.4319</v>
      </c>
      <c r="I405" s="97" t="n">
        <v>0.0026</v>
      </c>
      <c r="J405" s="97" t="n">
        <v>0.004674</v>
      </c>
      <c r="K405" s="96" t="n">
        <v>2</v>
      </c>
      <c r="L405" s="95" t="inlineStr">
        <is>
          <t>20260730</t>
        </is>
      </c>
      <c r="M405" s="95" t="inlineStr">
        <is>
          <t>제외</t>
        </is>
      </c>
      <c r="N405" s="95" t="inlineStr">
        <is>
          <t>변동성 43.2%(1년 기준, 기준 35% 초과)</t>
        </is>
      </c>
      <c r="O405" s="95" t="inlineStr">
        <is>
          <t>iSelect Global Nuclear Power Index</t>
        </is>
      </c>
      <c r="P405" s="95" t="inlineStr">
        <is>
          <t>일반</t>
        </is>
      </c>
      <c r="Q405" s="95" t="inlineStr">
        <is>
          <t>주식</t>
        </is>
      </c>
      <c r="R405" s="95" t="inlineStr">
        <is>
          <t>연배당</t>
        </is>
      </c>
      <c r="S405" s="96" t="n">
        <v>2</v>
      </c>
      <c r="T405">
        <f>IF(AND($J405&lt;&gt;"",OR(조회_주기="전체",$R405=조회_주기),$J405&gt;=조회_최소,$J405&lt;=조회_최대),1,0)</f>
        <v/>
      </c>
      <c r="U405">
        <f>IF($T405=1,$U404+1,$U404)</f>
        <v/>
      </c>
      <c r="V405">
        <f>IF(검색어="",1,IF(ISNUMBER(SEARCH(검색어,$A405)),1,0))</f>
        <v/>
      </c>
      <c r="W405">
        <f>IF($V405=1,$W404+1,$W404)</f>
        <v/>
      </c>
      <c r="X405">
        <f>IFERROR(INDEX($A$4:$A$517,MATCH(402,$W$4:$W$517,0)),"")</f>
        <v/>
      </c>
    </row>
    <row r="406">
      <c r="A406" s="95" t="inlineStr">
        <is>
          <t>SOL 미국원자력SMR</t>
        </is>
      </c>
      <c r="B406" s="95" t="inlineStr">
        <is>
          <t>0051G0</t>
        </is>
      </c>
      <c r="C406" s="95" t="inlineStr">
        <is>
          <t>신한자산운용</t>
        </is>
      </c>
      <c r="D406" s="96" t="n">
        <v>12195</v>
      </c>
      <c r="E406" s="96" t="n">
        <v>149998500000</v>
      </c>
      <c r="F406" s="96" t="n">
        <v>886930192</v>
      </c>
      <c r="G406" s="97" t="n">
        <v>0.004500000000000001</v>
      </c>
      <c r="H406" s="97" t="n">
        <v>0.4772999999999999</v>
      </c>
      <c r="I406" s="97" t="n">
        <v>0.0017</v>
      </c>
      <c r="J406" s="97" t="n">
        <v>0.004674</v>
      </c>
      <c r="K406" s="96" t="n">
        <v>2</v>
      </c>
      <c r="L406" s="95" t="inlineStr">
        <is>
          <t>20260429</t>
        </is>
      </c>
      <c r="M406" s="95" t="inlineStr">
        <is>
          <t>제외</t>
        </is>
      </c>
      <c r="N406" s="95" t="inlineStr">
        <is>
          <t>변동성 47.7%(1년 기준, 기준 35% 초과)</t>
        </is>
      </c>
      <c r="O406" s="95" t="inlineStr">
        <is>
          <t>KEDI U.S. Nuclear Power SMR Index (Price Return)</t>
        </is>
      </c>
      <c r="P406" s="95" t="inlineStr">
        <is>
          <t>일반</t>
        </is>
      </c>
      <c r="Q406" s="95" t="inlineStr">
        <is>
          <t>주식</t>
        </is>
      </c>
      <c r="R406" s="95" t="inlineStr">
        <is>
          <t>연배당</t>
        </is>
      </c>
      <c r="S406" s="96" t="n">
        <v>2</v>
      </c>
      <c r="T406">
        <f>IF(AND($J406&lt;&gt;"",OR(조회_주기="전체",$R406=조회_주기),$J406&gt;=조회_최소,$J406&lt;=조회_최대),1,0)</f>
        <v/>
      </c>
      <c r="U406">
        <f>IF($T406=1,$U405+1,$U405)</f>
        <v/>
      </c>
      <c r="V406">
        <f>IF(검색어="",1,IF(ISNUMBER(SEARCH(검색어,$A406)),1,0))</f>
        <v/>
      </c>
      <c r="W406">
        <f>IF($V406=1,$W405+1,$W405)</f>
        <v/>
      </c>
      <c r="X406">
        <f>IFERROR(INDEX($A$4:$A$517,MATCH(403,$W$4:$W$517,0)),"")</f>
        <v/>
      </c>
    </row>
    <row r="407">
      <c r="A407" s="95" t="inlineStr">
        <is>
          <t>ACE 일본TOPIX레버리지(H)</t>
        </is>
      </c>
      <c r="B407" s="95" t="inlineStr">
        <is>
          <t>196030</t>
        </is>
      </c>
      <c r="C407" s="95" t="inlineStr">
        <is>
          <t>한국투신운용(ETF)</t>
        </is>
      </c>
      <c r="D407" s="96" t="n">
        <v>89580</v>
      </c>
      <c r="E407" s="96" t="n">
        <v>44790000000</v>
      </c>
      <c r="F407" s="96" t="n">
        <v>18295132</v>
      </c>
      <c r="G407" s="97" t="n">
        <v>0.005</v>
      </c>
      <c r="H407" s="97" t="n">
        <v>0.4248</v>
      </c>
      <c r="I407" s="97" t="n">
        <v>0.0063</v>
      </c>
      <c r="J407" s="97" t="n">
        <v>0.004532</v>
      </c>
      <c r="K407" s="96" t="n">
        <v>1</v>
      </c>
      <c r="L407" s="95" t="inlineStr">
        <is>
          <t>20251229</t>
        </is>
      </c>
      <c r="M407" s="95" t="inlineStr">
        <is>
          <t>제외</t>
        </is>
      </c>
      <c r="N407" s="95" t="inlineStr">
        <is>
          <t>60일 거래대금 0.2억(기준 5억 미만), 변동성 42.5%(1년 기준, 기준 35% 초과)</t>
        </is>
      </c>
      <c r="O407" s="95" t="inlineStr">
        <is>
          <t>TOPIX</t>
        </is>
      </c>
      <c r="P407" s="95" t="inlineStr">
        <is>
          <t>일반</t>
        </is>
      </c>
      <c r="Q407" s="95" t="inlineStr">
        <is>
          <t>주식</t>
        </is>
      </c>
      <c r="R407" s="95" t="inlineStr">
        <is>
          <t>연배당</t>
        </is>
      </c>
      <c r="S407" s="96" t="n">
        <v>1</v>
      </c>
      <c r="T407">
        <f>IF(AND($J407&lt;&gt;"",OR(조회_주기="전체",$R407=조회_주기),$J407&gt;=조회_최소,$J407&lt;=조회_최대),1,0)</f>
        <v/>
      </c>
      <c r="U407">
        <f>IF($T407=1,$U406+1,$U406)</f>
        <v/>
      </c>
      <c r="V407">
        <f>IF(검색어="",1,IF(ISNUMBER(SEARCH(검색어,$A407)),1,0))</f>
        <v/>
      </c>
      <c r="W407">
        <f>IF($V407=1,$W406+1,$W406)</f>
        <v/>
      </c>
      <c r="X407">
        <f>IFERROR(INDEX($A$4:$A$517,MATCH(404,$W$4:$W$517,0)),"")</f>
        <v/>
      </c>
    </row>
    <row r="408">
      <c r="A408" s="95" t="inlineStr">
        <is>
          <t>RISE 2차전지액티브</t>
        </is>
      </c>
      <c r="B408" s="95" t="inlineStr">
        <is>
          <t>422420</t>
        </is>
      </c>
      <c r="C408" s="95" t="inlineStr">
        <is>
          <t>KB자산운용</t>
        </is>
      </c>
      <c r="D408" s="96" t="n">
        <v>6695</v>
      </c>
      <c r="E408" s="96" t="n">
        <v>218658700000</v>
      </c>
      <c r="F408" s="96" t="n">
        <v>1359311511</v>
      </c>
      <c r="G408" s="97" t="n">
        <v>0.0035</v>
      </c>
      <c r="H408" s="97" t="n">
        <v>0.6224000000000001</v>
      </c>
      <c r="I408" s="97" t="n">
        <v>0.003</v>
      </c>
      <c r="J408" s="97" t="n">
        <v>0.004481</v>
      </c>
      <c r="K408" s="96" t="n">
        <v>3</v>
      </c>
      <c r="L408" s="95" t="inlineStr">
        <is>
          <t>20260730</t>
        </is>
      </c>
      <c r="M408" s="95" t="inlineStr">
        <is>
          <t>제외</t>
        </is>
      </c>
      <c r="N408" s="95" t="inlineStr">
        <is>
          <t>변동성 62.2%(1년 기준, 기준 35% 초과)</t>
        </is>
      </c>
      <c r="O408" s="95" t="inlineStr">
        <is>
          <t>iSelect 2차전지 지수</t>
        </is>
      </c>
      <c r="P408" s="95" t="inlineStr">
        <is>
          <t>일반</t>
        </is>
      </c>
      <c r="Q408" s="95" t="inlineStr">
        <is>
          <t>주식</t>
        </is>
      </c>
      <c r="R408" s="95" t="inlineStr">
        <is>
          <t>연배당</t>
        </is>
      </c>
      <c r="S408" s="96" t="n">
        <v>2</v>
      </c>
      <c r="T408">
        <f>IF(AND($J408&lt;&gt;"",OR(조회_주기="전체",$R408=조회_주기),$J408&gt;=조회_최소,$J408&lt;=조회_최대),1,0)</f>
        <v/>
      </c>
      <c r="U408">
        <f>IF($T408=1,$U407+1,$U407)</f>
        <v/>
      </c>
      <c r="V408">
        <f>IF(검색어="",1,IF(ISNUMBER(SEARCH(검색어,$A408)),1,0))</f>
        <v/>
      </c>
      <c r="W408">
        <f>IF($V408=1,$W407+1,$W407)</f>
        <v/>
      </c>
      <c r="X408">
        <f>IFERROR(INDEX($A$4:$A$517,MATCH(405,$W$4:$W$517,0)),"")</f>
        <v/>
      </c>
    </row>
    <row r="409">
      <c r="A409" s="95" t="inlineStr">
        <is>
          <t>HANARO 원자력iSelect</t>
        </is>
      </c>
      <c r="B409" s="95" t="inlineStr">
        <is>
          <t>434730</t>
        </is>
      </c>
      <c r="C409" s="95" t="inlineStr">
        <is>
          <t>NH-Amundi자산운용</t>
        </is>
      </c>
      <c r="D409" s="96" t="n">
        <v>59305</v>
      </c>
      <c r="E409" s="96" t="n">
        <v>696833750000</v>
      </c>
      <c r="F409" s="96" t="n">
        <v>16886888820</v>
      </c>
      <c r="G409" s="97" t="n">
        <v>0.004500000000000001</v>
      </c>
      <c r="H409" s="97" t="n">
        <v>0.6057</v>
      </c>
      <c r="I409" s="97" t="n">
        <v>0.003</v>
      </c>
      <c r="J409" s="97" t="n">
        <v>0.004468</v>
      </c>
      <c r="K409" s="96" t="n">
        <v>4</v>
      </c>
      <c r="L409" s="95" t="inlineStr">
        <is>
          <t>20260429</t>
        </is>
      </c>
      <c r="M409" s="95" t="inlineStr">
        <is>
          <t>제외</t>
        </is>
      </c>
      <c r="N409" s="95" t="inlineStr">
        <is>
          <t>변동성 60.6%(1년 기준, 기준 35% 초과)</t>
        </is>
      </c>
      <c r="O409" s="95" t="inlineStr">
        <is>
          <t>iSelect 원자력 지수</t>
        </is>
      </c>
      <c r="P409" s="95" t="inlineStr">
        <is>
          <t>일반</t>
        </is>
      </c>
      <c r="Q409" s="95" t="inlineStr">
        <is>
          <t>주식</t>
        </is>
      </c>
      <c r="R409" s="95" t="inlineStr">
        <is>
          <t>연배당</t>
        </is>
      </c>
      <c r="S409" s="96" t="n">
        <v>1</v>
      </c>
      <c r="T409">
        <f>IF(AND($J409&lt;&gt;"",OR(조회_주기="전체",$R409=조회_주기),$J409&gt;=조회_최소,$J409&lt;=조회_최대),1,0)</f>
        <v/>
      </c>
      <c r="U409">
        <f>IF($T409=1,$U408+1,$U408)</f>
        <v/>
      </c>
      <c r="V409">
        <f>IF(검색어="",1,IF(ISNUMBER(SEARCH(검색어,$A409)),1,0))</f>
        <v/>
      </c>
      <c r="W409">
        <f>IF($V409=1,$W408+1,$W408)</f>
        <v/>
      </c>
      <c r="X409">
        <f>IFERROR(INDEX($A$4:$A$517,MATCH(406,$W$4:$W$517,0)),"")</f>
        <v/>
      </c>
    </row>
    <row r="410">
      <c r="A410" s="95" t="inlineStr">
        <is>
          <t>RISE 수소경제테마</t>
        </is>
      </c>
      <c r="B410" s="95" t="inlineStr">
        <is>
          <t>367770</t>
        </is>
      </c>
      <c r="C410" s="95" t="inlineStr">
        <is>
          <t>KB자산운용</t>
        </is>
      </c>
      <c r="D410" s="96" t="n">
        <v>22410</v>
      </c>
      <c r="E410" s="96" t="n">
        <v>115411500000</v>
      </c>
      <c r="F410" s="96" t="n">
        <v>2564536604</v>
      </c>
      <c r="G410" s="97" t="n">
        <v>0.004500000000000001</v>
      </c>
      <c r="H410" s="97" t="n">
        <v>0.4868</v>
      </c>
      <c r="I410" s="97" t="n">
        <v>0.0034</v>
      </c>
      <c r="J410" s="97" t="n">
        <v>0.004462</v>
      </c>
      <c r="K410" s="96" t="n">
        <v>5</v>
      </c>
      <c r="L410" s="95" t="inlineStr">
        <is>
          <t>20260429</t>
        </is>
      </c>
      <c r="M410" s="95" t="inlineStr">
        <is>
          <t>제외</t>
        </is>
      </c>
      <c r="N410" s="95" t="inlineStr">
        <is>
          <t>변동성 48.7%(1년 기준, 기준 35% 초과)</t>
        </is>
      </c>
      <c r="O410" s="95" t="inlineStr">
        <is>
          <t>FnGuide 수소 경제 테마 지수</t>
        </is>
      </c>
      <c r="P410" s="95" t="inlineStr">
        <is>
          <t>일반</t>
        </is>
      </c>
      <c r="Q410" s="95" t="inlineStr">
        <is>
          <t>주식</t>
        </is>
      </c>
      <c r="R410" s="95" t="inlineStr">
        <is>
          <t>연배당</t>
        </is>
      </c>
      <c r="S410" s="96" t="n">
        <v>1</v>
      </c>
      <c r="T410">
        <f>IF(AND($J410&lt;&gt;"",OR(조회_주기="전체",$R410=조회_주기),$J410&gt;=조회_최소,$J410&lt;=조회_최대),1,0)</f>
        <v/>
      </c>
      <c r="U410">
        <f>IF($T410=1,$U409+1,$U409)</f>
        <v/>
      </c>
      <c r="V410">
        <f>IF(검색어="",1,IF(ISNUMBER(SEARCH(검색어,$A410)),1,0))</f>
        <v/>
      </c>
      <c r="W410">
        <f>IF($V410=1,$W409+1,$W409)</f>
        <v/>
      </c>
      <c r="X410">
        <f>IFERROR(INDEX($A$4:$A$517,MATCH(407,$W$4:$W$517,0)),"")</f>
        <v/>
      </c>
    </row>
    <row r="411">
      <c r="A411" s="95" t="inlineStr">
        <is>
          <t>SOL 글로벌AI반도체탑픽액티브</t>
        </is>
      </c>
      <c r="B411" s="95" t="inlineStr">
        <is>
          <t>423170</t>
        </is>
      </c>
      <c r="C411" s="95" t="inlineStr">
        <is>
          <t>신한자산운용</t>
        </is>
      </c>
      <c r="D411" s="96" t="n">
        <v>56085</v>
      </c>
      <c r="E411" s="96" t="n">
        <v>250139100000</v>
      </c>
      <c r="F411" s="96" t="n">
        <v>5214546695</v>
      </c>
      <c r="G411" s="97" t="n">
        <v>0.005500000000000001</v>
      </c>
      <c r="H411" s="97" t="n">
        <v>0.4364</v>
      </c>
      <c r="I411" s="97" t="n">
        <v>0.005</v>
      </c>
      <c r="J411" s="97" t="n">
        <v>0.004458</v>
      </c>
      <c r="K411" s="96" t="n">
        <v>4</v>
      </c>
      <c r="L411" s="95" t="inlineStr">
        <is>
          <t>20260429</t>
        </is>
      </c>
      <c r="M411" s="95" t="inlineStr">
        <is>
          <t>제외</t>
        </is>
      </c>
      <c r="N411" s="95" t="inlineStr">
        <is>
          <t>변동성 43.6%(1년 기준, 기준 35% 초과)</t>
        </is>
      </c>
      <c r="O411" s="95" t="inlineStr">
        <is>
          <t>S&amp;P Global Semiconductor Korea Tilted Index (KRW)</t>
        </is>
      </c>
      <c r="P411" s="95" t="inlineStr">
        <is>
          <t>일반</t>
        </is>
      </c>
      <c r="Q411" s="95" t="inlineStr">
        <is>
          <t>주식</t>
        </is>
      </c>
      <c r="R411" s="95" t="inlineStr">
        <is>
          <t>연배당</t>
        </is>
      </c>
      <c r="S411" s="96" t="n">
        <v>1</v>
      </c>
      <c r="T411">
        <f>IF(AND($J411&lt;&gt;"",OR(조회_주기="전체",$R411=조회_주기),$J411&gt;=조회_최소,$J411&lt;=조회_최대),1,0)</f>
        <v/>
      </c>
      <c r="U411">
        <f>IF($T411=1,$U410+1,$U410)</f>
        <v/>
      </c>
      <c r="V411">
        <f>IF(검색어="",1,IF(ISNUMBER(SEARCH(검색어,$A411)),1,0))</f>
        <v/>
      </c>
      <c r="W411">
        <f>IF($V411=1,$W410+1,$W410)</f>
        <v/>
      </c>
      <c r="X411">
        <f>IFERROR(INDEX($A$4:$A$517,MATCH(408,$W$4:$W$517,0)),"")</f>
        <v/>
      </c>
    </row>
    <row r="412">
      <c r="A412" s="95" t="inlineStr">
        <is>
          <t>KODEX 미국반도체</t>
        </is>
      </c>
      <c r="B412" s="95" t="inlineStr">
        <is>
          <t>390390</t>
        </is>
      </c>
      <c r="C412" s="95" t="inlineStr">
        <is>
          <t>삼성자산운용(ETF)</t>
        </is>
      </c>
      <c r="D412" s="96" t="n">
        <v>51625</v>
      </c>
      <c r="E412" s="96" t="n">
        <v>1233837500000</v>
      </c>
      <c r="F412" s="96" t="n">
        <v>43435069348</v>
      </c>
      <c r="G412" s="97" t="n">
        <v>0.0009</v>
      </c>
      <c r="H412" s="97" t="n">
        <v>0.4034</v>
      </c>
      <c r="I412" s="97" t="n">
        <v>0.0011</v>
      </c>
      <c r="J412" s="97" t="n">
        <v>0.004378</v>
      </c>
      <c r="K412" s="96" t="n">
        <v>14</v>
      </c>
      <c r="L412" s="95" t="inlineStr">
        <is>
          <t>20260730</t>
        </is>
      </c>
      <c r="M412" s="95" t="inlineStr">
        <is>
          <t>제외</t>
        </is>
      </c>
      <c r="N412" s="95" t="inlineStr">
        <is>
          <t>변동성 40.3%(1년 기준, 기준 35% 초과)</t>
        </is>
      </c>
      <c r="O412" s="95" t="inlineStr">
        <is>
          <t>MVIS US Listed Semiconductor 25 Index</t>
        </is>
      </c>
      <c r="P412" s="95" t="inlineStr">
        <is>
          <t>일반</t>
        </is>
      </c>
      <c r="Q412" s="95" t="inlineStr">
        <is>
          <t>주식</t>
        </is>
      </c>
      <c r="R412" s="95" t="inlineStr">
        <is>
          <t>분기배당</t>
        </is>
      </c>
      <c r="S412" s="96" t="n">
        <v>4</v>
      </c>
      <c r="T412">
        <f>IF(AND($J412&lt;&gt;"",OR(조회_주기="전체",$R412=조회_주기),$J412&gt;=조회_최소,$J412&lt;=조회_최대),1,0)</f>
        <v/>
      </c>
      <c r="U412">
        <f>IF($T412=1,$U411+1,$U411)</f>
        <v/>
      </c>
      <c r="V412">
        <f>IF(검색어="",1,IF(ISNUMBER(SEARCH(검색어,$A412)),1,0))</f>
        <v/>
      </c>
      <c r="W412">
        <f>IF($V412=1,$W411+1,$W411)</f>
        <v/>
      </c>
      <c r="X412">
        <f>IFERROR(INDEX($A$4:$A$517,MATCH(409,$W$4:$W$517,0)),"")</f>
        <v/>
      </c>
    </row>
    <row r="413">
      <c r="A413" s="95" t="inlineStr">
        <is>
          <t>KODEX 우량주</t>
        </is>
      </c>
      <c r="B413" s="95" t="inlineStr">
        <is>
          <t>275300</t>
        </is>
      </c>
      <c r="C413" s="95" t="inlineStr">
        <is>
          <t>삼성자산운용(ETF)</t>
        </is>
      </c>
      <c r="D413" s="96" t="n">
        <v>28970</v>
      </c>
      <c r="E413" s="96" t="n">
        <v>49249000000</v>
      </c>
      <c r="F413" s="96" t="n">
        <v>318770423</v>
      </c>
      <c r="G413" s="97" t="n">
        <v>0.003</v>
      </c>
      <c r="H413" s="97" t="n">
        <v>0.584</v>
      </c>
      <c r="I413" s="97" t="n">
        <v>0.0008</v>
      </c>
      <c r="J413" s="97" t="n">
        <v>0.004349</v>
      </c>
      <c r="K413" s="96" t="n">
        <v>6</v>
      </c>
      <c r="L413" s="95" t="inlineStr">
        <is>
          <t>20260730</t>
        </is>
      </c>
      <c r="M413" s="95" t="inlineStr">
        <is>
          <t>제외</t>
        </is>
      </c>
      <c r="N413" s="95" t="inlineStr">
        <is>
          <t>60일 거래대금 3.2억(기준 5억 미만), 변동성 58.4%(1년 기준, 기준 35% 초과)</t>
        </is>
      </c>
      <c r="O413" s="95" t="inlineStr">
        <is>
          <t>MSCI Korea IMI Quality</t>
        </is>
      </c>
      <c r="P413" s="95" t="inlineStr">
        <is>
          <t>일반</t>
        </is>
      </c>
      <c r="Q413" s="95" t="inlineStr">
        <is>
          <t>주식</t>
        </is>
      </c>
      <c r="R413" s="95" t="inlineStr">
        <is>
          <t>연배당</t>
        </is>
      </c>
      <c r="S413" s="96" t="n">
        <v>2</v>
      </c>
      <c r="T413">
        <f>IF(AND($J413&lt;&gt;"",OR(조회_주기="전체",$R413=조회_주기),$J413&gt;=조회_최소,$J413&lt;=조회_최대),1,0)</f>
        <v/>
      </c>
      <c r="U413">
        <f>IF($T413=1,$U412+1,$U412)</f>
        <v/>
      </c>
      <c r="V413">
        <f>IF(검색어="",1,IF(ISNUMBER(SEARCH(검색어,$A413)),1,0))</f>
        <v/>
      </c>
      <c r="W413">
        <f>IF($V413=1,$W412+1,$W412)</f>
        <v/>
      </c>
      <c r="X413">
        <f>IFERROR(INDEX($A$4:$A$517,MATCH(410,$W$4:$W$517,0)),"")</f>
        <v/>
      </c>
    </row>
    <row r="414">
      <c r="A414" s="95" t="inlineStr">
        <is>
          <t>TIGER 미국필라델피아반도체나스닥</t>
        </is>
      </c>
      <c r="B414" s="95" t="inlineStr">
        <is>
          <t>381180</t>
        </is>
      </c>
      <c r="C414" s="95" t="inlineStr">
        <is>
          <t>미래에셋자산운용</t>
        </is>
      </c>
      <c r="D414" s="96" t="n">
        <v>40750</v>
      </c>
      <c r="E414" s="96" t="n">
        <v>5537925000000</v>
      </c>
      <c r="F414" s="96" t="n">
        <v>111557971161</v>
      </c>
      <c r="G414" s="97" t="n">
        <v>0.0049</v>
      </c>
      <c r="H414" s="97" t="n">
        <v>0.4524</v>
      </c>
      <c r="I414" s="97" t="n">
        <v>0.0012</v>
      </c>
      <c r="J414" s="97" t="n">
        <v>0.004147000000000001</v>
      </c>
      <c r="K414" s="96" t="n">
        <v>18</v>
      </c>
      <c r="L414" s="95" t="inlineStr">
        <is>
          <t>20260730</t>
        </is>
      </c>
      <c r="M414" s="95" t="inlineStr">
        <is>
          <t>제외</t>
        </is>
      </c>
      <c r="N414" s="95" t="inlineStr">
        <is>
          <t>변동성 45.2%(1년 기준, 기준 35% 초과)</t>
        </is>
      </c>
      <c r="O414" s="95" t="inlineStr">
        <is>
          <t>PHLX Semiconductor Sector Index</t>
        </is>
      </c>
      <c r="P414" s="95" t="inlineStr">
        <is>
          <t>일반</t>
        </is>
      </c>
      <c r="Q414" s="95" t="inlineStr">
        <is>
          <t>주식</t>
        </is>
      </c>
      <c r="R414" s="95" t="inlineStr">
        <is>
          <t>분기배당</t>
        </is>
      </c>
      <c r="S414" s="96" t="n">
        <v>4</v>
      </c>
      <c r="T414">
        <f>IF(AND($J414&lt;&gt;"",OR(조회_주기="전체",$R414=조회_주기),$J414&gt;=조회_최소,$J414&lt;=조회_최대),1,0)</f>
        <v/>
      </c>
      <c r="U414">
        <f>IF($T414=1,$U413+1,$U413)</f>
        <v/>
      </c>
      <c r="V414">
        <f>IF(검색어="",1,IF(ISNUMBER(SEARCH(검색어,$A414)),1,0))</f>
        <v/>
      </c>
      <c r="W414">
        <f>IF($V414=1,$W413+1,$W413)</f>
        <v/>
      </c>
      <c r="X414">
        <f>IFERROR(INDEX($A$4:$A$517,MATCH(411,$W$4:$W$517,0)),"")</f>
        <v/>
      </c>
    </row>
    <row r="415">
      <c r="A415" s="95" t="inlineStr">
        <is>
          <t>TIGER 2차전지TOP10레버리지</t>
        </is>
      </c>
      <c r="B415" s="95" t="inlineStr">
        <is>
          <t>412570</t>
        </is>
      </c>
      <c r="C415" s="95" t="inlineStr">
        <is>
          <t>미래에셋자산운용</t>
        </is>
      </c>
      <c r="D415" s="96" t="n">
        <v>1220</v>
      </c>
      <c r="E415" s="96" t="n">
        <v>177998000000</v>
      </c>
      <c r="F415" s="96" t="n">
        <v>8647398873</v>
      </c>
      <c r="G415" s="97" t="n">
        <v>0.0029</v>
      </c>
      <c r="H415" s="97" t="n">
        <v>1.1853</v>
      </c>
      <c r="I415" s="97" t="n">
        <v>0.0038</v>
      </c>
      <c r="J415" s="97" t="n">
        <v>0.004098</v>
      </c>
      <c r="K415" s="96" t="n">
        <v>1</v>
      </c>
      <c r="L415" s="95" t="inlineStr">
        <is>
          <t>20251229</t>
        </is>
      </c>
      <c r="M415" s="95" t="inlineStr">
        <is>
          <t>제외</t>
        </is>
      </c>
      <c r="N415" s="95" t="inlineStr">
        <is>
          <t>변동성 118.5%(1년 기준, 기준 35% 초과)</t>
        </is>
      </c>
      <c r="O415" s="95" t="inlineStr">
        <is>
          <t>KRX 2차전지 TOP 10 지수</t>
        </is>
      </c>
      <c r="P415" s="95" t="inlineStr">
        <is>
          <t>일반</t>
        </is>
      </c>
      <c r="Q415" s="95" t="inlineStr">
        <is>
          <t>주식</t>
        </is>
      </c>
      <c r="R415" s="95" t="inlineStr">
        <is>
          <t>연배당</t>
        </is>
      </c>
      <c r="S415" s="96" t="n">
        <v>1</v>
      </c>
      <c r="T415">
        <f>IF(AND($J415&lt;&gt;"",OR(조회_주기="전체",$R415=조회_주기),$J415&gt;=조회_최소,$J415&lt;=조회_최대),1,0)</f>
        <v/>
      </c>
      <c r="U415">
        <f>IF($T415=1,$U414+1,$U414)</f>
        <v/>
      </c>
      <c r="V415">
        <f>IF(검색어="",1,IF(ISNUMBER(SEARCH(검색어,$A415)),1,0))</f>
        <v/>
      </c>
      <c r="W415">
        <f>IF($V415=1,$W414+1,$W414)</f>
        <v/>
      </c>
      <c r="X415">
        <f>IFERROR(INDEX($A$4:$A$517,MATCH(412,$W$4:$W$517,0)),"")</f>
        <v/>
      </c>
    </row>
    <row r="416">
      <c r="A416" s="95" t="inlineStr">
        <is>
          <t>RISE 200선물레버리지</t>
        </is>
      </c>
      <c r="B416" s="95" t="inlineStr">
        <is>
          <t>252400</t>
        </is>
      </c>
      <c r="C416" s="95" t="inlineStr">
        <is>
          <t>KB자산운용</t>
        </is>
      </c>
      <c r="D416" s="96" t="n">
        <v>96040</v>
      </c>
      <c r="E416" s="96" t="n">
        <v>57624000000</v>
      </c>
      <c r="F416" s="96" t="n">
        <v>2420818279</v>
      </c>
      <c r="G416" s="97" t="n">
        <v>0.00022</v>
      </c>
      <c r="H416" s="97" t="n">
        <v>1.1574</v>
      </c>
      <c r="I416" s="97" t="n">
        <v>0.0091</v>
      </c>
      <c r="J416" s="97" t="n">
        <v>0.003957</v>
      </c>
      <c r="K416" s="96" t="n">
        <v>1</v>
      </c>
      <c r="L416" s="95" t="inlineStr">
        <is>
          <t>20251229</t>
        </is>
      </c>
      <c r="M416" s="95" t="inlineStr">
        <is>
          <t>제외</t>
        </is>
      </c>
      <c r="N416" s="95" t="inlineStr">
        <is>
          <t>변동성 115.7%(1년 기준, 기준 35% 초과)</t>
        </is>
      </c>
      <c r="O416" s="95" t="inlineStr">
        <is>
          <t>KOSPI200선물지수</t>
        </is>
      </c>
      <c r="P416" s="95" t="inlineStr">
        <is>
          <t>일반</t>
        </is>
      </c>
      <c r="Q416" s="95" t="inlineStr">
        <is>
          <t>주식</t>
        </is>
      </c>
      <c r="R416" s="95" t="inlineStr">
        <is>
          <t>연배당</t>
        </is>
      </c>
      <c r="S416" s="96" t="n">
        <v>1</v>
      </c>
      <c r="T416">
        <f>IF(AND($J416&lt;&gt;"",OR(조회_주기="전체",$R416=조회_주기),$J416&gt;=조회_최소,$J416&lt;=조회_최대),1,0)</f>
        <v/>
      </c>
      <c r="U416">
        <f>IF($T416=1,$U415+1,$U415)</f>
        <v/>
      </c>
      <c r="V416">
        <f>IF(검색어="",1,IF(ISNUMBER(SEARCH(검색어,$A416)),1,0))</f>
        <v/>
      </c>
      <c r="W416">
        <f>IF($V416=1,$W415+1,$W415)</f>
        <v/>
      </c>
      <c r="X416">
        <f>IFERROR(INDEX($A$4:$A$517,MATCH(413,$W$4:$W$517,0)),"")</f>
        <v/>
      </c>
    </row>
    <row r="417">
      <c r="A417" s="95" t="inlineStr">
        <is>
          <t>KODEX 2차전지핵심소재10</t>
        </is>
      </c>
      <c r="B417" s="95" t="inlineStr">
        <is>
          <t>461950</t>
        </is>
      </c>
      <c r="C417" s="95" t="inlineStr">
        <is>
          <t>삼성자산운용(ETF)</t>
        </is>
      </c>
      <c r="D417" s="96" t="n">
        <v>4860</v>
      </c>
      <c r="E417" s="96" t="n">
        <v>174960000000</v>
      </c>
      <c r="F417" s="96" t="n">
        <v>5164061238</v>
      </c>
      <c r="G417" s="97" t="n">
        <v>0.0039</v>
      </c>
      <c r="H417" s="97" t="n">
        <v>0.6636</v>
      </c>
      <c r="I417" s="97" t="n">
        <v>0.0024</v>
      </c>
      <c r="J417" s="97" t="n">
        <v>0.003909</v>
      </c>
      <c r="K417" s="96" t="n">
        <v>4</v>
      </c>
      <c r="L417" s="95" t="inlineStr">
        <is>
          <t>20260730</t>
        </is>
      </c>
      <c r="M417" s="95" t="inlineStr">
        <is>
          <t>제외</t>
        </is>
      </c>
      <c r="N417" s="95" t="inlineStr">
        <is>
          <t>변동성 66.4%(1년 기준, 기준 35% 초과)</t>
        </is>
      </c>
      <c r="O417" s="95" t="inlineStr">
        <is>
          <t>FnGuide 2차전지핵심소재10 지수</t>
        </is>
      </c>
      <c r="P417" s="95" t="inlineStr">
        <is>
          <t>일반</t>
        </is>
      </c>
      <c r="Q417" s="95" t="inlineStr">
        <is>
          <t>주식</t>
        </is>
      </c>
      <c r="R417" s="95" t="inlineStr">
        <is>
          <t>연배당</t>
        </is>
      </c>
      <c r="S417" s="96" t="n">
        <v>2</v>
      </c>
      <c r="T417">
        <f>IF(AND($J417&lt;&gt;"",OR(조회_주기="전체",$R417=조회_주기),$J417&gt;=조회_최소,$J417&lt;=조회_최대),1,0)</f>
        <v/>
      </c>
      <c r="U417">
        <f>IF($T417=1,$U416+1,$U416)</f>
        <v/>
      </c>
      <c r="V417">
        <f>IF(검색어="",1,IF(ISNUMBER(SEARCH(검색어,$A417)),1,0))</f>
        <v/>
      </c>
      <c r="W417">
        <f>IF($V417=1,$W416+1,$W416)</f>
        <v/>
      </c>
      <c r="X417">
        <f>IFERROR(INDEX($A$4:$A$517,MATCH(414,$W$4:$W$517,0)),"")</f>
        <v/>
      </c>
    </row>
    <row r="418">
      <c r="A418" s="95" t="inlineStr">
        <is>
          <t>KODEX 은선물(H)</t>
        </is>
      </c>
      <c r="B418" s="95" t="inlineStr">
        <is>
          <t>144600</t>
        </is>
      </c>
      <c r="C418" s="95" t="inlineStr">
        <is>
          <t>삼성자산운용(ETF)</t>
        </is>
      </c>
      <c r="D418" s="96" t="n">
        <v>10335</v>
      </c>
      <c r="E418" s="96" t="n">
        <v>756522000000</v>
      </c>
      <c r="F418" s="96" t="n">
        <v>7032553654</v>
      </c>
      <c r="G418" s="97" t="n">
        <v>0.0068</v>
      </c>
      <c r="H418" s="97" t="n">
        <v>0.6709000000000001</v>
      </c>
      <c r="I418" s="97" t="n">
        <v>0.0031</v>
      </c>
      <c r="J418" s="97" t="n">
        <v>0.00387</v>
      </c>
      <c r="K418" s="96" t="n">
        <v>1</v>
      </c>
      <c r="L418" s="95" t="inlineStr">
        <is>
          <t>20251229</t>
        </is>
      </c>
      <c r="M418" s="95" t="inlineStr">
        <is>
          <t>제외</t>
        </is>
      </c>
      <c r="N418" s="95" t="inlineStr">
        <is>
          <t>변동성 67.1%(1년 기준, 기준 35% 초과)</t>
        </is>
      </c>
      <c r="O418" s="95" t="inlineStr">
        <is>
          <t>S&amp;P GSCI Silver</t>
        </is>
      </c>
      <c r="P418" s="95" t="inlineStr">
        <is>
          <t>일반</t>
        </is>
      </c>
      <c r="Q418" s="95" t="inlineStr">
        <is>
          <t>원자재</t>
        </is>
      </c>
      <c r="R418" s="95" t="inlineStr">
        <is>
          <t>연배당</t>
        </is>
      </c>
      <c r="S418" s="96" t="n">
        <v>1</v>
      </c>
      <c r="T418">
        <f>IF(AND($J418&lt;&gt;"",OR(조회_주기="전체",$R418=조회_주기),$J418&gt;=조회_최소,$J418&lt;=조회_최대),1,0)</f>
        <v/>
      </c>
      <c r="U418">
        <f>IF($T418=1,$U417+1,$U417)</f>
        <v/>
      </c>
      <c r="V418">
        <f>IF(검색어="",1,IF(ISNUMBER(SEARCH(검색어,$A418)),1,0))</f>
        <v/>
      </c>
      <c r="W418">
        <f>IF($V418=1,$W417+1,$W417)</f>
        <v/>
      </c>
      <c r="X418">
        <f>IFERROR(INDEX($A$4:$A$517,MATCH(415,$W$4:$W$517,0)),"")</f>
        <v/>
      </c>
    </row>
    <row r="419">
      <c r="A419" s="95" t="inlineStr">
        <is>
          <t>HANARO 머니마켓액티브</t>
        </is>
      </c>
      <c r="B419" s="95" t="inlineStr">
        <is>
          <t>486830</t>
        </is>
      </c>
      <c r="C419" s="95" t="inlineStr">
        <is>
          <t>NH-Amundi자산운용</t>
        </is>
      </c>
      <c r="D419" s="96" t="n">
        <v>53360</v>
      </c>
      <c r="E419" s="96" t="n">
        <v>235637760000</v>
      </c>
      <c r="F419" s="96" t="n">
        <v>180097124</v>
      </c>
      <c r="G419" s="97" t="n">
        <v>0.0004</v>
      </c>
      <c r="H419" s="97" t="n">
        <v>0.004</v>
      </c>
      <c r="I419" s="97" t="n">
        <v>0.0038</v>
      </c>
      <c r="J419" s="97" t="n">
        <v>0.003748</v>
      </c>
      <c r="K419" s="96" t="n">
        <v>1</v>
      </c>
      <c r="L419" s="95" t="inlineStr">
        <is>
          <t>20251229</t>
        </is>
      </c>
      <c r="M419" s="95" t="inlineStr">
        <is>
          <t>제외</t>
        </is>
      </c>
      <c r="N419" s="95" t="inlineStr">
        <is>
          <t>60일 거래대금 1.8억(기준 5억 미만)</t>
        </is>
      </c>
      <c r="O419" s="95" t="inlineStr">
        <is>
          <t>KIS-NH-Amundi MMF지수</t>
        </is>
      </c>
      <c r="P419" s="95" t="inlineStr">
        <is>
          <t>일반</t>
        </is>
      </c>
      <c r="Q419" s="95" t="inlineStr">
        <is>
          <t>단기자금(파킹형)</t>
        </is>
      </c>
      <c r="R419" s="95" t="inlineStr">
        <is>
          <t>연배당</t>
        </is>
      </c>
      <c r="S419" s="96" t="n">
        <v>1</v>
      </c>
      <c r="T419">
        <f>IF(AND($J419&lt;&gt;"",OR(조회_주기="전체",$R419=조회_주기),$J419&gt;=조회_최소,$J419&lt;=조회_최대),1,0)</f>
        <v/>
      </c>
      <c r="U419">
        <f>IF($T419=1,$U418+1,$U418)</f>
        <v/>
      </c>
      <c r="V419">
        <f>IF(검색어="",1,IF(ISNUMBER(SEARCH(검색어,$A419)),1,0))</f>
        <v/>
      </c>
      <c r="W419">
        <f>IF($V419=1,$W418+1,$W418)</f>
        <v/>
      </c>
      <c r="X419">
        <f>IFERROR(INDEX($A$4:$A$517,MATCH(416,$W$4:$W$517,0)),"")</f>
        <v/>
      </c>
    </row>
    <row r="420">
      <c r="A420" s="95" t="inlineStr">
        <is>
          <t>PLUS 미국나스닥테크</t>
        </is>
      </c>
      <c r="B420" s="95" t="inlineStr">
        <is>
          <t>287180</t>
        </is>
      </c>
      <c r="C420" s="95" t="inlineStr">
        <is>
          <t>한화자산운용</t>
        </is>
      </c>
      <c r="D420" s="96" t="n">
        <v>53380</v>
      </c>
      <c r="E420" s="96" t="n">
        <v>48042000000</v>
      </c>
      <c r="F420" s="96" t="n">
        <v>243703047</v>
      </c>
      <c r="G420" s="97" t="n">
        <v>0.005</v>
      </c>
      <c r="H420" s="97" t="n">
        <v>0.2977</v>
      </c>
      <c r="I420" s="97" t="n">
        <v>0.004099999999999999</v>
      </c>
      <c r="J420" s="97" t="n">
        <v>0.003747</v>
      </c>
      <c r="K420" s="96" t="n">
        <v>2</v>
      </c>
      <c r="L420" s="95" t="inlineStr">
        <is>
          <t>20260429</t>
        </is>
      </c>
      <c r="M420" s="95" t="inlineStr">
        <is>
          <t>제외</t>
        </is>
      </c>
      <c r="N420" s="95" t="inlineStr">
        <is>
          <t>60일 거래대금 2.4억(기준 5억 미만)</t>
        </is>
      </c>
      <c r="O420" s="95" t="inlineStr">
        <is>
          <t>NASDAQ-100 Technology Sector Index</t>
        </is>
      </c>
      <c r="P420" s="95" t="inlineStr">
        <is>
          <t>일반</t>
        </is>
      </c>
      <c r="Q420" s="95" t="inlineStr">
        <is>
          <t>주식</t>
        </is>
      </c>
      <c r="R420" s="95" t="inlineStr">
        <is>
          <t>연배당</t>
        </is>
      </c>
      <c r="S420" s="96" t="n">
        <v>1</v>
      </c>
      <c r="T420">
        <f>IF(AND($J420&lt;&gt;"",OR(조회_주기="전체",$R420=조회_주기),$J420&gt;=조회_최소,$J420&lt;=조회_최대),1,0)</f>
        <v/>
      </c>
      <c r="U420">
        <f>IF($T420=1,$U419+1,$U419)</f>
        <v/>
      </c>
      <c r="V420">
        <f>IF(검색어="",1,IF(ISNUMBER(SEARCH(검색어,$A420)),1,0))</f>
        <v/>
      </c>
      <c r="W420">
        <f>IF($V420=1,$W419+1,$W419)</f>
        <v/>
      </c>
      <c r="X420">
        <f>IFERROR(INDEX($A$4:$A$517,MATCH(417,$W$4:$W$517,0)),"")</f>
        <v/>
      </c>
    </row>
    <row r="421">
      <c r="A421" s="95" t="inlineStr">
        <is>
          <t>TIGER 200선물레버리지</t>
        </is>
      </c>
      <c r="B421" s="95" t="inlineStr">
        <is>
          <t>267770</t>
        </is>
      </c>
      <c r="C421" s="95" t="inlineStr">
        <is>
          <t>미래에셋자산운용</t>
        </is>
      </c>
      <c r="D421" s="96" t="n">
        <v>79335</v>
      </c>
      <c r="E421" s="96" t="n">
        <v>190404000000</v>
      </c>
      <c r="F421" s="96" t="n">
        <v>10571697011</v>
      </c>
      <c r="G421" s="97" t="n">
        <v>0.00022</v>
      </c>
      <c r="H421" s="97" t="n">
        <v>1.1613</v>
      </c>
      <c r="I421" s="97" t="n">
        <v>0.008500000000000001</v>
      </c>
      <c r="J421" s="97" t="n">
        <v>0.003718</v>
      </c>
      <c r="K421" s="96" t="n">
        <v>1</v>
      </c>
      <c r="L421" s="95" t="inlineStr">
        <is>
          <t>20251229</t>
        </is>
      </c>
      <c r="M421" s="95" t="inlineStr">
        <is>
          <t>제외</t>
        </is>
      </c>
      <c r="N421" s="95" t="inlineStr">
        <is>
          <t>변동성 116.1%(1년 기준, 기준 35% 초과)</t>
        </is>
      </c>
      <c r="O421" s="95" t="inlineStr">
        <is>
          <t>KOSPI200선물지수</t>
        </is>
      </c>
      <c r="P421" s="95" t="inlineStr">
        <is>
          <t>일반</t>
        </is>
      </c>
      <c r="Q421" s="95" t="inlineStr">
        <is>
          <t>주식</t>
        </is>
      </c>
      <c r="R421" s="95" t="inlineStr">
        <is>
          <t>연배당</t>
        </is>
      </c>
      <c r="S421" s="96" t="n">
        <v>1</v>
      </c>
      <c r="T421">
        <f>IF(AND($J421&lt;&gt;"",OR(조회_주기="전체",$R421=조회_주기),$J421&gt;=조회_최소,$J421&lt;=조회_최대),1,0)</f>
        <v/>
      </c>
      <c r="U421">
        <f>IF($T421=1,$U420+1,$U420)</f>
        <v/>
      </c>
      <c r="V421">
        <f>IF(검색어="",1,IF(ISNUMBER(SEARCH(검색어,$A421)),1,0))</f>
        <v/>
      </c>
      <c r="W421">
        <f>IF($V421=1,$W420+1,$W420)</f>
        <v/>
      </c>
      <c r="X421">
        <f>IFERROR(INDEX($A$4:$A$517,MATCH(418,$W$4:$W$517,0)),"")</f>
        <v/>
      </c>
    </row>
    <row r="422">
      <c r="A422" s="95" t="inlineStr">
        <is>
          <t>TIGER 반도체</t>
        </is>
      </c>
      <c r="B422" s="95" t="inlineStr">
        <is>
          <t>091230</t>
        </is>
      </c>
      <c r="C422" s="95" t="inlineStr">
        <is>
          <t>미래에셋자산운용</t>
        </is>
      </c>
      <c r="D422" s="96" t="n">
        <v>135000</v>
      </c>
      <c r="E422" s="96" t="n">
        <v>1385100000000</v>
      </c>
      <c r="F422" s="96" t="n">
        <v>63904299987</v>
      </c>
      <c r="G422" s="97" t="n">
        <v>0.0046</v>
      </c>
      <c r="H422" s="97" t="n">
        <v>0.7215</v>
      </c>
      <c r="I422" s="97" t="n">
        <v>0.0017</v>
      </c>
      <c r="J422" s="97" t="n">
        <v>0.003696</v>
      </c>
      <c r="K422" s="96" t="n">
        <v>11</v>
      </c>
      <c r="L422" s="95" t="inlineStr">
        <is>
          <t>20260730</t>
        </is>
      </c>
      <c r="M422" s="95" t="inlineStr">
        <is>
          <t>제외</t>
        </is>
      </c>
      <c r="N422" s="95" t="inlineStr">
        <is>
          <t>변동성 72.2%(1년 기준, 기준 35% 초과)</t>
        </is>
      </c>
      <c r="O422" s="95" t="inlineStr">
        <is>
          <t>KRX 반도체</t>
        </is>
      </c>
      <c r="P422" s="95" t="inlineStr">
        <is>
          <t>일반</t>
        </is>
      </c>
      <c r="Q422" s="95" t="inlineStr">
        <is>
          <t>주식</t>
        </is>
      </c>
      <c r="R422" s="95" t="inlineStr">
        <is>
          <t>분기배당</t>
        </is>
      </c>
      <c r="S422" s="96" t="n">
        <v>4</v>
      </c>
      <c r="T422">
        <f>IF(AND($J422&lt;&gt;"",OR(조회_주기="전체",$R422=조회_주기),$J422&gt;=조회_최소,$J422&lt;=조회_최대),1,0)</f>
        <v/>
      </c>
      <c r="U422">
        <f>IF($T422=1,$U421+1,$U421)</f>
        <v/>
      </c>
      <c r="V422">
        <f>IF(검색어="",1,IF(ISNUMBER(SEARCH(검색어,$A422)),1,0))</f>
        <v/>
      </c>
      <c r="W422">
        <f>IF($V422=1,$W421+1,$W421)</f>
        <v/>
      </c>
      <c r="X422">
        <f>IFERROR(INDEX($A$4:$A$517,MATCH(419,$W$4:$W$517,0)),"")</f>
        <v/>
      </c>
    </row>
    <row r="423">
      <c r="A423" s="95" t="inlineStr">
        <is>
          <t>ACE 구글밸류체인액티브</t>
        </is>
      </c>
      <c r="B423" s="95" t="inlineStr">
        <is>
          <t>483340</t>
        </is>
      </c>
      <c r="C423" s="95" t="inlineStr">
        <is>
          <t>한국투신운용(ETF)</t>
        </is>
      </c>
      <c r="D423" s="96" t="n">
        <v>21515</v>
      </c>
      <c r="E423" s="96" t="n">
        <v>243119500000</v>
      </c>
      <c r="F423" s="96" t="n">
        <v>7738650962</v>
      </c>
      <c r="G423" s="97" t="n">
        <v>0.004500000000000001</v>
      </c>
      <c r="H423" s="97" t="n">
        <v>0.3791</v>
      </c>
      <c r="I423" s="97" t="n">
        <v>0.0051</v>
      </c>
      <c r="J423" s="97" t="n">
        <v>0.003672</v>
      </c>
      <c r="K423" s="96" t="n">
        <v>1</v>
      </c>
      <c r="L423" s="95" t="inlineStr">
        <is>
          <t>20251229</t>
        </is>
      </c>
      <c r="M423" s="95" t="inlineStr">
        <is>
          <t>제외</t>
        </is>
      </c>
      <c r="N423" s="95" t="inlineStr">
        <is>
          <t>변동성 37.9%(1년 기준, 기준 35% 초과)</t>
        </is>
      </c>
      <c r="O423" s="95" t="inlineStr">
        <is>
          <t>KEDI Global AI Cloud Index</t>
        </is>
      </c>
      <c r="P423" s="95" t="inlineStr">
        <is>
          <t>일반</t>
        </is>
      </c>
      <c r="Q423" s="95" t="inlineStr">
        <is>
          <t>주식</t>
        </is>
      </c>
      <c r="R423" s="95" t="inlineStr">
        <is>
          <t>연배당</t>
        </is>
      </c>
      <c r="S423" s="96" t="n">
        <v>1</v>
      </c>
      <c r="T423">
        <f>IF(AND($J423&lt;&gt;"",OR(조회_주기="전체",$R423=조회_주기),$J423&gt;=조회_최소,$J423&lt;=조회_최대),1,0)</f>
        <v/>
      </c>
      <c r="U423">
        <f>IF($T423=1,$U422+1,$U422)</f>
        <v/>
      </c>
      <c r="V423">
        <f>IF(검색어="",1,IF(ISNUMBER(SEARCH(검색어,$A423)),1,0))</f>
        <v/>
      </c>
      <c r="W423">
        <f>IF($V423=1,$W422+1,$W422)</f>
        <v/>
      </c>
      <c r="X423">
        <f>IFERROR(INDEX($A$4:$A$517,MATCH(420,$W$4:$W$517,0)),"")</f>
        <v/>
      </c>
    </row>
    <row r="424">
      <c r="A424" s="95" t="inlineStr">
        <is>
          <t>TIGER 코스닥150 레버리지</t>
        </is>
      </c>
      <c r="B424" s="95" t="inlineStr">
        <is>
          <t>233160</t>
        </is>
      </c>
      <c r="C424" s="95" t="inlineStr">
        <is>
          <t>미래에셋자산운용</t>
        </is>
      </c>
      <c r="D424" s="96" t="n">
        <v>7355</v>
      </c>
      <c r="E424" s="96" t="n">
        <v>162545500000</v>
      </c>
      <c r="F424" s="96" t="n">
        <v>19718871014</v>
      </c>
      <c r="G424" s="97" t="n">
        <v>0.0032</v>
      </c>
      <c r="H424" s="97" t="n">
        <v>1.1205</v>
      </c>
      <c r="I424" s="97" t="n">
        <v>0.0021</v>
      </c>
      <c r="J424" s="97" t="n">
        <v>0.003671</v>
      </c>
      <c r="K424" s="96" t="n">
        <v>1</v>
      </c>
      <c r="L424" s="95" t="inlineStr">
        <is>
          <t>20251229</t>
        </is>
      </c>
      <c r="M424" s="95" t="inlineStr">
        <is>
          <t>제외</t>
        </is>
      </c>
      <c r="N424" s="95" t="inlineStr">
        <is>
          <t>변동성 112.1%(1년 기준, 기준 35% 초과)</t>
        </is>
      </c>
      <c r="O424" s="95" t="inlineStr">
        <is>
          <t>KOSDAQ 150</t>
        </is>
      </c>
      <c r="P424" s="95" t="inlineStr">
        <is>
          <t>일반</t>
        </is>
      </c>
      <c r="Q424" s="95" t="inlineStr">
        <is>
          <t>주식</t>
        </is>
      </c>
      <c r="R424" s="95" t="inlineStr">
        <is>
          <t>연배당</t>
        </is>
      </c>
      <c r="S424" s="96" t="n">
        <v>1</v>
      </c>
      <c r="T424">
        <f>IF(AND($J424&lt;&gt;"",OR(조회_주기="전체",$R424=조회_주기),$J424&gt;=조회_최소,$J424&lt;=조회_최대),1,0)</f>
        <v/>
      </c>
      <c r="U424">
        <f>IF($T424=1,$U423+1,$U423)</f>
        <v/>
      </c>
      <c r="V424">
        <f>IF(검색어="",1,IF(ISNUMBER(SEARCH(검색어,$A424)),1,0))</f>
        <v/>
      </c>
      <c r="W424">
        <f>IF($V424=1,$W423+1,$W423)</f>
        <v/>
      </c>
      <c r="X424">
        <f>IFERROR(INDEX($A$4:$A$517,MATCH(421,$W$4:$W$517,0)),"")</f>
        <v/>
      </c>
    </row>
    <row r="425">
      <c r="A425" s="95" t="inlineStr">
        <is>
          <t>RISE ESG사회책임투자</t>
        </is>
      </c>
      <c r="B425" s="95" t="inlineStr">
        <is>
          <t>290130</t>
        </is>
      </c>
      <c r="C425" s="95" t="inlineStr">
        <is>
          <t>KB자산운용</t>
        </is>
      </c>
      <c r="D425" s="96" t="n">
        <v>46330</v>
      </c>
      <c r="E425" s="96" t="n">
        <v>657886000000</v>
      </c>
      <c r="F425" s="96" t="n">
        <v>23804111638</v>
      </c>
      <c r="G425" s="97" t="n">
        <v>0.003</v>
      </c>
      <c r="H425" s="97" t="n">
        <v>0.6229</v>
      </c>
      <c r="I425" s="97" t="n">
        <v>0.004099999999999999</v>
      </c>
      <c r="J425" s="97" t="n">
        <v>0.003669</v>
      </c>
      <c r="K425" s="96" t="n">
        <v>6</v>
      </c>
      <c r="L425" s="95" t="inlineStr">
        <is>
          <t>20260429</t>
        </is>
      </c>
      <c r="M425" s="95" t="inlineStr">
        <is>
          <t>제외</t>
        </is>
      </c>
      <c r="N425" s="95" t="inlineStr">
        <is>
          <t>변동성 62.3%(1년 기준, 기준 35% 초과)</t>
        </is>
      </c>
      <c r="O425" s="95" t="inlineStr">
        <is>
          <t>KRX 사회책임경영지수</t>
        </is>
      </c>
      <c r="P425" s="95" t="inlineStr">
        <is>
          <t>일반</t>
        </is>
      </c>
      <c r="Q425" s="95" t="inlineStr">
        <is>
          <t>주식</t>
        </is>
      </c>
      <c r="R425" s="95" t="inlineStr">
        <is>
          <t>연배당</t>
        </is>
      </c>
      <c r="S425" s="96" t="n">
        <v>1</v>
      </c>
      <c r="T425">
        <f>IF(AND($J425&lt;&gt;"",OR(조회_주기="전체",$R425=조회_주기),$J425&gt;=조회_최소,$J425&lt;=조회_최대),1,0)</f>
        <v/>
      </c>
      <c r="U425">
        <f>IF($T425=1,$U424+1,$U424)</f>
        <v/>
      </c>
      <c r="V425">
        <f>IF(검색어="",1,IF(ISNUMBER(SEARCH(검색어,$A425)),1,0))</f>
        <v/>
      </c>
      <c r="W425">
        <f>IF($V425=1,$W424+1,$W424)</f>
        <v/>
      </c>
      <c r="X425">
        <f>IFERROR(INDEX($A$4:$A$517,MATCH(422,$W$4:$W$517,0)),"")</f>
        <v/>
      </c>
    </row>
    <row r="426">
      <c r="A426" s="95" t="inlineStr">
        <is>
          <t>TIGER 미국필라델피아AI반도체나스닥</t>
        </is>
      </c>
      <c r="B426" s="95" t="inlineStr">
        <is>
          <t>497570</t>
        </is>
      </c>
      <c r="C426" s="95" t="inlineStr">
        <is>
          <t>미래에셋자산운용</t>
        </is>
      </c>
      <c r="D426" s="96" t="n">
        <v>20775</v>
      </c>
      <c r="E426" s="96" t="n">
        <v>1037711250000</v>
      </c>
      <c r="F426" s="96" t="n">
        <v>18791056323</v>
      </c>
      <c r="G426" s="97" t="n">
        <v>0.0049</v>
      </c>
      <c r="H426" s="97" t="n">
        <v>0.4042</v>
      </c>
      <c r="I426" s="97" t="n">
        <v>0.0011</v>
      </c>
      <c r="J426" s="97" t="n">
        <v>0.00361</v>
      </c>
      <c r="K426" s="96" t="n">
        <v>7</v>
      </c>
      <c r="L426" s="95" t="inlineStr">
        <is>
          <t>20260730</t>
        </is>
      </c>
      <c r="M426" s="95" t="inlineStr">
        <is>
          <t>제외</t>
        </is>
      </c>
      <c r="N426" s="95" t="inlineStr">
        <is>
          <t>변동성 40.4%(1년 기준, 기준 35% 초과)</t>
        </is>
      </c>
      <c r="O426" s="95" t="inlineStr">
        <is>
          <t>PHLX US AI Semiconductor Index (Price Return)</t>
        </is>
      </c>
      <c r="P426" s="95" t="inlineStr">
        <is>
          <t>일반</t>
        </is>
      </c>
      <c r="Q426" s="95" t="inlineStr">
        <is>
          <t>주식</t>
        </is>
      </c>
      <c r="R426" s="95" t="inlineStr">
        <is>
          <t>분기배당</t>
        </is>
      </c>
      <c r="S426" s="96" t="n">
        <v>4</v>
      </c>
      <c r="T426">
        <f>IF(AND($J426&lt;&gt;"",OR(조회_주기="전체",$R426=조회_주기),$J426&gt;=조회_최소,$J426&lt;=조회_최대),1,0)</f>
        <v/>
      </c>
      <c r="U426">
        <f>IF($T426=1,$U425+1,$U425)</f>
        <v/>
      </c>
      <c r="V426">
        <f>IF(검색어="",1,IF(ISNUMBER(SEARCH(검색어,$A426)),1,0))</f>
        <v/>
      </c>
      <c r="W426">
        <f>IF($V426=1,$W425+1,$W425)</f>
        <v/>
      </c>
      <c r="X426">
        <f>IFERROR(INDEX($A$4:$A$517,MATCH(423,$W$4:$W$517,0)),"")</f>
        <v/>
      </c>
    </row>
    <row r="427">
      <c r="A427" s="95" t="inlineStr">
        <is>
          <t>ACE 코스닥150</t>
        </is>
      </c>
      <c r="B427" s="95" t="inlineStr">
        <is>
          <t>354500</t>
        </is>
      </c>
      <c r="C427" s="95" t="inlineStr">
        <is>
          <t>한국투신운용(ETF)</t>
        </is>
      </c>
      <c r="D427" s="96" t="n">
        <v>13925</v>
      </c>
      <c r="E427" s="96" t="n">
        <v>146212500000</v>
      </c>
      <c r="F427" s="96" t="n">
        <v>3494968930</v>
      </c>
      <c r="G427" s="97" t="n">
        <v>0.0002</v>
      </c>
      <c r="H427" s="97" t="n">
        <v>0.5478999999999999</v>
      </c>
      <c r="I427" s="97" t="n">
        <v>0.0024</v>
      </c>
      <c r="J427" s="97" t="n">
        <v>0.003591</v>
      </c>
      <c r="K427" s="96" t="n">
        <v>5</v>
      </c>
      <c r="L427" s="95" t="inlineStr">
        <is>
          <t>20260429</t>
        </is>
      </c>
      <c r="M427" s="95" t="inlineStr">
        <is>
          <t>제외</t>
        </is>
      </c>
      <c r="N427" s="95" t="inlineStr">
        <is>
          <t>변동성 54.8%(1년 기준, 기준 35% 초과)</t>
        </is>
      </c>
      <c r="O427" s="95" t="inlineStr">
        <is>
          <t>KOSDAQ 150</t>
        </is>
      </c>
      <c r="P427" s="95" t="inlineStr">
        <is>
          <t>일반</t>
        </is>
      </c>
      <c r="Q427" s="95" t="inlineStr">
        <is>
          <t>주식</t>
        </is>
      </c>
      <c r="R427" s="95" t="inlineStr">
        <is>
          <t>연배당</t>
        </is>
      </c>
      <c r="S427" s="96" t="n">
        <v>1</v>
      </c>
      <c r="T427">
        <f>IF(AND($J427&lt;&gt;"",OR(조회_주기="전체",$R427=조회_주기),$J427&gt;=조회_최소,$J427&lt;=조회_최대),1,0)</f>
        <v/>
      </c>
      <c r="U427">
        <f>IF($T427=1,$U426+1,$U426)</f>
        <v/>
      </c>
      <c r="V427">
        <f>IF(검색어="",1,IF(ISNUMBER(SEARCH(검색어,$A427)),1,0))</f>
        <v/>
      </c>
      <c r="W427">
        <f>IF($V427=1,$W426+1,$W426)</f>
        <v/>
      </c>
      <c r="X427">
        <f>IFERROR(INDEX($A$4:$A$517,MATCH(424,$W$4:$W$517,0)),"")</f>
        <v/>
      </c>
    </row>
    <row r="428">
      <c r="A428" s="95" t="inlineStr">
        <is>
          <t>SOL 2차전지소부장Fn</t>
        </is>
      </c>
      <c r="B428" s="95" t="inlineStr">
        <is>
          <t>455860</t>
        </is>
      </c>
      <c r="C428" s="95" t="inlineStr">
        <is>
          <t>신한자산운용</t>
        </is>
      </c>
      <c r="D428" s="96" t="n">
        <v>4455</v>
      </c>
      <c r="E428" s="96" t="n">
        <v>107811000000</v>
      </c>
      <c r="F428" s="96" t="n">
        <v>3418810725</v>
      </c>
      <c r="G428" s="97" t="n">
        <v>0.004500000000000001</v>
      </c>
      <c r="H428" s="97" t="n">
        <v>0.6322</v>
      </c>
      <c r="I428" s="97" t="n">
        <v>0.0021</v>
      </c>
      <c r="J428" s="97" t="n">
        <v>0.003591</v>
      </c>
      <c r="K428" s="96" t="n">
        <v>3</v>
      </c>
      <c r="L428" s="95" t="inlineStr">
        <is>
          <t>20260429</t>
        </is>
      </c>
      <c r="M428" s="95" t="inlineStr">
        <is>
          <t>제외</t>
        </is>
      </c>
      <c r="N428" s="95" t="inlineStr">
        <is>
          <t>변동성 63.2%(1년 기준, 기준 35% 초과)</t>
        </is>
      </c>
      <c r="O428" s="95" t="inlineStr">
        <is>
          <t>FnGuide 2차전지 소부장 지수</t>
        </is>
      </c>
      <c r="P428" s="95" t="inlineStr">
        <is>
          <t>일반</t>
        </is>
      </c>
      <c r="Q428" s="95" t="inlineStr">
        <is>
          <t>주식</t>
        </is>
      </c>
      <c r="R428" s="95" t="inlineStr">
        <is>
          <t>연배당</t>
        </is>
      </c>
      <c r="S428" s="96" t="n">
        <v>1</v>
      </c>
      <c r="T428">
        <f>IF(AND($J428&lt;&gt;"",OR(조회_주기="전체",$R428=조회_주기),$J428&gt;=조회_최소,$J428&lt;=조회_최대),1,0)</f>
        <v/>
      </c>
      <c r="U428">
        <f>IF($T428=1,$U427+1,$U427)</f>
        <v/>
      </c>
      <c r="V428">
        <f>IF(검색어="",1,IF(ISNUMBER(SEARCH(검색어,$A428)),1,0))</f>
        <v/>
      </c>
      <c r="W428">
        <f>IF($V428=1,$W427+1,$W427)</f>
        <v/>
      </c>
      <c r="X428">
        <f>IFERROR(INDEX($A$4:$A$517,MATCH(425,$W$4:$W$517,0)),"")</f>
        <v/>
      </c>
    </row>
    <row r="429">
      <c r="A429" s="95" t="inlineStr">
        <is>
          <t>TIGER 200 IT</t>
        </is>
      </c>
      <c r="B429" s="95" t="inlineStr">
        <is>
          <t>139260</t>
        </is>
      </c>
      <c r="C429" s="95" t="inlineStr">
        <is>
          <t>미래에셋자산운용</t>
        </is>
      </c>
      <c r="D429" s="96" t="n">
        <v>132095</v>
      </c>
      <c r="E429" s="96" t="n">
        <v>2578494400000</v>
      </c>
      <c r="F429" s="96" t="n">
        <v>142116302483</v>
      </c>
      <c r="G429" s="97" t="n">
        <v>0.004</v>
      </c>
      <c r="H429" s="97" t="n">
        <v>0.7212999999999999</v>
      </c>
      <c r="I429" s="97" t="n">
        <v>0.0013</v>
      </c>
      <c r="J429" s="97" t="n">
        <v>0.003558</v>
      </c>
      <c r="K429" s="96" t="n">
        <v>14</v>
      </c>
      <c r="L429" s="95" t="inlineStr">
        <is>
          <t>20260730</t>
        </is>
      </c>
      <c r="M429" s="95" t="inlineStr">
        <is>
          <t>제외</t>
        </is>
      </c>
      <c r="N429" s="95" t="inlineStr">
        <is>
          <t>변동성 72.1%(1년 기준, 기준 35% 초과)</t>
        </is>
      </c>
      <c r="O429" s="95" t="inlineStr">
        <is>
          <t>K200정보기술</t>
        </is>
      </c>
      <c r="P429" s="95" t="inlineStr">
        <is>
          <t>일반</t>
        </is>
      </c>
      <c r="Q429" s="95" t="inlineStr">
        <is>
          <t>주식</t>
        </is>
      </c>
      <c r="R429" s="95" t="inlineStr">
        <is>
          <t>분기배당</t>
        </is>
      </c>
      <c r="S429" s="96" t="n">
        <v>4</v>
      </c>
      <c r="T429">
        <f>IF(AND($J429&lt;&gt;"",OR(조회_주기="전체",$R429=조회_주기),$J429&gt;=조회_최소,$J429&lt;=조회_최대),1,0)</f>
        <v/>
      </c>
      <c r="U429">
        <f>IF($T429=1,$U428+1,$U428)</f>
        <v/>
      </c>
      <c r="V429">
        <f>IF(검색어="",1,IF(ISNUMBER(SEARCH(검색어,$A429)),1,0))</f>
        <v/>
      </c>
      <c r="W429">
        <f>IF($V429=1,$W428+1,$W428)</f>
        <v/>
      </c>
      <c r="X429">
        <f>IFERROR(INDEX($A$4:$A$517,MATCH(426,$W$4:$W$517,0)),"")</f>
        <v/>
      </c>
    </row>
    <row r="430">
      <c r="A430" s="95" t="inlineStr">
        <is>
          <t>KIWOOM 글로벌AI반도체</t>
        </is>
      </c>
      <c r="B430" s="95" t="inlineStr">
        <is>
          <t>473490</t>
        </is>
      </c>
      <c r="C430" s="95" t="inlineStr">
        <is>
          <t>키움투자자산운용</t>
        </is>
      </c>
      <c r="D430" s="96" t="n">
        <v>29800</v>
      </c>
      <c r="E430" s="96" t="n">
        <v>44700000000</v>
      </c>
      <c r="F430" s="96" t="n">
        <v>564066038</v>
      </c>
      <c r="G430" s="97" t="n">
        <v>0.004</v>
      </c>
      <c r="H430" s="97" t="n">
        <v>0.4067</v>
      </c>
      <c r="I430" s="97" t="n">
        <v>0.0016</v>
      </c>
      <c r="J430" s="97" t="n">
        <v>0.00349</v>
      </c>
      <c r="K430" s="96" t="n">
        <v>7</v>
      </c>
      <c r="L430" s="95" t="inlineStr">
        <is>
          <t>20260730</t>
        </is>
      </c>
      <c r="M430" s="95" t="inlineStr">
        <is>
          <t>제외</t>
        </is>
      </c>
      <c r="N430" s="95" t="inlineStr">
        <is>
          <t>변동성 40.7%(1년 기준, 기준 35% 초과)</t>
        </is>
      </c>
      <c r="O430" s="95" t="inlineStr">
        <is>
          <t>Solactive Global AI Semiconductor Index PR</t>
        </is>
      </c>
      <c r="P430" s="95" t="inlineStr">
        <is>
          <t>일반</t>
        </is>
      </c>
      <c r="Q430" s="95" t="inlineStr">
        <is>
          <t>주식</t>
        </is>
      </c>
      <c r="R430" s="95" t="inlineStr">
        <is>
          <t>분기배당</t>
        </is>
      </c>
      <c r="S430" s="96" t="n">
        <v>4</v>
      </c>
      <c r="T430">
        <f>IF(AND($J430&lt;&gt;"",OR(조회_주기="전체",$R430=조회_주기),$J430&gt;=조회_최소,$J430&lt;=조회_최대),1,0)</f>
        <v/>
      </c>
      <c r="U430">
        <f>IF($T430=1,$U429+1,$U429)</f>
        <v/>
      </c>
      <c r="V430">
        <f>IF(검색어="",1,IF(ISNUMBER(SEARCH(검색어,$A430)),1,0))</f>
        <v/>
      </c>
      <c r="W430">
        <f>IF($V430=1,$W429+1,$W429)</f>
        <v/>
      </c>
      <c r="X430">
        <f>IFERROR(INDEX($A$4:$A$517,MATCH(427,$W$4:$W$517,0)),"")</f>
        <v/>
      </c>
    </row>
    <row r="431">
      <c r="A431" s="95" t="inlineStr">
        <is>
          <t>KODEX 원자력SMR</t>
        </is>
      </c>
      <c r="B431" s="95" t="inlineStr">
        <is>
          <t>0098F0</t>
        </is>
      </c>
      <c r="C431" s="95" t="inlineStr">
        <is>
          <t>삼성자산운용(ETF)</t>
        </is>
      </c>
      <c r="D431" s="96" t="n">
        <v>16800</v>
      </c>
      <c r="E431" s="96" t="n">
        <v>296520000000</v>
      </c>
      <c r="F431" s="96" t="n">
        <v>14287373285</v>
      </c>
      <c r="G431" s="97" t="n">
        <v>0.004500000000000001</v>
      </c>
      <c r="H431" s="97" t="n">
        <v>0.6496999999999999</v>
      </c>
      <c r="I431" s="97" t="n">
        <v>0.0024</v>
      </c>
      <c r="J431" s="97" t="n">
        <v>0.003452</v>
      </c>
      <c r="K431" s="96" t="n">
        <v>1</v>
      </c>
      <c r="L431" s="95" t="inlineStr">
        <is>
          <t>20260429</t>
        </is>
      </c>
      <c r="M431" s="95" t="inlineStr">
        <is>
          <t>제외</t>
        </is>
      </c>
      <c r="N431" s="95" t="inlineStr">
        <is>
          <t>변동성 65.0%(1년 기준, 기준 35% 초과)</t>
        </is>
      </c>
      <c r="O431" s="95" t="inlineStr">
        <is>
          <t>iSelect 원자력SMR 지수</t>
        </is>
      </c>
      <c r="P431" s="95" t="inlineStr">
        <is>
          <t>일반</t>
        </is>
      </c>
      <c r="Q431" s="95" t="inlineStr">
        <is>
          <t>주식</t>
        </is>
      </c>
      <c r="R431" s="95" t="inlineStr">
        <is>
          <t>연배당</t>
        </is>
      </c>
      <c r="S431" s="96" t="n">
        <v>1</v>
      </c>
      <c r="T431">
        <f>IF(AND($J431&lt;&gt;"",OR(조회_주기="전체",$R431=조회_주기),$J431&gt;=조회_최소,$J431&lt;=조회_최대),1,0)</f>
        <v/>
      </c>
      <c r="U431">
        <f>IF($T431=1,$U430+1,$U430)</f>
        <v/>
      </c>
      <c r="V431">
        <f>IF(검색어="",1,IF(ISNUMBER(SEARCH(검색어,$A431)),1,0))</f>
        <v/>
      </c>
      <c r="W431">
        <f>IF($V431=1,$W430+1,$W430)</f>
        <v/>
      </c>
      <c r="X431">
        <f>IFERROR(INDEX($A$4:$A$517,MATCH(428,$W$4:$W$517,0)),"")</f>
        <v/>
      </c>
    </row>
    <row r="432">
      <c r="A432" s="95" t="inlineStr">
        <is>
          <t>TIGER TSMC파운드리밸류체인</t>
        </is>
      </c>
      <c r="B432" s="95" t="inlineStr">
        <is>
          <t>453950</t>
        </is>
      </c>
      <c r="C432" s="95" t="inlineStr">
        <is>
          <t>미래에셋자산운용</t>
        </is>
      </c>
      <c r="D432" s="96" t="n">
        <v>31100</v>
      </c>
      <c r="E432" s="96" t="n">
        <v>62200000000</v>
      </c>
      <c r="F432" s="96" t="n">
        <v>653314302</v>
      </c>
      <c r="G432" s="97" t="n">
        <v>0.0049</v>
      </c>
      <c r="H432" s="97" t="n">
        <v>0.3633</v>
      </c>
      <c r="I432" s="97" t="n">
        <v>0.0011</v>
      </c>
      <c r="J432" s="97" t="n">
        <v>0.003376</v>
      </c>
      <c r="K432" s="96" t="n">
        <v>3</v>
      </c>
      <c r="L432" s="95" t="inlineStr">
        <is>
          <t>20260429</t>
        </is>
      </c>
      <c r="M432" s="95" t="inlineStr">
        <is>
          <t>제외</t>
        </is>
      </c>
      <c r="N432" s="95" t="inlineStr">
        <is>
          <t>변동성 36.3%(1년 기준, 기준 35% 초과)</t>
        </is>
      </c>
      <c r="O432" s="95" t="inlineStr">
        <is>
          <t>FactSet TSMC Value Chain Index PR</t>
        </is>
      </c>
      <c r="P432" s="95" t="inlineStr">
        <is>
          <t>일반</t>
        </is>
      </c>
      <c r="Q432" s="95" t="inlineStr">
        <is>
          <t>주식</t>
        </is>
      </c>
      <c r="R432" s="95" t="inlineStr">
        <is>
          <t>연배당</t>
        </is>
      </c>
      <c r="S432" s="96" t="n">
        <v>2</v>
      </c>
      <c r="T432">
        <f>IF(AND($J432&lt;&gt;"",OR(조회_주기="전체",$R432=조회_주기),$J432&gt;=조회_최소,$J432&lt;=조회_최대),1,0)</f>
        <v/>
      </c>
      <c r="U432">
        <f>IF($T432=1,$U431+1,$U431)</f>
        <v/>
      </c>
      <c r="V432">
        <f>IF(검색어="",1,IF(ISNUMBER(SEARCH(검색어,$A432)),1,0))</f>
        <v/>
      </c>
      <c r="W432">
        <f>IF($V432=1,$W431+1,$W431)</f>
        <v/>
      </c>
      <c r="X432">
        <f>IFERROR(INDEX($A$4:$A$517,MATCH(429,$W$4:$W$517,0)),"")</f>
        <v/>
      </c>
    </row>
    <row r="433">
      <c r="A433" s="95" t="inlineStr">
        <is>
          <t>TIGER 글로벌온디바이스AI</t>
        </is>
      </c>
      <c r="B433" s="95" t="inlineStr">
        <is>
          <t>480310</t>
        </is>
      </c>
      <c r="C433" s="95" t="inlineStr">
        <is>
          <t>미래에셋자산운용</t>
        </is>
      </c>
      <c r="D433" s="96" t="n">
        <v>19920</v>
      </c>
      <c r="E433" s="96" t="n">
        <v>52788000000</v>
      </c>
      <c r="F433" s="96" t="n">
        <v>754105007</v>
      </c>
      <c r="G433" s="97" t="n">
        <v>0.0049</v>
      </c>
      <c r="H433" s="97" t="n">
        <v>0.3736</v>
      </c>
      <c r="I433" s="97" t="n">
        <v>0.0014</v>
      </c>
      <c r="J433" s="97" t="n">
        <v>0.003363</v>
      </c>
      <c r="K433" s="96" t="n">
        <v>8</v>
      </c>
      <c r="L433" s="95" t="inlineStr">
        <is>
          <t>20260730</t>
        </is>
      </c>
      <c r="M433" s="95" t="inlineStr">
        <is>
          <t>제외</t>
        </is>
      </c>
      <c r="N433" s="95" t="inlineStr">
        <is>
          <t>변동성 37.4%(1년 기준, 기준 35% 초과)</t>
        </is>
      </c>
      <c r="O433" s="95" t="inlineStr">
        <is>
          <t>Mirae Asset Global On-Device AI Index PR</t>
        </is>
      </c>
      <c r="P433" s="95" t="inlineStr">
        <is>
          <t>일반</t>
        </is>
      </c>
      <c r="Q433" s="95" t="inlineStr">
        <is>
          <t>주식</t>
        </is>
      </c>
      <c r="R433" s="95" t="inlineStr">
        <is>
          <t>분기배당</t>
        </is>
      </c>
      <c r="S433" s="96" t="n">
        <v>4</v>
      </c>
      <c r="T433">
        <f>IF(AND($J433&lt;&gt;"",OR(조회_주기="전체",$R433=조회_주기),$J433&gt;=조회_최소,$J433&lt;=조회_최대),1,0)</f>
        <v/>
      </c>
      <c r="U433">
        <f>IF($T433=1,$U432+1,$U432)</f>
        <v/>
      </c>
      <c r="V433">
        <f>IF(검색어="",1,IF(ISNUMBER(SEARCH(검색어,$A433)),1,0))</f>
        <v/>
      </c>
      <c r="W433">
        <f>IF($V433=1,$W432+1,$W432)</f>
        <v/>
      </c>
      <c r="X433">
        <f>IFERROR(INDEX($A$4:$A$517,MATCH(430,$W$4:$W$517,0)),"")</f>
        <v/>
      </c>
    </row>
    <row r="434">
      <c r="A434" s="95" t="inlineStr">
        <is>
          <t>KODEX 메타버스액티브</t>
        </is>
      </c>
      <c r="B434" s="95" t="inlineStr">
        <is>
          <t>401470</t>
        </is>
      </c>
      <c r="C434" s="95" t="inlineStr">
        <is>
          <t>삼성자산운용(ETF)</t>
        </is>
      </c>
      <c r="D434" s="96" t="n">
        <v>9280</v>
      </c>
      <c r="E434" s="96" t="n">
        <v>54288000000</v>
      </c>
      <c r="F434" s="96" t="n">
        <v>135773334</v>
      </c>
      <c r="G434" s="97" t="n">
        <v>0.005</v>
      </c>
      <c r="H434" s="97" t="n">
        <v>0.3538</v>
      </c>
      <c r="I434" s="97" t="n">
        <v>0.0032</v>
      </c>
      <c r="J434" s="97" t="n">
        <v>0.003341</v>
      </c>
      <c r="K434" s="96" t="n">
        <v>5</v>
      </c>
      <c r="L434" s="95" t="inlineStr">
        <is>
          <t>20260429</t>
        </is>
      </c>
      <c r="M434" s="95" t="inlineStr">
        <is>
          <t>제외</t>
        </is>
      </c>
      <c r="N434" s="95" t="inlineStr">
        <is>
          <t>60일 거래대금 1.4억(기준 5억 미만), 변동성 35.4%(1년 기준, 기준 35% 초과)</t>
        </is>
      </c>
      <c r="O434" s="95" t="inlineStr">
        <is>
          <t>FnGuide K-메타버스 지수</t>
        </is>
      </c>
      <c r="P434" s="95" t="inlineStr">
        <is>
          <t>일반</t>
        </is>
      </c>
      <c r="Q434" s="95" t="inlineStr">
        <is>
          <t>주식</t>
        </is>
      </c>
      <c r="R434" s="95" t="inlineStr">
        <is>
          <t>연배당</t>
        </is>
      </c>
      <c r="S434" s="96" t="n">
        <v>1</v>
      </c>
      <c r="T434">
        <f>IF(AND($J434&lt;&gt;"",OR(조회_주기="전체",$R434=조회_주기),$J434&gt;=조회_최소,$J434&lt;=조회_최대),1,0)</f>
        <v/>
      </c>
      <c r="U434">
        <f>IF($T434=1,$U433+1,$U433)</f>
        <v/>
      </c>
      <c r="V434">
        <f>IF(검색어="",1,IF(ISNUMBER(SEARCH(검색어,$A434)),1,0))</f>
        <v/>
      </c>
      <c r="W434">
        <f>IF($V434=1,$W433+1,$W433)</f>
        <v/>
      </c>
      <c r="X434">
        <f>IFERROR(INDEX($A$4:$A$517,MATCH(431,$W$4:$W$517,0)),"")</f>
        <v/>
      </c>
    </row>
    <row r="435">
      <c r="A435" s="95" t="inlineStr">
        <is>
          <t>KIWOOM 미국양자컴퓨팅</t>
        </is>
      </c>
      <c r="B435" s="95" t="inlineStr">
        <is>
          <t>498270</t>
        </is>
      </c>
      <c r="C435" s="95" t="inlineStr">
        <is>
          <t>키움투자자산운용</t>
        </is>
      </c>
      <c r="D435" s="96" t="n">
        <v>14140</v>
      </c>
      <c r="E435" s="96" t="n">
        <v>212100000000</v>
      </c>
      <c r="F435" s="96" t="n">
        <v>998262100</v>
      </c>
      <c r="G435" s="97" t="n">
        <v>0.0049</v>
      </c>
      <c r="H435" s="97" t="n">
        <v>0.4724</v>
      </c>
      <c r="I435" s="97" t="n">
        <v>0.001</v>
      </c>
      <c r="J435" s="97" t="n">
        <v>0.003253</v>
      </c>
      <c r="K435" s="96" t="n">
        <v>5</v>
      </c>
      <c r="L435" s="95" t="inlineStr">
        <is>
          <t>20260730</t>
        </is>
      </c>
      <c r="M435" s="95" t="inlineStr">
        <is>
          <t>제외</t>
        </is>
      </c>
      <c r="N435" s="95" t="inlineStr">
        <is>
          <t>변동성 47.2%(1년 기준, 기준 35% 초과)</t>
        </is>
      </c>
      <c r="O435" s="95" t="inlineStr">
        <is>
          <t>Solactive U.S. Quantum Computing Index PR</t>
        </is>
      </c>
      <c r="P435" s="95" t="inlineStr">
        <is>
          <t>일반</t>
        </is>
      </c>
      <c r="Q435" s="95" t="inlineStr">
        <is>
          <t>주식</t>
        </is>
      </c>
      <c r="R435" s="95" t="inlineStr">
        <is>
          <t>분기배당</t>
        </is>
      </c>
      <c r="S435" s="96" t="n">
        <v>3</v>
      </c>
      <c r="T435">
        <f>IF(AND($J435&lt;&gt;"",OR(조회_주기="전체",$R435=조회_주기),$J435&gt;=조회_최소,$J435&lt;=조회_최대),1,0)</f>
        <v/>
      </c>
      <c r="U435">
        <f>IF($T435=1,$U434+1,$U434)</f>
        <v/>
      </c>
      <c r="V435">
        <f>IF(검색어="",1,IF(ISNUMBER(SEARCH(검색어,$A435)),1,0))</f>
        <v/>
      </c>
      <c r="W435">
        <f>IF($V435=1,$W434+1,$W434)</f>
        <v/>
      </c>
      <c r="X435">
        <f>IFERROR(INDEX($A$4:$A$517,MATCH(432,$W$4:$W$517,0)),"")</f>
        <v/>
      </c>
    </row>
    <row r="436">
      <c r="A436" s="95" t="inlineStr">
        <is>
          <t>KODEX 미국AI전력핵심인프라</t>
        </is>
      </c>
      <c r="B436" s="95" t="inlineStr">
        <is>
          <t>487230</t>
        </is>
      </c>
      <c r="C436" s="95" t="inlineStr">
        <is>
          <t>삼성자산운용(ETF)</t>
        </is>
      </c>
      <c r="D436" s="96" t="n">
        <v>19630</v>
      </c>
      <c r="E436" s="96" t="n">
        <v>1478139000000</v>
      </c>
      <c r="F436" s="96" t="n">
        <v>17393316766</v>
      </c>
      <c r="G436" s="97" t="n">
        <v>0.004500000000000001</v>
      </c>
      <c r="H436" s="97" t="n">
        <v>0.5056</v>
      </c>
      <c r="I436" s="97" t="n">
        <v>0.0008</v>
      </c>
      <c r="J436" s="97" t="n">
        <v>0.003057</v>
      </c>
      <c r="K436" s="96" t="n">
        <v>7</v>
      </c>
      <c r="L436" s="95" t="inlineStr">
        <is>
          <t>20260730</t>
        </is>
      </c>
      <c r="M436" s="95" t="inlineStr">
        <is>
          <t>제외</t>
        </is>
      </c>
      <c r="N436" s="95" t="inlineStr">
        <is>
          <t>변동성 50.6%(1년 기준, 기준 35% 초과)</t>
        </is>
      </c>
      <c r="O436" s="95" t="inlineStr">
        <is>
          <t>iSelect U.S. AI Electric Core Infrastructure Index</t>
        </is>
      </c>
      <c r="P436" s="95" t="inlineStr">
        <is>
          <t>일반</t>
        </is>
      </c>
      <c r="Q436" s="95" t="inlineStr">
        <is>
          <t>주식</t>
        </is>
      </c>
      <c r="R436" s="95" t="inlineStr">
        <is>
          <t>분기배당</t>
        </is>
      </c>
      <c r="S436" s="96" t="n">
        <v>4</v>
      </c>
      <c r="T436">
        <f>IF(AND($J436&lt;&gt;"",OR(조회_주기="전체",$R436=조회_주기),$J436&gt;=조회_최소,$J436&lt;=조회_최대),1,0)</f>
        <v/>
      </c>
      <c r="U436">
        <f>IF($T436=1,$U435+1,$U435)</f>
        <v/>
      </c>
      <c r="V436">
        <f>IF(검색어="",1,IF(ISNUMBER(SEARCH(검색어,$A436)),1,0))</f>
        <v/>
      </c>
      <c r="W436">
        <f>IF($V436=1,$W435+1,$W435)</f>
        <v/>
      </c>
      <c r="X436">
        <f>IFERROR(INDEX($A$4:$A$517,MATCH(433,$W$4:$W$517,0)),"")</f>
        <v/>
      </c>
    </row>
    <row r="437">
      <c r="A437" s="95" t="inlineStr">
        <is>
          <t>TIGER 2차전지테마</t>
        </is>
      </c>
      <c r="B437" s="95" t="inlineStr">
        <is>
          <t>305540</t>
        </is>
      </c>
      <c r="C437" s="95" t="inlineStr">
        <is>
          <t>미래에셋자산운용</t>
        </is>
      </c>
      <c r="D437" s="96" t="n">
        <v>18625</v>
      </c>
      <c r="E437" s="96" t="n">
        <v>929387500000</v>
      </c>
      <c r="F437" s="96" t="n">
        <v>10748986524</v>
      </c>
      <c r="G437" s="97" t="n">
        <v>0.005</v>
      </c>
      <c r="H437" s="97" t="n">
        <v>0.5934</v>
      </c>
      <c r="I437" s="97" t="n">
        <v>0.0021</v>
      </c>
      <c r="J437" s="97" t="n">
        <v>0.002953</v>
      </c>
      <c r="K437" s="96" t="n">
        <v>5</v>
      </c>
      <c r="L437" s="95" t="inlineStr">
        <is>
          <t>20260429</t>
        </is>
      </c>
      <c r="M437" s="95" t="inlineStr">
        <is>
          <t>제외</t>
        </is>
      </c>
      <c r="N437" s="95" t="inlineStr">
        <is>
          <t>변동성 59.3%(1년 기준, 기준 35% 초과)</t>
        </is>
      </c>
      <c r="O437" s="95" t="inlineStr">
        <is>
          <t>WISE 2차전지 테마 지수</t>
        </is>
      </c>
      <c r="P437" s="95" t="inlineStr">
        <is>
          <t>일반</t>
        </is>
      </c>
      <c r="Q437" s="95" t="inlineStr">
        <is>
          <t>주식</t>
        </is>
      </c>
      <c r="R437" s="95" t="inlineStr">
        <is>
          <t>연배당</t>
        </is>
      </c>
      <c r="S437" s="96" t="n">
        <v>1</v>
      </c>
      <c r="T437">
        <f>IF(AND($J437&lt;&gt;"",OR(조회_주기="전체",$R437=조회_주기),$J437&gt;=조회_최소,$J437&lt;=조회_최대),1,0)</f>
        <v/>
      </c>
      <c r="U437">
        <f>IF($T437=1,$U436+1,$U436)</f>
        <v/>
      </c>
      <c r="V437">
        <f>IF(검색어="",1,IF(ISNUMBER(SEARCH(검색어,$A437)),1,0))</f>
        <v/>
      </c>
      <c r="W437">
        <f>IF($V437=1,$W436+1,$W436)</f>
        <v/>
      </c>
      <c r="X437">
        <f>IFERROR(INDEX($A$4:$A$517,MATCH(434,$W$4:$W$517,0)),"")</f>
        <v/>
      </c>
    </row>
    <row r="438">
      <c r="A438" s="95" t="inlineStr">
        <is>
          <t>SOL 코리아메가테크액티브</t>
        </is>
      </c>
      <c r="B438" s="95" t="inlineStr">
        <is>
          <t>444200</t>
        </is>
      </c>
      <c r="C438" s="95" t="inlineStr">
        <is>
          <t>신한자산운용</t>
        </is>
      </c>
      <c r="D438" s="96" t="n">
        <v>44300</v>
      </c>
      <c r="E438" s="96" t="n">
        <v>491730000000</v>
      </c>
      <c r="F438" s="96" t="n">
        <v>11871216178</v>
      </c>
      <c r="G438" s="97" t="n">
        <v>0.005500000000000001</v>
      </c>
      <c r="H438" s="97" t="n">
        <v>0.5388000000000001</v>
      </c>
      <c r="I438" s="97" t="n">
        <v>0.0025</v>
      </c>
      <c r="J438" s="97" t="n">
        <v>0.002889</v>
      </c>
      <c r="K438" s="96" t="n">
        <v>4</v>
      </c>
      <c r="L438" s="95" t="inlineStr">
        <is>
          <t>20260429</t>
        </is>
      </c>
      <c r="M438" s="95" t="inlineStr">
        <is>
          <t>제외</t>
        </is>
      </c>
      <c r="N438" s="95" t="inlineStr">
        <is>
          <t>변동성 53.9%(1년 기준, 기준 35% 초과)</t>
        </is>
      </c>
      <c r="O438" s="95" t="inlineStr">
        <is>
          <t>KEDI 메가테크 지수</t>
        </is>
      </c>
      <c r="P438" s="95" t="inlineStr">
        <is>
          <t>일반</t>
        </is>
      </c>
      <c r="Q438" s="95" t="inlineStr">
        <is>
          <t>주식</t>
        </is>
      </c>
      <c r="R438" s="95" t="inlineStr">
        <is>
          <t>연배당</t>
        </is>
      </c>
      <c r="S438" s="96" t="n">
        <v>1</v>
      </c>
      <c r="T438">
        <f>IF(AND($J438&lt;&gt;"",OR(조회_주기="전체",$R438=조회_주기),$J438&gt;=조회_최소,$J438&lt;=조회_최대),1,0)</f>
        <v/>
      </c>
      <c r="U438">
        <f>IF($T438=1,$U437+1,$U437)</f>
        <v/>
      </c>
      <c r="V438">
        <f>IF(검색어="",1,IF(ISNUMBER(SEARCH(검색어,$A438)),1,0))</f>
        <v/>
      </c>
      <c r="W438">
        <f>IF($V438=1,$W437+1,$W437)</f>
        <v/>
      </c>
      <c r="X438">
        <f>IFERROR(INDEX($A$4:$A$517,MATCH(435,$W$4:$W$517,0)),"")</f>
        <v/>
      </c>
    </row>
    <row r="439">
      <c r="A439" s="95" t="inlineStr">
        <is>
          <t>DAISHIN AI반도체&amp;인프라액티브</t>
        </is>
      </c>
      <c r="B439" s="95" t="inlineStr">
        <is>
          <t>486240</t>
        </is>
      </c>
      <c r="C439" s="95" t="inlineStr">
        <is>
          <t>대신자산운용</t>
        </is>
      </c>
      <c r="D439" s="96" t="n">
        <v>28390</v>
      </c>
      <c r="E439" s="96" t="n">
        <v>88009000000</v>
      </c>
      <c r="F439" s="96" t="n">
        <v>490341816</v>
      </c>
      <c r="G439" s="97" t="n">
        <v>0.0036</v>
      </c>
      <c r="H439" s="97" t="n">
        <v>0.6537000000000001</v>
      </c>
      <c r="I439" s="97" t="n">
        <v>0.0028</v>
      </c>
      <c r="J439" s="97" t="n">
        <v>0.002888</v>
      </c>
      <c r="K439" s="96" t="n">
        <v>2</v>
      </c>
      <c r="L439" s="95" t="inlineStr">
        <is>
          <t>20260429</t>
        </is>
      </c>
      <c r="M439" s="95" t="inlineStr">
        <is>
          <t>제외</t>
        </is>
      </c>
      <c r="N439" s="95" t="inlineStr">
        <is>
          <t>60일 거래대금 4.9억(기준 5억 미만), 변동성 65.4%(1년 기준, 기준 35% 초과)</t>
        </is>
      </c>
      <c r="O439" s="95" t="inlineStr">
        <is>
          <t>FnGuide AI반도체&amp;인프라 지수</t>
        </is>
      </c>
      <c r="P439" s="95" t="inlineStr">
        <is>
          <t>일반</t>
        </is>
      </c>
      <c r="Q439" s="95" t="inlineStr">
        <is>
          <t>주식</t>
        </is>
      </c>
      <c r="R439" s="95" t="inlineStr">
        <is>
          <t>연배당</t>
        </is>
      </c>
      <c r="S439" s="96" t="n">
        <v>1</v>
      </c>
      <c r="T439">
        <f>IF(AND($J439&lt;&gt;"",OR(조회_주기="전체",$R439=조회_주기),$J439&gt;=조회_최소,$J439&lt;=조회_최대),1,0)</f>
        <v/>
      </c>
      <c r="U439">
        <f>IF($T439=1,$U438+1,$U438)</f>
        <v/>
      </c>
      <c r="V439">
        <f>IF(검색어="",1,IF(ISNUMBER(SEARCH(검색어,$A439)),1,0))</f>
        <v/>
      </c>
      <c r="W439">
        <f>IF($V439=1,$W438+1,$W438)</f>
        <v/>
      </c>
      <c r="X439">
        <f>IFERROR(INDEX($A$4:$A$517,MATCH(436,$W$4:$W$517,0)),"")</f>
        <v/>
      </c>
    </row>
    <row r="440">
      <c r="A440" s="95" t="inlineStr">
        <is>
          <t>TIGER 레버리지</t>
        </is>
      </c>
      <c r="B440" s="95" t="inlineStr">
        <is>
          <t>123320</t>
        </is>
      </c>
      <c r="C440" s="95" t="inlineStr">
        <is>
          <t>미래에셋자산운용</t>
        </is>
      </c>
      <c r="D440" s="96" t="n">
        <v>104330</v>
      </c>
      <c r="E440" s="96" t="n">
        <v>250392000000</v>
      </c>
      <c r="F440" s="96" t="n">
        <v>30778992875</v>
      </c>
      <c r="G440" s="97" t="n">
        <v>0.00022</v>
      </c>
      <c r="H440" s="97" t="n">
        <v>1.1631</v>
      </c>
      <c r="I440" s="97" t="n">
        <v>0.0067</v>
      </c>
      <c r="J440" s="97" t="n">
        <v>0.002875</v>
      </c>
      <c r="K440" s="96" t="n">
        <v>1</v>
      </c>
      <c r="L440" s="95" t="inlineStr">
        <is>
          <t>20251229</t>
        </is>
      </c>
      <c r="M440" s="95" t="inlineStr">
        <is>
          <t>제외</t>
        </is>
      </c>
      <c r="N440" s="95" t="inlineStr">
        <is>
          <t>변동성 116.3%(1년 기준, 기준 35% 초과)</t>
        </is>
      </c>
      <c r="O440" s="95" t="inlineStr">
        <is>
          <t>KOSPI 200</t>
        </is>
      </c>
      <c r="P440" s="95" t="inlineStr">
        <is>
          <t>일반</t>
        </is>
      </c>
      <c r="Q440" s="95" t="inlineStr">
        <is>
          <t>주식</t>
        </is>
      </c>
      <c r="R440" s="95" t="inlineStr">
        <is>
          <t>연배당</t>
        </is>
      </c>
      <c r="S440" s="96" t="n">
        <v>1</v>
      </c>
      <c r="T440">
        <f>IF(AND($J440&lt;&gt;"",OR(조회_주기="전체",$R440=조회_주기),$J440&gt;=조회_최소,$J440&lt;=조회_최대),1,0)</f>
        <v/>
      </c>
      <c r="U440">
        <f>IF($T440=1,$U439+1,$U439)</f>
        <v/>
      </c>
      <c r="V440">
        <f>IF(검색어="",1,IF(ISNUMBER(SEARCH(검색어,$A440)),1,0))</f>
        <v/>
      </c>
      <c r="W440">
        <f>IF($V440=1,$W439+1,$W439)</f>
        <v/>
      </c>
      <c r="X440">
        <f>IFERROR(INDEX($A$4:$A$517,MATCH(437,$W$4:$W$517,0)),"")</f>
        <v/>
      </c>
    </row>
    <row r="441">
      <c r="A441" s="95" t="inlineStr">
        <is>
          <t>WON 미국S&amp;P500</t>
        </is>
      </c>
      <c r="B441" s="95" t="inlineStr">
        <is>
          <t>444490</t>
        </is>
      </c>
      <c r="C441" s="95" t="inlineStr">
        <is>
          <t>우리자산운용</t>
        </is>
      </c>
      <c r="D441" s="96" t="n">
        <v>19995</v>
      </c>
      <c r="E441" s="96" t="n">
        <v>87978000000</v>
      </c>
      <c r="F441" s="96" t="n">
        <v>409965922</v>
      </c>
      <c r="G441" s="97" t="n">
        <v>0.0005</v>
      </c>
      <c r="H441" s="97" t="n">
        <v>0.146</v>
      </c>
      <c r="I441" s="97" t="n">
        <v>0.003</v>
      </c>
      <c r="J441" s="97" t="n">
        <v>0.002851</v>
      </c>
      <c r="K441" s="96" t="n">
        <v>1</v>
      </c>
      <c r="L441" s="95" t="inlineStr">
        <is>
          <t>20251030</t>
        </is>
      </c>
      <c r="M441" s="95" t="inlineStr">
        <is>
          <t>제외</t>
        </is>
      </c>
      <c r="N441" s="95" t="inlineStr">
        <is>
          <t>60일 거래대금 4.1억(기준 5억 미만)</t>
        </is>
      </c>
      <c r="O441" s="95" t="inlineStr">
        <is>
          <t>S&amp;P 500</t>
        </is>
      </c>
      <c r="P441" s="95" t="inlineStr">
        <is>
          <t>일반</t>
        </is>
      </c>
      <c r="Q441" s="95" t="inlineStr">
        <is>
          <t>주식</t>
        </is>
      </c>
      <c r="R441" s="95" t="inlineStr">
        <is>
          <t>연배당</t>
        </is>
      </c>
      <c r="S441" s="96" t="n">
        <v>1</v>
      </c>
      <c r="T441">
        <f>IF(AND($J441&lt;&gt;"",OR(조회_주기="전체",$R441=조회_주기),$J441&gt;=조회_최소,$J441&lt;=조회_최대),1,0)</f>
        <v/>
      </c>
      <c r="U441">
        <f>IF($T441=1,$U440+1,$U440)</f>
        <v/>
      </c>
      <c r="V441">
        <f>IF(검색어="",1,IF(ISNUMBER(SEARCH(검색어,$A441)),1,0))</f>
        <v/>
      </c>
      <c r="W441">
        <f>IF($V441=1,$W440+1,$W440)</f>
        <v/>
      </c>
      <c r="X441">
        <f>IFERROR(INDEX($A$4:$A$517,MATCH(438,$W$4:$W$517,0)),"")</f>
        <v/>
      </c>
    </row>
    <row r="442">
      <c r="A442" s="95" t="inlineStr">
        <is>
          <t>TIGER 코스닥150</t>
        </is>
      </c>
      <c r="B442" s="95" t="inlineStr">
        <is>
          <t>232080</t>
        </is>
      </c>
      <c r="C442" s="95" t="inlineStr">
        <is>
          <t>미래에셋자산운용</t>
        </is>
      </c>
      <c r="D442" s="96" t="n">
        <v>14050</v>
      </c>
      <c r="E442" s="96" t="n">
        <v>1378586000000</v>
      </c>
      <c r="F442" s="96" t="n">
        <v>89209142388</v>
      </c>
      <c r="G442" s="97" t="n">
        <v>0.0019</v>
      </c>
      <c r="H442" s="97" t="n">
        <v>0.5478000000000001</v>
      </c>
      <c r="I442" s="97" t="n">
        <v>0.0019</v>
      </c>
      <c r="J442" s="97" t="n">
        <v>0.002847</v>
      </c>
      <c r="K442" s="96" t="n">
        <v>5</v>
      </c>
      <c r="L442" s="95" t="inlineStr">
        <is>
          <t>20260429</t>
        </is>
      </c>
      <c r="M442" s="95" t="inlineStr">
        <is>
          <t>제외</t>
        </is>
      </c>
      <c r="N442" s="95" t="inlineStr">
        <is>
          <t>변동성 54.8%(1년 기준, 기준 35% 초과)</t>
        </is>
      </c>
      <c r="O442" s="95" t="inlineStr">
        <is>
          <t>KOSDAQ 150</t>
        </is>
      </c>
      <c r="P442" s="95" t="inlineStr">
        <is>
          <t>일반</t>
        </is>
      </c>
      <c r="Q442" s="95" t="inlineStr">
        <is>
          <t>주식</t>
        </is>
      </c>
      <c r="R442" s="95" t="inlineStr">
        <is>
          <t>연배당</t>
        </is>
      </c>
      <c r="S442" s="96" t="n">
        <v>1</v>
      </c>
      <c r="T442">
        <f>IF(AND($J442&lt;&gt;"",OR(조회_주기="전체",$R442=조회_주기),$J442&gt;=조회_최소,$J442&lt;=조회_최대),1,0)</f>
        <v/>
      </c>
      <c r="U442">
        <f>IF($T442=1,$U441+1,$U441)</f>
        <v/>
      </c>
      <c r="V442">
        <f>IF(검색어="",1,IF(ISNUMBER(SEARCH(검색어,$A442)),1,0))</f>
        <v/>
      </c>
      <c r="W442">
        <f>IF($V442=1,$W441+1,$W441)</f>
        <v/>
      </c>
      <c r="X442">
        <f>IFERROR(INDEX($A$4:$A$517,MATCH(439,$W$4:$W$517,0)),"")</f>
        <v/>
      </c>
    </row>
    <row r="443">
      <c r="A443" s="95" t="inlineStr">
        <is>
          <t>RISE 미국AI테크액티브</t>
        </is>
      </c>
      <c r="B443" s="95" t="inlineStr">
        <is>
          <t>495940</t>
        </is>
      </c>
      <c r="C443" s="95" t="inlineStr">
        <is>
          <t>KB자산운용</t>
        </is>
      </c>
      <c r="D443" s="96" t="n">
        <v>19135</v>
      </c>
      <c r="E443" s="96" t="n">
        <v>60275250000</v>
      </c>
      <c r="F443" s="96" t="n">
        <v>420777145</v>
      </c>
      <c r="G443" s="97" t="n">
        <v>0.005</v>
      </c>
      <c r="H443" s="97" t="n">
        <v>0.3835</v>
      </c>
      <c r="I443" s="97" t="n">
        <v>0.0013</v>
      </c>
      <c r="J443" s="97" t="n">
        <v>0.002822</v>
      </c>
      <c r="K443" s="96" t="n">
        <v>2</v>
      </c>
      <c r="L443" s="95" t="inlineStr">
        <is>
          <t>20260730</t>
        </is>
      </c>
      <c r="M443" s="95" t="inlineStr">
        <is>
          <t>제외</t>
        </is>
      </c>
      <c r="N443" s="95" t="inlineStr">
        <is>
          <t>60일 거래대금 4.2억(기준 5억 미만), 변동성 38.4%(1년 기준, 기준 35% 초과)</t>
        </is>
      </c>
      <c r="O443" s="95" t="inlineStr">
        <is>
          <t>Solactive US AI Tech Active Index PR</t>
        </is>
      </c>
      <c r="P443" s="95" t="inlineStr">
        <is>
          <t>일반</t>
        </is>
      </c>
      <c r="Q443" s="95" t="inlineStr">
        <is>
          <t>주식</t>
        </is>
      </c>
      <c r="R443" s="95" t="inlineStr">
        <is>
          <t>연배당</t>
        </is>
      </c>
      <c r="S443" s="96" t="n">
        <v>2</v>
      </c>
      <c r="T443">
        <f>IF(AND($J443&lt;&gt;"",OR(조회_주기="전체",$R443=조회_주기),$J443&gt;=조회_최소,$J443&lt;=조회_최대),1,0)</f>
        <v/>
      </c>
      <c r="U443">
        <f>IF($T443=1,$U442+1,$U442)</f>
        <v/>
      </c>
      <c r="V443">
        <f>IF(검색어="",1,IF(ISNUMBER(SEARCH(검색어,$A443)),1,0))</f>
        <v/>
      </c>
      <c r="W443">
        <f>IF($V443=1,$W442+1,$W442)</f>
        <v/>
      </c>
      <c r="X443">
        <f>IFERROR(INDEX($A$4:$A$517,MATCH(440,$W$4:$W$517,0)),"")</f>
        <v/>
      </c>
    </row>
    <row r="444">
      <c r="A444" s="95" t="inlineStr">
        <is>
          <t>TIGER 차이나테크TOP10</t>
        </is>
      </c>
      <c r="B444" s="95" t="inlineStr">
        <is>
          <t>0047A0</t>
        </is>
      </c>
      <c r="C444" s="95" t="inlineStr">
        <is>
          <t>미래에셋자산운용</t>
        </is>
      </c>
      <c r="D444" s="96" t="n">
        <v>12510</v>
      </c>
      <c r="E444" s="96" t="n">
        <v>188901000000</v>
      </c>
      <c r="F444" s="96" t="n">
        <v>2175447085</v>
      </c>
      <c r="G444" s="97" t="n">
        <v>0.0049</v>
      </c>
      <c r="H444" s="97" t="n">
        <v>0.3646</v>
      </c>
      <c r="I444" s="97" t="n">
        <v>0.0022</v>
      </c>
      <c r="J444" s="97" t="n">
        <v>0.002398</v>
      </c>
      <c r="K444" s="96" t="n">
        <v>2</v>
      </c>
      <c r="L444" s="95" t="inlineStr">
        <is>
          <t>20251030</t>
        </is>
      </c>
      <c r="M444" s="95" t="inlineStr">
        <is>
          <t>제외</t>
        </is>
      </c>
      <c r="N444" s="95" t="inlineStr">
        <is>
          <t>변동성 36.5%(1년 기준, 기준 35% 초과)</t>
        </is>
      </c>
      <c r="O444" s="95" t="inlineStr">
        <is>
          <t>Mirae Asset China Tech Top 10 Index</t>
        </is>
      </c>
      <c r="P444" s="95" t="inlineStr">
        <is>
          <t>일반</t>
        </is>
      </c>
      <c r="Q444" s="95" t="inlineStr">
        <is>
          <t>주식</t>
        </is>
      </c>
      <c r="R444" s="95" t="inlineStr">
        <is>
          <t>연배당</t>
        </is>
      </c>
      <c r="S444" s="96" t="n">
        <v>1</v>
      </c>
      <c r="T444">
        <f>IF(AND($J444&lt;&gt;"",OR(조회_주기="전체",$R444=조회_주기),$J444&gt;=조회_최소,$J444&lt;=조회_최대),1,0)</f>
        <v/>
      </c>
      <c r="U444">
        <f>IF($T444=1,$U443+1,$U443)</f>
        <v/>
      </c>
      <c r="V444">
        <f>IF(검색어="",1,IF(ISNUMBER(SEARCH(검색어,$A444)),1,0))</f>
        <v/>
      </c>
      <c r="W444">
        <f>IF($V444=1,$W443+1,$W443)</f>
        <v/>
      </c>
      <c r="X444">
        <f>IFERROR(INDEX($A$4:$A$517,MATCH(441,$W$4:$W$517,0)),"")</f>
        <v/>
      </c>
    </row>
    <row r="445">
      <c r="A445" s="95" t="inlineStr">
        <is>
          <t>KODEX 로봇액티브</t>
        </is>
      </c>
      <c r="B445" s="95" t="inlineStr">
        <is>
          <t>445290</t>
        </is>
      </c>
      <c r="C445" s="95" t="inlineStr">
        <is>
          <t>삼성자산운용(ETF)</t>
        </is>
      </c>
      <c r="D445" s="96" t="n">
        <v>30270</v>
      </c>
      <c r="E445" s="96" t="n">
        <v>1050369000000</v>
      </c>
      <c r="F445" s="96" t="n">
        <v>20650793156</v>
      </c>
      <c r="G445" s="97" t="n">
        <v>0.005</v>
      </c>
      <c r="H445" s="97" t="n">
        <v>0.584</v>
      </c>
      <c r="I445" s="97" t="n">
        <v>0.0005</v>
      </c>
      <c r="J445" s="97" t="n">
        <v>0.002379</v>
      </c>
      <c r="K445" s="96" t="n">
        <v>5</v>
      </c>
      <c r="L445" s="95" t="inlineStr">
        <is>
          <t>20260730</t>
        </is>
      </c>
      <c r="M445" s="95" t="inlineStr">
        <is>
          <t>제외</t>
        </is>
      </c>
      <c r="N445" s="95" t="inlineStr">
        <is>
          <t>변동성 58.4%(1년 기준, 기준 35% 초과)</t>
        </is>
      </c>
      <c r="O445" s="95" t="inlineStr">
        <is>
          <t>iSelect K-Robotics Index</t>
        </is>
      </c>
      <c r="P445" s="95" t="inlineStr">
        <is>
          <t>일반</t>
        </is>
      </c>
      <c r="Q445" s="95" t="inlineStr">
        <is>
          <t>주식</t>
        </is>
      </c>
      <c r="R445" s="95" t="inlineStr">
        <is>
          <t>연배당</t>
        </is>
      </c>
      <c r="S445" s="96" t="n">
        <v>2</v>
      </c>
      <c r="T445">
        <f>IF(AND($J445&lt;&gt;"",OR(조회_주기="전체",$R445=조회_주기),$J445&gt;=조회_최소,$J445&lt;=조회_최대),1,0)</f>
        <v/>
      </c>
      <c r="U445">
        <f>IF($T445=1,$U444+1,$U444)</f>
        <v/>
      </c>
      <c r="V445">
        <f>IF(검색어="",1,IF(ISNUMBER(SEARCH(검색어,$A445)),1,0))</f>
        <v/>
      </c>
      <c r="W445">
        <f>IF($V445=1,$W444+1,$W444)</f>
        <v/>
      </c>
      <c r="X445">
        <f>IFERROR(INDEX($A$4:$A$517,MATCH(442,$W$4:$W$517,0)),"")</f>
        <v/>
      </c>
    </row>
    <row r="446">
      <c r="A446" s="95" t="inlineStr">
        <is>
          <t>RISE IT플러스</t>
        </is>
      </c>
      <c r="B446" s="95" t="inlineStr">
        <is>
          <t>326240</t>
        </is>
      </c>
      <c r="C446" s="95" t="inlineStr">
        <is>
          <t>KB자산운용</t>
        </is>
      </c>
      <c r="D446" s="96" t="n">
        <v>42065</v>
      </c>
      <c r="E446" s="96" t="n">
        <v>105162500000</v>
      </c>
      <c r="F446" s="96" t="n">
        <v>690285577</v>
      </c>
      <c r="G446" s="97" t="n">
        <v>0.004</v>
      </c>
      <c r="H446" s="97" t="n">
        <v>0.6034</v>
      </c>
      <c r="I446" s="97" t="n">
        <v>0.0024</v>
      </c>
      <c r="J446" s="97" t="n">
        <v>0.002377</v>
      </c>
      <c r="K446" s="96" t="n">
        <v>5</v>
      </c>
      <c r="L446" s="95" t="inlineStr">
        <is>
          <t>20260429</t>
        </is>
      </c>
      <c r="M446" s="95" t="inlineStr">
        <is>
          <t>제외</t>
        </is>
      </c>
      <c r="N446" s="95" t="inlineStr">
        <is>
          <t>변동성 60.3%(1년 기준, 기준 35% 초과)</t>
        </is>
      </c>
      <c r="O446" s="95" t="inlineStr">
        <is>
          <t>FnGuide IT플러스 지수</t>
        </is>
      </c>
      <c r="P446" s="95" t="inlineStr">
        <is>
          <t>일반</t>
        </is>
      </c>
      <c r="Q446" s="95" t="inlineStr">
        <is>
          <t>주식</t>
        </is>
      </c>
      <c r="R446" s="95" t="inlineStr">
        <is>
          <t>연배당</t>
        </is>
      </c>
      <c r="S446" s="96" t="n">
        <v>1</v>
      </c>
      <c r="T446">
        <f>IF(AND($J446&lt;&gt;"",OR(조회_주기="전체",$R446=조회_주기),$J446&gt;=조회_최소,$J446&lt;=조회_최대),1,0)</f>
        <v/>
      </c>
      <c r="U446">
        <f>IF($T446=1,$U445+1,$U445)</f>
        <v/>
      </c>
      <c r="V446">
        <f>IF(검색어="",1,IF(ISNUMBER(SEARCH(검색어,$A446)),1,0))</f>
        <v/>
      </c>
      <c r="W446">
        <f>IF($V446=1,$W445+1,$W445)</f>
        <v/>
      </c>
      <c r="X446">
        <f>IFERROR(INDEX($A$4:$A$517,MATCH(443,$W$4:$W$517,0)),"")</f>
        <v/>
      </c>
    </row>
    <row r="447">
      <c r="A447" s="95" t="inlineStr">
        <is>
          <t>HANARO 글로벌금채굴기업</t>
        </is>
      </c>
      <c r="B447" s="95" t="inlineStr">
        <is>
          <t>473640</t>
        </is>
      </c>
      <c r="C447" s="95" t="inlineStr">
        <is>
          <t>NH-Amundi자산운용</t>
        </is>
      </c>
      <c r="D447" s="96" t="n">
        <v>33685</v>
      </c>
      <c r="E447" s="96" t="n">
        <v>70738500000</v>
      </c>
      <c r="F447" s="96" t="n">
        <v>1196515478</v>
      </c>
      <c r="G447" s="97" t="n">
        <v>0.0015</v>
      </c>
      <c r="H447" s="97" t="n">
        <v>0.4455</v>
      </c>
      <c r="I447" s="97" t="n">
        <v>0.002</v>
      </c>
      <c r="J447" s="97" t="n">
        <v>0.002375</v>
      </c>
      <c r="K447" s="96" t="n">
        <v>2</v>
      </c>
      <c r="L447" s="95" t="inlineStr">
        <is>
          <t>20260129</t>
        </is>
      </c>
      <c r="M447" s="95" t="inlineStr">
        <is>
          <t>제외</t>
        </is>
      </c>
      <c r="N447" s="95" t="inlineStr">
        <is>
          <t>변동성 44.6%(1년 기준, 기준 35% 초과)</t>
        </is>
      </c>
      <c r="O447" s="95" t="inlineStr">
        <is>
          <t>NYSE Arca Gold Miners Index (Price Return)</t>
        </is>
      </c>
      <c r="P447" s="95" t="inlineStr">
        <is>
          <t>일반</t>
        </is>
      </c>
      <c r="Q447" s="95" t="inlineStr">
        <is>
          <t>주식</t>
        </is>
      </c>
      <c r="R447" s="95" t="inlineStr">
        <is>
          <t>연배당</t>
        </is>
      </c>
      <c r="S447" s="96" t="n">
        <v>1</v>
      </c>
      <c r="T447">
        <f>IF(AND($J447&lt;&gt;"",OR(조회_주기="전체",$R447=조회_주기),$J447&gt;=조회_최소,$J447&lt;=조회_최대),1,0)</f>
        <v/>
      </c>
      <c r="U447">
        <f>IF($T447=1,$U446+1,$U446)</f>
        <v/>
      </c>
      <c r="V447">
        <f>IF(검색어="",1,IF(ISNUMBER(SEARCH(검색어,$A447)),1,0))</f>
        <v/>
      </c>
      <c r="W447">
        <f>IF($V447=1,$W446+1,$W446)</f>
        <v/>
      </c>
      <c r="X447">
        <f>IFERROR(INDEX($A$4:$A$517,MATCH(444,$W$4:$W$517,0)),"")</f>
        <v/>
      </c>
    </row>
    <row r="448">
      <c r="A448" s="95" t="inlineStr">
        <is>
          <t>ACE 엔비디아밸류체인액티브</t>
        </is>
      </c>
      <c r="B448" s="95" t="inlineStr">
        <is>
          <t>483320</t>
        </is>
      </c>
      <c r="C448" s="95" t="inlineStr">
        <is>
          <t>한국투신운용(ETF)</t>
        </is>
      </c>
      <c r="D448" s="96" t="n">
        <v>24035</v>
      </c>
      <c r="E448" s="96" t="n">
        <v>282411250000</v>
      </c>
      <c r="F448" s="96" t="n">
        <v>16622521013</v>
      </c>
      <c r="G448" s="97" t="n">
        <v>0.004500000000000001</v>
      </c>
      <c r="H448" s="97" t="n">
        <v>0.4525</v>
      </c>
      <c r="I448" s="97" t="n">
        <v>0.0038</v>
      </c>
      <c r="J448" s="97" t="n">
        <v>0.002372</v>
      </c>
      <c r="K448" s="96" t="n">
        <v>1</v>
      </c>
      <c r="L448" s="95" t="inlineStr">
        <is>
          <t>20251229</t>
        </is>
      </c>
      <c r="M448" s="95" t="inlineStr">
        <is>
          <t>제외</t>
        </is>
      </c>
      <c r="N448" s="95" t="inlineStr">
        <is>
          <t>변동성 45.2%(1년 기준, 기준 35% 초과)</t>
        </is>
      </c>
      <c r="O448" s="95" t="inlineStr">
        <is>
          <t>KEDI Global AI Semiconductor Index</t>
        </is>
      </c>
      <c r="P448" s="95" t="inlineStr">
        <is>
          <t>일반</t>
        </is>
      </c>
      <c r="Q448" s="95" t="inlineStr">
        <is>
          <t>주식</t>
        </is>
      </c>
      <c r="R448" s="95" t="inlineStr">
        <is>
          <t>연배당</t>
        </is>
      </c>
      <c r="S448" s="96" t="n">
        <v>1</v>
      </c>
      <c r="T448">
        <f>IF(AND($J448&lt;&gt;"",OR(조회_주기="전체",$R448=조회_주기),$J448&gt;=조회_최소,$J448&lt;=조회_최대),1,0)</f>
        <v/>
      </c>
      <c r="U448">
        <f>IF($T448=1,$U447+1,$U447)</f>
        <v/>
      </c>
      <c r="V448">
        <f>IF(검색어="",1,IF(ISNUMBER(SEARCH(검색어,$A448)),1,0))</f>
        <v/>
      </c>
      <c r="W448">
        <f>IF($V448=1,$W447+1,$W447)</f>
        <v/>
      </c>
      <c r="X448">
        <f>IFERROR(INDEX($A$4:$A$517,MATCH(445,$W$4:$W$517,0)),"")</f>
        <v/>
      </c>
    </row>
    <row r="449">
      <c r="A449" s="95" t="inlineStr">
        <is>
          <t>PLUS 미국S&amp;P500(H)</t>
        </is>
      </c>
      <c r="B449" s="95" t="inlineStr">
        <is>
          <t>269540</t>
        </is>
      </c>
      <c r="C449" s="95" t="inlineStr">
        <is>
          <t>한화자산운용</t>
        </is>
      </c>
      <c r="D449" s="96" t="n">
        <v>29725</v>
      </c>
      <c r="E449" s="96" t="n">
        <v>89175000000</v>
      </c>
      <c r="F449" s="96" t="n">
        <v>312478657</v>
      </c>
      <c r="G449" s="97" t="n">
        <v>6.2e-05</v>
      </c>
      <c r="H449" s="97" t="n">
        <v>0.126</v>
      </c>
      <c r="I449" s="97" t="n">
        <v>0.0025</v>
      </c>
      <c r="J449" s="97" t="n">
        <v>0.002355</v>
      </c>
      <c r="K449" s="96" t="n">
        <v>4</v>
      </c>
      <c r="L449" s="95" t="inlineStr">
        <is>
          <t>20260429</t>
        </is>
      </c>
      <c r="M449" s="95" t="inlineStr">
        <is>
          <t>제외</t>
        </is>
      </c>
      <c r="N449" s="95" t="inlineStr">
        <is>
          <t>60일 거래대금 3.1억(기준 5억 미만)</t>
        </is>
      </c>
      <c r="O449" s="95" t="inlineStr">
        <is>
          <t>S&amp;P 500</t>
        </is>
      </c>
      <c r="P449" s="95" t="inlineStr">
        <is>
          <t>일반</t>
        </is>
      </c>
      <c r="Q449" s="95" t="inlineStr">
        <is>
          <t>주식</t>
        </is>
      </c>
      <c r="R449" s="95" t="inlineStr">
        <is>
          <t>연배당</t>
        </is>
      </c>
      <c r="S449" s="96" t="n">
        <v>1</v>
      </c>
      <c r="T449">
        <f>IF(AND($J449&lt;&gt;"",OR(조회_주기="전체",$R449=조회_주기),$J449&gt;=조회_최소,$J449&lt;=조회_최대),1,0)</f>
        <v/>
      </c>
      <c r="U449">
        <f>IF($T449=1,$U448+1,$U448)</f>
        <v/>
      </c>
      <c r="V449">
        <f>IF(검색어="",1,IF(ISNUMBER(SEARCH(검색어,$A449)),1,0))</f>
        <v/>
      </c>
      <c r="W449">
        <f>IF($V449=1,$W448+1,$W448)</f>
        <v/>
      </c>
      <c r="X449">
        <f>IFERROR(INDEX($A$4:$A$517,MATCH(446,$W$4:$W$517,0)),"")</f>
        <v/>
      </c>
    </row>
    <row r="450">
      <c r="A450" s="95" t="inlineStr">
        <is>
          <t>KODEX 미국AI소프트웨어TOP10</t>
        </is>
      </c>
      <c r="B450" s="95" t="inlineStr">
        <is>
          <t>0041D0</t>
        </is>
      </c>
      <c r="C450" s="95" t="inlineStr">
        <is>
          <t>삼성자산운용(ETF)</t>
        </is>
      </c>
      <c r="D450" s="96" t="n">
        <v>14070</v>
      </c>
      <c r="E450" s="96" t="n">
        <v>54873000000</v>
      </c>
      <c r="F450" s="96" t="n">
        <v>912364453</v>
      </c>
      <c r="G450" s="97" t="n">
        <v>0.004500000000000001</v>
      </c>
      <c r="H450" s="97" t="n">
        <v>0.3911</v>
      </c>
      <c r="I450" s="97" t="n">
        <v>0.001</v>
      </c>
      <c r="J450" s="97" t="n">
        <v>0.002345</v>
      </c>
      <c r="K450" s="96" t="n">
        <v>5</v>
      </c>
      <c r="L450" s="95" t="inlineStr">
        <is>
          <t>20260730</t>
        </is>
      </c>
      <c r="M450" s="95" t="inlineStr">
        <is>
          <t>제외</t>
        </is>
      </c>
      <c r="N450" s="95" t="inlineStr">
        <is>
          <t>변동성 39.1%(1년 기준, 기준 35% 초과)</t>
        </is>
      </c>
      <c r="O450" s="95" t="inlineStr">
        <is>
          <t>iSelect US AI Software TOP10 Index</t>
        </is>
      </c>
      <c r="P450" s="95" t="inlineStr">
        <is>
          <t>일반</t>
        </is>
      </c>
      <c r="Q450" s="95" t="inlineStr">
        <is>
          <t>주식</t>
        </is>
      </c>
      <c r="R450" s="95" t="inlineStr">
        <is>
          <t>분기배당</t>
        </is>
      </c>
      <c r="S450" s="96" t="n">
        <v>4</v>
      </c>
      <c r="T450">
        <f>IF(AND($J450&lt;&gt;"",OR(조회_주기="전체",$R450=조회_주기),$J450&gt;=조회_최소,$J450&lt;=조회_최대),1,0)</f>
        <v/>
      </c>
      <c r="U450">
        <f>IF($T450=1,$U449+1,$U449)</f>
        <v/>
      </c>
      <c r="V450">
        <f>IF(검색어="",1,IF(ISNUMBER(SEARCH(검색어,$A450)),1,0))</f>
        <v/>
      </c>
      <c r="W450">
        <f>IF($V450=1,$W449+1,$W449)</f>
        <v/>
      </c>
      <c r="X450">
        <f>IFERROR(INDEX($A$4:$A$517,MATCH(447,$W$4:$W$517,0)),"")</f>
        <v/>
      </c>
    </row>
    <row r="451">
      <c r="A451" s="95" t="inlineStr">
        <is>
          <t>KIWOOM 코스닥150</t>
        </is>
      </c>
      <c r="B451" s="95" t="inlineStr">
        <is>
          <t>316670</t>
        </is>
      </c>
      <c r="C451" s="95" t="inlineStr">
        <is>
          <t>키움투자자산운용</t>
        </is>
      </c>
      <c r="D451" s="96" t="n">
        <v>6915</v>
      </c>
      <c r="E451" s="96" t="n">
        <v>46053900000</v>
      </c>
      <c r="F451" s="96" t="n">
        <v>990541044</v>
      </c>
      <c r="G451" s="97" t="n">
        <v>0.0015</v>
      </c>
      <c r="H451" s="97" t="n">
        <v>0.5477000000000001</v>
      </c>
      <c r="I451" s="97" t="n">
        <v>0.0015</v>
      </c>
      <c r="J451" s="97" t="n">
        <v>0.002169</v>
      </c>
      <c r="K451" s="96" t="n">
        <v>5</v>
      </c>
      <c r="L451" s="95" t="inlineStr">
        <is>
          <t>20260429</t>
        </is>
      </c>
      <c r="M451" s="95" t="inlineStr">
        <is>
          <t>제외</t>
        </is>
      </c>
      <c r="N451" s="95" t="inlineStr">
        <is>
          <t>변동성 54.8%(1년 기준, 기준 35% 초과)</t>
        </is>
      </c>
      <c r="O451" s="95" t="inlineStr">
        <is>
          <t>KOSDAQ 150</t>
        </is>
      </c>
      <c r="P451" s="95" t="inlineStr">
        <is>
          <t>일반</t>
        </is>
      </c>
      <c r="Q451" s="95" t="inlineStr">
        <is>
          <t>주식</t>
        </is>
      </c>
      <c r="R451" s="95" t="inlineStr">
        <is>
          <t>연배당</t>
        </is>
      </c>
      <c r="S451" s="96" t="n">
        <v>1</v>
      </c>
      <c r="T451">
        <f>IF(AND($J451&lt;&gt;"",OR(조회_주기="전체",$R451=조회_주기),$J451&gt;=조회_최소,$J451&lt;=조회_최대),1,0)</f>
        <v/>
      </c>
      <c r="U451">
        <f>IF($T451=1,$U450+1,$U450)</f>
        <v/>
      </c>
      <c r="V451">
        <f>IF(검색어="",1,IF(ISNUMBER(SEARCH(검색어,$A451)),1,0))</f>
        <v/>
      </c>
      <c r="W451">
        <f>IF($V451=1,$W450+1,$W450)</f>
        <v/>
      </c>
      <c r="X451">
        <f>IFERROR(INDEX($A$4:$A$517,MATCH(448,$W$4:$W$517,0)),"")</f>
        <v/>
      </c>
    </row>
    <row r="452">
      <c r="A452" s="95" t="inlineStr">
        <is>
          <t>TIGER 반도체TOP10</t>
        </is>
      </c>
      <c r="B452" s="95" t="inlineStr">
        <is>
          <t>396500</t>
        </is>
      </c>
      <c r="C452" s="95" t="inlineStr">
        <is>
          <t>미래에셋자산운용</t>
        </is>
      </c>
      <c r="D452" s="96" t="n">
        <v>35565</v>
      </c>
      <c r="E452" s="96" t="n">
        <v>9470959500000</v>
      </c>
      <c r="F452" s="96" t="n">
        <v>487172482837</v>
      </c>
      <c r="G452" s="97" t="n">
        <v>0.004500000000000001</v>
      </c>
      <c r="H452" s="97" t="n">
        <v>0.7575</v>
      </c>
      <c r="I452" s="97" t="n">
        <v>0.0015</v>
      </c>
      <c r="J452" s="97" t="n">
        <v>0.002109</v>
      </c>
      <c r="K452" s="96" t="n">
        <v>9</v>
      </c>
      <c r="L452" s="95" t="inlineStr">
        <is>
          <t>20260429</t>
        </is>
      </c>
      <c r="M452" s="95" t="inlineStr">
        <is>
          <t>제외</t>
        </is>
      </c>
      <c r="N452" s="95" t="inlineStr">
        <is>
          <t>변동성 75.7%(1년 기준, 기준 35% 초과)</t>
        </is>
      </c>
      <c r="O452" s="95" t="inlineStr">
        <is>
          <t>FnGuide 반도체 TOP10 지수</t>
        </is>
      </c>
      <c r="P452" s="95" t="inlineStr">
        <is>
          <t>일반</t>
        </is>
      </c>
      <c r="Q452" s="95" t="inlineStr">
        <is>
          <t>주식</t>
        </is>
      </c>
      <c r="R452" s="95" t="inlineStr">
        <is>
          <t>연배당</t>
        </is>
      </c>
      <c r="S452" s="96" t="n">
        <v>2</v>
      </c>
      <c r="T452">
        <f>IF(AND($J452&lt;&gt;"",OR(조회_주기="전체",$R452=조회_주기),$J452&gt;=조회_최소,$J452&lt;=조회_최대),1,0)</f>
        <v/>
      </c>
      <c r="U452">
        <f>IF($T452=1,$U451+1,$U451)</f>
        <v/>
      </c>
      <c r="V452">
        <f>IF(검색어="",1,IF(ISNUMBER(SEARCH(검색어,$A452)),1,0))</f>
        <v/>
      </c>
      <c r="W452">
        <f>IF($V452=1,$W451+1,$W451)</f>
        <v/>
      </c>
      <c r="X452">
        <f>IFERROR(INDEX($A$4:$A$517,MATCH(449,$W$4:$W$517,0)),"")</f>
        <v/>
      </c>
    </row>
    <row r="453">
      <c r="A453" s="95" t="inlineStr">
        <is>
          <t>IBK K-AI반도체코어테크</t>
        </is>
      </c>
      <c r="B453" s="95" t="inlineStr">
        <is>
          <t>0005G0</t>
        </is>
      </c>
      <c r="C453" s="95" t="inlineStr">
        <is>
          <t>IBK자산운용</t>
        </is>
      </c>
      <c r="D453" s="96" t="n">
        <v>50295</v>
      </c>
      <c r="E453" s="96" t="n">
        <v>173517750000</v>
      </c>
      <c r="F453" s="96" t="n">
        <v>2257356179</v>
      </c>
      <c r="G453" s="97" t="n">
        <v>0.0028</v>
      </c>
      <c r="H453" s="97" t="n">
        <v>0.6997</v>
      </c>
      <c r="I453" s="97" t="n">
        <v>0.0003</v>
      </c>
      <c r="J453" s="97" t="n">
        <v>0.002108</v>
      </c>
      <c r="K453" s="96" t="n">
        <v>6</v>
      </c>
      <c r="L453" s="95" t="inlineStr">
        <is>
          <t>20260730</t>
        </is>
      </c>
      <c r="M453" s="95" t="inlineStr">
        <is>
          <t>제외</t>
        </is>
      </c>
      <c r="N453" s="95" t="inlineStr">
        <is>
          <t>변동성 70.0%(1년 기준, 기준 35% 초과)</t>
        </is>
      </c>
      <c r="O453" s="95" t="inlineStr">
        <is>
          <t>FnGuide K-AI반도체 코어테크 지수</t>
        </is>
      </c>
      <c r="P453" s="95" t="inlineStr">
        <is>
          <t>일반</t>
        </is>
      </c>
      <c r="Q453" s="95" t="inlineStr">
        <is>
          <t>주식</t>
        </is>
      </c>
      <c r="R453" s="95" t="inlineStr">
        <is>
          <t>분기배당</t>
        </is>
      </c>
      <c r="S453" s="96" t="n">
        <v>4</v>
      </c>
      <c r="T453">
        <f>IF(AND($J453&lt;&gt;"",OR(조회_주기="전체",$R453=조회_주기),$J453&gt;=조회_최소,$J453&lt;=조회_최대),1,0)</f>
        <v/>
      </c>
      <c r="U453">
        <f>IF($T453=1,$U452+1,$U452)</f>
        <v/>
      </c>
      <c r="V453">
        <f>IF(검색어="",1,IF(ISNUMBER(SEARCH(검색어,$A453)),1,0))</f>
        <v/>
      </c>
      <c r="W453">
        <f>IF($V453=1,$W452+1,$W452)</f>
        <v/>
      </c>
      <c r="X453">
        <f>IFERROR(INDEX($A$4:$A$517,MATCH(450,$W$4:$W$517,0)),"")</f>
        <v/>
      </c>
    </row>
    <row r="454">
      <c r="A454" s="95" t="inlineStr">
        <is>
          <t>PLUS 우주항공</t>
        </is>
      </c>
      <c r="B454" s="95" t="inlineStr">
        <is>
          <t>421320</t>
        </is>
      </c>
      <c r="C454" s="95" t="inlineStr">
        <is>
          <t>한화자산운용</t>
        </is>
      </c>
      <c r="D454" s="96" t="n">
        <v>28610</v>
      </c>
      <c r="E454" s="96" t="n">
        <v>267503500000</v>
      </c>
      <c r="F454" s="96" t="n">
        <v>2798304051</v>
      </c>
      <c r="G454" s="97" t="n">
        <v>0.004500000000000001</v>
      </c>
      <c r="H454" s="97" t="n">
        <v>0.6456000000000001</v>
      </c>
      <c r="I454" s="97" t="n">
        <v>0.0012</v>
      </c>
      <c r="J454" s="97" t="n">
        <v>0.002097</v>
      </c>
      <c r="K454" s="96" t="n">
        <v>4</v>
      </c>
      <c r="L454" s="95" t="inlineStr">
        <is>
          <t>20260429</t>
        </is>
      </c>
      <c r="M454" s="95" t="inlineStr">
        <is>
          <t>제외</t>
        </is>
      </c>
      <c r="N454" s="95" t="inlineStr">
        <is>
          <t>변동성 64.6%(1년 기준, 기준 35% 초과)</t>
        </is>
      </c>
      <c r="O454" s="95" t="inlineStr">
        <is>
          <t>iSelect 우주항공UAM 지수</t>
        </is>
      </c>
      <c r="P454" s="95" t="inlineStr">
        <is>
          <t>일반</t>
        </is>
      </c>
      <c r="Q454" s="95" t="inlineStr">
        <is>
          <t>주식</t>
        </is>
      </c>
      <c r="R454" s="95" t="inlineStr">
        <is>
          <t>연배당</t>
        </is>
      </c>
      <c r="S454" s="96" t="n">
        <v>1</v>
      </c>
      <c r="T454">
        <f>IF(AND($J454&lt;&gt;"",OR(조회_주기="전체",$R454=조회_주기),$J454&gt;=조회_최소,$J454&lt;=조회_최대),1,0)</f>
        <v/>
      </c>
      <c r="U454">
        <f>IF($T454=1,$U453+1,$U453)</f>
        <v/>
      </c>
      <c r="V454">
        <f>IF(검색어="",1,IF(ISNUMBER(SEARCH(검색어,$A454)),1,0))</f>
        <v/>
      </c>
      <c r="W454">
        <f>IF($V454=1,$W453+1,$W453)</f>
        <v/>
      </c>
      <c r="X454">
        <f>IFERROR(INDEX($A$4:$A$517,MATCH(451,$W$4:$W$517,0)),"")</f>
        <v/>
      </c>
    </row>
    <row r="455">
      <c r="A455" s="95" t="inlineStr">
        <is>
          <t>TIGER 2차전지소재Fn</t>
        </is>
      </c>
      <c r="B455" s="95" t="inlineStr">
        <is>
          <t>462010</t>
        </is>
      </c>
      <c r="C455" s="95" t="inlineStr">
        <is>
          <t>미래에셋자산운용</t>
        </is>
      </c>
      <c r="D455" s="96" t="n">
        <v>4770</v>
      </c>
      <c r="E455" s="96" t="n">
        <v>520407000000</v>
      </c>
      <c r="F455" s="96" t="n">
        <v>16639627580</v>
      </c>
      <c r="G455" s="97" t="n">
        <v>0.0039</v>
      </c>
      <c r="H455" s="97" t="n">
        <v>0.6717</v>
      </c>
      <c r="I455" s="97" t="n">
        <v>0.0013</v>
      </c>
      <c r="J455" s="97" t="n">
        <v>0.002096</v>
      </c>
      <c r="K455" s="96" t="n">
        <v>3</v>
      </c>
      <c r="L455" s="95" t="inlineStr">
        <is>
          <t>20260429</t>
        </is>
      </c>
      <c r="M455" s="95" t="inlineStr">
        <is>
          <t>제외</t>
        </is>
      </c>
      <c r="N455" s="95" t="inlineStr">
        <is>
          <t>변동성 67.2%(1년 기준, 기준 35% 초과)</t>
        </is>
      </c>
      <c r="O455" s="95" t="inlineStr">
        <is>
          <t>FnGuide 2차전지소재 지수</t>
        </is>
      </c>
      <c r="P455" s="95" t="inlineStr">
        <is>
          <t>일반</t>
        </is>
      </c>
      <c r="Q455" s="95" t="inlineStr">
        <is>
          <t>주식</t>
        </is>
      </c>
      <c r="R455" s="95" t="inlineStr">
        <is>
          <t>연배당</t>
        </is>
      </c>
      <c r="S455" s="96" t="n">
        <v>1</v>
      </c>
      <c r="T455">
        <f>IF(AND($J455&lt;&gt;"",OR(조회_주기="전체",$R455=조회_주기),$J455&gt;=조회_최소,$J455&lt;=조회_최대),1,0)</f>
        <v/>
      </c>
      <c r="U455">
        <f>IF($T455=1,$U454+1,$U454)</f>
        <v/>
      </c>
      <c r="V455">
        <f>IF(검색어="",1,IF(ISNUMBER(SEARCH(검색어,$A455)),1,0))</f>
        <v/>
      </c>
      <c r="W455">
        <f>IF($V455=1,$W454+1,$W454)</f>
        <v/>
      </c>
      <c r="X455">
        <f>IFERROR(INDEX($A$4:$A$517,MATCH(452,$W$4:$W$517,0)),"")</f>
        <v/>
      </c>
    </row>
    <row r="456">
      <c r="A456" s="95" t="inlineStr">
        <is>
          <t>RISE 비메모리반도체액티브</t>
        </is>
      </c>
      <c r="B456" s="95" t="inlineStr">
        <is>
          <t>388420</t>
        </is>
      </c>
      <c r="C456" s="95" t="inlineStr">
        <is>
          <t>KB자산운용</t>
        </is>
      </c>
      <c r="D456" s="96" t="n">
        <v>26275</v>
      </c>
      <c r="E456" s="96" t="n">
        <v>231220000000</v>
      </c>
      <c r="F456" s="96" t="n">
        <v>8031740446</v>
      </c>
      <c r="G456" s="97" t="n">
        <v>0.005</v>
      </c>
      <c r="H456" s="97" t="n">
        <v>0.6938</v>
      </c>
      <c r="I456" s="97" t="n">
        <v>0.0026</v>
      </c>
      <c r="J456" s="97" t="n">
        <v>0.002093</v>
      </c>
      <c r="K456" s="96" t="n">
        <v>5</v>
      </c>
      <c r="L456" s="95" t="inlineStr">
        <is>
          <t>20260730</t>
        </is>
      </c>
      <c r="M456" s="95" t="inlineStr">
        <is>
          <t>제외</t>
        </is>
      </c>
      <c r="N456" s="95" t="inlineStr">
        <is>
          <t>변동성 69.4%(1년 기준, 기준 35% 초과)</t>
        </is>
      </c>
      <c r="O456" s="95" t="inlineStr">
        <is>
          <t>iSelect 비메모리 반도체 지수</t>
        </is>
      </c>
      <c r="P456" s="95" t="inlineStr">
        <is>
          <t>일반</t>
        </is>
      </c>
      <c r="Q456" s="95" t="inlineStr">
        <is>
          <t>주식</t>
        </is>
      </c>
      <c r="R456" s="95" t="inlineStr">
        <is>
          <t>연배당</t>
        </is>
      </c>
      <c r="S456" s="96" t="n">
        <v>1</v>
      </c>
      <c r="T456">
        <f>IF(AND($J456&lt;&gt;"",OR(조회_주기="전체",$R456=조회_주기),$J456&gt;=조회_최소,$J456&lt;=조회_최대),1,0)</f>
        <v/>
      </c>
      <c r="U456">
        <f>IF($T456=1,$U455+1,$U455)</f>
        <v/>
      </c>
      <c r="V456">
        <f>IF(검색어="",1,IF(ISNUMBER(SEARCH(검색어,$A456)),1,0))</f>
        <v/>
      </c>
      <c r="W456">
        <f>IF($V456=1,$W455+1,$W455)</f>
        <v/>
      </c>
      <c r="X456">
        <f>IFERROR(INDEX($A$4:$A$517,MATCH(453,$W$4:$W$517,0)),"")</f>
        <v/>
      </c>
    </row>
    <row r="457">
      <c r="A457" s="95" t="inlineStr">
        <is>
          <t>ACE AI반도체TOP3+</t>
        </is>
      </c>
      <c r="B457" s="95" t="inlineStr">
        <is>
          <t>469150</t>
        </is>
      </c>
      <c r="C457" s="95" t="inlineStr">
        <is>
          <t>한국투신운용(ETF)</t>
        </is>
      </c>
      <c r="D457" s="96" t="n">
        <v>58005</v>
      </c>
      <c r="E457" s="96" t="n">
        <v>1073092500000</v>
      </c>
      <c r="F457" s="96" t="n">
        <v>58810937535</v>
      </c>
      <c r="G457" s="97" t="n">
        <v>0.003</v>
      </c>
      <c r="H457" s="97" t="n">
        <v>0.7517</v>
      </c>
      <c r="I457" s="97" t="n">
        <v>0.002</v>
      </c>
      <c r="J457" s="97" t="n">
        <v>0.002069</v>
      </c>
      <c r="K457" s="96" t="n">
        <v>3</v>
      </c>
      <c r="L457" s="95" t="inlineStr">
        <is>
          <t>20260429</t>
        </is>
      </c>
      <c r="M457" s="95" t="inlineStr">
        <is>
          <t>제외</t>
        </is>
      </c>
      <c r="N457" s="95" t="inlineStr">
        <is>
          <t>변동성 75.2%(1년 기준, 기준 35% 초과)</t>
        </is>
      </c>
      <c r="O457" s="95" t="inlineStr">
        <is>
          <t>FnGuide AI 반도체 TOP3+ 지수</t>
        </is>
      </c>
      <c r="P457" s="95" t="inlineStr">
        <is>
          <t>일반</t>
        </is>
      </c>
      <c r="Q457" s="95" t="inlineStr">
        <is>
          <t>주식</t>
        </is>
      </c>
      <c r="R457" s="95" t="inlineStr">
        <is>
          <t>연배당</t>
        </is>
      </c>
      <c r="S457" s="96" t="n">
        <v>1</v>
      </c>
      <c r="T457">
        <f>IF(AND($J457&lt;&gt;"",OR(조회_주기="전체",$R457=조회_주기),$J457&gt;=조회_최소,$J457&lt;=조회_최대),1,0)</f>
        <v/>
      </c>
      <c r="U457">
        <f>IF($T457=1,$U456+1,$U456)</f>
        <v/>
      </c>
      <c r="V457">
        <f>IF(검색어="",1,IF(ISNUMBER(SEARCH(검색어,$A457)),1,0))</f>
        <v/>
      </c>
      <c r="W457">
        <f>IF($V457=1,$W456+1,$W456)</f>
        <v/>
      </c>
      <c r="X457">
        <f>IFERROR(INDEX($A$4:$A$517,MATCH(454,$W$4:$W$517,0)),"")</f>
        <v/>
      </c>
    </row>
    <row r="458">
      <c r="A458" s="95" t="inlineStr">
        <is>
          <t>TIGER 헬스케어</t>
        </is>
      </c>
      <c r="B458" s="95" t="inlineStr">
        <is>
          <t>143860</t>
        </is>
      </c>
      <c r="C458" s="95" t="inlineStr">
        <is>
          <t>미래에셋자산운용</t>
        </is>
      </c>
      <c r="D458" s="96" t="n">
        <v>35130</v>
      </c>
      <c r="E458" s="96" t="n">
        <v>140520000000</v>
      </c>
      <c r="F458" s="96" t="n">
        <v>1342232829</v>
      </c>
      <c r="G458" s="97" t="n">
        <v>0.004</v>
      </c>
      <c r="H458" s="97" t="n">
        <v>0.4338</v>
      </c>
      <c r="I458" s="97" t="n">
        <v>0.0015</v>
      </c>
      <c r="J458" s="97" t="n">
        <v>0.00205</v>
      </c>
      <c r="K458" s="96" t="n">
        <v>5</v>
      </c>
      <c r="L458" s="95" t="inlineStr">
        <is>
          <t>20260429</t>
        </is>
      </c>
      <c r="M458" s="95" t="inlineStr">
        <is>
          <t>제외</t>
        </is>
      </c>
      <c r="N458" s="95" t="inlineStr">
        <is>
          <t>변동성 43.4%(1년 기준, 기준 35% 초과)</t>
        </is>
      </c>
      <c r="O458" s="95" t="inlineStr">
        <is>
          <t>KRX 헬스케어</t>
        </is>
      </c>
      <c r="P458" s="95" t="inlineStr">
        <is>
          <t>일반</t>
        </is>
      </c>
      <c r="Q458" s="95" t="inlineStr">
        <is>
          <t>주식</t>
        </is>
      </c>
      <c r="R458" s="95" t="inlineStr">
        <is>
          <t>연배당</t>
        </is>
      </c>
      <c r="S458" s="96" t="n">
        <v>1</v>
      </c>
      <c r="T458">
        <f>IF(AND($J458&lt;&gt;"",OR(조회_주기="전체",$R458=조회_주기),$J458&gt;=조회_최소,$J458&lt;=조회_최대),1,0)</f>
        <v/>
      </c>
      <c r="U458">
        <f>IF($T458=1,$U457+1,$U457)</f>
        <v/>
      </c>
      <c r="V458">
        <f>IF(검색어="",1,IF(ISNUMBER(SEARCH(검색어,$A458)),1,0))</f>
        <v/>
      </c>
      <c r="W458">
        <f>IF($V458=1,$W457+1,$W457)</f>
        <v/>
      </c>
      <c r="X458">
        <f>IFERROR(INDEX($A$4:$A$517,MATCH(455,$W$4:$W$517,0)),"")</f>
        <v/>
      </c>
    </row>
    <row r="459">
      <c r="A459" s="95" t="inlineStr">
        <is>
          <t>KODEX 코스닥150</t>
        </is>
      </c>
      <c r="B459" s="95" t="inlineStr">
        <is>
          <t>229200</t>
        </is>
      </c>
      <c r="C459" s="95" t="inlineStr">
        <is>
          <t>삼성자산운용(ETF)</t>
        </is>
      </c>
      <c r="D459" s="96" t="n">
        <v>13800</v>
      </c>
      <c r="E459" s="96" t="n">
        <v>4613340000000</v>
      </c>
      <c r="F459" s="96" t="n">
        <v>506767411033</v>
      </c>
      <c r="G459" s="97" t="n">
        <v>0.0025</v>
      </c>
      <c r="H459" s="97" t="n">
        <v>0.5478999999999999</v>
      </c>
      <c r="I459" s="97" t="n">
        <v>0.0014</v>
      </c>
      <c r="J459" s="97" t="n">
        <v>0.002029</v>
      </c>
      <c r="K459" s="96" t="n">
        <v>5</v>
      </c>
      <c r="L459" s="95" t="inlineStr">
        <is>
          <t>20260429</t>
        </is>
      </c>
      <c r="M459" s="95" t="inlineStr">
        <is>
          <t>제외</t>
        </is>
      </c>
      <c r="N459" s="95" t="inlineStr">
        <is>
          <t>변동성 54.8%(1년 기준, 기준 35% 초과)</t>
        </is>
      </c>
      <c r="O459" s="95" t="inlineStr">
        <is>
          <t>KOSDAQ 150</t>
        </is>
      </c>
      <c r="P459" s="95" t="inlineStr">
        <is>
          <t>일반</t>
        </is>
      </c>
      <c r="Q459" s="95" t="inlineStr">
        <is>
          <t>주식</t>
        </is>
      </c>
      <c r="R459" s="95" t="inlineStr">
        <is>
          <t>연배당</t>
        </is>
      </c>
      <c r="S459" s="96" t="n">
        <v>1</v>
      </c>
      <c r="T459">
        <f>IF(AND($J459&lt;&gt;"",OR(조회_주기="전체",$R459=조회_주기),$J459&gt;=조회_최소,$J459&lt;=조회_최대),1,0)</f>
        <v/>
      </c>
      <c r="U459">
        <f>IF($T459=1,$U458+1,$U458)</f>
        <v/>
      </c>
      <c r="V459">
        <f>IF(검색어="",1,IF(ISNUMBER(SEARCH(검색어,$A459)),1,0))</f>
        <v/>
      </c>
      <c r="W459">
        <f>IF($V459=1,$W458+1,$W458)</f>
        <v/>
      </c>
      <c r="X459">
        <f>IFERROR(INDEX($A$4:$A$517,MATCH(456,$W$4:$W$517,0)),"")</f>
        <v/>
      </c>
    </row>
    <row r="460">
      <c r="A460" s="95" t="inlineStr">
        <is>
          <t>WON 미국우주항공방산</t>
        </is>
      </c>
      <c r="B460" s="95" t="inlineStr">
        <is>
          <t>440910</t>
        </is>
      </c>
      <c r="C460" s="95" t="inlineStr">
        <is>
          <t>우리자산운용</t>
        </is>
      </c>
      <c r="D460" s="96" t="n">
        <v>22910</v>
      </c>
      <c r="E460" s="96" t="n">
        <v>51547500000</v>
      </c>
      <c r="F460" s="96" t="n">
        <v>356167453</v>
      </c>
      <c r="G460" s="97" t="n">
        <v>0.0035</v>
      </c>
      <c r="H460" s="97" t="n">
        <v>0.3054</v>
      </c>
      <c r="I460" s="97" t="n">
        <v>0.0018</v>
      </c>
      <c r="J460" s="97" t="n">
        <v>0.001964</v>
      </c>
      <c r="K460" s="96" t="n">
        <v>1</v>
      </c>
      <c r="L460" s="95" t="inlineStr">
        <is>
          <t>20251030</t>
        </is>
      </c>
      <c r="M460" s="95" t="inlineStr">
        <is>
          <t>제외</t>
        </is>
      </c>
      <c r="N460" s="95" t="inlineStr">
        <is>
          <t>60일 거래대금 3.6억(기준 5억 미만)</t>
        </is>
      </c>
      <c r="O460" s="95" t="inlineStr">
        <is>
          <t>S&amp;P Aerospace &amp; Defense Select Industry Index</t>
        </is>
      </c>
      <c r="P460" s="95" t="inlineStr">
        <is>
          <t>일반</t>
        </is>
      </c>
      <c r="Q460" s="95" t="inlineStr">
        <is>
          <t>주식</t>
        </is>
      </c>
      <c r="R460" s="95" t="inlineStr">
        <is>
          <t>연배당</t>
        </is>
      </c>
      <c r="S460" s="96" t="n">
        <v>1</v>
      </c>
      <c r="T460">
        <f>IF(AND($J460&lt;&gt;"",OR(조회_주기="전체",$R460=조회_주기),$J460&gt;=조회_최소,$J460&lt;=조회_최대),1,0)</f>
        <v/>
      </c>
      <c r="U460">
        <f>IF($T460=1,$U459+1,$U459)</f>
        <v/>
      </c>
      <c r="V460">
        <f>IF(검색어="",1,IF(ISNUMBER(SEARCH(검색어,$A460)),1,0))</f>
        <v/>
      </c>
      <c r="W460">
        <f>IF($V460=1,$W459+1,$W459)</f>
        <v/>
      </c>
      <c r="X460">
        <f>IFERROR(INDEX($A$4:$A$517,MATCH(457,$W$4:$W$517,0)),"")</f>
        <v/>
      </c>
    </row>
    <row r="461">
      <c r="A461" s="95" t="inlineStr">
        <is>
          <t>TIGER 코리아원자력</t>
        </is>
      </c>
      <c r="B461" s="95" t="inlineStr">
        <is>
          <t>0091P0</t>
        </is>
      </c>
      <c r="C461" s="95" t="inlineStr">
        <is>
          <t>미래에셋자산운용</t>
        </is>
      </c>
      <c r="D461" s="96" t="n">
        <v>18150</v>
      </c>
      <c r="E461" s="96" t="n">
        <v>645232500000</v>
      </c>
      <c r="F461" s="96" t="n">
        <v>35456503751</v>
      </c>
      <c r="G461" s="97" t="n">
        <v>0.005</v>
      </c>
      <c r="H461" s="97" t="n">
        <v>0.6825</v>
      </c>
      <c r="I461" s="97" t="n">
        <v>0.0013</v>
      </c>
      <c r="J461" s="97" t="n">
        <v>0.001928</v>
      </c>
      <c r="K461" s="96" t="n">
        <v>1</v>
      </c>
      <c r="L461" s="95" t="inlineStr">
        <is>
          <t>20260429</t>
        </is>
      </c>
      <c r="M461" s="95" t="inlineStr">
        <is>
          <t>제외</t>
        </is>
      </c>
      <c r="N461" s="95" t="inlineStr">
        <is>
          <t>변동성 68.2%(1년 기준, 기준 35% 초과)</t>
        </is>
      </c>
      <c r="O461" s="95" t="inlineStr">
        <is>
          <t>iSelect 코리아 원자력 지수</t>
        </is>
      </c>
      <c r="P461" s="95" t="inlineStr">
        <is>
          <t>일반</t>
        </is>
      </c>
      <c r="Q461" s="95" t="inlineStr">
        <is>
          <t>주식</t>
        </is>
      </c>
      <c r="R461" s="95" t="inlineStr">
        <is>
          <t>연배당</t>
        </is>
      </c>
      <c r="S461" s="96" t="n">
        <v>1</v>
      </c>
      <c r="T461">
        <f>IF(AND($J461&lt;&gt;"",OR(조회_주기="전체",$R461=조회_주기),$J461&gt;=조회_최소,$J461&lt;=조회_최대),1,0)</f>
        <v/>
      </c>
      <c r="U461">
        <f>IF($T461=1,$U460+1,$U460)</f>
        <v/>
      </c>
      <c r="V461">
        <f>IF(검색어="",1,IF(ISNUMBER(SEARCH(검색어,$A461)),1,0))</f>
        <v/>
      </c>
      <c r="W461">
        <f>IF($V461=1,$W460+1,$W460)</f>
        <v/>
      </c>
      <c r="X461">
        <f>IFERROR(INDEX($A$4:$A$517,MATCH(458,$W$4:$W$517,0)),"")</f>
        <v/>
      </c>
    </row>
    <row r="462">
      <c r="A462" s="95" t="inlineStr">
        <is>
          <t>TIGER 차이나반도체FACTSET</t>
        </is>
      </c>
      <c r="B462" s="95" t="inlineStr">
        <is>
          <t>396520</t>
        </is>
      </c>
      <c r="C462" s="95" t="inlineStr">
        <is>
          <t>미래에셋자산운용</t>
        </is>
      </c>
      <c r="D462" s="96" t="n">
        <v>13185</v>
      </c>
      <c r="E462" s="96" t="n">
        <v>541112400000</v>
      </c>
      <c r="F462" s="96" t="n">
        <v>18818161582</v>
      </c>
      <c r="G462" s="97" t="n">
        <v>0.0049</v>
      </c>
      <c r="H462" s="97" t="n">
        <v>0.5225</v>
      </c>
      <c r="I462" s="97" t="n">
        <v>0.0025</v>
      </c>
      <c r="J462" s="97" t="n">
        <v>0.001896</v>
      </c>
      <c r="K462" s="96" t="n">
        <v>1</v>
      </c>
      <c r="L462" s="95" t="inlineStr">
        <is>
          <t>20251229</t>
        </is>
      </c>
      <c r="M462" s="95" t="inlineStr">
        <is>
          <t>제외</t>
        </is>
      </c>
      <c r="N462" s="95" t="inlineStr">
        <is>
          <t>변동성 52.3%(1년 기준, 기준 35% 초과)</t>
        </is>
      </c>
      <c r="O462" s="95" t="inlineStr">
        <is>
          <t>FactSet China Semiconductor Index PR</t>
        </is>
      </c>
      <c r="P462" s="95" t="inlineStr">
        <is>
          <t>일반</t>
        </is>
      </c>
      <c r="Q462" s="95" t="inlineStr">
        <is>
          <t>주식</t>
        </is>
      </c>
      <c r="R462" s="95" t="inlineStr">
        <is>
          <t>연배당</t>
        </is>
      </c>
      <c r="S462" s="96" t="n">
        <v>1</v>
      </c>
      <c r="T462">
        <f>IF(AND($J462&lt;&gt;"",OR(조회_주기="전체",$R462=조회_주기),$J462&gt;=조회_최소,$J462&lt;=조회_최대),1,0)</f>
        <v/>
      </c>
      <c r="U462">
        <f>IF($T462=1,$U461+1,$U461)</f>
        <v/>
      </c>
      <c r="V462">
        <f>IF(검색어="",1,IF(ISNUMBER(SEARCH(검색어,$A462)),1,0))</f>
        <v/>
      </c>
      <c r="W462">
        <f>IF($V462=1,$W461+1,$W461)</f>
        <v/>
      </c>
      <c r="X462">
        <f>IFERROR(INDEX($A$4:$A$517,MATCH(459,$W$4:$W$517,0)),"")</f>
        <v/>
      </c>
    </row>
    <row r="463">
      <c r="A463" s="95" t="inlineStr">
        <is>
          <t>HANARO 전력설비투자</t>
        </is>
      </c>
      <c r="B463" s="95" t="inlineStr">
        <is>
          <t>491820</t>
        </is>
      </c>
      <c r="C463" s="95" t="inlineStr">
        <is>
          <t>NH-Amundi자산운용</t>
        </is>
      </c>
      <c r="D463" s="96" t="n">
        <v>42890</v>
      </c>
      <c r="E463" s="96" t="n">
        <v>156548500000</v>
      </c>
      <c r="F463" s="96" t="n">
        <v>7364460495</v>
      </c>
      <c r="G463" s="97" t="n">
        <v>0.0035</v>
      </c>
      <c r="H463" s="97" t="n">
        <v>0.7049</v>
      </c>
      <c r="I463" s="97" t="n">
        <v>0.0014</v>
      </c>
      <c r="J463" s="97" t="n">
        <v>0.001865</v>
      </c>
      <c r="K463" s="96" t="n">
        <v>2</v>
      </c>
      <c r="L463" s="95" t="inlineStr">
        <is>
          <t>20260429</t>
        </is>
      </c>
      <c r="M463" s="95" t="inlineStr">
        <is>
          <t>제외</t>
        </is>
      </c>
      <c r="N463" s="95" t="inlineStr">
        <is>
          <t>변동성 70.5%(1년 기준, 기준 35% 초과)</t>
        </is>
      </c>
      <c r="O463" s="95" t="inlineStr">
        <is>
          <t>iSelect 전력설비투자 지수</t>
        </is>
      </c>
      <c r="P463" s="95" t="inlineStr">
        <is>
          <t>일반</t>
        </is>
      </c>
      <c r="Q463" s="95" t="inlineStr">
        <is>
          <t>주식</t>
        </is>
      </c>
      <c r="R463" s="95" t="inlineStr">
        <is>
          <t>연배당</t>
        </is>
      </c>
      <c r="S463" s="96" t="n">
        <v>1</v>
      </c>
      <c r="T463">
        <f>IF(AND($J463&lt;&gt;"",OR(조회_주기="전체",$R463=조회_주기),$J463&gt;=조회_최소,$J463&lt;=조회_최대),1,0)</f>
        <v/>
      </c>
      <c r="U463">
        <f>IF($T463=1,$U462+1,$U462)</f>
        <v/>
      </c>
      <c r="V463">
        <f>IF(검색어="",1,IF(ISNUMBER(SEARCH(검색어,$A463)),1,0))</f>
        <v/>
      </c>
      <c r="W463">
        <f>IF($V463=1,$W462+1,$W462)</f>
        <v/>
      </c>
      <c r="X463">
        <f>IFERROR(INDEX($A$4:$A$517,MATCH(460,$W$4:$W$517,0)),"")</f>
        <v/>
      </c>
    </row>
    <row r="464">
      <c r="A464" s="95" t="inlineStr">
        <is>
          <t>HANARO CAPEX설비투자iSelect</t>
        </is>
      </c>
      <c r="B464" s="95" t="inlineStr">
        <is>
          <t>454320</t>
        </is>
      </c>
      <c r="C464" s="95" t="inlineStr">
        <is>
          <t>NH-Amundi자산운용</t>
        </is>
      </c>
      <c r="D464" s="96" t="n">
        <v>42910</v>
      </c>
      <c r="E464" s="96" t="n">
        <v>92256500000</v>
      </c>
      <c r="F464" s="96" t="n">
        <v>583714566</v>
      </c>
      <c r="G464" s="97" t="n">
        <v>0.004500000000000001</v>
      </c>
      <c r="H464" s="97" t="n">
        <v>0.5682</v>
      </c>
      <c r="I464" s="97" t="n">
        <v>0.0014</v>
      </c>
      <c r="J464" s="97" t="n">
        <v>0.001864</v>
      </c>
      <c r="K464" s="96" t="n">
        <v>3</v>
      </c>
      <c r="L464" s="95" t="inlineStr">
        <is>
          <t>20260429</t>
        </is>
      </c>
      <c r="M464" s="95" t="inlineStr">
        <is>
          <t>제외</t>
        </is>
      </c>
      <c r="N464" s="95" t="inlineStr">
        <is>
          <t>변동성 56.8%(1년 기준, 기준 35% 초과)</t>
        </is>
      </c>
      <c r="O464" s="95" t="inlineStr">
        <is>
          <t>iSelect CAPEX 설비투자 지수</t>
        </is>
      </c>
      <c r="P464" s="95" t="inlineStr">
        <is>
          <t>일반</t>
        </is>
      </c>
      <c r="Q464" s="95" t="inlineStr">
        <is>
          <t>주식</t>
        </is>
      </c>
      <c r="R464" s="95" t="inlineStr">
        <is>
          <t>연배당</t>
        </is>
      </c>
      <c r="S464" s="96" t="n">
        <v>1</v>
      </c>
      <c r="T464">
        <f>IF(AND($J464&lt;&gt;"",OR(조회_주기="전체",$R464=조회_주기),$J464&gt;=조회_최소,$J464&lt;=조회_최대),1,0)</f>
        <v/>
      </c>
      <c r="U464">
        <f>IF($T464=1,$U463+1,$U463)</f>
        <v/>
      </c>
      <c r="V464">
        <f>IF(검색어="",1,IF(ISNUMBER(SEARCH(검색어,$A464)),1,0))</f>
        <v/>
      </c>
      <c r="W464">
        <f>IF($V464=1,$W463+1,$W463)</f>
        <v/>
      </c>
      <c r="X464">
        <f>IFERROR(INDEX($A$4:$A$517,MATCH(461,$W$4:$W$517,0)),"")</f>
        <v/>
      </c>
    </row>
    <row r="465">
      <c r="A465" s="95" t="inlineStr">
        <is>
          <t>SOL 조선TOP3플러스</t>
        </is>
      </c>
      <c r="B465" s="95" t="inlineStr">
        <is>
          <t>466920</t>
        </is>
      </c>
      <c r="C465" s="95" t="inlineStr">
        <is>
          <t>신한자산운용</t>
        </is>
      </c>
      <c r="D465" s="96" t="n">
        <v>28030</v>
      </c>
      <c r="E465" s="96" t="n">
        <v>1481385500000</v>
      </c>
      <c r="F465" s="96" t="n">
        <v>52933880061</v>
      </c>
      <c r="G465" s="97" t="n">
        <v>0.004500000000000001</v>
      </c>
      <c r="H465" s="97" t="n">
        <v>0.5474</v>
      </c>
      <c r="I465" s="97" t="n">
        <v>0.0012</v>
      </c>
      <c r="J465" s="97" t="n">
        <v>0.001855</v>
      </c>
      <c r="K465" s="96" t="n">
        <v>2</v>
      </c>
      <c r="L465" s="95" t="inlineStr">
        <is>
          <t>20260429</t>
        </is>
      </c>
      <c r="M465" s="95" t="inlineStr">
        <is>
          <t>제외</t>
        </is>
      </c>
      <c r="N465" s="95" t="inlineStr">
        <is>
          <t>변동성 54.7%(1년 기준, 기준 35% 초과)</t>
        </is>
      </c>
      <c r="O465" s="95" t="inlineStr">
        <is>
          <t>FnGuide 조선 TOP3 플러스 지수</t>
        </is>
      </c>
      <c r="P465" s="95" t="inlineStr">
        <is>
          <t>일반</t>
        </is>
      </c>
      <c r="Q465" s="95" t="inlineStr">
        <is>
          <t>주식</t>
        </is>
      </c>
      <c r="R465" s="95" t="inlineStr">
        <is>
          <t>연배당</t>
        </is>
      </c>
      <c r="S465" s="96" t="n">
        <v>1</v>
      </c>
      <c r="T465">
        <f>IF(AND($J465&lt;&gt;"",OR(조회_주기="전체",$R465=조회_주기),$J465&gt;=조회_최소,$J465&lt;=조회_최대),1,0)</f>
        <v/>
      </c>
      <c r="U465">
        <f>IF($T465=1,$U464+1,$U464)</f>
        <v/>
      </c>
      <c r="V465">
        <f>IF(검색어="",1,IF(ISNUMBER(SEARCH(검색어,$A465)),1,0))</f>
        <v/>
      </c>
      <c r="W465">
        <f>IF($V465=1,$W464+1,$W464)</f>
        <v/>
      </c>
      <c r="X465">
        <f>IFERROR(INDEX($A$4:$A$517,MATCH(462,$W$4:$W$517,0)),"")</f>
        <v/>
      </c>
    </row>
    <row r="466">
      <c r="A466" s="95" t="inlineStr">
        <is>
          <t>SOL 한국원자력SMR</t>
        </is>
      </c>
      <c r="B466" s="95" t="inlineStr">
        <is>
          <t>0092B0</t>
        </is>
      </c>
      <c r="C466" s="95" t="inlineStr">
        <is>
          <t>신한자산운용</t>
        </is>
      </c>
      <c r="D466" s="96" t="n">
        <v>16530</v>
      </c>
      <c r="E466" s="96" t="n">
        <v>137199000000</v>
      </c>
      <c r="F466" s="96" t="n">
        <v>2813567412</v>
      </c>
      <c r="G466" s="97" t="n">
        <v>0.004500000000000001</v>
      </c>
      <c r="H466" s="97" t="n">
        <v>0.6445000000000001</v>
      </c>
      <c r="I466" s="97" t="n">
        <v>0.001</v>
      </c>
      <c r="J466" s="97" t="n">
        <v>0.001815</v>
      </c>
      <c r="K466" s="96" t="n">
        <v>2</v>
      </c>
      <c r="L466" s="95" t="inlineStr">
        <is>
          <t>20260429</t>
        </is>
      </c>
      <c r="M466" s="95" t="inlineStr">
        <is>
          <t>제외</t>
        </is>
      </c>
      <c r="N466" s="95" t="inlineStr">
        <is>
          <t>변동성 64.4%(1년 기준, 기준 35% 초과)</t>
        </is>
      </c>
      <c r="O466" s="95" t="inlineStr">
        <is>
          <t>FnGuide 한국원자력SMR 지수</t>
        </is>
      </c>
      <c r="P466" s="95" t="inlineStr">
        <is>
          <t>일반</t>
        </is>
      </c>
      <c r="Q466" s="95" t="inlineStr">
        <is>
          <t>주식</t>
        </is>
      </c>
      <c r="R466" s="95" t="inlineStr">
        <is>
          <t>연배당</t>
        </is>
      </c>
      <c r="S466" s="96" t="n">
        <v>2</v>
      </c>
      <c r="T466">
        <f>IF(AND($J466&lt;&gt;"",OR(조회_주기="전체",$R466=조회_주기),$J466&gt;=조회_최소,$J466&lt;=조회_최대),1,0)</f>
        <v/>
      </c>
      <c r="U466">
        <f>IF($T466=1,$U465+1,$U465)</f>
        <v/>
      </c>
      <c r="V466">
        <f>IF(검색어="",1,IF(ISNUMBER(SEARCH(검색어,$A466)),1,0))</f>
        <v/>
      </c>
      <c r="W466">
        <f>IF($V466=1,$W465+1,$W465)</f>
        <v/>
      </c>
      <c r="X466">
        <f>IFERROR(INDEX($A$4:$A$517,MATCH(463,$W$4:$W$517,0)),"")</f>
        <v/>
      </c>
    </row>
    <row r="467">
      <c r="A467" s="95" t="inlineStr">
        <is>
          <t>KODEX 성장주</t>
        </is>
      </c>
      <c r="B467" s="95" t="inlineStr">
        <is>
          <t>325010</t>
        </is>
      </c>
      <c r="C467" s="95" t="inlineStr">
        <is>
          <t>삼성자산운용(ETF)</t>
        </is>
      </c>
      <c r="D467" s="96" t="n">
        <v>42285</v>
      </c>
      <c r="E467" s="96" t="n">
        <v>122626500000</v>
      </c>
      <c r="F467" s="96" t="n">
        <v>1641977880</v>
      </c>
      <c r="G467" s="97" t="n">
        <v>0.003</v>
      </c>
      <c r="H467" s="97" t="n">
        <v>0.5895</v>
      </c>
      <c r="I467" s="97" t="n">
        <v>0.0001</v>
      </c>
      <c r="J467" s="97" t="n">
        <v>0.00175</v>
      </c>
      <c r="K467" s="96" t="n">
        <v>6</v>
      </c>
      <c r="L467" s="95" t="inlineStr">
        <is>
          <t>20260730</t>
        </is>
      </c>
      <c r="M467" s="95" t="inlineStr">
        <is>
          <t>제외</t>
        </is>
      </c>
      <c r="N467" s="95" t="inlineStr">
        <is>
          <t>변동성 59.0%(1년 기준, 기준 35% 초과)</t>
        </is>
      </c>
      <c r="O467" s="95" t="inlineStr">
        <is>
          <t>FnGuide 성장 지수(PR)</t>
        </is>
      </c>
      <c r="P467" s="95" t="inlineStr">
        <is>
          <t>일반</t>
        </is>
      </c>
      <c r="Q467" s="95" t="inlineStr">
        <is>
          <t>주식</t>
        </is>
      </c>
      <c r="R467" s="95" t="inlineStr">
        <is>
          <t>연배당</t>
        </is>
      </c>
      <c r="S467" s="96" t="n">
        <v>2</v>
      </c>
      <c r="T467">
        <f>IF(AND($J467&lt;&gt;"",OR(조회_주기="전체",$R467=조회_주기),$J467&gt;=조회_최소,$J467&lt;=조회_최대),1,0)</f>
        <v/>
      </c>
      <c r="U467">
        <f>IF($T467=1,$U466+1,$U466)</f>
        <v/>
      </c>
      <c r="V467">
        <f>IF(검색어="",1,IF(ISNUMBER(SEARCH(검색어,$A467)),1,0))</f>
        <v/>
      </c>
      <c r="W467">
        <f>IF($V467=1,$W466+1,$W466)</f>
        <v/>
      </c>
      <c r="X467">
        <f>IFERROR(INDEX($A$4:$A$517,MATCH(464,$W$4:$W$517,0)),"")</f>
        <v/>
      </c>
    </row>
    <row r="468">
      <c r="A468" s="95" t="inlineStr">
        <is>
          <t>PLUS 한화그룹주</t>
        </is>
      </c>
      <c r="B468" s="95" t="inlineStr">
        <is>
          <t>0000J0</t>
        </is>
      </c>
      <c r="C468" s="95" t="inlineStr">
        <is>
          <t>한화자산운용</t>
        </is>
      </c>
      <c r="D468" s="96" t="n">
        <v>28650</v>
      </c>
      <c r="E468" s="96" t="n">
        <v>114600000000</v>
      </c>
      <c r="F468" s="96" t="n">
        <v>4628716192</v>
      </c>
      <c r="G468" s="97" t="n">
        <v>0.0019</v>
      </c>
      <c r="H468" s="97" t="n">
        <v>0.5764</v>
      </c>
      <c r="I468" s="97" t="n">
        <v>0.0012</v>
      </c>
      <c r="J468" s="97" t="n">
        <v>0.001745</v>
      </c>
      <c r="K468" s="96" t="n">
        <v>2</v>
      </c>
      <c r="L468" s="95" t="inlineStr">
        <is>
          <t>20260429</t>
        </is>
      </c>
      <c r="M468" s="95" t="inlineStr">
        <is>
          <t>제외</t>
        </is>
      </c>
      <c r="N468" s="95" t="inlineStr">
        <is>
          <t>변동성 57.6%(1년 기준, 기준 35% 초과)</t>
        </is>
      </c>
      <c r="O468" s="95" t="inlineStr">
        <is>
          <t>FnGuide 한화그룹주 지수</t>
        </is>
      </c>
      <c r="P468" s="95" t="inlineStr">
        <is>
          <t>일반</t>
        </is>
      </c>
      <c r="Q468" s="95" t="inlineStr">
        <is>
          <t>주식</t>
        </is>
      </c>
      <c r="R468" s="95" t="inlineStr">
        <is>
          <t>연배당</t>
        </is>
      </c>
      <c r="S468" s="96" t="n">
        <v>1</v>
      </c>
      <c r="T468">
        <f>IF(AND($J468&lt;&gt;"",OR(조회_주기="전체",$R468=조회_주기),$J468&gt;=조회_최소,$J468&lt;=조회_최대),1,0)</f>
        <v/>
      </c>
      <c r="U468">
        <f>IF($T468=1,$U467+1,$U467)</f>
        <v/>
      </c>
      <c r="V468">
        <f>IF(검색어="",1,IF(ISNUMBER(SEARCH(검색어,$A468)),1,0))</f>
        <v/>
      </c>
      <c r="W468">
        <f>IF($V468=1,$W467+1,$W467)</f>
        <v/>
      </c>
      <c r="X468">
        <f>IFERROR(INDEX($A$4:$A$517,MATCH(465,$W$4:$W$517,0)),"")</f>
        <v/>
      </c>
    </row>
    <row r="469">
      <c r="A469" s="95" t="inlineStr">
        <is>
          <t>TIGER 글로벌AI사이버보안</t>
        </is>
      </c>
      <c r="B469" s="95" t="inlineStr">
        <is>
          <t>418670</t>
        </is>
      </c>
      <c r="C469" s="95" t="inlineStr">
        <is>
          <t>미래에셋자산운용</t>
        </is>
      </c>
      <c r="D469" s="96" t="n">
        <v>18910</v>
      </c>
      <c r="E469" s="96" t="n">
        <v>57486400000</v>
      </c>
      <c r="F469" s="96" t="n">
        <v>1565150187</v>
      </c>
      <c r="G469" s="97" t="n">
        <v>0.0049</v>
      </c>
      <c r="H469" s="97" t="n">
        <v>0.3783</v>
      </c>
      <c r="I469" s="97" t="n">
        <v>0.0024</v>
      </c>
      <c r="J469" s="97" t="n">
        <v>0.001745</v>
      </c>
      <c r="K469" s="96" t="n">
        <v>1</v>
      </c>
      <c r="L469" s="95" t="inlineStr">
        <is>
          <t>20251229</t>
        </is>
      </c>
      <c r="M469" s="95" t="inlineStr">
        <is>
          <t>제외</t>
        </is>
      </c>
      <c r="N469" s="95" t="inlineStr">
        <is>
          <t>변동성 37.8%(1년 기준, 기준 35% 초과)</t>
        </is>
      </c>
      <c r="O469" s="95" t="inlineStr">
        <is>
          <t>Indxx Cybersecurity Index PR</t>
        </is>
      </c>
      <c r="P469" s="95" t="inlineStr">
        <is>
          <t>일반</t>
        </is>
      </c>
      <c r="Q469" s="95" t="inlineStr">
        <is>
          <t>주식</t>
        </is>
      </c>
      <c r="R469" s="95" t="inlineStr">
        <is>
          <t>연배당</t>
        </is>
      </c>
      <c r="S469" s="96" t="n">
        <v>1</v>
      </c>
      <c r="T469">
        <f>IF(AND($J469&lt;&gt;"",OR(조회_주기="전체",$R469=조회_주기),$J469&gt;=조회_최소,$J469&lt;=조회_최대),1,0)</f>
        <v/>
      </c>
      <c r="U469">
        <f>IF($T469=1,$U468+1,$U468)</f>
        <v/>
      </c>
      <c r="V469">
        <f>IF(검색어="",1,IF(ISNUMBER(SEARCH(검색어,$A469)),1,0))</f>
        <v/>
      </c>
      <c r="W469">
        <f>IF($V469=1,$W468+1,$W468)</f>
        <v/>
      </c>
      <c r="X469">
        <f>IFERROR(INDEX($A$4:$A$517,MATCH(466,$W$4:$W$517,0)),"")</f>
        <v/>
      </c>
    </row>
    <row r="470">
      <c r="A470" s="95" t="inlineStr">
        <is>
          <t>SOL 조선TOP3플러스레버리지</t>
        </is>
      </c>
      <c r="B470" s="95" t="inlineStr">
        <is>
          <t>0080Y0</t>
        </is>
      </c>
      <c r="C470" s="95" t="inlineStr">
        <is>
          <t>신한자산운용</t>
        </is>
      </c>
      <c r="D470" s="96" t="n">
        <v>8760</v>
      </c>
      <c r="E470" s="96" t="n">
        <v>110376000000</v>
      </c>
      <c r="F470" s="96" t="n">
        <v>8014775677</v>
      </c>
      <c r="G470" s="97" t="n">
        <v>0.005</v>
      </c>
      <c r="H470" s="97" t="n">
        <v>1.0685</v>
      </c>
      <c r="I470" s="97" t="n">
        <v>0.0009</v>
      </c>
      <c r="J470" s="97" t="n">
        <v>0.001712</v>
      </c>
      <c r="K470" s="96" t="n">
        <v>1</v>
      </c>
      <c r="L470" s="95" t="inlineStr">
        <is>
          <t>20251229</t>
        </is>
      </c>
      <c r="M470" s="95" t="inlineStr">
        <is>
          <t>제외</t>
        </is>
      </c>
      <c r="N470" s="95" t="inlineStr">
        <is>
          <t>변동성 106.8%(1년 기준, 기준 35% 초과)</t>
        </is>
      </c>
      <c r="O470" s="95" t="inlineStr">
        <is>
          <t>FnGuide 조선 TOP3 플러스 지수</t>
        </is>
      </c>
      <c r="P470" s="95" t="inlineStr">
        <is>
          <t>일반</t>
        </is>
      </c>
      <c r="Q470" s="95" t="inlineStr">
        <is>
          <t>주식</t>
        </is>
      </c>
      <c r="R470" s="95" t="inlineStr">
        <is>
          <t>연배당</t>
        </is>
      </c>
      <c r="S470" s="96" t="n">
        <v>1</v>
      </c>
      <c r="T470">
        <f>IF(AND($J470&lt;&gt;"",OR(조회_주기="전체",$R470=조회_주기),$J470&gt;=조회_최소,$J470&lt;=조회_최대),1,0)</f>
        <v/>
      </c>
      <c r="U470">
        <f>IF($T470=1,$U469+1,$U469)</f>
        <v/>
      </c>
      <c r="V470">
        <f>IF(검색어="",1,IF(ISNUMBER(SEARCH(검색어,$A470)),1,0))</f>
        <v/>
      </c>
      <c r="W470">
        <f>IF($V470=1,$W469+1,$W469)</f>
        <v/>
      </c>
      <c r="X470">
        <f>IFERROR(INDEX($A$4:$A$517,MATCH(467,$W$4:$W$517,0)),"")</f>
        <v/>
      </c>
    </row>
    <row r="471">
      <c r="A471" s="95" t="inlineStr">
        <is>
          <t>TIGER 글로벌AI액티브</t>
        </is>
      </c>
      <c r="B471" s="95" t="inlineStr">
        <is>
          <t>466950</t>
        </is>
      </c>
      <c r="C471" s="95" t="inlineStr">
        <is>
          <t>미래에셋자산운용</t>
        </is>
      </c>
      <c r="D471" s="96" t="n">
        <v>29660</v>
      </c>
      <c r="E471" s="96" t="n">
        <v>554938600000</v>
      </c>
      <c r="F471" s="96" t="n">
        <v>9594040806</v>
      </c>
      <c r="G471" s="97" t="n">
        <v>0.007900000000000001</v>
      </c>
      <c r="H471" s="97" t="n">
        <v>0.4532</v>
      </c>
      <c r="I471" s="97" t="n">
        <v>0.0022</v>
      </c>
      <c r="J471" s="97" t="n">
        <v>0.001686</v>
      </c>
      <c r="K471" s="96" t="n">
        <v>1</v>
      </c>
      <c r="L471" s="95" t="inlineStr">
        <is>
          <t>20251229</t>
        </is>
      </c>
      <c r="M471" s="95" t="inlineStr">
        <is>
          <t>제외</t>
        </is>
      </c>
      <c r="N471" s="95" t="inlineStr">
        <is>
          <t>변동성 45.3%(1년 기준, 기준 35% 초과)</t>
        </is>
      </c>
      <c r="O471" s="95" t="inlineStr">
        <is>
          <t>Indxx Artificial Intelligence and Big Data Index PR</t>
        </is>
      </c>
      <c r="P471" s="95" t="inlineStr">
        <is>
          <t>일반</t>
        </is>
      </c>
      <c r="Q471" s="95" t="inlineStr">
        <is>
          <t>주식</t>
        </is>
      </c>
      <c r="R471" s="95" t="inlineStr">
        <is>
          <t>연배당</t>
        </is>
      </c>
      <c r="S471" s="96" t="n">
        <v>1</v>
      </c>
      <c r="T471">
        <f>IF(AND($J471&lt;&gt;"",OR(조회_주기="전체",$R471=조회_주기),$J471&gt;=조회_최소,$J471&lt;=조회_최대),1,0)</f>
        <v/>
      </c>
      <c r="U471">
        <f>IF($T471=1,$U470+1,$U470)</f>
        <v/>
      </c>
      <c r="V471">
        <f>IF(검색어="",1,IF(ISNUMBER(SEARCH(검색어,$A471)),1,0))</f>
        <v/>
      </c>
      <c r="W471">
        <f>IF($V471=1,$W470+1,$W470)</f>
        <v/>
      </c>
      <c r="X471">
        <f>IFERROR(INDEX($A$4:$A$517,MATCH(468,$W$4:$W$517,0)),"")</f>
        <v/>
      </c>
    </row>
    <row r="472">
      <c r="A472" s="95" t="inlineStr">
        <is>
          <t>TIGER 미디어컨텐츠</t>
        </is>
      </c>
      <c r="B472" s="95" t="inlineStr">
        <is>
          <t>228810</t>
        </is>
      </c>
      <c r="C472" s="95" t="inlineStr">
        <is>
          <t>미래에셋자산운용</t>
        </is>
      </c>
      <c r="D472" s="96" t="n">
        <v>3080</v>
      </c>
      <c r="E472" s="96" t="n">
        <v>74844000000</v>
      </c>
      <c r="F472" s="96" t="n">
        <v>827407043</v>
      </c>
      <c r="G472" s="97" t="n">
        <v>0.005</v>
      </c>
      <c r="H472" s="97" t="n">
        <v>0.4056</v>
      </c>
      <c r="I472" s="97" t="n">
        <v>0.001</v>
      </c>
      <c r="J472" s="97" t="n">
        <v>0.001623</v>
      </c>
      <c r="K472" s="96" t="n">
        <v>5</v>
      </c>
      <c r="L472" s="95" t="inlineStr">
        <is>
          <t>20260429</t>
        </is>
      </c>
      <c r="M472" s="95" t="inlineStr">
        <is>
          <t>제외</t>
        </is>
      </c>
      <c r="N472" s="95" t="inlineStr">
        <is>
          <t>변동성 40.6%(1년 기준, 기준 35% 초과)</t>
        </is>
      </c>
      <c r="O472" s="95" t="inlineStr">
        <is>
          <t>WISE 미디어컨텐츠 지수</t>
        </is>
      </c>
      <c r="P472" s="95" t="inlineStr">
        <is>
          <t>일반</t>
        </is>
      </c>
      <c r="Q472" s="95" t="inlineStr">
        <is>
          <t>주식</t>
        </is>
      </c>
      <c r="R472" s="95" t="inlineStr">
        <is>
          <t>연배당</t>
        </is>
      </c>
      <c r="S472" s="96" t="n">
        <v>1</v>
      </c>
      <c r="T472">
        <f>IF(AND($J472&lt;&gt;"",OR(조회_주기="전체",$R472=조회_주기),$J472&gt;=조회_최소,$J472&lt;=조회_최대),1,0)</f>
        <v/>
      </c>
      <c r="U472">
        <f>IF($T472=1,$U471+1,$U471)</f>
        <v/>
      </c>
      <c r="V472">
        <f>IF(검색어="",1,IF(ISNUMBER(SEARCH(검색어,$A472)),1,0))</f>
        <v/>
      </c>
      <c r="W472">
        <f>IF($V472=1,$W471+1,$W471)</f>
        <v/>
      </c>
      <c r="X472">
        <f>IFERROR(INDEX($A$4:$A$517,MATCH(469,$W$4:$W$517,0)),"")</f>
        <v/>
      </c>
    </row>
    <row r="473">
      <c r="A473" s="95" t="inlineStr">
        <is>
          <t>SOL 미국AI반도체칩메이커</t>
        </is>
      </c>
      <c r="B473" s="95" t="inlineStr">
        <is>
          <t>479620</t>
        </is>
      </c>
      <c r="C473" s="95" t="inlineStr">
        <is>
          <t>신한자산운용</t>
        </is>
      </c>
      <c r="D473" s="96" t="n">
        <v>24680</v>
      </c>
      <c r="E473" s="96" t="n">
        <v>86380000000</v>
      </c>
      <c r="F473" s="96" t="n">
        <v>1715296821</v>
      </c>
      <c r="G473" s="97" t="n">
        <v>0.004500000000000001</v>
      </c>
      <c r="H473" s="97" t="n">
        <v>0.4816</v>
      </c>
      <c r="I473" s="97" t="n">
        <v>0.0018</v>
      </c>
      <c r="J473" s="97" t="n">
        <v>0.001621</v>
      </c>
      <c r="K473" s="96" t="n">
        <v>2</v>
      </c>
      <c r="L473" s="95" t="inlineStr">
        <is>
          <t>20260429</t>
        </is>
      </c>
      <c r="M473" s="95" t="inlineStr">
        <is>
          <t>제외</t>
        </is>
      </c>
      <c r="N473" s="95" t="inlineStr">
        <is>
          <t>변동성 48.2%(1년 기준, 기준 35% 초과)</t>
        </is>
      </c>
      <c r="O473" s="95" t="inlineStr">
        <is>
          <t>Solactive US AI Semiconductor Chip Makers Index PR</t>
        </is>
      </c>
      <c r="P473" s="95" t="inlineStr">
        <is>
          <t>일반</t>
        </is>
      </c>
      <c r="Q473" s="95" t="inlineStr">
        <is>
          <t>주식</t>
        </is>
      </c>
      <c r="R473" s="95" t="inlineStr">
        <is>
          <t>연배당</t>
        </is>
      </c>
      <c r="S473" s="96" t="n">
        <v>1</v>
      </c>
      <c r="T473">
        <f>IF(AND($J473&lt;&gt;"",OR(조회_주기="전체",$R473=조회_주기),$J473&gt;=조회_최소,$J473&lt;=조회_최대),1,0)</f>
        <v/>
      </c>
      <c r="U473">
        <f>IF($T473=1,$U472+1,$U472)</f>
        <v/>
      </c>
      <c r="V473">
        <f>IF(검색어="",1,IF(ISNUMBER(SEARCH(검색어,$A473)),1,0))</f>
        <v/>
      </c>
      <c r="W473">
        <f>IF($V473=1,$W472+1,$W472)</f>
        <v/>
      </c>
      <c r="X473">
        <f>IFERROR(INDEX($A$4:$A$517,MATCH(470,$W$4:$W$517,0)),"")</f>
        <v/>
      </c>
    </row>
    <row r="474">
      <c r="A474" s="95" t="inlineStr">
        <is>
          <t>TIGER K방산&amp;우주</t>
        </is>
      </c>
      <c r="B474" s="95" t="inlineStr">
        <is>
          <t>463250</t>
        </is>
      </c>
      <c r="C474" s="95" t="inlineStr">
        <is>
          <t>미래에셋자산운용</t>
        </is>
      </c>
      <c r="D474" s="96" t="n">
        <v>34080</v>
      </c>
      <c r="E474" s="96" t="n">
        <v>511200000000</v>
      </c>
      <c r="F474" s="96" t="n">
        <v>22506814055</v>
      </c>
      <c r="G474" s="97" t="n">
        <v>0.004500000000000001</v>
      </c>
      <c r="H474" s="97" t="n">
        <v>0.6244</v>
      </c>
      <c r="I474" s="97" t="n">
        <v>0.0011</v>
      </c>
      <c r="J474" s="97" t="n">
        <v>0.001614</v>
      </c>
      <c r="K474" s="96" t="n">
        <v>3</v>
      </c>
      <c r="L474" s="95" t="inlineStr">
        <is>
          <t>20260429</t>
        </is>
      </c>
      <c r="M474" s="95" t="inlineStr">
        <is>
          <t>제외</t>
        </is>
      </c>
      <c r="N474" s="95" t="inlineStr">
        <is>
          <t>변동성 62.4%(1년 기준, 기준 35% 초과)</t>
        </is>
      </c>
      <c r="O474" s="95" t="inlineStr">
        <is>
          <t>iSelect K방산&amp;우주 지수</t>
        </is>
      </c>
      <c r="P474" s="95" t="inlineStr">
        <is>
          <t>일반</t>
        </is>
      </c>
      <c r="Q474" s="95" t="inlineStr">
        <is>
          <t>주식</t>
        </is>
      </c>
      <c r="R474" s="95" t="inlineStr">
        <is>
          <t>연배당</t>
        </is>
      </c>
      <c r="S474" s="96" t="n">
        <v>1</v>
      </c>
      <c r="T474">
        <f>IF(AND($J474&lt;&gt;"",OR(조회_주기="전체",$R474=조회_주기),$J474&gt;=조회_최소,$J474&lt;=조회_최대),1,0)</f>
        <v/>
      </c>
      <c r="U474">
        <f>IF($T474=1,$U473+1,$U473)</f>
        <v/>
      </c>
      <c r="V474">
        <f>IF(검색어="",1,IF(ISNUMBER(SEARCH(검색어,$A474)),1,0))</f>
        <v/>
      </c>
      <c r="W474">
        <f>IF($V474=1,$W473+1,$W473)</f>
        <v/>
      </c>
      <c r="X474">
        <f>IFERROR(INDEX($A$4:$A$517,MATCH(471,$W$4:$W$517,0)),"")</f>
        <v/>
      </c>
    </row>
    <row r="475">
      <c r="A475" s="95" t="inlineStr">
        <is>
          <t>TIGER 200IT레버리지</t>
        </is>
      </c>
      <c r="B475" s="95" t="inlineStr">
        <is>
          <t>243880</t>
        </is>
      </c>
      <c r="C475" s="95" t="inlineStr">
        <is>
          <t>미래에셋자산운용</t>
        </is>
      </c>
      <c r="D475" s="96" t="n">
        <v>302875</v>
      </c>
      <c r="E475" s="96" t="n">
        <v>393737500000</v>
      </c>
      <c r="F475" s="96" t="n">
        <v>69407746432</v>
      </c>
      <c r="G475" s="97" t="n">
        <v>0.0069</v>
      </c>
      <c r="H475" s="97" t="n">
        <v>1.4215</v>
      </c>
      <c r="I475" s="97" t="n">
        <v>0.0051</v>
      </c>
      <c r="J475" s="97" t="n">
        <v>0.001496</v>
      </c>
      <c r="K475" s="96" t="n">
        <v>1</v>
      </c>
      <c r="L475" s="95" t="inlineStr">
        <is>
          <t>20251229</t>
        </is>
      </c>
      <c r="M475" s="95" t="inlineStr">
        <is>
          <t>제외</t>
        </is>
      </c>
      <c r="N475" s="95" t="inlineStr">
        <is>
          <t>변동성 142.1%(1년 기준, 기준 35% 초과)</t>
        </is>
      </c>
      <c r="O475" s="95" t="inlineStr">
        <is>
          <t>K200정보기술</t>
        </is>
      </c>
      <c r="P475" s="95" t="inlineStr">
        <is>
          <t>일반</t>
        </is>
      </c>
      <c r="Q475" s="95" t="inlineStr">
        <is>
          <t>주식</t>
        </is>
      </c>
      <c r="R475" s="95" t="inlineStr">
        <is>
          <t>연배당</t>
        </is>
      </c>
      <c r="S475" s="96" t="n">
        <v>1</v>
      </c>
      <c r="T475">
        <f>IF(AND($J475&lt;&gt;"",OR(조회_주기="전체",$R475=조회_주기),$J475&gt;=조회_최소,$J475&lt;=조회_최대),1,0)</f>
        <v/>
      </c>
      <c r="U475">
        <f>IF($T475=1,$U474+1,$U474)</f>
        <v/>
      </c>
      <c r="V475">
        <f>IF(검색어="",1,IF(ISNUMBER(SEARCH(검색어,$A475)),1,0))</f>
        <v/>
      </c>
      <c r="W475">
        <f>IF($V475=1,$W474+1,$W474)</f>
        <v/>
      </c>
      <c r="X475">
        <f>IFERROR(INDEX($A$4:$A$517,MATCH(472,$W$4:$W$517,0)),"")</f>
        <v/>
      </c>
    </row>
    <row r="476">
      <c r="A476" s="95" t="inlineStr">
        <is>
          <t>TIGER 차이나과창판STAR50(합성)</t>
        </is>
      </c>
      <c r="B476" s="95" t="inlineStr">
        <is>
          <t>414780</t>
        </is>
      </c>
      <c r="C476" s="95" t="inlineStr">
        <is>
          <t>미래에셋자산운용</t>
        </is>
      </c>
      <c r="D476" s="96" t="n">
        <v>13615</v>
      </c>
      <c r="E476" s="96" t="n">
        <v>186525500000</v>
      </c>
      <c r="F476" s="96" t="n">
        <v>5058250282</v>
      </c>
      <c r="G476" s="97" t="n">
        <v>0.0009</v>
      </c>
      <c r="H476" s="97" t="n">
        <v>0.4528</v>
      </c>
      <c r="I476" s="97" t="n">
        <v>0.0018</v>
      </c>
      <c r="J476" s="97" t="n">
        <v>0.001469</v>
      </c>
      <c r="K476" s="96" t="n">
        <v>1</v>
      </c>
      <c r="L476" s="95" t="inlineStr">
        <is>
          <t>20251229</t>
        </is>
      </c>
      <c r="M476" s="95" t="inlineStr">
        <is>
          <t>제외</t>
        </is>
      </c>
      <c r="N476" s="95" t="inlineStr">
        <is>
          <t>변동성 45.3%(1년 기준, 기준 35% 초과)</t>
        </is>
      </c>
      <c r="O476" s="95" t="inlineStr">
        <is>
          <t>STAR50 Index</t>
        </is>
      </c>
      <c r="P476" s="95" t="inlineStr">
        <is>
          <t>일반</t>
        </is>
      </c>
      <c r="Q476" s="95" t="inlineStr">
        <is>
          <t>주식</t>
        </is>
      </c>
      <c r="R476" s="95" t="inlineStr">
        <is>
          <t>연배당</t>
        </is>
      </c>
      <c r="S476" s="96" t="n">
        <v>1</v>
      </c>
      <c r="T476">
        <f>IF(AND($J476&lt;&gt;"",OR(조회_주기="전체",$R476=조회_주기),$J476&gt;=조회_최소,$J476&lt;=조회_최대),1,0)</f>
        <v/>
      </c>
      <c r="U476">
        <f>IF($T476=1,$U475+1,$U475)</f>
        <v/>
      </c>
      <c r="V476">
        <f>IF(검색어="",1,IF(ISNUMBER(SEARCH(검색어,$A476)),1,0))</f>
        <v/>
      </c>
      <c r="W476">
        <f>IF($V476=1,$W475+1,$W475)</f>
        <v/>
      </c>
      <c r="X476">
        <f>IFERROR(INDEX($A$4:$A$517,MATCH(473,$W$4:$W$517,0)),"")</f>
        <v/>
      </c>
    </row>
    <row r="477">
      <c r="A477" s="95" t="inlineStr">
        <is>
          <t>PLUS K방산</t>
        </is>
      </c>
      <c r="B477" s="95" t="inlineStr">
        <is>
          <t>449450</t>
        </is>
      </c>
      <c r="C477" s="95" t="inlineStr">
        <is>
          <t>한화자산운용</t>
        </is>
      </c>
      <c r="D477" s="96" t="n">
        <v>52430</v>
      </c>
      <c r="E477" s="96" t="n">
        <v>1016617700000</v>
      </c>
      <c r="F477" s="96" t="n">
        <v>23796779783</v>
      </c>
      <c r="G477" s="97" t="n">
        <v>0.004500000000000001</v>
      </c>
      <c r="H477" s="97" t="n">
        <v>0.5997</v>
      </c>
      <c r="I477" s="97" t="n">
        <v>0.001</v>
      </c>
      <c r="J477" s="97" t="n">
        <v>0.00143</v>
      </c>
      <c r="K477" s="96" t="n">
        <v>3</v>
      </c>
      <c r="L477" s="95" t="inlineStr">
        <is>
          <t>20260429</t>
        </is>
      </c>
      <c r="M477" s="95" t="inlineStr">
        <is>
          <t>제외</t>
        </is>
      </c>
      <c r="N477" s="95" t="inlineStr">
        <is>
          <t>변동성 60.0%(1년 기준, 기준 35% 초과)</t>
        </is>
      </c>
      <c r="O477" s="95" t="inlineStr">
        <is>
          <t>FnGuide K-방위산업 지수</t>
        </is>
      </c>
      <c r="P477" s="95" t="inlineStr">
        <is>
          <t>일반</t>
        </is>
      </c>
      <c r="Q477" s="95" t="inlineStr">
        <is>
          <t>주식</t>
        </is>
      </c>
      <c r="R477" s="95" t="inlineStr">
        <is>
          <t>연배당</t>
        </is>
      </c>
      <c r="S477" s="96" t="n">
        <v>1</v>
      </c>
      <c r="T477">
        <f>IF(AND($J477&lt;&gt;"",OR(조회_주기="전체",$R477=조회_주기),$J477&gt;=조회_최소,$J477&lt;=조회_최대),1,0)</f>
        <v/>
      </c>
      <c r="U477">
        <f>IF($T477=1,$U476+1,$U476)</f>
        <v/>
      </c>
      <c r="V477">
        <f>IF(검색어="",1,IF(ISNUMBER(SEARCH(검색어,$A477)),1,0))</f>
        <v/>
      </c>
      <c r="W477">
        <f>IF($V477=1,$W476+1,$W476)</f>
        <v/>
      </c>
      <c r="X477">
        <f>IFERROR(INDEX($A$4:$A$517,MATCH(474,$W$4:$W$517,0)),"")</f>
        <v/>
      </c>
    </row>
    <row r="478">
      <c r="A478" s="95" t="inlineStr">
        <is>
          <t>HANARO Fn K-반도체</t>
        </is>
      </c>
      <c r="B478" s="95" t="inlineStr">
        <is>
          <t>395270</t>
        </is>
      </c>
      <c r="C478" s="95" t="inlineStr">
        <is>
          <t>NH-Amundi자산운용</t>
        </is>
      </c>
      <c r="D478" s="96" t="n">
        <v>54985</v>
      </c>
      <c r="E478" s="96" t="n">
        <v>3442061000000</v>
      </c>
      <c r="F478" s="96" t="n">
        <v>156119175504</v>
      </c>
      <c r="G478" s="97" t="n">
        <v>0.004500000000000001</v>
      </c>
      <c r="H478" s="97" t="n">
        <v>0.743</v>
      </c>
      <c r="I478" s="97" t="n">
        <v>0.0016</v>
      </c>
      <c r="J478" s="97" t="n">
        <v>0.001364</v>
      </c>
      <c r="K478" s="96" t="n">
        <v>9</v>
      </c>
      <c r="L478" s="95" t="inlineStr">
        <is>
          <t>20260429</t>
        </is>
      </c>
      <c r="M478" s="95" t="inlineStr">
        <is>
          <t>제외</t>
        </is>
      </c>
      <c r="N478" s="95" t="inlineStr">
        <is>
          <t>변동성 74.3%(1년 기준, 기준 35% 초과)</t>
        </is>
      </c>
      <c r="O478" s="95" t="inlineStr">
        <is>
          <t>FnGuide K-반도체 지수</t>
        </is>
      </c>
      <c r="P478" s="95" t="inlineStr">
        <is>
          <t>일반</t>
        </is>
      </c>
      <c r="Q478" s="95" t="inlineStr">
        <is>
          <t>주식</t>
        </is>
      </c>
      <c r="R478" s="95" t="inlineStr">
        <is>
          <t>연배당</t>
        </is>
      </c>
      <c r="S478" s="96" t="n">
        <v>1</v>
      </c>
      <c r="T478">
        <f>IF(AND($J478&lt;&gt;"",OR(조회_주기="전체",$R478=조회_주기),$J478&gt;=조회_최소,$J478&lt;=조회_최대),1,0)</f>
        <v/>
      </c>
      <c r="U478">
        <f>IF($T478=1,$U477+1,$U477)</f>
        <v/>
      </c>
      <c r="V478">
        <f>IF(검색어="",1,IF(ISNUMBER(SEARCH(검색어,$A478)),1,0))</f>
        <v/>
      </c>
      <c r="W478">
        <f>IF($V478=1,$W477+1,$W477)</f>
        <v/>
      </c>
      <c r="X478">
        <f>IFERROR(INDEX($A$4:$A$517,MATCH(475,$W$4:$W$517,0)),"")</f>
        <v/>
      </c>
    </row>
    <row r="479">
      <c r="A479" s="95" t="inlineStr">
        <is>
          <t>MIDAS 코스피액티브</t>
        </is>
      </c>
      <c r="B479" s="95" t="inlineStr">
        <is>
          <t>403790</t>
        </is>
      </c>
      <c r="C479" s="95" t="inlineStr">
        <is>
          <t>마이다스에셋자산운용</t>
        </is>
      </c>
      <c r="D479" s="96" t="n">
        <v>56425</v>
      </c>
      <c r="E479" s="96" t="n">
        <v>165043125000</v>
      </c>
      <c r="F479" s="96" t="n">
        <v>412668255</v>
      </c>
      <c r="G479" s="97" t="n">
        <v>0.0029</v>
      </c>
      <c r="H479" s="97" t="n">
        <v>0.5236999999999999</v>
      </c>
      <c r="I479" s="97" t="n">
        <v>0.0021</v>
      </c>
      <c r="J479" s="97" t="n">
        <v>0.001276</v>
      </c>
      <c r="K479" s="96" t="n">
        <v>1</v>
      </c>
      <c r="L479" s="95" t="inlineStr">
        <is>
          <t>20251229</t>
        </is>
      </c>
      <c r="M479" s="95" t="inlineStr">
        <is>
          <t>제외</t>
        </is>
      </c>
      <c r="N479" s="95" t="inlineStr">
        <is>
          <t>60일 거래대금 4.1억(기준 5억 미만), 변동성 52.4%(1년 기준, 기준 35% 초과)</t>
        </is>
      </c>
      <c r="O479" s="95" t="inlineStr">
        <is>
          <t>코스피</t>
        </is>
      </c>
      <c r="P479" s="95" t="inlineStr">
        <is>
          <t>일반</t>
        </is>
      </c>
      <c r="Q479" s="95" t="inlineStr">
        <is>
          <t>주식</t>
        </is>
      </c>
      <c r="R479" s="95" t="inlineStr">
        <is>
          <t>연배당</t>
        </is>
      </c>
      <c r="S479" s="96" t="n">
        <v>1</v>
      </c>
      <c r="T479">
        <f>IF(AND($J479&lt;&gt;"",OR(조회_주기="전체",$R479=조회_주기),$J479&gt;=조회_최소,$J479&lt;=조회_최대),1,0)</f>
        <v/>
      </c>
      <c r="U479">
        <f>IF($T479=1,$U478+1,$U478)</f>
        <v/>
      </c>
      <c r="V479">
        <f>IF(검색어="",1,IF(ISNUMBER(SEARCH(검색어,$A479)),1,0))</f>
        <v/>
      </c>
      <c r="W479">
        <f>IF($V479=1,$W478+1,$W478)</f>
        <v/>
      </c>
      <c r="X479">
        <f>IFERROR(INDEX($A$4:$A$517,MATCH(476,$W$4:$W$517,0)),"")</f>
        <v/>
      </c>
    </row>
    <row r="480">
      <c r="A480" s="95" t="inlineStr">
        <is>
          <t>HANARO 글로벌생성형AI액티브</t>
        </is>
      </c>
      <c r="B480" s="95" t="inlineStr">
        <is>
          <t>461340</t>
        </is>
      </c>
      <c r="C480" s="95" t="inlineStr">
        <is>
          <t>NH-Amundi자산운용</t>
        </is>
      </c>
      <c r="D480" s="96" t="n">
        <v>42240</v>
      </c>
      <c r="E480" s="96" t="n">
        <v>46464000000</v>
      </c>
      <c r="F480" s="96" t="n">
        <v>158681151</v>
      </c>
      <c r="G480" s="97" t="n">
        <v>0.006</v>
      </c>
      <c r="H480" s="97" t="n">
        <v>0.4043</v>
      </c>
      <c r="I480" s="97" t="n">
        <v>0.0004</v>
      </c>
      <c r="J480" s="97" t="n">
        <v>0.001255</v>
      </c>
      <c r="K480" s="96" t="n">
        <v>5</v>
      </c>
      <c r="L480" s="95" t="inlineStr">
        <is>
          <t>20260429</t>
        </is>
      </c>
      <c r="M480" s="95" t="inlineStr">
        <is>
          <t>제외</t>
        </is>
      </c>
      <c r="N480" s="95" t="inlineStr">
        <is>
          <t>60일 거래대금 1.6억(기준 5억 미만), 변동성 40.4%(1년 기준, 기준 35% 초과)</t>
        </is>
      </c>
      <c r="O480" s="95" t="inlineStr">
        <is>
          <t>Solactive United States Technology 100 Index</t>
        </is>
      </c>
      <c r="P480" s="95" t="inlineStr">
        <is>
          <t>일반</t>
        </is>
      </c>
      <c r="Q480" s="95" t="inlineStr">
        <is>
          <t>주식</t>
        </is>
      </c>
      <c r="R480" s="95" t="inlineStr">
        <is>
          <t>분기배당</t>
        </is>
      </c>
      <c r="S480" s="96" t="n">
        <v>3</v>
      </c>
      <c r="T480">
        <f>IF(AND($J480&lt;&gt;"",OR(조회_주기="전체",$R480=조회_주기),$J480&gt;=조회_최소,$J480&lt;=조회_최대),1,0)</f>
        <v/>
      </c>
      <c r="U480">
        <f>IF($T480=1,$U479+1,$U479)</f>
        <v/>
      </c>
      <c r="V480">
        <f>IF(검색어="",1,IF(ISNUMBER(SEARCH(검색어,$A480)),1,0))</f>
        <v/>
      </c>
      <c r="W480">
        <f>IF($V480=1,$W479+1,$W479)</f>
        <v/>
      </c>
      <c r="X480">
        <f>IFERROR(INDEX($A$4:$A$517,MATCH(477,$W$4:$W$517,0)),"")</f>
        <v/>
      </c>
    </row>
    <row r="481">
      <c r="A481" s="95" t="inlineStr">
        <is>
          <t>KODEX AI전력핵심설비</t>
        </is>
      </c>
      <c r="B481" s="95" t="inlineStr">
        <is>
          <t>487240</t>
        </is>
      </c>
      <c r="C481" s="95" t="inlineStr">
        <is>
          <t>삼성자산운용(ETF)</t>
        </is>
      </c>
      <c r="D481" s="96" t="n">
        <v>35700</v>
      </c>
      <c r="E481" s="96" t="n">
        <v>3123750000000</v>
      </c>
      <c r="F481" s="96" t="n">
        <v>134350184932</v>
      </c>
      <c r="G481" s="97" t="n">
        <v>0.0039</v>
      </c>
      <c r="H481" s="97" t="n">
        <v>0.7089</v>
      </c>
      <c r="I481" s="97" t="n">
        <v>0.0002</v>
      </c>
      <c r="J481" s="97" t="n">
        <v>0.001232</v>
      </c>
      <c r="K481" s="96" t="n">
        <v>3</v>
      </c>
      <c r="L481" s="95" t="inlineStr">
        <is>
          <t>20260730</t>
        </is>
      </c>
      <c r="M481" s="95" t="inlineStr">
        <is>
          <t>제외</t>
        </is>
      </c>
      <c r="N481" s="95" t="inlineStr">
        <is>
          <t>변동성 70.9%(1년 기준, 기준 35% 초과)</t>
        </is>
      </c>
      <c r="O481" s="95" t="inlineStr">
        <is>
          <t>iSelect AI전력핵심설비 지수</t>
        </is>
      </c>
      <c r="P481" s="95" t="inlineStr">
        <is>
          <t>일반</t>
        </is>
      </c>
      <c r="Q481" s="95" t="inlineStr">
        <is>
          <t>주식</t>
        </is>
      </c>
      <c r="R481" s="95" t="inlineStr">
        <is>
          <t>연배당</t>
        </is>
      </c>
      <c r="S481" s="96" t="n">
        <v>2</v>
      </c>
      <c r="T481">
        <f>IF(AND($J481&lt;&gt;"",OR(조회_주기="전체",$R481=조회_주기),$J481&gt;=조회_최소,$J481&lt;=조회_최대),1,0)</f>
        <v/>
      </c>
      <c r="U481">
        <f>IF($T481=1,$U480+1,$U480)</f>
        <v/>
      </c>
      <c r="V481">
        <f>IF(검색어="",1,IF(ISNUMBER(SEARCH(검색어,$A481)),1,0))</f>
        <v/>
      </c>
      <c r="W481">
        <f>IF($V481=1,$W480+1,$W480)</f>
        <v/>
      </c>
      <c r="X481">
        <f>IFERROR(INDEX($A$4:$A$517,MATCH(478,$W$4:$W$517,0)),"")</f>
        <v/>
      </c>
    </row>
    <row r="482">
      <c r="A482" s="95" t="inlineStr">
        <is>
          <t>KODEX 2차전지산업</t>
        </is>
      </c>
      <c r="B482" s="95" t="inlineStr">
        <is>
          <t>305720</t>
        </is>
      </c>
      <c r="C482" s="95" t="inlineStr">
        <is>
          <t>삼성자산운용(ETF)</t>
        </is>
      </c>
      <c r="D482" s="96" t="n">
        <v>14625</v>
      </c>
      <c r="E482" s="96" t="n">
        <v>1730137500000</v>
      </c>
      <c r="F482" s="96" t="n">
        <v>56391669091</v>
      </c>
      <c r="G482" s="97" t="n">
        <v>0.004500000000000001</v>
      </c>
      <c r="H482" s="97" t="n">
        <v>0.6062</v>
      </c>
      <c r="I482" s="97" t="n">
        <v>0.0008</v>
      </c>
      <c r="J482" s="97" t="n">
        <v>0.001231</v>
      </c>
      <c r="K482" s="96" t="n">
        <v>5</v>
      </c>
      <c r="L482" s="95" t="inlineStr">
        <is>
          <t>20260429</t>
        </is>
      </c>
      <c r="M482" s="95" t="inlineStr">
        <is>
          <t>제외</t>
        </is>
      </c>
      <c r="N482" s="95" t="inlineStr">
        <is>
          <t>변동성 60.6%(1년 기준, 기준 35% 초과)</t>
        </is>
      </c>
      <c r="O482" s="95" t="inlineStr">
        <is>
          <t>FnGuide 2차전지 산업 지수</t>
        </is>
      </c>
      <c r="P482" s="95" t="inlineStr">
        <is>
          <t>일반</t>
        </is>
      </c>
      <c r="Q482" s="95" t="inlineStr">
        <is>
          <t>주식</t>
        </is>
      </c>
      <c r="R482" s="95" t="inlineStr">
        <is>
          <t>연배당</t>
        </is>
      </c>
      <c r="S482" s="96" t="n">
        <v>1</v>
      </c>
      <c r="T482">
        <f>IF(AND($J482&lt;&gt;"",OR(조회_주기="전체",$R482=조회_주기),$J482&gt;=조회_최소,$J482&lt;=조회_최대),1,0)</f>
        <v/>
      </c>
      <c r="U482">
        <f>IF($T482=1,$U481+1,$U481)</f>
        <v/>
      </c>
      <c r="V482">
        <f>IF(검색어="",1,IF(ISNUMBER(SEARCH(검색어,$A482)),1,0))</f>
        <v/>
      </c>
      <c r="W482">
        <f>IF($V482=1,$W481+1,$W481)</f>
        <v/>
      </c>
      <c r="X482">
        <f>IFERROR(INDEX($A$4:$A$517,MATCH(479,$W$4:$W$517,0)),"")</f>
        <v/>
      </c>
    </row>
    <row r="483">
      <c r="A483" s="95" t="inlineStr">
        <is>
          <t>KODEX 200롱코스닥150숏선물</t>
        </is>
      </c>
      <c r="B483" s="95" t="inlineStr">
        <is>
          <t>360140</t>
        </is>
      </c>
      <c r="C483" s="95" t="inlineStr">
        <is>
          <t>삼성자산운용(ETF)</t>
        </is>
      </c>
      <c r="D483" s="96" t="n">
        <v>22385</v>
      </c>
      <c r="E483" s="96" t="n">
        <v>49247000000</v>
      </c>
      <c r="F483" s="96" t="n">
        <v>2759788205</v>
      </c>
      <c r="G483" s="97" t="n">
        <v>0.0064</v>
      </c>
      <c r="H483" s="97" t="n">
        <v>0.4855</v>
      </c>
      <c r="I483" s="97" t="n">
        <v>0.0022</v>
      </c>
      <c r="J483" s="97" t="n">
        <v>0.001206</v>
      </c>
      <c r="K483" s="96" t="n">
        <v>1</v>
      </c>
      <c r="L483" s="95" t="inlineStr">
        <is>
          <t>20251229</t>
        </is>
      </c>
      <c r="M483" s="95" t="inlineStr">
        <is>
          <t>제외</t>
        </is>
      </c>
      <c r="N483" s="95" t="inlineStr">
        <is>
          <t>변동성 48.6%(1년 기준, 기준 35% 초과)</t>
        </is>
      </c>
      <c r="O483" s="95" t="inlineStr">
        <is>
          <t>코스피200 롱 코스닥150 숏 선물지수</t>
        </is>
      </c>
      <c r="P483" s="95" t="inlineStr">
        <is>
          <t>일반</t>
        </is>
      </c>
      <c r="Q483" s="95" t="inlineStr">
        <is>
          <t>주식</t>
        </is>
      </c>
      <c r="R483" s="95" t="inlineStr">
        <is>
          <t>연배당</t>
        </is>
      </c>
      <c r="S483" s="96" t="n">
        <v>1</v>
      </c>
      <c r="T483">
        <f>IF(AND($J483&lt;&gt;"",OR(조회_주기="전체",$R483=조회_주기),$J483&gt;=조회_최소,$J483&lt;=조회_최대),1,0)</f>
        <v/>
      </c>
      <c r="U483">
        <f>IF($T483=1,$U482+1,$U482)</f>
        <v/>
      </c>
      <c r="V483">
        <f>IF(검색어="",1,IF(ISNUMBER(SEARCH(검색어,$A483)),1,0))</f>
        <v/>
      </c>
      <c r="W483">
        <f>IF($V483=1,$W482+1,$W482)</f>
        <v/>
      </c>
      <c r="X483">
        <f>IFERROR(INDEX($A$4:$A$517,MATCH(480,$W$4:$W$517,0)),"")</f>
        <v/>
      </c>
    </row>
    <row r="484">
      <c r="A484" s="95" t="inlineStr">
        <is>
          <t>KODEX AI반도체핵심장비</t>
        </is>
      </c>
      <c r="B484" s="95" t="inlineStr">
        <is>
          <t>471990</t>
        </is>
      </c>
      <c r="C484" s="95" t="inlineStr">
        <is>
          <t>삼성자산운용(ETF)</t>
        </is>
      </c>
      <c r="D484" s="96" t="n">
        <v>24920</v>
      </c>
      <c r="E484" s="96" t="n">
        <v>412426000000</v>
      </c>
      <c r="F484" s="96" t="n">
        <v>45856777015</v>
      </c>
      <c r="G484" s="97" t="n">
        <v>0.0039</v>
      </c>
      <c r="H484" s="97" t="n">
        <v>0.736</v>
      </c>
      <c r="I484" s="97" t="n">
        <v>0.0003</v>
      </c>
      <c r="J484" s="97" t="n">
        <v>0.001164</v>
      </c>
      <c r="K484" s="96" t="n">
        <v>4</v>
      </c>
      <c r="L484" s="95" t="inlineStr">
        <is>
          <t>20260730</t>
        </is>
      </c>
      <c r="M484" s="95" t="inlineStr">
        <is>
          <t>제외</t>
        </is>
      </c>
      <c r="N484" s="95" t="inlineStr">
        <is>
          <t>변동성 73.6%(1년 기준, 기준 35% 초과)</t>
        </is>
      </c>
      <c r="O484" s="95" t="inlineStr">
        <is>
          <t>iSelect AI반도체핵심장비 지수</t>
        </is>
      </c>
      <c r="P484" s="95" t="inlineStr">
        <is>
          <t>일반</t>
        </is>
      </c>
      <c r="Q484" s="95" t="inlineStr">
        <is>
          <t>주식</t>
        </is>
      </c>
      <c r="R484" s="95" t="inlineStr">
        <is>
          <t>연배당</t>
        </is>
      </c>
      <c r="S484" s="96" t="n">
        <v>2</v>
      </c>
      <c r="T484">
        <f>IF(AND($J484&lt;&gt;"",OR(조회_주기="전체",$R484=조회_주기),$J484&gt;=조회_최소,$J484&lt;=조회_최대),1,0)</f>
        <v/>
      </c>
      <c r="U484">
        <f>IF($T484=1,$U483+1,$U483)</f>
        <v/>
      </c>
      <c r="V484">
        <f>IF(검색어="",1,IF(ISNUMBER(SEARCH(검색어,$A484)),1,0))</f>
        <v/>
      </c>
      <c r="W484">
        <f>IF($V484=1,$W483+1,$W483)</f>
        <v/>
      </c>
      <c r="X484">
        <f>IFERROR(INDEX($A$4:$A$517,MATCH(481,$W$4:$W$517,0)),"")</f>
        <v/>
      </c>
    </row>
    <row r="485">
      <c r="A485" s="95" t="inlineStr">
        <is>
          <t>SOL 미국양자컴퓨팅TOP10</t>
        </is>
      </c>
      <c r="B485" s="95" t="inlineStr">
        <is>
          <t>0023A0</t>
        </is>
      </c>
      <c r="C485" s="95" t="inlineStr">
        <is>
          <t>신한자산운용</t>
        </is>
      </c>
      <c r="D485" s="96" t="n">
        <v>23430</v>
      </c>
      <c r="E485" s="96" t="n">
        <v>407682000000</v>
      </c>
      <c r="F485" s="96" t="n">
        <v>4812844832</v>
      </c>
      <c r="G485" s="97" t="n">
        <v>0.004500000000000001</v>
      </c>
      <c r="H485" s="97" t="n">
        <v>0.6296</v>
      </c>
      <c r="I485" s="97" t="n">
        <v>0.0002</v>
      </c>
      <c r="J485" s="97" t="n">
        <v>0.001067</v>
      </c>
      <c r="K485" s="96" t="n">
        <v>2</v>
      </c>
      <c r="L485" s="95" t="inlineStr">
        <is>
          <t>20260429</t>
        </is>
      </c>
      <c r="M485" s="95" t="inlineStr">
        <is>
          <t>제외</t>
        </is>
      </c>
      <c r="N485" s="95" t="inlineStr">
        <is>
          <t>변동성 63.0%(1년 기준, 기준 35% 초과)</t>
        </is>
      </c>
      <c r="O485" s="95" t="inlineStr">
        <is>
          <t>KEDI U.S. Quantum Computing TOP10 Index PR</t>
        </is>
      </c>
      <c r="P485" s="95" t="inlineStr">
        <is>
          <t>일반</t>
        </is>
      </c>
      <c r="Q485" s="95" t="inlineStr">
        <is>
          <t>주식</t>
        </is>
      </c>
      <c r="R485" s="95" t="inlineStr">
        <is>
          <t>연배당</t>
        </is>
      </c>
      <c r="S485" s="96" t="n">
        <v>2</v>
      </c>
      <c r="T485">
        <f>IF(AND($J485&lt;&gt;"",OR(조회_주기="전체",$R485=조회_주기),$J485&gt;=조회_최소,$J485&lt;=조회_최대),1,0)</f>
        <v/>
      </c>
      <c r="U485">
        <f>IF($T485=1,$U484+1,$U484)</f>
        <v/>
      </c>
      <c r="V485">
        <f>IF(검색어="",1,IF(ISNUMBER(SEARCH(검색어,$A485)),1,0))</f>
        <v/>
      </c>
      <c r="W485">
        <f>IF($V485=1,$W484+1,$W484)</f>
        <v/>
      </c>
      <c r="X485">
        <f>IFERROR(INDEX($A$4:$A$517,MATCH(482,$W$4:$W$517,0)),"")</f>
        <v/>
      </c>
    </row>
    <row r="486">
      <c r="A486" s="95" t="inlineStr">
        <is>
          <t>PLUS 글로벌HBM반도체</t>
        </is>
      </c>
      <c r="B486" s="95" t="inlineStr">
        <is>
          <t>442580</t>
        </is>
      </c>
      <c r="C486" s="95" t="inlineStr">
        <is>
          <t>한화자산운용</t>
        </is>
      </c>
      <c r="D486" s="96" t="n">
        <v>97055</v>
      </c>
      <c r="E486" s="96" t="n">
        <v>1637317850000</v>
      </c>
      <c r="F486" s="96" t="n">
        <v>114055683811</v>
      </c>
      <c r="G486" s="97" t="n">
        <v>0.005</v>
      </c>
      <c r="H486" s="97" t="n">
        <v>0.6253</v>
      </c>
      <c r="I486" s="97" t="n">
        <v>0.0013</v>
      </c>
      <c r="J486" s="97" t="n">
        <v>0.00103</v>
      </c>
      <c r="K486" s="96" t="n">
        <v>3</v>
      </c>
      <c r="L486" s="95" t="inlineStr">
        <is>
          <t>20260429</t>
        </is>
      </c>
      <c r="M486" s="95" t="inlineStr">
        <is>
          <t>제외</t>
        </is>
      </c>
      <c r="N486" s="95" t="inlineStr">
        <is>
          <t>변동성 62.5%(1년 기준, 기준 35% 초과)</t>
        </is>
      </c>
      <c r="O486" s="95" t="inlineStr">
        <is>
          <t>iSelect Global HBM Semiconductor Index</t>
        </is>
      </c>
      <c r="P486" s="95" t="inlineStr">
        <is>
          <t>일반</t>
        </is>
      </c>
      <c r="Q486" s="95" t="inlineStr">
        <is>
          <t>주식</t>
        </is>
      </c>
      <c r="R486" s="95" t="inlineStr">
        <is>
          <t>연배당</t>
        </is>
      </c>
      <c r="S486" s="96" t="n">
        <v>1</v>
      </c>
      <c r="T486">
        <f>IF(AND($J486&lt;&gt;"",OR(조회_주기="전체",$R486=조회_주기),$J486&gt;=조회_최소,$J486&lt;=조회_최대),1,0)</f>
        <v/>
      </c>
      <c r="U486">
        <f>IF($T486=1,$U485+1,$U485)</f>
        <v/>
      </c>
      <c r="V486">
        <f>IF(검색어="",1,IF(ISNUMBER(SEARCH(검색어,$A486)),1,0))</f>
        <v/>
      </c>
      <c r="W486">
        <f>IF($V486=1,$W485+1,$W485)</f>
        <v/>
      </c>
      <c r="X486">
        <f>IFERROR(INDEX($A$4:$A$517,MATCH(483,$W$4:$W$517,0)),"")</f>
        <v/>
      </c>
    </row>
    <row r="487">
      <c r="A487" s="95" t="inlineStr">
        <is>
          <t>RISE 네트워크인프라</t>
        </is>
      </c>
      <c r="B487" s="95" t="inlineStr">
        <is>
          <t>367760</t>
        </is>
      </c>
      <c r="C487" s="95" t="inlineStr">
        <is>
          <t>KB자산운용</t>
        </is>
      </c>
      <c r="D487" s="96" t="n">
        <v>56505</v>
      </c>
      <c r="E487" s="96" t="n">
        <v>655458000000</v>
      </c>
      <c r="F487" s="96" t="n">
        <v>26946360432</v>
      </c>
      <c r="G487" s="97" t="n">
        <v>0.004500000000000001</v>
      </c>
      <c r="H487" s="97" t="n">
        <v>0.7071999999999999</v>
      </c>
      <c r="I487" s="97" t="n">
        <v>0.0011</v>
      </c>
      <c r="J487" s="97" t="n">
        <v>0.0009909999999999999</v>
      </c>
      <c r="K487" s="96" t="n">
        <v>5</v>
      </c>
      <c r="L487" s="95" t="inlineStr">
        <is>
          <t>20260429</t>
        </is>
      </c>
      <c r="M487" s="95" t="inlineStr">
        <is>
          <t>제외</t>
        </is>
      </c>
      <c r="N487" s="95" t="inlineStr">
        <is>
          <t>변동성 70.7%(1년 기준, 기준 35% 초과)</t>
        </is>
      </c>
      <c r="O487" s="95" t="inlineStr">
        <is>
          <t>FnGuide 네트워크 인프라 지수</t>
        </is>
      </c>
      <c r="P487" s="95" t="inlineStr">
        <is>
          <t>일반</t>
        </is>
      </c>
      <c r="Q487" s="95" t="inlineStr">
        <is>
          <t>주식</t>
        </is>
      </c>
      <c r="R487" s="95" t="inlineStr">
        <is>
          <t>연배당</t>
        </is>
      </c>
      <c r="S487" s="96" t="n">
        <v>1</v>
      </c>
      <c r="T487">
        <f>IF(AND($J487&lt;&gt;"",OR(조회_주기="전체",$R487=조회_주기),$J487&gt;=조회_최소,$J487&lt;=조회_최대),1,0)</f>
        <v/>
      </c>
      <c r="U487">
        <f>IF($T487=1,$U486+1,$U486)</f>
        <v/>
      </c>
      <c r="V487">
        <f>IF(검색어="",1,IF(ISNUMBER(SEARCH(검색어,$A487)),1,0))</f>
        <v/>
      </c>
      <c r="W487">
        <f>IF($V487=1,$W486+1,$W486)</f>
        <v/>
      </c>
      <c r="X487">
        <f>IFERROR(INDEX($A$4:$A$517,MATCH(484,$W$4:$W$517,0)),"")</f>
        <v/>
      </c>
    </row>
    <row r="488">
      <c r="A488" s="95" t="inlineStr">
        <is>
          <t>RISE 2차전지TOP10</t>
        </is>
      </c>
      <c r="B488" s="95" t="inlineStr">
        <is>
          <t>465330</t>
        </is>
      </c>
      <c r="C488" s="95" t="inlineStr">
        <is>
          <t>KB자산운용</t>
        </is>
      </c>
      <c r="D488" s="96" t="n">
        <v>11285</v>
      </c>
      <c r="E488" s="96" t="n">
        <v>69402750000</v>
      </c>
      <c r="F488" s="96" t="n">
        <v>3047965138</v>
      </c>
      <c r="G488" s="97" t="n">
        <v>0.0007000000000000001</v>
      </c>
      <c r="H488" s="97" t="n">
        <v>0.6128</v>
      </c>
      <c r="I488" s="97" t="n">
        <v>0.0007000000000000001</v>
      </c>
      <c r="J488" s="97" t="n">
        <v>0.0009750000000000001</v>
      </c>
      <c r="K488" s="96" t="n">
        <v>2</v>
      </c>
      <c r="L488" s="95" t="inlineStr">
        <is>
          <t>20260429</t>
        </is>
      </c>
      <c r="M488" s="95" t="inlineStr">
        <is>
          <t>제외</t>
        </is>
      </c>
      <c r="N488" s="95" t="inlineStr">
        <is>
          <t>변동성 61.3%(1년 기준, 기준 35% 초과)</t>
        </is>
      </c>
      <c r="O488" s="95" t="inlineStr">
        <is>
          <t>iSelect 2차전지 Top10 지수</t>
        </is>
      </c>
      <c r="P488" s="95" t="inlineStr">
        <is>
          <t>일반</t>
        </is>
      </c>
      <c r="Q488" s="95" t="inlineStr">
        <is>
          <t>주식</t>
        </is>
      </c>
      <c r="R488" s="95" t="inlineStr">
        <is>
          <t>연배당</t>
        </is>
      </c>
      <c r="S488" s="96" t="n">
        <v>1</v>
      </c>
      <c r="T488">
        <f>IF(AND($J488&lt;&gt;"",OR(조회_주기="전체",$R488=조회_주기),$J488&gt;=조회_최소,$J488&lt;=조회_최대),1,0)</f>
        <v/>
      </c>
      <c r="U488">
        <f>IF($T488=1,$U487+1,$U487)</f>
        <v/>
      </c>
      <c r="V488">
        <f>IF(검색어="",1,IF(ISNUMBER(SEARCH(검색어,$A488)),1,0))</f>
        <v/>
      </c>
      <c r="W488">
        <f>IF($V488=1,$W487+1,$W487)</f>
        <v/>
      </c>
      <c r="X488">
        <f>IFERROR(INDEX($A$4:$A$517,MATCH(485,$W$4:$W$517,0)),"")</f>
        <v/>
      </c>
    </row>
    <row r="489">
      <c r="A489" s="95" t="inlineStr">
        <is>
          <t>TIGER 글로벌리튬&amp;2차전지SOLACTIVE(합성)</t>
        </is>
      </c>
      <c r="B489" s="95" t="inlineStr">
        <is>
          <t>394670</t>
        </is>
      </c>
      <c r="C489" s="95" t="inlineStr">
        <is>
          <t>미래에셋자산운용</t>
        </is>
      </c>
      <c r="D489" s="96" t="n">
        <v>10565</v>
      </c>
      <c r="E489" s="96" t="n">
        <v>154249000000</v>
      </c>
      <c r="F489" s="96" t="n">
        <v>438530673</v>
      </c>
      <c r="G489" s="97" t="n">
        <v>0.0049</v>
      </c>
      <c r="H489" s="97" t="n">
        <v>0.2984</v>
      </c>
      <c r="I489" s="97" t="n">
        <v>0.0009</v>
      </c>
      <c r="J489" s="97" t="n">
        <v>0.000947</v>
      </c>
      <c r="K489" s="96" t="n">
        <v>1</v>
      </c>
      <c r="L489" s="95" t="inlineStr">
        <is>
          <t>20251229</t>
        </is>
      </c>
      <c r="M489" s="95" t="inlineStr">
        <is>
          <t>제외</t>
        </is>
      </c>
      <c r="N489" s="95" t="inlineStr">
        <is>
          <t>60일 거래대금 4.4억(기준 5억 미만)</t>
        </is>
      </c>
      <c r="O489" s="95" t="inlineStr">
        <is>
          <t>Solactive Global Lithium Index PR</t>
        </is>
      </c>
      <c r="P489" s="95" t="inlineStr">
        <is>
          <t>일반</t>
        </is>
      </c>
      <c r="Q489" s="95" t="inlineStr">
        <is>
          <t>주식</t>
        </is>
      </c>
      <c r="R489" s="95" t="inlineStr">
        <is>
          <t>연배당</t>
        </is>
      </c>
      <c r="S489" s="96" t="n">
        <v>1</v>
      </c>
      <c r="T489">
        <f>IF(AND($J489&lt;&gt;"",OR(조회_주기="전체",$R489=조회_주기),$J489&gt;=조회_최소,$J489&lt;=조회_최대),1,0)</f>
        <v/>
      </c>
      <c r="U489">
        <f>IF($T489=1,$U488+1,$U488)</f>
        <v/>
      </c>
      <c r="V489">
        <f>IF(검색어="",1,IF(ISNUMBER(SEARCH(검색어,$A489)),1,0))</f>
        <v/>
      </c>
      <c r="W489">
        <f>IF($V489=1,$W488+1,$W488)</f>
        <v/>
      </c>
      <c r="X489">
        <f>IFERROR(INDEX($A$4:$A$517,MATCH(486,$W$4:$W$517,0)),"")</f>
        <v/>
      </c>
    </row>
    <row r="490">
      <c r="A490" s="95" t="inlineStr">
        <is>
          <t>RISE AI&amp;로봇</t>
        </is>
      </c>
      <c r="B490" s="95" t="inlineStr">
        <is>
          <t>469070</t>
        </is>
      </c>
      <c r="C490" s="95" t="inlineStr">
        <is>
          <t>KB자산운용</t>
        </is>
      </c>
      <c r="D490" s="96" t="n">
        <v>10810</v>
      </c>
      <c r="E490" s="96" t="n">
        <v>362675500000</v>
      </c>
      <c r="F490" s="96" t="n">
        <v>5078127233</v>
      </c>
      <c r="G490" s="97" t="n">
        <v>0.004</v>
      </c>
      <c r="H490" s="97" t="n">
        <v>0.6053000000000001</v>
      </c>
      <c r="I490" s="97" t="n">
        <v>0.0005999999999999999</v>
      </c>
      <c r="J490" s="97" t="n">
        <v>0.000925</v>
      </c>
      <c r="K490" s="96" t="n">
        <v>2</v>
      </c>
      <c r="L490" s="95" t="inlineStr">
        <is>
          <t>20260429</t>
        </is>
      </c>
      <c r="M490" s="95" t="inlineStr">
        <is>
          <t>제외</t>
        </is>
      </c>
      <c r="N490" s="95" t="inlineStr">
        <is>
          <t>변동성 60.5%(1년 기준, 기준 35% 초과)</t>
        </is>
      </c>
      <c r="O490" s="95" t="inlineStr">
        <is>
          <t>iSelect AI&amp;로봇 지수</t>
        </is>
      </c>
      <c r="P490" s="95" t="inlineStr">
        <is>
          <t>일반</t>
        </is>
      </c>
      <c r="Q490" s="95" t="inlineStr">
        <is>
          <t>주식</t>
        </is>
      </c>
      <c r="R490" s="95" t="inlineStr">
        <is>
          <t>연배당</t>
        </is>
      </c>
      <c r="S490" s="96" t="n">
        <v>1</v>
      </c>
      <c r="T490">
        <f>IF(AND($J490&lt;&gt;"",OR(조회_주기="전체",$R490=조회_주기),$J490&gt;=조회_최소,$J490&lt;=조회_최대),1,0)</f>
        <v/>
      </c>
      <c r="U490">
        <f>IF($T490=1,$U489+1,$U489)</f>
        <v/>
      </c>
      <c r="V490">
        <f>IF(검색어="",1,IF(ISNUMBER(SEARCH(검색어,$A490)),1,0))</f>
        <v/>
      </c>
      <c r="W490">
        <f>IF($V490=1,$W489+1,$W489)</f>
        <v/>
      </c>
      <c r="X490">
        <f>IFERROR(INDEX($A$4:$A$517,MATCH(487,$W$4:$W$517,0)),"")</f>
        <v/>
      </c>
    </row>
    <row r="491">
      <c r="A491" s="95" t="inlineStr">
        <is>
          <t>KODEX AI반도체TOP2플러스</t>
        </is>
      </c>
      <c r="B491" s="95" t="inlineStr">
        <is>
          <t>395160</t>
        </is>
      </c>
      <c r="C491" s="95" t="inlineStr">
        <is>
          <t>삼성자산운용(ETF)</t>
        </is>
      </c>
      <c r="D491" s="96" t="n">
        <v>38485</v>
      </c>
      <c r="E491" s="96" t="n">
        <v>3856197000000</v>
      </c>
      <c r="F491" s="96" t="n">
        <v>292887256385</v>
      </c>
      <c r="G491" s="97" t="n">
        <v>0.004500000000000001</v>
      </c>
      <c r="H491" s="97" t="n">
        <v>0.755</v>
      </c>
      <c r="I491" s="97" t="n">
        <v>0.001</v>
      </c>
      <c r="J491" s="97" t="n">
        <v>0.000909</v>
      </c>
      <c r="K491" s="96" t="n">
        <v>5</v>
      </c>
      <c r="L491" s="95" t="inlineStr">
        <is>
          <t>20260429</t>
        </is>
      </c>
      <c r="M491" s="95" t="inlineStr">
        <is>
          <t>제외</t>
        </is>
      </c>
      <c r="N491" s="95" t="inlineStr">
        <is>
          <t>변동성 75.5%(1년 기준, 기준 35% 초과)</t>
        </is>
      </c>
      <c r="O491" s="95" t="inlineStr">
        <is>
          <t>FnGuide AI반도체 TOP2+ 지수</t>
        </is>
      </c>
      <c r="P491" s="95" t="inlineStr">
        <is>
          <t>일반</t>
        </is>
      </c>
      <c r="Q491" s="95" t="inlineStr">
        <is>
          <t>주식</t>
        </is>
      </c>
      <c r="R491" s="95" t="inlineStr">
        <is>
          <t>연배당</t>
        </is>
      </c>
      <c r="S491" s="96" t="n">
        <v>1</v>
      </c>
      <c r="T491">
        <f>IF(AND($J491&lt;&gt;"",OR(조회_주기="전체",$R491=조회_주기),$J491&gt;=조회_최소,$J491&lt;=조회_최대),1,0)</f>
        <v/>
      </c>
      <c r="U491">
        <f>IF($T491=1,$U490+1,$U490)</f>
        <v/>
      </c>
      <c r="V491">
        <f>IF(검색어="",1,IF(ISNUMBER(SEARCH(검색어,$A491)),1,0))</f>
        <v/>
      </c>
      <c r="W491">
        <f>IF($V491=1,$W490+1,$W490)</f>
        <v/>
      </c>
      <c r="X491">
        <f>IFERROR(INDEX($A$4:$A$517,MATCH(488,$W$4:$W$517,0)),"")</f>
        <v/>
      </c>
    </row>
    <row r="492">
      <c r="A492" s="95" t="inlineStr">
        <is>
          <t>KODEX 반도체</t>
        </is>
      </c>
      <c r="B492" s="95" t="inlineStr">
        <is>
          <t>091160</t>
        </is>
      </c>
      <c r="C492" s="95" t="inlineStr">
        <is>
          <t>삼성자산운용(ETF)</t>
        </is>
      </c>
      <c r="D492" s="96" t="n">
        <v>127655</v>
      </c>
      <c r="E492" s="96" t="n">
        <v>5559375250000</v>
      </c>
      <c r="F492" s="96" t="n">
        <v>292365172297</v>
      </c>
      <c r="G492" s="97" t="n">
        <v>0.004500000000000001</v>
      </c>
      <c r="H492" s="97" t="n">
        <v>0.7229000000000001</v>
      </c>
      <c r="I492" s="97" t="n">
        <v>0.0009</v>
      </c>
      <c r="J492" s="97" t="n">
        <v>0.000901</v>
      </c>
      <c r="K492" s="96" t="n">
        <v>5</v>
      </c>
      <c r="L492" s="95" t="inlineStr">
        <is>
          <t>20260429</t>
        </is>
      </c>
      <c r="M492" s="95" t="inlineStr">
        <is>
          <t>제외</t>
        </is>
      </c>
      <c r="N492" s="95" t="inlineStr">
        <is>
          <t>변동성 72.3%(1년 기준, 기준 35% 초과)</t>
        </is>
      </c>
      <c r="O492" s="95" t="inlineStr">
        <is>
          <t>KRX 반도체</t>
        </is>
      </c>
      <c r="P492" s="95" t="inlineStr">
        <is>
          <t>일반</t>
        </is>
      </c>
      <c r="Q492" s="95" t="inlineStr">
        <is>
          <t>주식</t>
        </is>
      </c>
      <c r="R492" s="95" t="inlineStr">
        <is>
          <t>연배당</t>
        </is>
      </c>
      <c r="S492" s="96" t="n">
        <v>1</v>
      </c>
      <c r="T492">
        <f>IF(AND($J492&lt;&gt;"",OR(조회_주기="전체",$R492=조회_주기),$J492&gt;=조회_최소,$J492&lt;=조회_최대),1,0)</f>
        <v/>
      </c>
      <c r="U492">
        <f>IF($T492=1,$U491+1,$U491)</f>
        <v/>
      </c>
      <c r="V492">
        <f>IF(검색어="",1,IF(ISNUMBER(SEARCH(검색어,$A492)),1,0))</f>
        <v/>
      </c>
      <c r="W492">
        <f>IF($V492=1,$W491+1,$W491)</f>
        <v/>
      </c>
      <c r="X492">
        <f>IFERROR(INDEX($A$4:$A$517,MATCH(489,$W$4:$W$517,0)),"")</f>
        <v/>
      </c>
    </row>
    <row r="493">
      <c r="A493" s="95" t="inlineStr">
        <is>
          <t>SOL 전고체배터리&amp;실리콘음극재</t>
        </is>
      </c>
      <c r="B493" s="95" t="inlineStr">
        <is>
          <t>0005D0</t>
        </is>
      </c>
      <c r="C493" s="95" t="inlineStr">
        <is>
          <t>신한자산운용</t>
        </is>
      </c>
      <c r="D493" s="96" t="n">
        <v>14540</v>
      </c>
      <c r="E493" s="96" t="n">
        <v>152670000000</v>
      </c>
      <c r="F493" s="96" t="n">
        <v>10528066635</v>
      </c>
      <c r="G493" s="97" t="n">
        <v>0.004500000000000001</v>
      </c>
      <c r="H493" s="97" t="n">
        <v>0.6814</v>
      </c>
      <c r="I493" s="97" t="n">
        <v>0.001</v>
      </c>
      <c r="J493" s="97" t="n">
        <v>0.0008939999999999999</v>
      </c>
      <c r="K493" s="96" t="n">
        <v>1</v>
      </c>
      <c r="L493" s="95" t="inlineStr">
        <is>
          <t>20251229</t>
        </is>
      </c>
      <c r="M493" s="95" t="inlineStr">
        <is>
          <t>제외</t>
        </is>
      </c>
      <c r="N493" s="95" t="inlineStr">
        <is>
          <t>변동성 68.1%(1년 기준, 기준 35% 초과)</t>
        </is>
      </c>
      <c r="O493" s="95" t="inlineStr">
        <is>
          <t>FnGuide 전고체배터리&amp;실리콘음극재 지수</t>
        </is>
      </c>
      <c r="P493" s="95" t="inlineStr">
        <is>
          <t>일반</t>
        </is>
      </c>
      <c r="Q493" s="95" t="inlineStr">
        <is>
          <t>주식</t>
        </is>
      </c>
      <c r="R493" s="95" t="inlineStr">
        <is>
          <t>연배당</t>
        </is>
      </c>
      <c r="S493" s="96" t="n">
        <v>1</v>
      </c>
      <c r="T493">
        <f>IF(AND($J493&lt;&gt;"",OR(조회_주기="전체",$R493=조회_주기),$J493&gt;=조회_최소,$J493&lt;=조회_최대),1,0)</f>
        <v/>
      </c>
      <c r="U493">
        <f>IF($T493=1,$U492+1,$U492)</f>
        <v/>
      </c>
      <c r="V493">
        <f>IF(검색어="",1,IF(ISNUMBER(SEARCH(검색어,$A493)),1,0))</f>
        <v/>
      </c>
      <c r="W493">
        <f>IF($V493=1,$W492+1,$W492)</f>
        <v/>
      </c>
      <c r="X493">
        <f>IFERROR(INDEX($A$4:$A$517,MATCH(490,$W$4:$W$517,0)),"")</f>
        <v/>
      </c>
    </row>
    <row r="494">
      <c r="A494" s="95" t="inlineStr">
        <is>
          <t>TIGER 글로벌AI전력인프라액티브</t>
        </is>
      </c>
      <c r="B494" s="95" t="inlineStr">
        <is>
          <t>491010</t>
        </is>
      </c>
      <c r="C494" s="95" t="inlineStr">
        <is>
          <t>미래에셋자산운용</t>
        </is>
      </c>
      <c r="D494" s="96" t="n">
        <v>24290</v>
      </c>
      <c r="E494" s="96" t="n">
        <v>614294100000</v>
      </c>
      <c r="F494" s="96" t="n">
        <v>4633306352</v>
      </c>
      <c r="G494" s="97" t="n">
        <v>0.0049</v>
      </c>
      <c r="H494" s="97" t="n">
        <v>0.4958</v>
      </c>
      <c r="I494" s="97" t="n">
        <v>0.0011</v>
      </c>
      <c r="J494" s="97" t="n">
        <v>0.0008229999999999999</v>
      </c>
      <c r="K494" s="96" t="n">
        <v>1</v>
      </c>
      <c r="L494" s="95" t="inlineStr">
        <is>
          <t>20251229</t>
        </is>
      </c>
      <c r="M494" s="95" t="inlineStr">
        <is>
          <t>제외</t>
        </is>
      </c>
      <c r="N494" s="95" t="inlineStr">
        <is>
          <t>변동성 49.6%(1년 기준, 기준 35% 초과)</t>
        </is>
      </c>
      <c r="O494" s="95" t="inlineStr">
        <is>
          <t>Mirae Asset AI Infrastructure Index PR</t>
        </is>
      </c>
      <c r="P494" s="95" t="inlineStr">
        <is>
          <t>일반</t>
        </is>
      </c>
      <c r="Q494" s="95" t="inlineStr">
        <is>
          <t>주식</t>
        </is>
      </c>
      <c r="R494" s="95" t="inlineStr">
        <is>
          <t>연배당</t>
        </is>
      </c>
      <c r="S494" s="96" t="n">
        <v>1</v>
      </c>
      <c r="T494">
        <f>IF(AND($J494&lt;&gt;"",OR(조회_주기="전체",$R494=조회_주기),$J494&gt;=조회_최소,$J494&lt;=조회_최대),1,0)</f>
        <v/>
      </c>
      <c r="U494">
        <f>IF($T494=1,$U493+1,$U493)</f>
        <v/>
      </c>
      <c r="V494">
        <f>IF(검색어="",1,IF(ISNUMBER(SEARCH(검색어,$A494)),1,0))</f>
        <v/>
      </c>
      <c r="W494">
        <f>IF($V494=1,$W493+1,$W493)</f>
        <v/>
      </c>
      <c r="X494">
        <f>IFERROR(INDEX($A$4:$A$517,MATCH(491,$W$4:$W$517,0)),"")</f>
        <v/>
      </c>
    </row>
    <row r="495">
      <c r="A495" s="95" t="inlineStr">
        <is>
          <t>TIGER 미국AI소프트웨어TOP4Plus</t>
        </is>
      </c>
      <c r="B495" s="95" t="inlineStr">
        <is>
          <t>0102A0</t>
        </is>
      </c>
      <c r="C495" s="95" t="inlineStr">
        <is>
          <t>미래에셋자산운용</t>
        </is>
      </c>
      <c r="D495" s="96" t="n">
        <v>8930</v>
      </c>
      <c r="E495" s="96" t="n">
        <v>72779500000</v>
      </c>
      <c r="F495" s="96" t="n">
        <v>858164581</v>
      </c>
      <c r="G495" s="97" t="n">
        <v>0.0049</v>
      </c>
      <c r="H495" s="97" t="n">
        <v>0.4463</v>
      </c>
      <c r="I495" s="97" t="n">
        <v>0.0005999999999999999</v>
      </c>
      <c r="J495" s="97" t="n">
        <v>0.000784</v>
      </c>
      <c r="K495" s="96" t="n">
        <v>1</v>
      </c>
      <c r="L495" s="95" t="inlineStr">
        <is>
          <t>20251229</t>
        </is>
      </c>
      <c r="M495" s="95" t="inlineStr">
        <is>
          <t>제외</t>
        </is>
      </c>
      <c r="N495" s="95" t="inlineStr">
        <is>
          <t>변동성 44.6%(1년 기준, 기준 35% 초과)</t>
        </is>
      </c>
      <c r="O495" s="95" t="inlineStr">
        <is>
          <t>Akros US AI Software Top4 Plus Index</t>
        </is>
      </c>
      <c r="P495" s="95" t="inlineStr">
        <is>
          <t>일반</t>
        </is>
      </c>
      <c r="Q495" s="95" t="inlineStr">
        <is>
          <t>주식</t>
        </is>
      </c>
      <c r="R495" s="95" t="inlineStr">
        <is>
          <t>연배당</t>
        </is>
      </c>
      <c r="S495" s="96" t="n">
        <v>1</v>
      </c>
      <c r="T495">
        <f>IF(AND($J495&lt;&gt;"",OR(조회_주기="전체",$R495=조회_주기),$J495&gt;=조회_최소,$J495&lt;=조회_최대),1,0)</f>
        <v/>
      </c>
      <c r="U495">
        <f>IF($T495=1,$U494+1,$U494)</f>
        <v/>
      </c>
      <c r="V495">
        <f>IF(검색어="",1,IF(ISNUMBER(SEARCH(검색어,$A495)),1,0))</f>
        <v/>
      </c>
      <c r="W495">
        <f>IF($V495=1,$W494+1,$W494)</f>
        <v/>
      </c>
      <c r="X495">
        <f>IFERROR(INDEX($A$4:$A$517,MATCH(492,$W$4:$W$517,0)),"")</f>
        <v/>
      </c>
    </row>
    <row r="496">
      <c r="A496" s="95" t="inlineStr">
        <is>
          <t>KODEX IT</t>
        </is>
      </c>
      <c r="B496" s="95" t="inlineStr">
        <is>
          <t>266370</t>
        </is>
      </c>
      <c r="C496" s="95" t="inlineStr">
        <is>
          <t>삼성자산운용(ETF)</t>
        </is>
      </c>
      <c r="D496" s="96" t="n">
        <v>66455</v>
      </c>
      <c r="E496" s="96" t="n">
        <v>106328000000</v>
      </c>
      <c r="F496" s="96" t="n">
        <v>9226609884</v>
      </c>
      <c r="G496" s="97" t="n">
        <v>0.004500000000000001</v>
      </c>
      <c r="H496" s="97" t="n">
        <v>0.6907</v>
      </c>
      <c r="I496" s="97" t="n">
        <v>0.0009</v>
      </c>
      <c r="J496" s="97" t="n">
        <v>0.000767</v>
      </c>
      <c r="K496" s="96" t="n">
        <v>5</v>
      </c>
      <c r="L496" s="95" t="inlineStr">
        <is>
          <t>20260429</t>
        </is>
      </c>
      <c r="M496" s="95" t="inlineStr">
        <is>
          <t>제외</t>
        </is>
      </c>
      <c r="N496" s="95" t="inlineStr">
        <is>
          <t>변동성 69.1%(1년 기준, 기준 35% 초과)</t>
        </is>
      </c>
      <c r="O496" s="95" t="inlineStr">
        <is>
          <t>KRX 정보기술</t>
        </is>
      </c>
      <c r="P496" s="95" t="inlineStr">
        <is>
          <t>일반</t>
        </is>
      </c>
      <c r="Q496" s="95" t="inlineStr">
        <is>
          <t>주식</t>
        </is>
      </c>
      <c r="R496" s="95" t="inlineStr">
        <is>
          <t>연배당</t>
        </is>
      </c>
      <c r="S496" s="96" t="n">
        <v>1</v>
      </c>
      <c r="T496">
        <f>IF(AND($J496&lt;&gt;"",OR(조회_주기="전체",$R496=조회_주기),$J496&gt;=조회_최소,$J496&lt;=조회_최대),1,0)</f>
        <v/>
      </c>
      <c r="U496">
        <f>IF($T496=1,$U495+1,$U495)</f>
        <v/>
      </c>
      <c r="V496">
        <f>IF(검색어="",1,IF(ISNUMBER(SEARCH(검색어,$A496)),1,0))</f>
        <v/>
      </c>
      <c r="W496">
        <f>IF($V496=1,$W495+1,$W495)</f>
        <v/>
      </c>
      <c r="X496">
        <f>IFERROR(INDEX($A$4:$A$517,MATCH(493,$W$4:$W$517,0)),"")</f>
        <v/>
      </c>
    </row>
    <row r="497">
      <c r="A497" s="95" t="inlineStr">
        <is>
          <t>RISE 코스닥150</t>
        </is>
      </c>
      <c r="B497" s="95" t="inlineStr">
        <is>
          <t>270810</t>
        </is>
      </c>
      <c r="C497" s="95" t="inlineStr">
        <is>
          <t>KB자산운용</t>
        </is>
      </c>
      <c r="D497" s="96" t="n">
        <v>13735</v>
      </c>
      <c r="E497" s="96" t="n">
        <v>320574900000</v>
      </c>
      <c r="F497" s="96" t="n">
        <v>4436254652</v>
      </c>
      <c r="G497" s="97" t="n">
        <v>0.0002</v>
      </c>
      <c r="H497" s="97" t="n">
        <v>0.5478000000000001</v>
      </c>
      <c r="I497" s="97" t="n">
        <v>0.0005</v>
      </c>
      <c r="J497" s="97" t="n">
        <v>0.000728</v>
      </c>
      <c r="K497" s="96" t="n">
        <v>5</v>
      </c>
      <c r="L497" s="95" t="inlineStr">
        <is>
          <t>20260429</t>
        </is>
      </c>
      <c r="M497" s="95" t="inlineStr">
        <is>
          <t>제외</t>
        </is>
      </c>
      <c r="N497" s="95" t="inlineStr">
        <is>
          <t>변동성 54.8%(1년 기준, 기준 35% 초과)</t>
        </is>
      </c>
      <c r="O497" s="95" t="inlineStr">
        <is>
          <t>KOSDAQ 150</t>
        </is>
      </c>
      <c r="P497" s="95" t="inlineStr">
        <is>
          <t>일반</t>
        </is>
      </c>
      <c r="Q497" s="95" t="inlineStr">
        <is>
          <t>주식</t>
        </is>
      </c>
      <c r="R497" s="95" t="inlineStr">
        <is>
          <t>연배당</t>
        </is>
      </c>
      <c r="S497" s="96" t="n">
        <v>1</v>
      </c>
      <c r="T497">
        <f>IF(AND($J497&lt;&gt;"",OR(조회_주기="전체",$R497=조회_주기),$J497&gt;=조회_최소,$J497&lt;=조회_최대),1,0)</f>
        <v/>
      </c>
      <c r="U497">
        <f>IF($T497=1,$U496+1,$U496)</f>
        <v/>
      </c>
      <c r="V497">
        <f>IF(검색어="",1,IF(ISNUMBER(SEARCH(검색어,$A497)),1,0))</f>
        <v/>
      </c>
      <c r="W497">
        <f>IF($V497=1,$W496+1,$W496)</f>
        <v/>
      </c>
      <c r="X497">
        <f>IFERROR(INDEX($A$4:$A$517,MATCH(494,$W$4:$W$517,0)),"")</f>
        <v/>
      </c>
    </row>
    <row r="498">
      <c r="A498" s="95" t="inlineStr">
        <is>
          <t>TIME 미국나스닥100액티브</t>
        </is>
      </c>
      <c r="B498" s="95" t="inlineStr">
        <is>
          <t>426030</t>
        </is>
      </c>
      <c r="C498" s="95" t="inlineStr">
        <is>
          <t>타임폴리오자산운용</t>
        </is>
      </c>
      <c r="D498" s="96" t="n">
        <v>45605</v>
      </c>
      <c r="E498" s="96" t="n">
        <v>2496417700000</v>
      </c>
      <c r="F498" s="96" t="n">
        <v>64535399675</v>
      </c>
      <c r="G498" s="97" t="n">
        <v>0.008</v>
      </c>
      <c r="H498" s="97" t="n">
        <v>0.4354</v>
      </c>
      <c r="I498" s="97" t="n">
        <v>0.0009</v>
      </c>
      <c r="J498" s="97" t="n">
        <v>0.0006579999999999999</v>
      </c>
      <c r="K498" s="96" t="n">
        <v>1</v>
      </c>
      <c r="L498" s="95" t="inlineStr">
        <is>
          <t>20251229</t>
        </is>
      </c>
      <c r="M498" s="95" t="inlineStr">
        <is>
          <t>제외</t>
        </is>
      </c>
      <c r="N498" s="95" t="inlineStr">
        <is>
          <t>변동성 43.5%(1년 기준, 기준 35% 초과)</t>
        </is>
      </c>
      <c r="O498" s="95" t="inlineStr">
        <is>
          <t>나스닥 100</t>
        </is>
      </c>
      <c r="P498" s="95" t="inlineStr">
        <is>
          <t>일반</t>
        </is>
      </c>
      <c r="Q498" s="95" t="inlineStr">
        <is>
          <t>주식</t>
        </is>
      </c>
      <c r="R498" s="95" t="inlineStr">
        <is>
          <t>연배당</t>
        </is>
      </c>
      <c r="S498" s="96" t="n">
        <v>1</v>
      </c>
      <c r="T498">
        <f>IF(AND($J498&lt;&gt;"",OR(조회_주기="전체",$R498=조회_주기),$J498&gt;=조회_최소,$J498&lt;=조회_최대),1,0)</f>
        <v/>
      </c>
      <c r="U498">
        <f>IF($T498=1,$U497+1,$U497)</f>
        <v/>
      </c>
      <c r="V498">
        <f>IF(검색어="",1,IF(ISNUMBER(SEARCH(검색어,$A498)),1,0))</f>
        <v/>
      </c>
      <c r="W498">
        <f>IF($V498=1,$W497+1,$W497)</f>
        <v/>
      </c>
      <c r="X498">
        <f>IFERROR(INDEX($A$4:$A$517,MATCH(495,$W$4:$W$517,0)),"")</f>
        <v/>
      </c>
    </row>
    <row r="499">
      <c r="A499" s="95" t="inlineStr">
        <is>
          <t>HANARO 글로벌피지컬AI액티브</t>
        </is>
      </c>
      <c r="B499" s="95" t="inlineStr">
        <is>
          <t>0040S0</t>
        </is>
      </c>
      <c r="C499" s="95" t="inlineStr">
        <is>
          <t>NH-Amundi자산운용</t>
        </is>
      </c>
      <c r="D499" s="96" t="n">
        <v>23470</v>
      </c>
      <c r="E499" s="96" t="n">
        <v>59848500000</v>
      </c>
      <c r="F499" s="96" t="n">
        <v>508905285</v>
      </c>
      <c r="G499" s="97" t="n">
        <v>0.006</v>
      </c>
      <c r="H499" s="97" t="n">
        <v>0.4157</v>
      </c>
      <c r="I499" s="97" t="n">
        <v>0.0007000000000000001</v>
      </c>
      <c r="J499" s="97" t="n">
        <v>0.000511</v>
      </c>
      <c r="K499" s="96" t="n">
        <v>1</v>
      </c>
      <c r="L499" s="95" t="inlineStr">
        <is>
          <t>20260129</t>
        </is>
      </c>
      <c r="M499" s="95" t="inlineStr">
        <is>
          <t>제외</t>
        </is>
      </c>
      <c r="N499" s="95" t="inlineStr">
        <is>
          <t>변동성 41.6%(1년 기준, 기준 35% 초과)</t>
        </is>
      </c>
      <c r="O499" s="95" t="inlineStr">
        <is>
          <t>Solactive Physical AI Index PR</t>
        </is>
      </c>
      <c r="P499" s="95" t="inlineStr">
        <is>
          <t>일반</t>
        </is>
      </c>
      <c r="Q499" s="95" t="inlineStr">
        <is>
          <t>주식</t>
        </is>
      </c>
      <c r="R499" s="95" t="inlineStr">
        <is>
          <t>연배당</t>
        </is>
      </c>
      <c r="S499" s="96" t="n">
        <v>1</v>
      </c>
      <c r="T499">
        <f>IF(AND($J499&lt;&gt;"",OR(조회_주기="전체",$R499=조회_주기),$J499&gt;=조회_최소,$J499&lt;=조회_최대),1,0)</f>
        <v/>
      </c>
      <c r="U499">
        <f>IF($T499=1,$U498+1,$U498)</f>
        <v/>
      </c>
      <c r="V499">
        <f>IF(검색어="",1,IF(ISNUMBER(SEARCH(검색어,$A499)),1,0))</f>
        <v/>
      </c>
      <c r="W499">
        <f>IF($V499=1,$W498+1,$W498)</f>
        <v/>
      </c>
      <c r="X499">
        <f>IFERROR(INDEX($A$4:$A$517,MATCH(496,$W$4:$W$517,0)),"")</f>
        <v/>
      </c>
    </row>
    <row r="500">
      <c r="A500" s="95" t="inlineStr">
        <is>
          <t>KODEX 방산TOP10</t>
        </is>
      </c>
      <c r="B500" s="95" t="inlineStr">
        <is>
          <t>0080G0</t>
        </is>
      </c>
      <c r="C500" s="95" t="inlineStr">
        <is>
          <t>삼성자산운용(ETF)</t>
        </is>
      </c>
      <c r="D500" s="96" t="n">
        <v>10295</v>
      </c>
      <c r="E500" s="96" t="n">
        <v>359295500000</v>
      </c>
      <c r="F500" s="96" t="n">
        <v>35321557500</v>
      </c>
      <c r="G500" s="97" t="n">
        <v>0.004500000000000001</v>
      </c>
      <c r="H500" s="97" t="n">
        <v>0.6039</v>
      </c>
      <c r="I500" s="97" t="n">
        <v>0.0005999999999999999</v>
      </c>
      <c r="J500" s="97" t="n">
        <v>0.000486</v>
      </c>
      <c r="K500" s="96" t="n">
        <v>1</v>
      </c>
      <c r="L500" s="95" t="inlineStr">
        <is>
          <t>20260730</t>
        </is>
      </c>
      <c r="M500" s="95" t="inlineStr">
        <is>
          <t>제외</t>
        </is>
      </c>
      <c r="N500" s="95" t="inlineStr">
        <is>
          <t>변동성 60.4%(1년 기준, 기준 35% 초과)</t>
        </is>
      </c>
      <c r="O500" s="95" t="inlineStr">
        <is>
          <t>iSelect 방산TOP10 지수</t>
        </is>
      </c>
      <c r="P500" s="95" t="inlineStr">
        <is>
          <t>일반</t>
        </is>
      </c>
      <c r="Q500" s="95" t="inlineStr">
        <is>
          <t>주식</t>
        </is>
      </c>
      <c r="R500" s="95" t="inlineStr">
        <is>
          <t>연배당</t>
        </is>
      </c>
      <c r="S500" s="96" t="n">
        <v>1</v>
      </c>
      <c r="T500">
        <f>IF(AND($J500&lt;&gt;"",OR(조회_주기="전체",$R500=조회_주기),$J500&gt;=조회_최소,$J500&lt;=조회_최대),1,0)</f>
        <v/>
      </c>
      <c r="U500">
        <f>IF($T500=1,$U499+1,$U499)</f>
        <v/>
      </c>
      <c r="V500">
        <f>IF(검색어="",1,IF(ISNUMBER(SEARCH(검색어,$A500)),1,0))</f>
        <v/>
      </c>
      <c r="W500">
        <f>IF($V500=1,$W499+1,$W499)</f>
        <v/>
      </c>
      <c r="X500">
        <f>IFERROR(INDEX($A$4:$A$517,MATCH(497,$W$4:$W$517,0)),"")</f>
        <v/>
      </c>
    </row>
    <row r="501">
      <c r="A501" s="95" t="inlineStr">
        <is>
          <t>SOL AI반도체소부장</t>
        </is>
      </c>
      <c r="B501" s="95" t="inlineStr">
        <is>
          <t>455850</t>
        </is>
      </c>
      <c r="C501" s="95" t="inlineStr">
        <is>
          <t>신한자산운용</t>
        </is>
      </c>
      <c r="D501" s="96" t="n">
        <v>24880</v>
      </c>
      <c r="E501" s="96" t="n">
        <v>1039984000000</v>
      </c>
      <c r="F501" s="96" t="n">
        <v>59436756217</v>
      </c>
      <c r="G501" s="97" t="n">
        <v>0.004500000000000001</v>
      </c>
      <c r="H501" s="97" t="n">
        <v>0.7314000000000001</v>
      </c>
      <c r="I501" s="97" t="n">
        <v>0.0004</v>
      </c>
      <c r="J501" s="97" t="n">
        <v>0.000482</v>
      </c>
      <c r="K501" s="96" t="n">
        <v>3</v>
      </c>
      <c r="L501" s="95" t="inlineStr">
        <is>
          <t>20260429</t>
        </is>
      </c>
      <c r="M501" s="95" t="inlineStr">
        <is>
          <t>제외</t>
        </is>
      </c>
      <c r="N501" s="95" t="inlineStr">
        <is>
          <t>변동성 73.1%(1년 기준, 기준 35% 초과)</t>
        </is>
      </c>
      <c r="O501" s="95" t="inlineStr">
        <is>
          <t>FnGuide AI 반도체 소부장 지수</t>
        </is>
      </c>
      <c r="P501" s="95" t="inlineStr">
        <is>
          <t>일반</t>
        </is>
      </c>
      <c r="Q501" s="95" t="inlineStr">
        <is>
          <t>주식</t>
        </is>
      </c>
      <c r="R501" s="95" t="inlineStr">
        <is>
          <t>연배당</t>
        </is>
      </c>
      <c r="S501" s="96" t="n">
        <v>1</v>
      </c>
      <c r="T501">
        <f>IF(AND($J501&lt;&gt;"",OR(조회_주기="전체",$R501=조회_주기),$J501&gt;=조회_최소,$J501&lt;=조회_최대),1,0)</f>
        <v/>
      </c>
      <c r="U501">
        <f>IF($T501=1,$U500+1,$U500)</f>
        <v/>
      </c>
      <c r="V501">
        <f>IF(검색어="",1,IF(ISNUMBER(SEARCH(검색어,$A501)),1,0))</f>
        <v/>
      </c>
      <c r="W501">
        <f>IF($V501=1,$W500+1,$W500)</f>
        <v/>
      </c>
      <c r="X501">
        <f>IFERROR(INDEX($A$4:$A$517,MATCH(498,$W$4:$W$517,0)),"")</f>
        <v/>
      </c>
    </row>
    <row r="502">
      <c r="A502" s="95" t="inlineStr">
        <is>
          <t>RISE 바이오TOP10액티브</t>
        </is>
      </c>
      <c r="B502" s="95" t="inlineStr">
        <is>
          <t>0000Z0</t>
        </is>
      </c>
      <c r="C502" s="95" t="inlineStr">
        <is>
          <t>KB자산운용</t>
        </is>
      </c>
      <c r="D502" s="96" t="n">
        <v>8300</v>
      </c>
      <c r="E502" s="96" t="n">
        <v>48555000000</v>
      </c>
      <c r="F502" s="96" t="n">
        <v>2694061670</v>
      </c>
      <c r="G502" s="97" t="n">
        <v>0.005</v>
      </c>
      <c r="H502" s="97" t="n">
        <v>0.6235000000000001</v>
      </c>
      <c r="I502" s="97" t="n">
        <v>0.0003</v>
      </c>
      <c r="J502" s="97" t="n">
        <v>0.000482</v>
      </c>
      <c r="K502" s="96" t="n">
        <v>2</v>
      </c>
      <c r="L502" s="95" t="inlineStr">
        <is>
          <t>20260730</t>
        </is>
      </c>
      <c r="M502" s="95" t="inlineStr">
        <is>
          <t>제외</t>
        </is>
      </c>
      <c r="N502" s="95" t="inlineStr">
        <is>
          <t>변동성 62.3%(1년 기준, 기준 35% 초과)</t>
        </is>
      </c>
      <c r="O502" s="95" t="inlineStr">
        <is>
          <t>KRX 바이오 TOP 10 지수</t>
        </is>
      </c>
      <c r="P502" s="95" t="inlineStr">
        <is>
          <t>일반</t>
        </is>
      </c>
      <c r="Q502" s="95" t="inlineStr">
        <is>
          <t>주식</t>
        </is>
      </c>
      <c r="R502" s="95" t="inlineStr">
        <is>
          <t>연배당</t>
        </is>
      </c>
      <c r="S502" s="96" t="n">
        <v>2</v>
      </c>
      <c r="T502">
        <f>IF(AND($J502&lt;&gt;"",OR(조회_주기="전체",$R502=조회_주기),$J502&gt;=조회_최소,$J502&lt;=조회_최대),1,0)</f>
        <v/>
      </c>
      <c r="U502">
        <f>IF($T502=1,$U501+1,$U501)</f>
        <v/>
      </c>
      <c r="V502">
        <f>IF(검색어="",1,IF(ISNUMBER(SEARCH(검색어,$A502)),1,0))</f>
        <v/>
      </c>
      <c r="W502">
        <f>IF($V502=1,$W501+1,$W501)</f>
        <v/>
      </c>
      <c r="X502">
        <f>IFERROR(INDEX($A$4:$A$517,MATCH(499,$W$4:$W$517,0)),"")</f>
        <v/>
      </c>
    </row>
    <row r="503">
      <c r="A503" s="95" t="inlineStr">
        <is>
          <t>TIME 글로벌AI인공지능액티브</t>
        </is>
      </c>
      <c r="B503" s="95" t="inlineStr">
        <is>
          <t>456600</t>
        </is>
      </c>
      <c r="C503" s="95" t="inlineStr">
        <is>
          <t>타임폴리오자산운용</t>
        </is>
      </c>
      <c r="D503" s="96" t="n">
        <v>56955</v>
      </c>
      <c r="E503" s="96" t="n">
        <v>2050380000000</v>
      </c>
      <c r="F503" s="96" t="n">
        <v>23036431278</v>
      </c>
      <c r="G503" s="97" t="n">
        <v>0.008</v>
      </c>
      <c r="H503" s="97" t="n">
        <v>0.4093</v>
      </c>
      <c r="I503" s="97" t="n">
        <v>0.0008</v>
      </c>
      <c r="J503" s="97" t="n">
        <v>0.000474</v>
      </c>
      <c r="K503" s="96" t="n">
        <v>1</v>
      </c>
      <c r="L503" s="95" t="inlineStr">
        <is>
          <t>20251229</t>
        </is>
      </c>
      <c r="M503" s="95" t="inlineStr">
        <is>
          <t>제외</t>
        </is>
      </c>
      <c r="N503" s="95" t="inlineStr">
        <is>
          <t>변동성 40.9%(1년 기준, 기준 35% 초과)</t>
        </is>
      </c>
      <c r="O503" s="95" t="inlineStr">
        <is>
          <t>Solactive Global Artificial Intelligence Index PR</t>
        </is>
      </c>
      <c r="P503" s="95" t="inlineStr">
        <is>
          <t>일반</t>
        </is>
      </c>
      <c r="Q503" s="95" t="inlineStr">
        <is>
          <t>주식</t>
        </is>
      </c>
      <c r="R503" s="95" t="inlineStr">
        <is>
          <t>연배당</t>
        </is>
      </c>
      <c r="S503" s="96" t="n">
        <v>1</v>
      </c>
      <c r="T503">
        <f>IF(AND($J503&lt;&gt;"",OR(조회_주기="전체",$R503=조회_주기),$J503&gt;=조회_최소,$J503&lt;=조회_최대),1,0)</f>
        <v/>
      </c>
      <c r="U503">
        <f>IF($T503=1,$U502+1,$U502)</f>
        <v/>
      </c>
      <c r="V503">
        <f>IF(검색어="",1,IF(ISNUMBER(SEARCH(검색어,$A503)),1,0))</f>
        <v/>
      </c>
      <c r="W503">
        <f>IF($V503=1,$W502+1,$W502)</f>
        <v/>
      </c>
      <c r="X503">
        <f>IFERROR(INDEX($A$4:$A$517,MATCH(500,$W$4:$W$517,0)),"")</f>
        <v/>
      </c>
    </row>
    <row r="504">
      <c r="A504" s="95" t="inlineStr">
        <is>
          <t>RISE AI반도체TOP10</t>
        </is>
      </c>
      <c r="B504" s="95" t="inlineStr">
        <is>
          <t>0093A0</t>
        </is>
      </c>
      <c r="C504" s="95" t="inlineStr">
        <is>
          <t>KB자산운용</t>
        </is>
      </c>
      <c r="D504" s="96" t="n">
        <v>32840</v>
      </c>
      <c r="E504" s="96" t="n">
        <v>180620000000</v>
      </c>
      <c r="F504" s="96" t="n">
        <v>8703424074</v>
      </c>
      <c r="G504" s="97" t="n">
        <v>0.002</v>
      </c>
      <c r="H504" s="97" t="n">
        <v>0.7376999999999999</v>
      </c>
      <c r="I504" s="97" t="n">
        <v>0.0003</v>
      </c>
      <c r="J504" s="97" t="n">
        <v>0.000457</v>
      </c>
      <c r="K504" s="96" t="n">
        <v>2</v>
      </c>
      <c r="L504" s="95" t="inlineStr">
        <is>
          <t>20260429</t>
        </is>
      </c>
      <c r="M504" s="95" t="inlineStr">
        <is>
          <t>제외</t>
        </is>
      </c>
      <c r="N504" s="95" t="inlineStr">
        <is>
          <t>변동성 73.8%(1년 기준, 기준 35% 초과)</t>
        </is>
      </c>
      <c r="O504" s="95" t="inlineStr">
        <is>
          <t>FnGuide AI반도체TOP10 지수</t>
        </is>
      </c>
      <c r="P504" s="95" t="inlineStr">
        <is>
          <t>일반</t>
        </is>
      </c>
      <c r="Q504" s="95" t="inlineStr">
        <is>
          <t>주식</t>
        </is>
      </c>
      <c r="R504" s="95" t="inlineStr">
        <is>
          <t>연배당</t>
        </is>
      </c>
      <c r="S504" s="96" t="n">
        <v>2</v>
      </c>
      <c r="T504">
        <f>IF(AND($J504&lt;&gt;"",OR(조회_주기="전체",$R504=조회_주기),$J504&gt;=조회_최소,$J504&lt;=조회_최대),1,0)</f>
        <v/>
      </c>
      <c r="U504">
        <f>IF($T504=1,$U503+1,$U503)</f>
        <v/>
      </c>
      <c r="V504">
        <f>IF(검색어="",1,IF(ISNUMBER(SEARCH(검색어,$A504)),1,0))</f>
        <v/>
      </c>
      <c r="W504">
        <f>IF($V504=1,$W503+1,$W503)</f>
        <v/>
      </c>
      <c r="X504">
        <f>IFERROR(INDEX($A$4:$A$517,MATCH(501,$W$4:$W$517,0)),"")</f>
        <v/>
      </c>
    </row>
    <row r="505">
      <c r="A505" s="95" t="inlineStr">
        <is>
          <t>TIME 차이나AI테크액티브</t>
        </is>
      </c>
      <c r="B505" s="95" t="inlineStr">
        <is>
          <t>0043Y0</t>
        </is>
      </c>
      <c r="C505" s="95" t="inlineStr">
        <is>
          <t>타임폴리오자산운용</t>
        </is>
      </c>
      <c r="D505" s="96" t="n">
        <v>19125</v>
      </c>
      <c r="E505" s="96" t="n">
        <v>334687500000</v>
      </c>
      <c r="F505" s="96" t="n">
        <v>5470203778</v>
      </c>
      <c r="G505" s="97" t="n">
        <v>0.008</v>
      </c>
      <c r="H505" s="97" t="n">
        <v>0.4663</v>
      </c>
      <c r="I505" s="97" t="n">
        <v>0.0005999999999999999</v>
      </c>
      <c r="J505" s="97" t="n">
        <v>0.000418</v>
      </c>
      <c r="K505" s="96" t="n">
        <v>1</v>
      </c>
      <c r="L505" s="95" t="inlineStr">
        <is>
          <t>20251229</t>
        </is>
      </c>
      <c r="M505" s="95" t="inlineStr">
        <is>
          <t>제외</t>
        </is>
      </c>
      <c r="N505" s="95" t="inlineStr">
        <is>
          <t>변동성 46.6%(1년 기준, 기준 35% 초과)</t>
        </is>
      </c>
      <c r="O505" s="95" t="inlineStr">
        <is>
          <t>Solactive China Artificial Intelligence Index PR</t>
        </is>
      </c>
      <c r="P505" s="95" t="inlineStr">
        <is>
          <t>일반</t>
        </is>
      </c>
      <c r="Q505" s="95" t="inlineStr">
        <is>
          <t>주식</t>
        </is>
      </c>
      <c r="R505" s="95" t="inlineStr">
        <is>
          <t>연배당</t>
        </is>
      </c>
      <c r="S505" s="96" t="n">
        <v>1</v>
      </c>
      <c r="T505">
        <f>IF(AND($J505&lt;&gt;"",OR(조회_주기="전체",$R505=조회_주기),$J505&gt;=조회_최소,$J505&lt;=조회_최대),1,0)</f>
        <v/>
      </c>
      <c r="U505">
        <f>IF($T505=1,$U504+1,$U504)</f>
        <v/>
      </c>
      <c r="V505">
        <f>IF(검색어="",1,IF(ISNUMBER(SEARCH(검색어,$A505)),1,0))</f>
        <v/>
      </c>
      <c r="W505">
        <f>IF($V505=1,$W504+1,$W504)</f>
        <v/>
      </c>
      <c r="X505">
        <f>IFERROR(INDEX($A$4:$A$517,MATCH(502,$W$4:$W$517,0)),"")</f>
        <v/>
      </c>
    </row>
    <row r="506">
      <c r="A506" s="95" t="inlineStr">
        <is>
          <t>SOL K방산</t>
        </is>
      </c>
      <c r="B506" s="95" t="inlineStr">
        <is>
          <t>490480</t>
        </is>
      </c>
      <c r="C506" s="95" t="inlineStr">
        <is>
          <t>신한자산운용</t>
        </is>
      </c>
      <c r="D506" s="96" t="n">
        <v>28985</v>
      </c>
      <c r="E506" s="96" t="n">
        <v>78259500000</v>
      </c>
      <c r="F506" s="96" t="n">
        <v>2399573603</v>
      </c>
      <c r="G506" s="97" t="n">
        <v>0.004500000000000001</v>
      </c>
      <c r="H506" s="97" t="n">
        <v>0.5650999999999999</v>
      </c>
      <c r="I506" s="97" t="n">
        <v>0.0003</v>
      </c>
      <c r="J506" s="97" t="n">
        <v>0.00038</v>
      </c>
      <c r="K506" s="96" t="n">
        <v>2</v>
      </c>
      <c r="L506" s="95" t="inlineStr">
        <is>
          <t>20260429</t>
        </is>
      </c>
      <c r="M506" s="95" t="inlineStr">
        <is>
          <t>제외</t>
        </is>
      </c>
      <c r="N506" s="95" t="inlineStr">
        <is>
          <t>변동성 56.5%(1년 기준, 기준 35% 초과)</t>
        </is>
      </c>
      <c r="O506" s="95" t="inlineStr">
        <is>
          <t>KEDI K방산 지수</t>
        </is>
      </c>
      <c r="P506" s="95" t="inlineStr">
        <is>
          <t>일반</t>
        </is>
      </c>
      <c r="Q506" s="95" t="inlineStr">
        <is>
          <t>주식</t>
        </is>
      </c>
      <c r="R506" s="95" t="inlineStr">
        <is>
          <t>연배당</t>
        </is>
      </c>
      <c r="S506" s="96" t="n">
        <v>1</v>
      </c>
      <c r="T506">
        <f>IF(AND($J506&lt;&gt;"",OR(조회_주기="전체",$R506=조회_주기),$J506&gt;=조회_최소,$J506&lt;=조회_최대),1,0)</f>
        <v/>
      </c>
      <c r="U506">
        <f>IF($T506=1,$U505+1,$U505)</f>
        <v/>
      </c>
      <c r="V506">
        <f>IF(검색어="",1,IF(ISNUMBER(SEARCH(검색어,$A506)),1,0))</f>
        <v/>
      </c>
      <c r="W506">
        <f>IF($V506=1,$W505+1,$W505)</f>
        <v/>
      </c>
      <c r="X506">
        <f>IFERROR(INDEX($A$4:$A$517,MATCH(503,$W$4:$W$517,0)),"")</f>
        <v/>
      </c>
    </row>
    <row r="507">
      <c r="A507" s="95" t="inlineStr">
        <is>
          <t>TIGER AI반도체핵심공정</t>
        </is>
      </c>
      <c r="B507" s="95" t="inlineStr">
        <is>
          <t>471760</t>
        </is>
      </c>
      <c r="C507" s="95" t="inlineStr">
        <is>
          <t>미래에셋자산운용</t>
        </is>
      </c>
      <c r="D507" s="96" t="n">
        <v>13870</v>
      </c>
      <c r="E507" s="96" t="n">
        <v>127604000000</v>
      </c>
      <c r="F507" s="96" t="n">
        <v>13945612348</v>
      </c>
      <c r="G507" s="97" t="n">
        <v>0.004500000000000001</v>
      </c>
      <c r="H507" s="97" t="n">
        <v>0.7439</v>
      </c>
      <c r="I507" s="97" t="n">
        <v>0.0002</v>
      </c>
      <c r="J507" s="97" t="n">
        <v>0.00036</v>
      </c>
      <c r="K507" s="96" t="n">
        <v>3</v>
      </c>
      <c r="L507" s="95" t="inlineStr">
        <is>
          <t>20260429</t>
        </is>
      </c>
      <c r="M507" s="95" t="inlineStr">
        <is>
          <t>제외</t>
        </is>
      </c>
      <c r="N507" s="95" t="inlineStr">
        <is>
          <t>변동성 74.4%(1년 기준, 기준 35% 초과)</t>
        </is>
      </c>
      <c r="O507" s="95" t="inlineStr">
        <is>
          <t>iSelect AI반도체핵심공정 지수</t>
        </is>
      </c>
      <c r="P507" s="95" t="inlineStr">
        <is>
          <t>일반</t>
        </is>
      </c>
      <c r="Q507" s="95" t="inlineStr">
        <is>
          <t>주식</t>
        </is>
      </c>
      <c r="R507" s="95" t="inlineStr">
        <is>
          <t>연배당</t>
        </is>
      </c>
      <c r="S507" s="96" t="n">
        <v>1</v>
      </c>
      <c r="T507">
        <f>IF(AND($J507&lt;&gt;"",OR(조회_주기="전체",$R507=조회_주기),$J507&gt;=조회_최소,$J507&lt;=조회_최대),1,0)</f>
        <v/>
      </c>
      <c r="U507">
        <f>IF($T507=1,$U506+1,$U506)</f>
        <v/>
      </c>
      <c r="V507">
        <f>IF(검색어="",1,IF(ISNUMBER(SEARCH(검색어,$A507)),1,0))</f>
        <v/>
      </c>
      <c r="W507">
        <f>IF($V507=1,$W506+1,$W506)</f>
        <v/>
      </c>
      <c r="X507">
        <f>IFERROR(INDEX($A$4:$A$517,MATCH(504,$W$4:$W$517,0)),"")</f>
        <v/>
      </c>
    </row>
    <row r="508">
      <c r="A508" s="95" t="inlineStr">
        <is>
          <t>PLUS 신흥국MSCI(합성 H)</t>
        </is>
      </c>
      <c r="B508" s="95" t="inlineStr">
        <is>
          <t>195980</t>
        </is>
      </c>
      <c r="C508" s="95" t="inlineStr">
        <is>
          <t>한화자산운용</t>
        </is>
      </c>
      <c r="D508" s="96" t="n">
        <v>15080</v>
      </c>
      <c r="E508" s="96" t="n">
        <v>92591200000</v>
      </c>
      <c r="F508" s="96" t="n">
        <v>399397532</v>
      </c>
      <c r="G508" s="97" t="n">
        <v>0.005</v>
      </c>
      <c r="H508" s="97" t="n">
        <v>0.2342</v>
      </c>
      <c r="I508" s="97" t="n">
        <v>0.0004</v>
      </c>
      <c r="J508" s="97" t="n">
        <v>0.000332</v>
      </c>
      <c r="K508" s="96" t="n">
        <v>1</v>
      </c>
      <c r="L508" s="95" t="inlineStr">
        <is>
          <t>20251229</t>
        </is>
      </c>
      <c r="M508" s="95" t="inlineStr">
        <is>
          <t>제외</t>
        </is>
      </c>
      <c r="N508" s="95" t="inlineStr">
        <is>
          <t>60일 거래대금 4.0억(기준 5억 미만)</t>
        </is>
      </c>
      <c r="O508" s="95" t="inlineStr">
        <is>
          <t>MSCI Emerging Markets Index</t>
        </is>
      </c>
      <c r="P508" s="95" t="inlineStr">
        <is>
          <t>일반</t>
        </is>
      </c>
      <c r="Q508" s="95" t="inlineStr">
        <is>
          <t>주식</t>
        </is>
      </c>
      <c r="R508" s="95" t="inlineStr">
        <is>
          <t>연배당</t>
        </is>
      </c>
      <c r="S508" s="96" t="n">
        <v>1</v>
      </c>
      <c r="T508">
        <f>IF(AND($J508&lt;&gt;"",OR(조회_주기="전체",$R508=조회_주기),$J508&gt;=조회_최소,$J508&lt;=조회_최대),1,0)</f>
        <v/>
      </c>
      <c r="U508">
        <f>IF($T508=1,$U507+1,$U507)</f>
        <v/>
      </c>
      <c r="V508">
        <f>IF(검색어="",1,IF(ISNUMBER(SEARCH(검색어,$A508)),1,0))</f>
        <v/>
      </c>
      <c r="W508">
        <f>IF($V508=1,$W507+1,$W507)</f>
        <v/>
      </c>
      <c r="X508">
        <f>IFERROR(INDEX($A$4:$A$517,MATCH(505,$W$4:$W$517,0)),"")</f>
        <v/>
      </c>
    </row>
    <row r="509">
      <c r="A509" s="95" t="inlineStr">
        <is>
          <t>SOL 미국AI소프트웨어</t>
        </is>
      </c>
      <c r="B509" s="95" t="inlineStr">
        <is>
          <t>481180</t>
        </is>
      </c>
      <c r="C509" s="95" t="inlineStr">
        <is>
          <t>신한자산운용</t>
        </is>
      </c>
      <c r="D509" s="96" t="n">
        <v>16690</v>
      </c>
      <c r="E509" s="96" t="n">
        <v>145203000000</v>
      </c>
      <c r="F509" s="96" t="n">
        <v>1815149418</v>
      </c>
      <c r="G509" s="97" t="n">
        <v>0.004500000000000001</v>
      </c>
      <c r="H509" s="97" t="n">
        <v>0.3576</v>
      </c>
      <c r="I509" s="97" t="n">
        <v>0.0004</v>
      </c>
      <c r="J509" s="97" t="n">
        <v>0.0003</v>
      </c>
      <c r="K509" s="96" t="n">
        <v>2</v>
      </c>
      <c r="L509" s="95" t="inlineStr">
        <is>
          <t>20260429</t>
        </is>
      </c>
      <c r="M509" s="95" t="inlineStr">
        <is>
          <t>제외</t>
        </is>
      </c>
      <c r="N509" s="95" t="inlineStr">
        <is>
          <t>변동성 35.8%(1년 기준, 기준 35% 초과)</t>
        </is>
      </c>
      <c r="O509" s="95" t="inlineStr">
        <is>
          <t>KEDI US AI Software Index(PR)</t>
        </is>
      </c>
      <c r="P509" s="95" t="inlineStr">
        <is>
          <t>일반</t>
        </is>
      </c>
      <c r="Q509" s="95" t="inlineStr">
        <is>
          <t>주식</t>
        </is>
      </c>
      <c r="R509" s="95" t="inlineStr">
        <is>
          <t>연배당</t>
        </is>
      </c>
      <c r="S509" s="96" t="n">
        <v>1</v>
      </c>
      <c r="T509">
        <f>IF(AND($J509&lt;&gt;"",OR(조회_주기="전체",$R509=조회_주기),$J509&gt;=조회_최소,$J509&lt;=조회_최대),1,0)</f>
        <v/>
      </c>
      <c r="U509">
        <f>IF($T509=1,$U508+1,$U508)</f>
        <v/>
      </c>
      <c r="V509">
        <f>IF(검색어="",1,IF(ISNUMBER(SEARCH(검색어,$A509)),1,0))</f>
        <v/>
      </c>
      <c r="W509">
        <f>IF($V509=1,$W508+1,$W508)</f>
        <v/>
      </c>
      <c r="X509">
        <f>IFERROR(INDEX($A$4:$A$517,MATCH(506,$W$4:$W$517,0)),"")</f>
        <v/>
      </c>
    </row>
    <row r="510">
      <c r="A510" s="95" t="inlineStr">
        <is>
          <t>KODEX 신재생에너지액티브</t>
        </is>
      </c>
      <c r="B510" s="95" t="inlineStr">
        <is>
          <t>385510</t>
        </is>
      </c>
      <c r="C510" s="95" t="inlineStr">
        <is>
          <t>삼성자산운용(ETF)</t>
        </is>
      </c>
      <c r="D510" s="96" t="n">
        <v>38010</v>
      </c>
      <c r="E510" s="96" t="n">
        <v>330687000000</v>
      </c>
      <c r="F510" s="96" t="n">
        <v>5790905596</v>
      </c>
      <c r="G510" s="97" t="n">
        <v>0.005</v>
      </c>
      <c r="H510" s="97" t="n">
        <v>0.6086</v>
      </c>
      <c r="I510" s="97" t="n">
        <v>0.0002</v>
      </c>
      <c r="J510" s="97" t="n">
        <v>0.000263</v>
      </c>
      <c r="K510" s="96" t="n">
        <v>5</v>
      </c>
      <c r="L510" s="95" t="inlineStr">
        <is>
          <t>20260429</t>
        </is>
      </c>
      <c r="M510" s="95" t="inlineStr">
        <is>
          <t>제외</t>
        </is>
      </c>
      <c r="N510" s="95" t="inlineStr">
        <is>
          <t>변동성 60.9%(1년 기준, 기준 35% 초과)</t>
        </is>
      </c>
      <c r="O510" s="95" t="inlineStr">
        <is>
          <t>FnGuide K-재생에너지 플러스 지수</t>
        </is>
      </c>
      <c r="P510" s="95" t="inlineStr">
        <is>
          <t>일반</t>
        </is>
      </c>
      <c r="Q510" s="95" t="inlineStr">
        <is>
          <t>주식</t>
        </is>
      </c>
      <c r="R510" s="95" t="inlineStr">
        <is>
          <t>연배당</t>
        </is>
      </c>
      <c r="S510" s="96" t="n">
        <v>1</v>
      </c>
      <c r="T510">
        <f>IF(AND($J510&lt;&gt;"",OR(조회_주기="전체",$R510=조회_주기),$J510&gt;=조회_최소,$J510&lt;=조회_최대),1,0)</f>
        <v/>
      </c>
      <c r="U510">
        <f>IF($T510=1,$U509+1,$U509)</f>
        <v/>
      </c>
      <c r="V510">
        <f>IF(검색어="",1,IF(ISNUMBER(SEARCH(검색어,$A510)),1,0))</f>
        <v/>
      </c>
      <c r="W510">
        <f>IF($V510=1,$W509+1,$W509)</f>
        <v/>
      </c>
      <c r="X510">
        <f>IFERROR(INDEX($A$4:$A$517,MATCH(507,$W$4:$W$517,0)),"")</f>
        <v/>
      </c>
    </row>
    <row r="511">
      <c r="A511" s="95" t="inlineStr">
        <is>
          <t>SOL 반도체후공정</t>
        </is>
      </c>
      <c r="B511" s="95" t="inlineStr">
        <is>
          <t>475310</t>
        </is>
      </c>
      <c r="C511" s="95" t="inlineStr">
        <is>
          <t>신한자산운용</t>
        </is>
      </c>
      <c r="D511" s="96" t="n">
        <v>26730</v>
      </c>
      <c r="E511" s="96" t="n">
        <v>78853500000</v>
      </c>
      <c r="F511" s="96" t="n">
        <v>7313056498</v>
      </c>
      <c r="G511" s="97" t="n">
        <v>0.004500000000000001</v>
      </c>
      <c r="H511" s="97" t="n">
        <v>0.7323999999999999</v>
      </c>
      <c r="I511" s="97" t="n">
        <v>0.0001</v>
      </c>
      <c r="J511" s="97" t="n">
        <v>0.000187</v>
      </c>
      <c r="K511" s="96" t="n">
        <v>2</v>
      </c>
      <c r="L511" s="95" t="inlineStr">
        <is>
          <t>20260429</t>
        </is>
      </c>
      <c r="M511" s="95" t="inlineStr">
        <is>
          <t>제외</t>
        </is>
      </c>
      <c r="N511" s="95" t="inlineStr">
        <is>
          <t>변동성 73.2%(1년 기준, 기준 35% 초과)</t>
        </is>
      </c>
      <c r="O511" s="95" t="inlineStr">
        <is>
          <t>FnGuide 반도체 후공정 지수</t>
        </is>
      </c>
      <c r="P511" s="95" t="inlineStr">
        <is>
          <t>일반</t>
        </is>
      </c>
      <c r="Q511" s="95" t="inlineStr">
        <is>
          <t>주식</t>
        </is>
      </c>
      <c r="R511" s="95" t="inlineStr">
        <is>
          <t>연배당</t>
        </is>
      </c>
      <c r="S511" s="96" t="n">
        <v>1</v>
      </c>
      <c r="T511">
        <f>IF(AND($J511&lt;&gt;"",OR(조회_주기="전체",$R511=조회_주기),$J511&gt;=조회_최소,$J511&lt;=조회_최대),1,0)</f>
        <v/>
      </c>
      <c r="U511">
        <f>IF($T511=1,$U510+1,$U510)</f>
        <v/>
      </c>
      <c r="V511">
        <f>IF(검색어="",1,IF(ISNUMBER(SEARCH(검색어,$A511)),1,0))</f>
        <v/>
      </c>
      <c r="W511">
        <f>IF($V511=1,$W510+1,$W510)</f>
        <v/>
      </c>
      <c r="X511">
        <f>IFERROR(INDEX($A$4:$A$517,MATCH(508,$W$4:$W$517,0)),"")</f>
        <v/>
      </c>
    </row>
    <row r="512">
      <c r="A512" s="95" t="inlineStr">
        <is>
          <t>TIGER 반도체TOP10레버리지</t>
        </is>
      </c>
      <c r="B512" s="95" t="inlineStr">
        <is>
          <t>488080</t>
        </is>
      </c>
      <c r="C512" s="95" t="inlineStr">
        <is>
          <t>미래에셋자산운용</t>
        </is>
      </c>
      <c r="D512" s="96" t="n">
        <v>32330</v>
      </c>
      <c r="E512" s="96" t="n">
        <v>575474000000</v>
      </c>
      <c r="F512" s="96" t="n">
        <v>130901083045</v>
      </c>
      <c r="G512" s="97" t="n">
        <v>0.0049</v>
      </c>
      <c r="H512" s="97" t="n">
        <v>1.4713</v>
      </c>
      <c r="I512" s="97" t="n">
        <v>0.0004</v>
      </c>
      <c r="J512" s="97" t="n">
        <v>0.000186</v>
      </c>
      <c r="K512" s="96" t="n">
        <v>1</v>
      </c>
      <c r="L512" s="95" t="inlineStr">
        <is>
          <t>20251229</t>
        </is>
      </c>
      <c r="M512" s="95" t="inlineStr">
        <is>
          <t>제외</t>
        </is>
      </c>
      <c r="N512" s="95" t="inlineStr">
        <is>
          <t>변동성 147.1%(1년 기준, 기준 35% 초과)</t>
        </is>
      </c>
      <c r="O512" s="95" t="inlineStr">
        <is>
          <t>FnGuide 반도체 TOP10 지수</t>
        </is>
      </c>
      <c r="P512" s="95" t="inlineStr">
        <is>
          <t>일반</t>
        </is>
      </c>
      <c r="Q512" s="95" t="inlineStr">
        <is>
          <t>주식</t>
        </is>
      </c>
      <c r="R512" s="95" t="inlineStr">
        <is>
          <t>연배당</t>
        </is>
      </c>
      <c r="S512" s="96" t="n">
        <v>1</v>
      </c>
      <c r="T512">
        <f>IF(AND($J512&lt;&gt;"",OR(조회_주기="전체",$R512=조회_주기),$J512&gt;=조회_최소,$J512&lt;=조회_최대),1,0)</f>
        <v/>
      </c>
      <c r="U512">
        <f>IF($T512=1,$U511+1,$U511)</f>
        <v/>
      </c>
      <c r="V512">
        <f>IF(검색어="",1,IF(ISNUMBER(SEARCH(검색어,$A512)),1,0))</f>
        <v/>
      </c>
      <c r="W512">
        <f>IF($V512=1,$W511+1,$W511)</f>
        <v/>
      </c>
      <c r="X512">
        <f>IFERROR(INDEX($A$4:$A$517,MATCH(509,$W$4:$W$517,0)),"")</f>
        <v/>
      </c>
    </row>
    <row r="513">
      <c r="A513" s="95" t="inlineStr">
        <is>
          <t>KIWOOM CD금리액티브(합성)</t>
        </is>
      </c>
      <c r="B513" s="95" t="inlineStr">
        <is>
          <t>458210</t>
        </is>
      </c>
      <c r="C513" s="95" t="inlineStr">
        <is>
          <t>키움투자자산운용</t>
        </is>
      </c>
      <c r="D513" s="96" t="n">
        <v>110755</v>
      </c>
      <c r="E513" s="96" t="n">
        <v>148743965000</v>
      </c>
      <c r="F513" s="96" t="n">
        <v>104687877</v>
      </c>
      <c r="G513" s="97" t="n">
        <v>0.0003</v>
      </c>
      <c r="H513" s="97" t="n">
        <v>0.0012</v>
      </c>
      <c r="I513" s="97" t="n">
        <v>0.0001</v>
      </c>
      <c r="J513" s="97" t="n">
        <v>0.000144</v>
      </c>
      <c r="K513" s="96" t="n">
        <v>1</v>
      </c>
      <c r="L513" s="95" t="inlineStr">
        <is>
          <t>20251229</t>
        </is>
      </c>
      <c r="M513" s="95" t="inlineStr">
        <is>
          <t>제외</t>
        </is>
      </c>
      <c r="N513" s="95" t="inlineStr">
        <is>
          <t>60일 거래대금 1.0억(기준 5억 미만)</t>
        </is>
      </c>
      <c r="O513" s="95" t="inlineStr">
        <is>
          <t>FnGuide CD수익률 투자 지수</t>
        </is>
      </c>
      <c r="P513" s="95" t="inlineStr">
        <is>
          <t>일반</t>
        </is>
      </c>
      <c r="Q513" s="95" t="inlineStr">
        <is>
          <t>단기자금(파킹형)</t>
        </is>
      </c>
      <c r="R513" s="95" t="inlineStr">
        <is>
          <t>연배당</t>
        </is>
      </c>
      <c r="S513" s="96" t="n">
        <v>1</v>
      </c>
      <c r="T513">
        <f>IF(AND($J513&lt;&gt;"",OR(조회_주기="전체",$R513=조회_주기),$J513&gt;=조회_최소,$J513&lt;=조회_최대),1,0)</f>
        <v/>
      </c>
      <c r="U513">
        <f>IF($T513=1,$U512+1,$U512)</f>
        <v/>
      </c>
      <c r="V513">
        <f>IF(검색어="",1,IF(ISNUMBER(SEARCH(검색어,$A513)),1,0))</f>
        <v/>
      </c>
      <c r="W513">
        <f>IF($V513=1,$W512+1,$W512)</f>
        <v/>
      </c>
      <c r="X513">
        <f>IFERROR(INDEX($A$4:$A$517,MATCH(510,$W$4:$W$517,0)),"")</f>
        <v/>
      </c>
    </row>
    <row r="514">
      <c r="A514" s="95" t="inlineStr">
        <is>
          <t>TIGER 코리아테크액티브</t>
        </is>
      </c>
      <c r="B514" s="95" t="inlineStr">
        <is>
          <t>471780</t>
        </is>
      </c>
      <c r="C514" s="95" t="inlineStr">
        <is>
          <t>미래에셋자산운용</t>
        </is>
      </c>
      <c r="D514" s="96" t="n">
        <v>35745</v>
      </c>
      <c r="E514" s="96" t="n">
        <v>275236500000</v>
      </c>
      <c r="F514" s="96" t="n">
        <v>5861197298</v>
      </c>
      <c r="G514" s="97" t="n">
        <v>0.0077</v>
      </c>
      <c r="H514" s="97" t="n">
        <v>0.6514</v>
      </c>
      <c r="I514" s="97" t="n">
        <v>0.0001</v>
      </c>
      <c r="J514" s="97" t="n">
        <v>0.00014</v>
      </c>
      <c r="K514" s="96" t="n">
        <v>3</v>
      </c>
      <c r="L514" s="95" t="inlineStr">
        <is>
          <t>20260429</t>
        </is>
      </c>
      <c r="M514" s="95" t="inlineStr">
        <is>
          <t>제외</t>
        </is>
      </c>
      <c r="N514" s="95" t="inlineStr">
        <is>
          <t>변동성 65.1%(1년 기준, 기준 35% 초과)</t>
        </is>
      </c>
      <c r="O514" s="95" t="inlineStr">
        <is>
          <t>KRX 정보기술</t>
        </is>
      </c>
      <c r="P514" s="95" t="inlineStr">
        <is>
          <t>일반</t>
        </is>
      </c>
      <c r="Q514" s="95" t="inlineStr">
        <is>
          <t>주식</t>
        </is>
      </c>
      <c r="R514" s="95" t="inlineStr">
        <is>
          <t>연배당</t>
        </is>
      </c>
      <c r="S514" s="96" t="n">
        <v>1</v>
      </c>
      <c r="T514">
        <f>IF(AND($J514&lt;&gt;"",OR(조회_주기="전체",$R514=조회_주기),$J514&gt;=조회_최소,$J514&lt;=조회_최대),1,0)</f>
        <v/>
      </c>
      <c r="U514">
        <f>IF($T514=1,$U513+1,$U513)</f>
        <v/>
      </c>
      <c r="V514">
        <f>IF(검색어="",1,IF(ISNUMBER(SEARCH(검색어,$A514)),1,0))</f>
        <v/>
      </c>
      <c r="W514">
        <f>IF($V514=1,$W513+1,$W513)</f>
        <v/>
      </c>
      <c r="X514">
        <f>IFERROR(INDEX($A$4:$A$517,MATCH(511,$W$4:$W$517,0)),"")</f>
        <v/>
      </c>
    </row>
    <row r="515">
      <c r="A515" s="95" t="inlineStr">
        <is>
          <t>TIGER AI코리아그로스액티브</t>
        </is>
      </c>
      <c r="B515" s="95" t="inlineStr">
        <is>
          <t>365040</t>
        </is>
      </c>
      <c r="C515" s="95" t="inlineStr">
        <is>
          <t>미래에셋자산운용</t>
        </is>
      </c>
      <c r="D515" s="96" t="n">
        <v>35615</v>
      </c>
      <c r="E515" s="96" t="n">
        <v>74791500000</v>
      </c>
      <c r="F515" s="96" t="n">
        <v>695145165</v>
      </c>
      <c r="G515" s="97" t="n">
        <v>0.004</v>
      </c>
      <c r="H515" s="97" t="n">
        <v>0.54</v>
      </c>
      <c r="I515" s="97" t="n">
        <v>0.0001</v>
      </c>
      <c r="J515" s="97" t="n">
        <v>0.00014</v>
      </c>
      <c r="K515" s="96" t="n">
        <v>5</v>
      </c>
      <c r="L515" s="95" t="inlineStr">
        <is>
          <t>20260429</t>
        </is>
      </c>
      <c r="M515" s="95" t="inlineStr">
        <is>
          <t>제외</t>
        </is>
      </c>
      <c r="N515" s="95" t="inlineStr">
        <is>
          <t>변동성 54.0%(1년 기준, 기준 35% 초과)</t>
        </is>
      </c>
      <c r="O515" s="95" t="inlineStr">
        <is>
          <t>코스피</t>
        </is>
      </c>
      <c r="P515" s="95" t="inlineStr">
        <is>
          <t>일반</t>
        </is>
      </c>
      <c r="Q515" s="95" t="inlineStr">
        <is>
          <t>주식</t>
        </is>
      </c>
      <c r="R515" s="95" t="inlineStr">
        <is>
          <t>연배당</t>
        </is>
      </c>
      <c r="S515" s="96" t="n">
        <v>1</v>
      </c>
      <c r="T515">
        <f>IF(AND($J515&lt;&gt;"",OR(조회_주기="전체",$R515=조회_주기),$J515&gt;=조회_최소,$J515&lt;=조회_최대),1,0)</f>
        <v/>
      </c>
      <c r="U515">
        <f>IF($T515=1,$U514+1,$U514)</f>
        <v/>
      </c>
      <c r="V515">
        <f>IF(검색어="",1,IF(ISNUMBER(SEARCH(검색어,$A515)),1,0))</f>
        <v/>
      </c>
      <c r="W515">
        <f>IF($V515=1,$W514+1,$W514)</f>
        <v/>
      </c>
      <c r="X515">
        <f>IFERROR(INDEX($A$4:$A$517,MATCH(512,$W$4:$W$517,0)),"")</f>
        <v/>
      </c>
    </row>
    <row r="516">
      <c r="A516" s="95" t="inlineStr">
        <is>
          <t>KIWOOM 인도Nifty50(합성)</t>
        </is>
      </c>
      <c r="B516" s="95" t="inlineStr">
        <is>
          <t>200250</t>
        </is>
      </c>
      <c r="C516" s="95" t="inlineStr">
        <is>
          <t>키움투자자산운용</t>
        </is>
      </c>
      <c r="D516" s="96" t="n">
        <v>20615</v>
      </c>
      <c r="E516" s="96" t="n">
        <v>162858500000</v>
      </c>
      <c r="F516" s="96" t="n">
        <v>260340597</v>
      </c>
      <c r="G516" s="97" t="n">
        <v>0.0029</v>
      </c>
      <c r="H516" s="97" t="n">
        <v>0.1708</v>
      </c>
      <c r="I516" s="97" t="n">
        <v>0.0001</v>
      </c>
      <c r="J516" s="97" t="n">
        <v>9.7e-05</v>
      </c>
      <c r="K516" s="96" t="n">
        <v>1</v>
      </c>
      <c r="L516" s="95" t="inlineStr">
        <is>
          <t>20251229</t>
        </is>
      </c>
      <c r="M516" s="95" t="inlineStr">
        <is>
          <t>제외</t>
        </is>
      </c>
      <c r="N516" s="95" t="inlineStr">
        <is>
          <t>60일 거래대금 2.6억(기준 5억 미만)</t>
        </is>
      </c>
      <c r="O516" s="95" t="inlineStr">
        <is>
          <t>CNX NIFTY INDEX</t>
        </is>
      </c>
      <c r="P516" s="95" t="inlineStr">
        <is>
          <t>일반</t>
        </is>
      </c>
      <c r="Q516" s="95" t="inlineStr">
        <is>
          <t>주식</t>
        </is>
      </c>
      <c r="R516" s="95" t="inlineStr">
        <is>
          <t>연배당</t>
        </is>
      </c>
      <c r="S516" s="96" t="n">
        <v>1</v>
      </c>
      <c r="T516">
        <f>IF(AND($J516&lt;&gt;"",OR(조회_주기="전체",$R516=조회_주기),$J516&gt;=조회_최소,$J516&lt;=조회_최대),1,0)</f>
        <v/>
      </c>
      <c r="U516">
        <f>IF($T516=1,$U515+1,$U515)</f>
        <v/>
      </c>
      <c r="V516">
        <f>IF(검색어="",1,IF(ISNUMBER(SEARCH(검색어,$A516)),1,0))</f>
        <v/>
      </c>
      <c r="W516">
        <f>IF($V516=1,$W515+1,$W515)</f>
        <v/>
      </c>
      <c r="X516">
        <f>IFERROR(INDEX($A$4:$A$517,MATCH(513,$W$4:$W$517,0)),"")</f>
        <v/>
      </c>
    </row>
    <row r="517">
      <c r="A517" s="95" t="inlineStr">
        <is>
          <t>RISE 미국달러SOFR금리액티브(합성)</t>
        </is>
      </c>
      <c r="B517" s="95" t="inlineStr">
        <is>
          <t>455960</t>
        </is>
      </c>
      <c r="C517" s="95" t="inlineStr">
        <is>
          <t>KB자산운용</t>
        </is>
      </c>
      <c r="D517" s="96" t="n">
        <v>12145</v>
      </c>
      <c r="E517" s="96" t="n">
        <v>55624100000</v>
      </c>
      <c r="F517" s="96" t="n">
        <v>30099924</v>
      </c>
      <c r="G517" s="97" t="n">
        <v>0.0005</v>
      </c>
      <c r="H517" s="97" t="n">
        <v>0.1027</v>
      </c>
      <c r="I517" s="97" t="n">
        <v>0.0001</v>
      </c>
      <c r="J517" s="97" t="n">
        <v>8.2e-05</v>
      </c>
      <c r="K517" s="96" t="n">
        <v>1</v>
      </c>
      <c r="L517" s="95" t="inlineStr">
        <is>
          <t>20251229</t>
        </is>
      </c>
      <c r="M517" s="95" t="inlineStr">
        <is>
          <t>제외</t>
        </is>
      </c>
      <c r="N517" s="95" t="inlineStr">
        <is>
          <t>60일 거래대금 0.3억(기준 5억 미만)</t>
        </is>
      </c>
      <c r="O517" s="95" t="inlineStr">
        <is>
          <t>KAP SOFR Index</t>
        </is>
      </c>
      <c r="P517" s="95" t="inlineStr">
        <is>
          <t>일반</t>
        </is>
      </c>
      <c r="Q517" s="95" t="inlineStr">
        <is>
          <t>단기자금(파킹형)</t>
        </is>
      </c>
      <c r="R517" s="95" t="inlineStr">
        <is>
          <t>연배당</t>
        </is>
      </c>
      <c r="S517" s="96" t="n">
        <v>1</v>
      </c>
      <c r="T517">
        <f>IF(AND($J517&lt;&gt;"",OR(조회_주기="전체",$R517=조회_주기),$J517&gt;=조회_최소,$J517&lt;=조회_최대),1,0)</f>
        <v/>
      </c>
      <c r="U517">
        <f>IF($T517=1,$U516+1,$U516)</f>
        <v/>
      </c>
      <c r="V517">
        <f>IF(검색어="",1,IF(ISNUMBER(SEARCH(검색어,$A517)),1,0))</f>
        <v/>
      </c>
      <c r="W517">
        <f>IF($V517=1,$W516+1,$W516)</f>
        <v/>
      </c>
      <c r="X517">
        <f>IFERROR(INDEX($A$4:$A$517,MATCH(514,$W$4:$W$517,0)),"")</f>
        <v/>
      </c>
    </row>
    <row r="518">
      <c r="A518" s="95" t="inlineStr">
        <is>
          <t>KODEX 삼성전자SK하이닉스채권혼합50</t>
        </is>
      </c>
      <c r="B518" s="95" t="inlineStr">
        <is>
          <t>0177N0</t>
        </is>
      </c>
      <c r="C518" s="95" t="inlineStr">
        <is>
          <t>삼성자산운용(ETF)</t>
        </is>
      </c>
      <c r="D518" s="96" t="n">
        <v>14085</v>
      </c>
      <c r="E518" s="96" t="n">
        <v>1509912000000</v>
      </c>
      <c r="F518" s="96" t="n">
        <v>84709580698</v>
      </c>
      <c r="G518" s="97" t="n">
        <v>0.0007000000000000001</v>
      </c>
      <c r="H518" s="97" t="n">
        <v>0.4846</v>
      </c>
      <c r="I518" s="97" t="n">
        <v>0.0016</v>
      </c>
      <c r="J518" s="97" t="n"/>
      <c r="K518" s="96" t="n">
        <v>5</v>
      </c>
      <c r="L518" s="95" t="inlineStr">
        <is>
          <t>20260914</t>
        </is>
      </c>
      <c r="M518" s="95" t="inlineStr">
        <is>
          <t>제외</t>
        </is>
      </c>
      <c r="N518" s="95" t="inlineStr">
        <is>
          <t>변동성 48.5%(112거래일 기준, 기준 35% 초과), 상장 5개월(기준 12개월 미만), 연 분배율 산출 불가(상장 1년 미만 — 12개월 창이 안 채워짐)</t>
        </is>
      </c>
      <c r="O518" s="95" t="inlineStr">
        <is>
          <t>Wise 삼성전자 SK하이닉스 채권혼합 지수</t>
        </is>
      </c>
      <c r="P518" s="95" t="inlineStr">
        <is>
          <t>일반</t>
        </is>
      </c>
      <c r="Q518" s="95" t="inlineStr">
        <is>
          <t>멀티에셋</t>
        </is>
      </c>
      <c r="R518" s="95" t="inlineStr">
        <is>
          <t>판정 불가</t>
        </is>
      </c>
      <c r="S518" s="96" t="n">
        <v>5</v>
      </c>
    </row>
    <row r="519">
      <c r="A519" s="95" t="inlineStr">
        <is>
          <t>RISE 코리아밸류업</t>
        </is>
      </c>
      <c r="B519" s="95" t="inlineStr">
        <is>
          <t>495050</t>
        </is>
      </c>
      <c r="C519" s="95" t="inlineStr">
        <is>
          <t>KB자산운용</t>
        </is>
      </c>
      <c r="D519" s="96" t="n"/>
      <c r="E519" s="96" t="n"/>
      <c r="F519" s="96" t="n"/>
      <c r="G519" s="97" t="n"/>
      <c r="H519" s="97" t="n"/>
      <c r="I519" s="97" t="n"/>
      <c r="J519" s="97" t="n"/>
      <c r="K519" s="96" t="n"/>
      <c r="L519" s="95" t="n"/>
      <c r="M519" s="95" t="inlineStr">
        <is>
          <t>제외</t>
        </is>
      </c>
      <c r="N519" s="95" t="inlineStr">
        <is>
          <t>수집 실패(세 번 다시 물었으나 답이 오지 않음: HTTP 403)</t>
        </is>
      </c>
      <c r="O519" s="95" t="inlineStr"/>
      <c r="P519" s="95" t="inlineStr">
        <is>
          <t>일반</t>
        </is>
      </c>
      <c r="Q519" s="95" t="inlineStr"/>
      <c r="R519" s="95" t="inlineStr"/>
      <c r="S519" s="96" t="n"/>
    </row>
    <row r="520">
      <c r="A520" s="95" t="inlineStr">
        <is>
          <t>TIGER 반도체TOP10커버드콜액티브</t>
        </is>
      </c>
      <c r="B520" s="95" t="inlineStr">
        <is>
          <t>0177R0</t>
        </is>
      </c>
      <c r="C520" s="95" t="inlineStr">
        <is>
          <t>미래에셋자산운용</t>
        </is>
      </c>
      <c r="D520" s="96" t="n">
        <v>10915</v>
      </c>
      <c r="E520" s="96" t="n">
        <v>816442000000</v>
      </c>
      <c r="F520" s="96" t="n">
        <v>31611175011</v>
      </c>
      <c r="G520" s="97" t="n">
        <v>0.004500000000000001</v>
      </c>
      <c r="H520" s="97" t="n">
        <v>0.9096</v>
      </c>
      <c r="I520" s="97" t="n">
        <v>0.0155</v>
      </c>
      <c r="J520" s="97" t="n"/>
      <c r="K520" s="96" t="n">
        <v>5</v>
      </c>
      <c r="L520" s="95" t="inlineStr">
        <is>
          <t>20260914</t>
        </is>
      </c>
      <c r="M520" s="95" t="inlineStr">
        <is>
          <t>제외</t>
        </is>
      </c>
      <c r="N520" s="95" t="inlineStr">
        <is>
          <t>변동성 91.0%(102거래일 기준, 기준 35% 초과), 상장 5개월(기준 12개월 미만), 연 분배율 산출 불가(상장 1년 미만 — 12개월 창이 안 채워짐)</t>
        </is>
      </c>
      <c r="O520" s="95" t="inlineStr">
        <is>
          <t>FnGuide 반도체 TOP10 Capped 지수</t>
        </is>
      </c>
      <c r="P520" s="95" t="inlineStr">
        <is>
          <t>커버드콜</t>
        </is>
      </c>
      <c r="Q520" s="95" t="inlineStr">
        <is>
          <t>주식</t>
        </is>
      </c>
      <c r="R520" s="95" t="inlineStr">
        <is>
          <t>판정 불가</t>
        </is>
      </c>
      <c r="S520" s="96" t="n">
        <v>5</v>
      </c>
    </row>
    <row r="521">
      <c r="A521" s="95" t="inlineStr">
        <is>
          <t>KODEX 200커버드콜액티브</t>
        </is>
      </c>
      <c r="B521" s="95" t="inlineStr">
        <is>
          <t>0219E0</t>
        </is>
      </c>
      <c r="C521" s="95" t="inlineStr">
        <is>
          <t>삼성자산운용(ETF)</t>
        </is>
      </c>
      <c r="D521" s="96" t="n">
        <v>8200</v>
      </c>
      <c r="E521" s="96" t="n">
        <v>764240000000</v>
      </c>
      <c r="F521" s="96" t="n">
        <v>46512886841</v>
      </c>
      <c r="G521" s="97" t="n">
        <v>0.005</v>
      </c>
      <c r="H521" s="97" t="n"/>
      <c r="I521" s="97" t="n">
        <v>0.0193</v>
      </c>
      <c r="J521" s="97" t="n"/>
      <c r="K521" s="96" t="n">
        <v>2</v>
      </c>
      <c r="L521" s="95" t="inlineStr">
        <is>
          <t>20260828</t>
        </is>
      </c>
      <c r="M521" s="95" t="inlineStr">
        <is>
          <t>제외</t>
        </is>
      </c>
      <c r="N521" s="95" t="inlineStr">
        <is>
          <t>변동성 산출 불가(시세 46일치뿐), 상장 2개월(기준 12개월 미만), 연 분배율 산출 불가(상장 1년 미만 — 12개월 창이 안 채워짐)</t>
        </is>
      </c>
      <c r="O521" s="95" t="inlineStr">
        <is>
          <t>코스피 200 커버드콜 5% OTM</t>
        </is>
      </c>
      <c r="P521" s="95" t="inlineStr">
        <is>
          <t>커버드콜</t>
        </is>
      </c>
      <c r="Q521" s="95" t="inlineStr">
        <is>
          <t>주식</t>
        </is>
      </c>
      <c r="R521" s="95" t="inlineStr">
        <is>
          <t>판정 불가</t>
        </is>
      </c>
      <c r="S521" s="96" t="n">
        <v>2</v>
      </c>
    </row>
    <row r="522">
      <c r="A522" s="95" t="inlineStr">
        <is>
          <t>SOL 200타겟위클리커버드콜</t>
        </is>
      </c>
      <c r="B522" s="95" t="inlineStr">
        <is>
          <t>0167B0</t>
        </is>
      </c>
      <c r="C522" s="95" t="inlineStr">
        <is>
          <t>신한자산운용</t>
        </is>
      </c>
      <c r="D522" s="96" t="n">
        <v>11550</v>
      </c>
      <c r="E522" s="96" t="n">
        <v>635250000000</v>
      </c>
      <c r="F522" s="96" t="n">
        <v>20233064240</v>
      </c>
      <c r="G522" s="97" t="n">
        <v>0.003</v>
      </c>
      <c r="H522" s="97" t="n">
        <v>0.6918000000000001</v>
      </c>
      <c r="I522" s="97" t="n">
        <v>0.0139</v>
      </c>
      <c r="J522" s="97" t="n"/>
      <c r="K522" s="96" t="n">
        <v>5</v>
      </c>
      <c r="L522" s="95" t="inlineStr">
        <is>
          <t>20260828</t>
        </is>
      </c>
      <c r="M522" s="95" t="inlineStr">
        <is>
          <t>제외</t>
        </is>
      </c>
      <c r="N522" s="95" t="inlineStr">
        <is>
          <t>변동성 69.2%(127거래일 기준, 기준 35% 초과), 상장 6개월(기준 12개월 미만), 연 분배율 산출 불가(상장 1년 미만 — 12개월 창이 안 채워짐)</t>
        </is>
      </c>
      <c r="O522" s="95" t="inlineStr">
        <is>
          <t>코스피 200 타겟 15% 위클리 커버드콜 지수</t>
        </is>
      </c>
      <c r="P522" s="95" t="inlineStr">
        <is>
          <t>커버드콜</t>
        </is>
      </c>
      <c r="Q522" s="95" t="inlineStr">
        <is>
          <t>주식</t>
        </is>
      </c>
      <c r="R522" s="95" t="inlineStr">
        <is>
          <t>판정 불가</t>
        </is>
      </c>
      <c r="S522" s="96" t="n">
        <v>5</v>
      </c>
    </row>
    <row r="523">
      <c r="A523" s="95" t="inlineStr">
        <is>
          <t>SOL 코리아고배당</t>
        </is>
      </c>
      <c r="B523" s="95" t="inlineStr">
        <is>
          <t>0105E0</t>
        </is>
      </c>
      <c r="C523" s="95" t="inlineStr">
        <is>
          <t>신한자산운용</t>
        </is>
      </c>
      <c r="D523" s="96" t="n">
        <v>12965</v>
      </c>
      <c r="E523" s="96" t="n">
        <v>535454500000</v>
      </c>
      <c r="F523" s="96" t="n">
        <v>6794564853</v>
      </c>
      <c r="G523" s="97" t="n">
        <v>0.0015</v>
      </c>
      <c r="H523" s="97" t="n">
        <v>0.3055</v>
      </c>
      <c r="I523" s="97" t="n">
        <v>0.0046</v>
      </c>
      <c r="J523" s="97" t="n"/>
      <c r="K523" s="96" t="n">
        <v>11</v>
      </c>
      <c r="L523" s="95" t="inlineStr">
        <is>
          <t>20260914</t>
        </is>
      </c>
      <c r="M523" s="95" t="inlineStr">
        <is>
          <t>제외</t>
        </is>
      </c>
      <c r="N523" s="95" t="inlineStr">
        <is>
          <t>연 분배율 산출 불가(상장 1년 미만 — 12개월 창이 안 채워짐)</t>
        </is>
      </c>
      <c r="O523" s="95" t="inlineStr">
        <is>
          <t>FnGuide 코리아 고배당 지수</t>
        </is>
      </c>
      <c r="P523" s="95" t="inlineStr">
        <is>
          <t>일반</t>
        </is>
      </c>
      <c r="Q523" s="95" t="inlineStr">
        <is>
          <t>주식</t>
        </is>
      </c>
      <c r="R523" s="95" t="inlineStr">
        <is>
          <t>월배당</t>
        </is>
      </c>
      <c r="S523" s="96" t="n">
        <v>11</v>
      </c>
    </row>
    <row r="524">
      <c r="A524" s="95" t="inlineStr">
        <is>
          <t>KODEX 미국성장커버드콜액티브</t>
        </is>
      </c>
      <c r="B524" s="95" t="inlineStr">
        <is>
          <t>0144L0</t>
        </is>
      </c>
      <c r="C524" s="95" t="inlineStr">
        <is>
          <t>삼성자산운용(ETF)</t>
        </is>
      </c>
      <c r="D524" s="96" t="n">
        <v>9440</v>
      </c>
      <c r="E524" s="96" t="n">
        <v>344560000000</v>
      </c>
      <c r="F524" s="96" t="n">
        <v>2432721815</v>
      </c>
      <c r="G524" s="97" t="n">
        <v>0.0049</v>
      </c>
      <c r="H524" s="97" t="n">
        <v>0.1814</v>
      </c>
      <c r="I524" s="97" t="n">
        <v>0.009899999999999999</v>
      </c>
      <c r="J524" s="97" t="n"/>
      <c r="K524" s="96" t="n">
        <v>8</v>
      </c>
      <c r="L524" s="95" t="inlineStr">
        <is>
          <t>20260828</t>
        </is>
      </c>
      <c r="M524" s="95" t="inlineStr">
        <is>
          <t>제외</t>
        </is>
      </c>
      <c r="N524" s="95" t="inlineStr">
        <is>
          <t>상장 9개월(기준 12개월 미만), 연 분배율 산출 불가(상장 1년 미만 — 12개월 창이 안 채워짐)</t>
        </is>
      </c>
      <c r="O524" s="95" t="inlineStr">
        <is>
          <t>나스닥 100</t>
        </is>
      </c>
      <c r="P524" s="95" t="inlineStr">
        <is>
          <t>커버드콜</t>
        </is>
      </c>
      <c r="Q524" s="95" t="inlineStr">
        <is>
          <t>주식</t>
        </is>
      </c>
      <c r="R524" s="95" t="inlineStr">
        <is>
          <t>판정 불가</t>
        </is>
      </c>
      <c r="S524" s="96" t="n">
        <v>8</v>
      </c>
    </row>
    <row r="525">
      <c r="A525" s="95" t="inlineStr">
        <is>
          <t>KIWOOM 삼성전자&amp;SK하이닉스채권혼합50</t>
        </is>
      </c>
      <c r="B525" s="95" t="inlineStr">
        <is>
          <t>0183V0</t>
        </is>
      </c>
      <c r="C525" s="95" t="inlineStr">
        <is>
          <t>키움투자자산운용</t>
        </is>
      </c>
      <c r="D525" s="96" t="n">
        <v>11650</v>
      </c>
      <c r="E525" s="96" t="n">
        <v>262125000000</v>
      </c>
      <c r="F525" s="96" t="n">
        <v>12992583716</v>
      </c>
      <c r="G525" s="97" t="n">
        <v>0.0007000000000000001</v>
      </c>
      <c r="H525" s="97" t="n">
        <v>0.5008</v>
      </c>
      <c r="I525" s="97" t="n">
        <v>0.0126</v>
      </c>
      <c r="J525" s="97" t="n"/>
      <c r="K525" s="96" t="n">
        <v>5</v>
      </c>
      <c r="L525" s="95" t="inlineStr">
        <is>
          <t>20260914</t>
        </is>
      </c>
      <c r="M525" s="95" t="inlineStr">
        <is>
          <t>제외</t>
        </is>
      </c>
      <c r="N525" s="95" t="inlineStr">
        <is>
          <t>변동성 50.1%(102거래일 기준, 기준 35% 초과), 상장 5개월(기준 12개월 미만), 연 분배율 산출 불가(상장 1년 미만 — 12개월 창이 안 채워짐)</t>
        </is>
      </c>
      <c r="O525" s="95" t="inlineStr">
        <is>
          <t>FnGuide 삼성전자 &amp; SK하이닉스 채권혼합 지수</t>
        </is>
      </c>
      <c r="P525" s="95" t="inlineStr">
        <is>
          <t>일반</t>
        </is>
      </c>
      <c r="Q525" s="95" t="inlineStr">
        <is>
          <t>멀티에셋</t>
        </is>
      </c>
      <c r="R525" s="95" t="inlineStr">
        <is>
          <t>판정 불가</t>
        </is>
      </c>
      <c r="S525" s="96" t="n">
        <v>5</v>
      </c>
    </row>
    <row r="526">
      <c r="A526" s="95" t="inlineStr">
        <is>
          <t>TIGER 200타겟위클리커버드콜</t>
        </is>
      </c>
      <c r="B526" s="95" t="inlineStr">
        <is>
          <t>0104N0</t>
        </is>
      </c>
      <c r="C526" s="95" t="inlineStr">
        <is>
          <t>미래에셋자산운용</t>
        </is>
      </c>
      <c r="D526" s="96" t="n">
        <v>20405</v>
      </c>
      <c r="E526" s="96" t="n">
        <v>210171500000</v>
      </c>
      <c r="F526" s="96" t="n">
        <v>3258148511</v>
      </c>
      <c r="G526" s="97" t="n">
        <v>0.0025</v>
      </c>
      <c r="H526" s="97" t="n">
        <v>0.5901</v>
      </c>
      <c r="I526" s="97" t="n">
        <v>0.0059</v>
      </c>
      <c r="J526" s="97" t="n"/>
      <c r="K526" s="96" t="n">
        <v>12</v>
      </c>
      <c r="L526" s="95" t="inlineStr">
        <is>
          <t>20260914</t>
        </is>
      </c>
      <c r="M526" s="95" t="inlineStr">
        <is>
          <t>제외</t>
        </is>
      </c>
      <c r="N526" s="95" t="inlineStr">
        <is>
          <t>변동성 59.0%(1년 기준, 기준 35% 초과), 연 분배율 산출 불가(상장 1년 미만 — 12개월 창이 안 채워짐)</t>
        </is>
      </c>
      <c r="O526" s="95" t="inlineStr">
        <is>
          <t>코스피 200 타겟 7% 위클리 커버드콜 지수</t>
        </is>
      </c>
      <c r="P526" s="95" t="inlineStr">
        <is>
          <t>커버드콜</t>
        </is>
      </c>
      <c r="Q526" s="95" t="inlineStr">
        <is>
          <t>주식</t>
        </is>
      </c>
      <c r="R526" s="95" t="inlineStr">
        <is>
          <t>월배당</t>
        </is>
      </c>
      <c r="S526" s="96" t="n">
        <v>12</v>
      </c>
    </row>
    <row r="527">
      <c r="A527" s="95" t="inlineStr">
        <is>
          <t>KODEX 반도체타겟위클리커버드콜</t>
        </is>
      </c>
      <c r="B527" s="95" t="inlineStr">
        <is>
          <t>0190G0</t>
        </is>
      </c>
      <c r="C527" s="95" t="inlineStr">
        <is>
          <t>삼성자산운용(ETF)</t>
        </is>
      </c>
      <c r="D527" s="96" t="n">
        <v>8900</v>
      </c>
      <c r="E527" s="96" t="n">
        <v>169990000000</v>
      </c>
      <c r="F527" s="96" t="n">
        <v>8629146849</v>
      </c>
      <c r="G527" s="97" t="n">
        <v>0.004500000000000001</v>
      </c>
      <c r="H527" s="97" t="n">
        <v>0.8543000000000001</v>
      </c>
      <c r="I527" s="97" t="n">
        <v>0.0074</v>
      </c>
      <c r="J527" s="97" t="n"/>
      <c r="K527" s="96" t="n">
        <v>4</v>
      </c>
      <c r="L527" s="95" t="inlineStr">
        <is>
          <t>20260828</t>
        </is>
      </c>
      <c r="M527" s="95" t="inlineStr">
        <is>
          <t>제외</t>
        </is>
      </c>
      <c r="N527" s="95" t="inlineStr">
        <is>
          <t>변동성 85.4%(89거래일 기준, 기준 35% 초과), 상장 4개월(기준 12개월 미만), 연 분배율 산출 불가(상장 1년 미만 — 12개월 창이 안 채워짐)</t>
        </is>
      </c>
      <c r="O527" s="95" t="inlineStr">
        <is>
          <t>KRX 반도체 타겟 9% 분배 위클리 커버드콜 지수</t>
        </is>
      </c>
      <c r="P527" s="95" t="inlineStr">
        <is>
          <t>커버드콜</t>
        </is>
      </c>
      <c r="Q527" s="95" t="inlineStr">
        <is>
          <t>주식</t>
        </is>
      </c>
      <c r="R527" s="95" t="inlineStr">
        <is>
          <t>판정 불가</t>
        </is>
      </c>
      <c r="S527" s="96" t="n">
        <v>4</v>
      </c>
    </row>
    <row r="528">
      <c r="A528" s="95" t="inlineStr">
        <is>
          <t>KODEX 주주환원고배당주</t>
        </is>
      </c>
      <c r="B528" s="95" t="inlineStr">
        <is>
          <t>0153K0</t>
        </is>
      </c>
      <c r="C528" s="95" t="inlineStr">
        <is>
          <t>삼성자산운용(ETF)</t>
        </is>
      </c>
      <c r="D528" s="96" t="n">
        <v>12340</v>
      </c>
      <c r="E528" s="96" t="n">
        <v>148080000000</v>
      </c>
      <c r="F528" s="96" t="n">
        <v>2480412336</v>
      </c>
      <c r="G528" s="97" t="n">
        <v>0.0033</v>
      </c>
      <c r="H528" s="97" t="n">
        <v>0.3539</v>
      </c>
      <c r="I528" s="97" t="n">
        <v>0.0038</v>
      </c>
      <c r="J528" s="97" t="n"/>
      <c r="K528" s="96" t="n">
        <v>7</v>
      </c>
      <c r="L528" s="95" t="inlineStr">
        <is>
          <t>20260914</t>
        </is>
      </c>
      <c r="M528" s="95" t="inlineStr">
        <is>
          <t>제외</t>
        </is>
      </c>
      <c r="N528" s="95" t="inlineStr">
        <is>
          <t>변동성 35.4%(163거래일 기준, 기준 35% 초과), 상장 8개월(기준 12개월 미만), 연 분배율 산출 불가(상장 1년 미만 — 12개월 창이 안 채워짐)</t>
        </is>
      </c>
      <c r="O528" s="95" t="inlineStr">
        <is>
          <t>Akros 주주환원 고배당 지수</t>
        </is>
      </c>
      <c r="P528" s="95" t="inlineStr">
        <is>
          <t>일반</t>
        </is>
      </c>
      <c r="Q528" s="95" t="inlineStr">
        <is>
          <t>주식</t>
        </is>
      </c>
      <c r="R528" s="95" t="inlineStr">
        <is>
          <t>판정 불가</t>
        </is>
      </c>
      <c r="S528" s="96" t="n">
        <v>7</v>
      </c>
    </row>
    <row r="529">
      <c r="A529" s="95" t="inlineStr">
        <is>
          <t>ACE 고배당주Plus커버드콜액티브</t>
        </is>
      </c>
      <c r="B529" s="95" t="inlineStr">
        <is>
          <t>0199C0</t>
        </is>
      </c>
      <c r="C529" s="95" t="inlineStr">
        <is>
          <t>한국투신운용(ETF)</t>
        </is>
      </c>
      <c r="D529" s="96" t="n">
        <v>9275</v>
      </c>
      <c r="E529" s="96" t="n">
        <v>138661250000</v>
      </c>
      <c r="F529" s="96" t="n">
        <v>6448035767</v>
      </c>
      <c r="G529" s="97" t="n">
        <v>0.004</v>
      </c>
      <c r="H529" s="97" t="n">
        <v>0.3574</v>
      </c>
      <c r="I529" s="97" t="n">
        <v>0.0179</v>
      </c>
      <c r="J529" s="97" t="n"/>
      <c r="K529" s="96" t="n">
        <v>3</v>
      </c>
      <c r="L529" s="95" t="inlineStr">
        <is>
          <t>20260828</t>
        </is>
      </c>
      <c r="M529" s="95" t="inlineStr">
        <is>
          <t>제외</t>
        </is>
      </c>
      <c r="N529" s="95" t="inlineStr">
        <is>
          <t>변동성 35.7%(75거래일 기준, 기준 35% 초과), 상장 3개월(기준 12개월 미만), 연 분배율 산출 불가(상장 1년 미만 — 12개월 창이 안 채워짐)</t>
        </is>
      </c>
      <c r="O529" s="95" t="inlineStr">
        <is>
          <t>KRX-Akros 고배당주 20 위클리 고정 30% 커버드콜 지수</t>
        </is>
      </c>
      <c r="P529" s="95" t="inlineStr">
        <is>
          <t>커버드콜</t>
        </is>
      </c>
      <c r="Q529" s="95" t="inlineStr">
        <is>
          <t>주식</t>
        </is>
      </c>
      <c r="R529" s="95" t="inlineStr">
        <is>
          <t>판정 불가</t>
        </is>
      </c>
      <c r="S529" s="96" t="n">
        <v>3</v>
      </c>
    </row>
    <row r="530">
      <c r="A530" s="95" t="inlineStr">
        <is>
          <t>PLUS 테슬라위클리커버드콜채권혼합</t>
        </is>
      </c>
      <c r="B530" s="95" t="inlineStr">
        <is>
          <t>0132K0</t>
        </is>
      </c>
      <c r="C530" s="95" t="inlineStr">
        <is>
          <t>한화자산운용</t>
        </is>
      </c>
      <c r="D530" s="96" t="n">
        <v>7875</v>
      </c>
      <c r="E530" s="96" t="n">
        <v>109068750000</v>
      </c>
      <c r="F530" s="96" t="n">
        <v>1289086664</v>
      </c>
      <c r="G530" s="97" t="n">
        <v>0.0039</v>
      </c>
      <c r="H530" s="97" t="n">
        <v>0.13</v>
      </c>
      <c r="I530" s="97" t="n">
        <v>0.02</v>
      </c>
      <c r="J530" s="97" t="n"/>
      <c r="K530" s="96" t="n">
        <v>10</v>
      </c>
      <c r="L530" s="95" t="inlineStr">
        <is>
          <t>20260914</t>
        </is>
      </c>
      <c r="M530" s="95" t="inlineStr">
        <is>
          <t>제외</t>
        </is>
      </c>
      <c r="N530" s="95" t="inlineStr">
        <is>
          <t>상장 9개월(기준 12개월 미만), 연 분배율 산출 불가(상장 1년 미만 — 12개월 창이 안 채워짐)</t>
        </is>
      </c>
      <c r="O530" s="95" t="inlineStr">
        <is>
          <t>Akros Tesla Weekly Covered Call Treasury Balanced Index</t>
        </is>
      </c>
      <c r="P530" s="95" t="inlineStr">
        <is>
          <t>커버드콜</t>
        </is>
      </c>
      <c r="Q530" s="95" t="inlineStr">
        <is>
          <t>멀티에셋</t>
        </is>
      </c>
      <c r="R530" s="95" t="inlineStr">
        <is>
          <t>판정 불가</t>
        </is>
      </c>
      <c r="S530" s="96" t="n">
        <v>10</v>
      </c>
    </row>
    <row r="531">
      <c r="A531" s="95" t="inlineStr">
        <is>
          <t>KIWOOM 코스닥150커버드콜액티브</t>
        </is>
      </c>
      <c r="B531" s="95" t="inlineStr">
        <is>
          <t>0198A0</t>
        </is>
      </c>
      <c r="C531" s="95" t="inlineStr">
        <is>
          <t>키움투자자산운용</t>
        </is>
      </c>
      <c r="D531" s="96" t="n">
        <v>8525</v>
      </c>
      <c r="E531" s="96" t="n">
        <v>75872500000</v>
      </c>
      <c r="F531" s="96" t="n">
        <v>4935833234</v>
      </c>
      <c r="G531" s="97" t="n">
        <v>0.0063</v>
      </c>
      <c r="H531" s="97" t="n"/>
      <c r="I531" s="97" t="n">
        <v>0.0243</v>
      </c>
      <c r="J531" s="97" t="n"/>
      <c r="K531" s="96" t="n">
        <v>2</v>
      </c>
      <c r="L531" s="95" t="inlineStr">
        <is>
          <t>20260828</t>
        </is>
      </c>
      <c r="M531" s="95" t="inlineStr">
        <is>
          <t>제외</t>
        </is>
      </c>
      <c r="N531" s="95" t="inlineStr">
        <is>
          <t>변동성 산출 불가(시세 56일치뿐), 상장 3개월(기준 12개월 미만), 연 분배율 산출 불가(상장 1년 미만 — 12개월 창이 안 채워짐)</t>
        </is>
      </c>
      <c r="O531" s="95" t="inlineStr">
        <is>
          <t>코스닥 150 위클리 고정 30% 커버드콜 지수</t>
        </is>
      </c>
      <c r="P531" s="95" t="inlineStr">
        <is>
          <t>커버드콜</t>
        </is>
      </c>
      <c r="Q531" s="95" t="inlineStr">
        <is>
          <t>주식</t>
        </is>
      </c>
      <c r="R531" s="95" t="inlineStr">
        <is>
          <t>판정 불가</t>
        </is>
      </c>
      <c r="S531" s="96" t="n">
        <v>2</v>
      </c>
    </row>
    <row r="532">
      <c r="A532" s="95" t="inlineStr">
        <is>
          <t>PLUS 200커버드콜액티브</t>
        </is>
      </c>
      <c r="B532" s="95" t="inlineStr">
        <is>
          <t>0210E0</t>
        </is>
      </c>
      <c r="C532" s="95" t="inlineStr">
        <is>
          <t>한화자산운용</t>
        </is>
      </c>
      <c r="D532" s="96" t="n">
        <v>7200</v>
      </c>
      <c r="E532" s="96" t="n">
        <v>68400000000</v>
      </c>
      <c r="F532" s="96" t="n">
        <v>2655603987</v>
      </c>
      <c r="G532" s="97" t="n">
        <v>0.00491</v>
      </c>
      <c r="H532" s="97" t="n">
        <v>0.7618</v>
      </c>
      <c r="I532" s="97" t="n">
        <v>0.0194</v>
      </c>
      <c r="J532" s="97" t="n"/>
      <c r="K532" s="96" t="n">
        <v>2</v>
      </c>
      <c r="L532" s="95" t="inlineStr">
        <is>
          <t>20260828</t>
        </is>
      </c>
      <c r="M532" s="95" t="inlineStr">
        <is>
          <t>제외</t>
        </is>
      </c>
      <c r="N532" s="95" t="inlineStr">
        <is>
          <t>변동성 76.2%(61거래일 기준, 기준 35% 초과), 상장 3개월(기준 12개월 미만), 연 분배율 산출 불가(상장 1년 미만 — 12개월 창이 안 채워짐)</t>
        </is>
      </c>
      <c r="O532" s="95" t="inlineStr">
        <is>
          <t>코스피 200 위클리 고정 30% 커버드콜 지수</t>
        </is>
      </c>
      <c r="P532" s="95" t="inlineStr">
        <is>
          <t>커버드콜</t>
        </is>
      </c>
      <c r="Q532" s="95" t="inlineStr">
        <is>
          <t>주식</t>
        </is>
      </c>
      <c r="R532" s="95" t="inlineStr">
        <is>
          <t>판정 불가</t>
        </is>
      </c>
      <c r="S532" s="96" t="n">
        <v>2</v>
      </c>
    </row>
    <row r="533">
      <c r="A533" s="95" t="inlineStr">
        <is>
          <t>HANARO 증권고배당TOP3플러스</t>
        </is>
      </c>
      <c r="B533" s="95" t="inlineStr">
        <is>
          <t>0111J0</t>
        </is>
      </c>
      <c r="C533" s="95" t="inlineStr">
        <is>
          <t>NH-Amundi자산운용</t>
        </is>
      </c>
      <c r="D533" s="96" t="n">
        <v>11960</v>
      </c>
      <c r="E533" s="96" t="n">
        <v>52026000000</v>
      </c>
      <c r="F533" s="96" t="n">
        <v>1791597554</v>
      </c>
      <c r="G533" s="97" t="n">
        <v>0.0007000000000000001</v>
      </c>
      <c r="H533" s="97" t="n">
        <v>0.6399</v>
      </c>
      <c r="I533" s="97" t="n">
        <v>0.0032</v>
      </c>
      <c r="J533" s="97" t="n"/>
      <c r="K533" s="96" t="n">
        <v>8</v>
      </c>
      <c r="L533" s="95" t="inlineStr">
        <is>
          <t>20260828</t>
        </is>
      </c>
      <c r="M533" s="95" t="inlineStr">
        <is>
          <t>제외</t>
        </is>
      </c>
      <c r="N533" s="95" t="inlineStr">
        <is>
          <t>변동성 64.0%(1년 기준, 기준 35% 초과), 상장 11개월(기준 12개월 미만), 연 분배율 산출 불가(상장 1년 미만 — 12개월 창이 안 채워짐)</t>
        </is>
      </c>
      <c r="O533" s="95" t="inlineStr">
        <is>
          <t>FnGuide 증권 고배당 TOP3 플러스 지수</t>
        </is>
      </c>
      <c r="P533" s="95" t="inlineStr">
        <is>
          <t>일반</t>
        </is>
      </c>
      <c r="Q533" s="95" t="inlineStr">
        <is>
          <t>주식</t>
        </is>
      </c>
      <c r="R533" s="95" t="inlineStr">
        <is>
          <t>판정 불가</t>
        </is>
      </c>
      <c r="S533" s="96" t="n">
        <v>8</v>
      </c>
    </row>
    <row r="534">
      <c r="A534" s="95" t="inlineStr">
        <is>
          <t>ACE 고배당주</t>
        </is>
      </c>
      <c r="B534" s="95" t="inlineStr">
        <is>
          <t>0139P0</t>
        </is>
      </c>
      <c r="C534" s="95" t="inlineStr">
        <is>
          <t>한국투신운용(ETF)</t>
        </is>
      </c>
      <c r="D534" s="96" t="n">
        <v>13500</v>
      </c>
      <c r="E534" s="96" t="n">
        <v>49950000000</v>
      </c>
      <c r="F534" s="96" t="n">
        <v>613867092</v>
      </c>
      <c r="G534" s="97" t="n">
        <v>0.0015</v>
      </c>
      <c r="H534" s="97" t="n">
        <v>0.3892</v>
      </c>
      <c r="I534" s="97" t="n">
        <v>0.0038</v>
      </c>
      <c r="J534" s="97" t="n"/>
      <c r="K534" s="96" t="n">
        <v>9</v>
      </c>
      <c r="L534" s="95" t="inlineStr">
        <is>
          <t>20260828</t>
        </is>
      </c>
      <c r="M534" s="95" t="inlineStr">
        <is>
          <t>제외</t>
        </is>
      </c>
      <c r="N534" s="95" t="inlineStr">
        <is>
          <t>변동성 38.9%(185거래일 기준, 기준 35% 초과), 상장 9개월(기준 12개월 미만), 연 분배율 산출 불가(상장 1년 미만 — 12개월 창이 안 채워짐)</t>
        </is>
      </c>
      <c r="O534" s="95" t="inlineStr">
        <is>
          <t>KRX-Akros 고배당주 20 지수</t>
        </is>
      </c>
      <c r="P534" s="95" t="inlineStr">
        <is>
          <t>일반</t>
        </is>
      </c>
      <c r="Q534" s="95" t="inlineStr">
        <is>
          <t>주식</t>
        </is>
      </c>
      <c r="R534" s="95" t="inlineStr">
        <is>
          <t>판정 불가</t>
        </is>
      </c>
      <c r="S534" s="96" t="n">
        <v>9</v>
      </c>
    </row>
    <row r="535">
      <c r="A535" s="95" t="inlineStr">
        <is>
          <t>KoAct 고배당액티브</t>
        </is>
      </c>
      <c r="B535" s="95" t="inlineStr">
        <is>
          <t>0222D0</t>
        </is>
      </c>
      <c r="C535" s="95" t="inlineStr">
        <is>
          <t>삼성액티브자산(ETF)</t>
        </is>
      </c>
      <c r="D535" s="96" t="n">
        <v>10445</v>
      </c>
      <c r="E535" s="96" t="n">
        <v>33946250000</v>
      </c>
      <c r="F535" s="96" t="n"/>
      <c r="G535" s="97" t="n">
        <v>0.005</v>
      </c>
      <c r="H535" s="97" t="n"/>
      <c r="I535" s="97" t="n">
        <v>0.008100000000000001</v>
      </c>
      <c r="J535" s="97" t="n"/>
      <c r="K535" s="96" t="n">
        <v>1</v>
      </c>
      <c r="L535" s="95" t="inlineStr">
        <is>
          <t>20260828</t>
        </is>
      </c>
      <c r="M535" s="95" t="inlineStr">
        <is>
          <t>제외</t>
        </is>
      </c>
      <c r="N535" s="95" t="inlineStr">
        <is>
          <t>거래대금 미확인, 변동성 산출 불가(시세 37일치뿐), 상장 2개월(기준 12개월 미만), 연 분배율 산출 불가(상장 1년 미만 — 12개월 창이 안 채워짐)</t>
        </is>
      </c>
      <c r="O535" s="95" t="inlineStr">
        <is>
          <t>K200고배당</t>
        </is>
      </c>
      <c r="P535" s="95" t="inlineStr">
        <is>
          <t>일반</t>
        </is>
      </c>
      <c r="Q535" s="95" t="inlineStr">
        <is>
          <t>주식</t>
        </is>
      </c>
      <c r="R535" s="95" t="inlineStr">
        <is>
          <t>판정 불가</t>
        </is>
      </c>
      <c r="S535" s="96" t="n">
        <v>1</v>
      </c>
    </row>
    <row r="536">
      <c r="A536" s="95" t="inlineStr">
        <is>
          <t>RISE 코리아금융고배당</t>
        </is>
      </c>
      <c r="B536" s="95" t="inlineStr">
        <is>
          <t>498860</t>
        </is>
      </c>
      <c r="C536" s="95" t="inlineStr">
        <is>
          <t>KB자산운용</t>
        </is>
      </c>
      <c r="D536" s="96" t="n"/>
      <c r="E536" s="96" t="n"/>
      <c r="F536" s="96" t="n"/>
      <c r="G536" s="97" t="n"/>
      <c r="H536" s="97" t="n"/>
      <c r="I536" s="97" t="n"/>
      <c r="J536" s="97" t="n"/>
      <c r="K536" s="96" t="n"/>
      <c r="L536" s="95" t="n"/>
      <c r="M536" s="95" t="inlineStr">
        <is>
          <t>제외</t>
        </is>
      </c>
      <c r="N536" s="95" t="inlineStr">
        <is>
          <t>수집 실패(세 번 다시 물었으나 답이 오지 않음: page.goto: net::ERR_EMPTY_RESPONSE at https://www.etfcheck.co.kr/
Call log:
  - )</t>
        </is>
      </c>
      <c r="O536" s="95" t="inlineStr"/>
      <c r="P536" s="95" t="inlineStr">
        <is>
          <t>일반</t>
        </is>
      </c>
      <c r="Q536" s="95" t="inlineStr"/>
      <c r="R536" s="95" t="inlineStr"/>
      <c r="S536" s="96" t="n"/>
    </row>
    <row r="537">
      <c r="A537" s="95" t="inlineStr">
        <is>
          <t>RISE 미국S&amp;P500데일리고정커버드콜</t>
        </is>
      </c>
      <c r="B537" s="95" t="inlineStr">
        <is>
          <t>0138T0</t>
        </is>
      </c>
      <c r="C537" s="95" t="inlineStr">
        <is>
          <t>KB자산운용</t>
        </is>
      </c>
      <c r="D537" s="96" t="n"/>
      <c r="E537" s="96" t="n"/>
      <c r="F537" s="96" t="n"/>
      <c r="G537" s="97" t="n"/>
      <c r="H537" s="97" t="n"/>
      <c r="I537" s="97" t="n"/>
      <c r="J537" s="97" t="n"/>
      <c r="K537" s="96" t="n"/>
      <c r="L537" s="95" t="n"/>
      <c r="M537" s="95" t="inlineStr">
        <is>
          <t>제외</t>
        </is>
      </c>
      <c r="N537" s="95" t="inlineStr">
        <is>
          <t>수집 실패(세 번 다시 물었으나 답이 오지 않음: HTTP 0)</t>
        </is>
      </c>
      <c r="O537" s="95" t="inlineStr"/>
      <c r="P537" s="95" t="inlineStr">
        <is>
          <t>커버드콜</t>
        </is>
      </c>
      <c r="Q537" s="95" t="inlineStr"/>
      <c r="R537" s="95" t="inlineStr"/>
      <c r="S537" s="96" t="n"/>
    </row>
    <row r="538">
      <c r="A538" s="95" t="inlineStr">
        <is>
          <t>KIWOOM 미국고배당&amp;AI테크</t>
        </is>
      </c>
      <c r="B538" s="95" t="inlineStr">
        <is>
          <t>0107F0</t>
        </is>
      </c>
      <c r="C538" s="95" t="inlineStr">
        <is>
          <t>키움투자자산운용</t>
        </is>
      </c>
      <c r="D538" s="96" t="n">
        <v>11110</v>
      </c>
      <c r="E538" s="96" t="n">
        <v>28330500000</v>
      </c>
      <c r="F538" s="96" t="n">
        <v>154310846</v>
      </c>
      <c r="G538" s="97" t="n">
        <v>0.004500000000000001</v>
      </c>
      <c r="H538" s="97" t="n">
        <v>0.1482</v>
      </c>
      <c r="I538" s="97" t="n">
        <v>0.003</v>
      </c>
      <c r="J538" s="97" t="n"/>
      <c r="K538" s="96" t="n">
        <v>11</v>
      </c>
      <c r="L538" s="95" t="inlineStr">
        <is>
          <t>20260828</t>
        </is>
      </c>
      <c r="M538" s="95" t="inlineStr">
        <is>
          <t>제외</t>
        </is>
      </c>
      <c r="N538" s="95" t="inlineStr">
        <is>
          <t>순자산 283억(기준 300억 미만), 60일 거래대금 1.5억(기준 5억 미만), 연 분배율 산출 불가(상장 1년 미만 — 12개월 창이 안 채워짐)</t>
        </is>
      </c>
      <c r="O538" s="95" t="inlineStr">
        <is>
          <t>Akros U.S. AI Tech Top10 &amp; High Dividend 3070 Index</t>
        </is>
      </c>
      <c r="P538" s="95" t="inlineStr">
        <is>
          <t>일반</t>
        </is>
      </c>
      <c r="Q538" s="95" t="inlineStr">
        <is>
          <t>주식</t>
        </is>
      </c>
      <c r="R538" s="95" t="inlineStr">
        <is>
          <t>월배당</t>
        </is>
      </c>
      <c r="S538" s="96" t="n">
        <v>11</v>
      </c>
    </row>
    <row r="539">
      <c r="A539" s="95" t="inlineStr">
        <is>
          <t>1Q 엔비디아알파벳미국채혼합50</t>
        </is>
      </c>
      <c r="B539" s="95" t="inlineStr">
        <is>
          <t>0224X0</t>
        </is>
      </c>
      <c r="C539" s="95" t="inlineStr">
        <is>
          <t>하나자산운용</t>
        </is>
      </c>
      <c r="D539" s="96" t="n">
        <v>9750</v>
      </c>
      <c r="E539" s="96" t="n">
        <v>27300000000</v>
      </c>
      <c r="F539" s="96" t="n"/>
      <c r="G539" s="97" t="n">
        <v>0.004500000000000001</v>
      </c>
      <c r="H539" s="97" t="n"/>
      <c r="I539" s="97" t="n">
        <v>0.0012</v>
      </c>
      <c r="J539" s="97" t="n"/>
      <c r="K539" s="96" t="n">
        <v>1</v>
      </c>
      <c r="L539" s="95" t="inlineStr">
        <is>
          <t>20260828</t>
        </is>
      </c>
      <c r="M539" s="95" t="inlineStr">
        <is>
          <t>제외</t>
        </is>
      </c>
      <c r="N539" s="95" t="inlineStr">
        <is>
          <t>순자산 273억(기준 300억 미만), 거래대금 미확인, 변동성 산출 불가(시세 37일치뿐), 상장 2개월(기준 12개월 미만), 연 분배율 산출 불가(상장 1년 미만 — 12개월 창이 안 채워짐)</t>
        </is>
      </c>
      <c r="O539" s="95" t="inlineStr">
        <is>
          <t>KEDI Nvidia Alphabet U.S. Short-Term Treasury Balanced 50 In</t>
        </is>
      </c>
      <c r="P539" s="95" t="inlineStr">
        <is>
          <t>일반</t>
        </is>
      </c>
      <c r="Q539" s="95" t="inlineStr">
        <is>
          <t>멀티에셋</t>
        </is>
      </c>
      <c r="R539" s="95" t="inlineStr">
        <is>
          <t>판정 불가</t>
        </is>
      </c>
      <c r="S539" s="96" t="n">
        <v>1</v>
      </c>
    </row>
    <row r="540">
      <c r="A540" s="95" t="inlineStr">
        <is>
          <t>RISE 미국고배당다우존스TOP10</t>
        </is>
      </c>
      <c r="B540" s="95" t="inlineStr">
        <is>
          <t>0115C0</t>
        </is>
      </c>
      <c r="C540" s="95" t="inlineStr">
        <is>
          <t>KB자산운용</t>
        </is>
      </c>
      <c r="D540" s="96" t="n">
        <v>10900</v>
      </c>
      <c r="E540" s="96" t="n">
        <v>25615000000</v>
      </c>
      <c r="F540" s="96" t="n">
        <v>194060333</v>
      </c>
      <c r="G540" s="97" t="n">
        <v>0.0001</v>
      </c>
      <c r="H540" s="97" t="n">
        <v>0.1603</v>
      </c>
      <c r="I540" s="97" t="n">
        <v>0.0031</v>
      </c>
      <c r="J540" s="97" t="n"/>
      <c r="K540" s="96" t="n">
        <v>10</v>
      </c>
      <c r="L540" s="95" t="inlineStr">
        <is>
          <t>20260914</t>
        </is>
      </c>
      <c r="M540" s="95" t="inlineStr">
        <is>
          <t>제외</t>
        </is>
      </c>
      <c r="N540" s="95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540" s="95" t="inlineStr">
        <is>
          <t>Dow Jones U.S. High Dividend 10 Index (USD)</t>
        </is>
      </c>
      <c r="P540" s="95" t="inlineStr">
        <is>
          <t>일반</t>
        </is>
      </c>
      <c r="Q540" s="95" t="inlineStr">
        <is>
          <t>주식</t>
        </is>
      </c>
      <c r="R540" s="95" t="inlineStr">
        <is>
          <t>판정 불가</t>
        </is>
      </c>
      <c r="S540" s="96" t="n">
        <v>10</v>
      </c>
    </row>
    <row r="541">
      <c r="A541" s="95" t="inlineStr">
        <is>
          <t>SOL 배당성향탑픽액티브</t>
        </is>
      </c>
      <c r="B541" s="95" t="inlineStr">
        <is>
          <t>0152E0</t>
        </is>
      </c>
      <c r="C541" s="95" t="inlineStr">
        <is>
          <t>신한자산운용</t>
        </is>
      </c>
      <c r="D541" s="96" t="n">
        <v>10715</v>
      </c>
      <c r="E541" s="96" t="n">
        <v>25180250000</v>
      </c>
      <c r="F541" s="96" t="n">
        <v>242941345</v>
      </c>
      <c r="G541" s="97" t="n">
        <v>0.003</v>
      </c>
      <c r="H541" s="97" t="n">
        <v>0.3309</v>
      </c>
      <c r="I541" s="97" t="n">
        <v>0.0046</v>
      </c>
      <c r="J541" s="97" t="n"/>
      <c r="K541" s="96" t="n">
        <v>7</v>
      </c>
      <c r="L541" s="95" t="inlineStr">
        <is>
          <t>20260828</t>
        </is>
      </c>
      <c r="M541" s="95" t="inlineStr">
        <is>
          <t>제외</t>
        </is>
      </c>
      <c r="N541" s="95" t="inlineStr">
        <is>
          <t>순자산 252억(기준 300억 미만), 60일 거래대금 2.4억(기준 5억 미만), 상장 8개월(기준 12개월 미만), 연 분배율 산출 불가(상장 1년 미만 — 12개월 창이 안 채워짐)</t>
        </is>
      </c>
      <c r="O541" s="95" t="inlineStr">
        <is>
          <t>FnGuide 배당성향탑픽 지수</t>
        </is>
      </c>
      <c r="P541" s="95" t="inlineStr">
        <is>
          <t>일반</t>
        </is>
      </c>
      <c r="Q541" s="95" t="inlineStr">
        <is>
          <t>주식</t>
        </is>
      </c>
      <c r="R541" s="95" t="inlineStr">
        <is>
          <t>판정 불가</t>
        </is>
      </c>
      <c r="S541" s="96" t="n">
        <v>7</v>
      </c>
    </row>
    <row r="542">
      <c r="A542" s="95" t="inlineStr">
        <is>
          <t>PLUS 미국고배당주액티브</t>
        </is>
      </c>
      <c r="B542" s="95" t="inlineStr">
        <is>
          <t>0153X0</t>
        </is>
      </c>
      <c r="C542" s="95" t="inlineStr">
        <is>
          <t>한화자산운용</t>
        </is>
      </c>
      <c r="D542" s="96" t="n">
        <v>11190</v>
      </c>
      <c r="E542" s="96" t="n">
        <v>21261000000</v>
      </c>
      <c r="F542" s="96" t="n">
        <v>498219630</v>
      </c>
      <c r="G542" s="97" t="n">
        <v>0.0023</v>
      </c>
      <c r="H542" s="97" t="n">
        <v>0.1555</v>
      </c>
      <c r="I542" s="97" t="n">
        <v>0.004099999999999999</v>
      </c>
      <c r="J542" s="97" t="n"/>
      <c r="K542" s="96" t="n">
        <v>7</v>
      </c>
      <c r="L542" s="95" t="inlineStr">
        <is>
          <t>20260828</t>
        </is>
      </c>
      <c r="M542" s="95" t="inlineStr">
        <is>
          <t>제외</t>
        </is>
      </c>
      <c r="N542" s="95" t="inlineStr">
        <is>
          <t>순자산 213억(기준 300억 미만), 60일 거래대금 5.0억(기준 5억 미만), 상장 8개월(기준 12개월 미만), 연 분배율 산출 불가(상장 1년 미만 — 12개월 창이 안 채워짐)</t>
        </is>
      </c>
      <c r="O542" s="95" t="inlineStr">
        <is>
          <t>Akros U.S. High Dividend 20 Index</t>
        </is>
      </c>
      <c r="P542" s="95" t="inlineStr">
        <is>
          <t>일반</t>
        </is>
      </c>
      <c r="Q542" s="95" t="inlineStr">
        <is>
          <t>주식</t>
        </is>
      </c>
      <c r="R542" s="95" t="inlineStr">
        <is>
          <t>판정 불가</t>
        </is>
      </c>
      <c r="S542" s="96" t="n">
        <v>7</v>
      </c>
    </row>
    <row r="543">
      <c r="A543" s="95" t="inlineStr">
        <is>
          <t>SOL 코스피200채권혼합50</t>
        </is>
      </c>
      <c r="B543" s="95" t="inlineStr">
        <is>
          <t>0192S0</t>
        </is>
      </c>
      <c r="C543" s="95" t="inlineStr">
        <is>
          <t>신한자산운용</t>
        </is>
      </c>
      <c r="D543" s="96" t="n">
        <v>9335</v>
      </c>
      <c r="E543" s="96" t="n">
        <v>20537000000</v>
      </c>
      <c r="F543" s="96" t="n">
        <v>1882190049</v>
      </c>
      <c r="G543" s="97" t="n">
        <v>0.0015</v>
      </c>
      <c r="H543" s="97" t="n">
        <v>0.3958</v>
      </c>
      <c r="I543" s="97" t="n">
        <v>0.0013</v>
      </c>
      <c r="J543" s="97" t="n"/>
      <c r="K543" s="96" t="n">
        <v>3</v>
      </c>
      <c r="L543" s="95" t="inlineStr">
        <is>
          <t>20260828</t>
        </is>
      </c>
      <c r="M543" s="95" t="inlineStr">
        <is>
          <t>제외</t>
        </is>
      </c>
      <c r="N543" s="95" t="inlineStr">
        <is>
          <t>순자산 205억(기준 300억 미만), 변동성 39.6%(84거래일 기준, 기준 35% 초과), 상장 4개월(기준 12개월 미만), 연 분배율 산출 불가(상장 1년 미만 — 12개월 창이 안 채워짐)</t>
        </is>
      </c>
      <c r="O543" s="95" t="inlineStr">
        <is>
          <t>코스피 200 KTB 혼합지수</t>
        </is>
      </c>
      <c r="P543" s="95" t="inlineStr">
        <is>
          <t>일반</t>
        </is>
      </c>
      <c r="Q543" s="95" t="inlineStr">
        <is>
          <t>멀티에셋</t>
        </is>
      </c>
      <c r="R543" s="95" t="inlineStr">
        <is>
          <t>판정 불가</t>
        </is>
      </c>
      <c r="S543" s="96" t="n">
        <v>3</v>
      </c>
    </row>
    <row r="544">
      <c r="A544" s="95" t="inlineStr">
        <is>
          <t>TIGER 코리아배당다우존스위클리커버드콜</t>
        </is>
      </c>
      <c r="B544" s="95" t="inlineStr">
        <is>
          <t>0104P0</t>
        </is>
      </c>
      <c r="C544" s="95" t="inlineStr">
        <is>
          <t>미래에셋자산운용</t>
        </is>
      </c>
      <c r="D544" s="96" t="n">
        <v>11045</v>
      </c>
      <c r="E544" s="96" t="n">
        <v>18776500000</v>
      </c>
      <c r="F544" s="96" t="n">
        <v>266826140</v>
      </c>
      <c r="G544" s="97" t="n">
        <v>0.0025</v>
      </c>
      <c r="H544" s="97" t="n">
        <v>0.3104</v>
      </c>
      <c r="I544" s="97" t="n">
        <v>0.0098</v>
      </c>
      <c r="J544" s="97" t="n"/>
      <c r="K544" s="96" t="n">
        <v>11</v>
      </c>
      <c r="L544" s="95" t="inlineStr">
        <is>
          <t>20260828</t>
        </is>
      </c>
      <c r="M544" s="95" t="inlineStr">
        <is>
          <t>제외</t>
        </is>
      </c>
      <c r="N544" s="95" t="inlineStr">
        <is>
          <t>순자산 188억(기준 300억 미만), 60일 거래대금 2.7억(기준 5억 미만), 연 분배율 산출 불가(상장 1년 미만 — 12개월 창이 안 채워짐)</t>
        </is>
      </c>
      <c r="O544" s="95" t="inlineStr">
        <is>
          <t>KRX 다우존스 코리아 배당 30 타겟 7% 위클리 커버드콜 지수</t>
        </is>
      </c>
      <c r="P544" s="95" t="inlineStr">
        <is>
          <t>커버드콜</t>
        </is>
      </c>
      <c r="Q544" s="95" t="inlineStr">
        <is>
          <t>주식</t>
        </is>
      </c>
      <c r="R544" s="95" t="inlineStr">
        <is>
          <t>월배당</t>
        </is>
      </c>
      <c r="S544" s="96" t="n">
        <v>11</v>
      </c>
    </row>
    <row r="545">
      <c r="A545" s="95" t="inlineStr">
        <is>
          <t>RISE 코스닥커버드콜액티브</t>
        </is>
      </c>
      <c r="B545" s="95" t="inlineStr">
        <is>
          <t>0223A0</t>
        </is>
      </c>
      <c r="C545" s="95" t="inlineStr">
        <is>
          <t>KB자산운용</t>
        </is>
      </c>
      <c r="D545" s="96" t="n">
        <v>10685</v>
      </c>
      <c r="E545" s="96" t="n">
        <v>17096000000</v>
      </c>
      <c r="F545" s="96" t="n"/>
      <c r="G545" s="97" t="n">
        <v>0.003</v>
      </c>
      <c r="H545" s="97" t="n"/>
      <c r="I545" s="97" t="n">
        <v>0.02</v>
      </c>
      <c r="J545" s="97" t="n"/>
      <c r="K545" s="96" t="n">
        <v>1</v>
      </c>
      <c r="L545" s="95" t="inlineStr">
        <is>
          <t>20260828</t>
        </is>
      </c>
      <c r="M545" s="95" t="inlineStr">
        <is>
          <t>제외</t>
        </is>
      </c>
      <c r="N545" s="95" t="inlineStr">
        <is>
          <t>순자산 171억(기준 300억 미만), 거래대금 미확인, 변동성 산출 불가(시세 37일치뿐), 상장 2개월(기준 12개월 미만), 연 분배율 산출 불가(상장 1년 미만 — 12개월 창이 안 채워짐)</t>
        </is>
      </c>
      <c r="O545" s="95" t="inlineStr">
        <is>
          <t>코스닥 150 타겟 15% 위클리 커버드콜 지수</t>
        </is>
      </c>
      <c r="P545" s="95" t="inlineStr">
        <is>
          <t>커버드콜</t>
        </is>
      </c>
      <c r="Q545" s="95" t="inlineStr">
        <is>
          <t>주식</t>
        </is>
      </c>
      <c r="R545" s="95" t="inlineStr">
        <is>
          <t>판정 불가</t>
        </is>
      </c>
      <c r="S545" s="96" t="n">
        <v>1</v>
      </c>
    </row>
    <row r="546">
      <c r="A546" s="95" t="inlineStr">
        <is>
          <t>KIWOOM 미국대형주500월간목표헤지액티브</t>
        </is>
      </c>
      <c r="B546" s="95" t="inlineStr">
        <is>
          <t>0084E0</t>
        </is>
      </c>
      <c r="C546" s="95" t="inlineStr">
        <is>
          <t>키움투자자산운용</t>
        </is>
      </c>
      <c r="D546" s="96" t="n">
        <v>10115</v>
      </c>
      <c r="E546" s="96" t="n">
        <v>14666750000</v>
      </c>
      <c r="F546" s="96" t="n">
        <v>1425792</v>
      </c>
      <c r="G546" s="97" t="n">
        <v>0.0049</v>
      </c>
      <c r="H546" s="97" t="n">
        <v>0.1157</v>
      </c>
      <c r="I546" s="97" t="n">
        <v>0.0016</v>
      </c>
      <c r="J546" s="97" t="n"/>
      <c r="K546" s="96" t="n">
        <v>10</v>
      </c>
      <c r="L546" s="95" t="inlineStr">
        <is>
          <t>20260828</t>
        </is>
      </c>
      <c r="M546" s="95" t="inlineStr">
        <is>
          <t>제외</t>
        </is>
      </c>
      <c r="N546" s="95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546" s="95" t="inlineStr">
        <is>
          <t>Akros U.S. Large Cap 500 Protective Allocation Monthly Index</t>
        </is>
      </c>
      <c r="P546" s="95" t="inlineStr">
        <is>
          <t>일반</t>
        </is>
      </c>
      <c r="Q546" s="95" t="inlineStr">
        <is>
          <t>멀티에셋</t>
        </is>
      </c>
      <c r="R546" s="95" t="inlineStr">
        <is>
          <t>판정 불가</t>
        </is>
      </c>
      <c r="S546" s="96" t="n">
        <v>10</v>
      </c>
    </row>
    <row r="547">
      <c r="A547" s="95" t="inlineStr">
        <is>
          <t>ACE 리츠부동산인프라액티브</t>
        </is>
      </c>
      <c r="B547" s="95" t="inlineStr">
        <is>
          <t>0153P0</t>
        </is>
      </c>
      <c r="C547" s="95" t="inlineStr">
        <is>
          <t>한국투신운용(ETF)</t>
        </is>
      </c>
      <c r="D547" s="96" t="n">
        <v>9415</v>
      </c>
      <c r="E547" s="96" t="n">
        <v>13651750000</v>
      </c>
      <c r="F547" s="96" t="n">
        <v>72057936</v>
      </c>
      <c r="G547" s="97" t="n">
        <v>0.0005999999999999999</v>
      </c>
      <c r="H547" s="97" t="n">
        <v>0.1901</v>
      </c>
      <c r="I547" s="97" t="n">
        <v>0.005699999999999999</v>
      </c>
      <c r="J547" s="97" t="n"/>
      <c r="K547" s="96" t="n">
        <v>7</v>
      </c>
      <c r="L547" s="95" t="inlineStr">
        <is>
          <t>20260828</t>
        </is>
      </c>
      <c r="M547" s="95" t="inlineStr">
        <is>
          <t>제외</t>
        </is>
      </c>
      <c r="N547" s="95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547" s="95" t="inlineStr">
        <is>
          <t>FnGuide 맥쿼리인프라 배당 리츠 지수</t>
        </is>
      </c>
      <c r="P547" s="95" t="inlineStr">
        <is>
          <t>일반</t>
        </is>
      </c>
      <c r="Q547" s="95" t="inlineStr">
        <is>
          <t>부동산</t>
        </is>
      </c>
      <c r="R547" s="95" t="inlineStr">
        <is>
          <t>판정 불가</t>
        </is>
      </c>
      <c r="S547" s="96" t="n">
        <v>7</v>
      </c>
    </row>
    <row r="548">
      <c r="A548" s="95" t="inlineStr">
        <is>
          <t>KIWOOM 현대차그룹TOP3채권혼합50</t>
        </is>
      </c>
      <c r="B548" s="95" t="inlineStr">
        <is>
          <t>0220A0</t>
        </is>
      </c>
      <c r="C548" s="95" t="inlineStr">
        <is>
          <t>키움투자자산운용</t>
        </is>
      </c>
      <c r="D548" s="96" t="n">
        <v>8925</v>
      </c>
      <c r="E548" s="96" t="n">
        <v>13387500000</v>
      </c>
      <c r="F548" s="96" t="n">
        <v>410451414</v>
      </c>
      <c r="G548" s="97" t="n">
        <v>0.0015</v>
      </c>
      <c r="H548" s="97" t="n"/>
      <c r="I548" s="97" t="n">
        <v>0.0022</v>
      </c>
      <c r="J548" s="97" t="n"/>
      <c r="K548" s="96" t="n">
        <v>1</v>
      </c>
      <c r="L548" s="95" t="inlineStr">
        <is>
          <t>20260828</t>
        </is>
      </c>
      <c r="M548" s="95" t="inlineStr">
        <is>
          <t>제외</t>
        </is>
      </c>
      <c r="N548" s="95" t="inlineStr">
        <is>
          <t>순자산 134억(기준 300억 미만), 60일 거래대금 4.1억(기준 5억 미만), 변동성 산출 불가(시세 46일치뿐), 상장 2개월(기준 12개월 미만), 연 분배율 산출 불가(상장 1년 미만 — 12개월 창이 안 채워짐)</t>
        </is>
      </c>
      <c r="O548" s="95" t="inlineStr">
        <is>
          <t>FnGuide 현대차그룹TOP3 채권혼합지수</t>
        </is>
      </c>
      <c r="P548" s="95" t="inlineStr">
        <is>
          <t>일반</t>
        </is>
      </c>
      <c r="Q548" s="95" t="inlineStr">
        <is>
          <t>멀티에셋</t>
        </is>
      </c>
      <c r="R548" s="95" t="inlineStr">
        <is>
          <t>판정 불가</t>
        </is>
      </c>
      <c r="S548" s="96" t="n">
        <v>1</v>
      </c>
    </row>
    <row r="549">
      <c r="A549" s="95" t="inlineStr">
        <is>
          <t>KIWOOM 미국S&amp;P500 TOP10&amp;배당다우비중전환</t>
        </is>
      </c>
      <c r="B549" s="95" t="inlineStr">
        <is>
          <t>0127V0</t>
        </is>
      </c>
      <c r="C549" s="95" t="inlineStr">
        <is>
          <t>키움투자자산운용</t>
        </is>
      </c>
      <c r="D549" s="96" t="n">
        <v>10690</v>
      </c>
      <c r="E549" s="96" t="n">
        <v>13362500000</v>
      </c>
      <c r="F549" s="96" t="n">
        <v>36512027</v>
      </c>
      <c r="G549" s="97" t="n">
        <v>0.0019</v>
      </c>
      <c r="H549" s="97" t="n">
        <v>0.1583</v>
      </c>
      <c r="I549" s="97" t="n">
        <v>0.0009</v>
      </c>
      <c r="J549" s="97" t="n"/>
      <c r="K549" s="96" t="n">
        <v>9</v>
      </c>
      <c r="L549" s="95" t="inlineStr">
        <is>
          <t>20260828</t>
        </is>
      </c>
      <c r="M549" s="95" t="inlineStr">
        <is>
          <t>제외</t>
        </is>
      </c>
      <c r="N549" s="95" t="inlineStr">
        <is>
          <t>순자산 134억(기준 300억 미만), 60일 거래대금 0.4억(기준 5억 미만), 상장 10개월(기준 12개월 미만), 연 분배율 산출 불가(상장 1년 미만 — 12개월 창이 안 채워짐)</t>
        </is>
      </c>
      <c r="O549" s="95" t="inlineStr">
        <is>
          <t>S&amp;P 500 Top 10 and Dow Jones U.S. Dividend 100 Life Cycle 20</t>
        </is>
      </c>
      <c r="P549" s="95" t="inlineStr">
        <is>
          <t>일반</t>
        </is>
      </c>
      <c r="Q549" s="95" t="inlineStr">
        <is>
          <t>주식</t>
        </is>
      </c>
      <c r="R549" s="95" t="inlineStr">
        <is>
          <t>판정 불가</t>
        </is>
      </c>
      <c r="S549" s="96" t="n">
        <v>9</v>
      </c>
    </row>
    <row r="550">
      <c r="A550" s="95" t="inlineStr">
        <is>
          <t>KIWOOM 미국S&amp;P500&amp;배당다우존스비중전환</t>
        </is>
      </c>
      <c r="B550" s="95" t="inlineStr">
        <is>
          <t>0127T0</t>
        </is>
      </c>
      <c r="C550" s="95" t="inlineStr">
        <is>
          <t>키움투자자산운용</t>
        </is>
      </c>
      <c r="D550" s="96" t="n">
        <v>10950</v>
      </c>
      <c r="E550" s="96" t="n">
        <v>13140000000</v>
      </c>
      <c r="F550" s="96" t="n">
        <v>40387689</v>
      </c>
      <c r="G550" s="97" t="n">
        <v>0.0009</v>
      </c>
      <c r="H550" s="97" t="n">
        <v>0.1319</v>
      </c>
      <c r="I550" s="97" t="n">
        <v>0.0013</v>
      </c>
      <c r="J550" s="97" t="n"/>
      <c r="K550" s="96" t="n">
        <v>9</v>
      </c>
      <c r="L550" s="95" t="inlineStr">
        <is>
          <t>20260828</t>
        </is>
      </c>
      <c r="M550" s="95" t="inlineStr">
        <is>
          <t>제외</t>
        </is>
      </c>
      <c r="N550" s="95" t="inlineStr">
        <is>
          <t>순자산 131억(기준 300억 미만), 60일 거래대금 0.4억(기준 5억 미만), 상장 10개월(기준 12개월 미만), 연 분배율 산출 불가(상장 1년 미만 — 12개월 창이 안 채워짐)</t>
        </is>
      </c>
      <c r="O550" s="95" t="inlineStr">
        <is>
          <t>S&amp;P 500 and Dow Jones U.S. Dividend 100 Life Cycle 2040 Inde</t>
        </is>
      </c>
      <c r="P550" s="95" t="inlineStr">
        <is>
          <t>일반</t>
        </is>
      </c>
      <c r="Q550" s="95" t="inlineStr">
        <is>
          <t>주식</t>
        </is>
      </c>
      <c r="R550" s="95" t="inlineStr">
        <is>
          <t>판정 불가</t>
        </is>
      </c>
      <c r="S550" s="96" t="n">
        <v>9</v>
      </c>
    </row>
    <row r="551">
      <c r="A551" s="95" t="inlineStr">
        <is>
          <t>KIWOOM SK하이닉스선물단일종목레버리지</t>
        </is>
      </c>
      <c r="B551" s="95" t="inlineStr">
        <is>
          <t>0194R0</t>
        </is>
      </c>
      <c r="C551" s="95" t="inlineStr">
        <is>
          <t>키움투자자산운용</t>
        </is>
      </c>
      <c r="D551" s="96" t="n">
        <v>8715</v>
      </c>
      <c r="E551" s="96" t="n">
        <v>11983125000</v>
      </c>
      <c r="F551" s="96" t="n">
        <v>4348280970</v>
      </c>
      <c r="G551" s="97" t="n">
        <v>0.0025</v>
      </c>
      <c r="H551" s="97" t="n">
        <v>2.3653</v>
      </c>
      <c r="I551" s="97" t="n">
        <v>0.0008</v>
      </c>
      <c r="J551" s="97" t="n"/>
      <c r="K551" s="96" t="n">
        <v>3</v>
      </c>
      <c r="L551" s="95" t="inlineStr">
        <is>
          <t>20260914</t>
        </is>
      </c>
      <c r="M551" s="95" t="inlineStr">
        <is>
          <t>제외</t>
        </is>
      </c>
      <c r="N551" s="95" t="inlineStr">
        <is>
          <t>순자산 120억(기준 300억 미만), 변동성 236.5%(79거래일 기준, 기준 35% 초과), 상장 4개월(기준 12개월 미만), 연 분배율 산출 불가(상장 1년 미만 — 12개월 창이 안 채워짐)</t>
        </is>
      </c>
      <c r="O551" s="95" t="inlineStr">
        <is>
          <t>KRX SK하이닉스 선물 지수</t>
        </is>
      </c>
      <c r="P551" s="95" t="inlineStr">
        <is>
          <t>일반</t>
        </is>
      </c>
      <c r="Q551" s="95" t="inlineStr">
        <is>
          <t>주식</t>
        </is>
      </c>
      <c r="R551" s="95" t="inlineStr">
        <is>
          <t>판정 불가</t>
        </is>
      </c>
      <c r="S551" s="96" t="n">
        <v>3</v>
      </c>
    </row>
    <row r="552">
      <c r="A552" s="95" t="inlineStr">
        <is>
          <t>PLUS 200위클리커버드콜채권혼합</t>
        </is>
      </c>
      <c r="B552" s="95" t="inlineStr">
        <is>
          <t>0203D0</t>
        </is>
      </c>
      <c r="C552" s="95" t="inlineStr">
        <is>
          <t>한화자산운용</t>
        </is>
      </c>
      <c r="D552" s="96" t="n">
        <v>8885</v>
      </c>
      <c r="E552" s="96" t="n">
        <v>10662000000</v>
      </c>
      <c r="F552" s="96" t="n">
        <v>266538561</v>
      </c>
      <c r="G552" s="97" t="n">
        <v>0.0039</v>
      </c>
      <c r="H552" s="97" t="n">
        <v>0.3785</v>
      </c>
      <c r="I552" s="97" t="n">
        <v>0.006999999999999999</v>
      </c>
      <c r="J552" s="97" t="n"/>
      <c r="K552" s="96" t="n">
        <v>3</v>
      </c>
      <c r="L552" s="95" t="inlineStr">
        <is>
          <t>20260828</t>
        </is>
      </c>
      <c r="M552" s="95" t="inlineStr">
        <is>
          <t>제외</t>
        </is>
      </c>
      <c r="N552" s="95" t="inlineStr">
        <is>
          <t>순자산 107억(기준 300억 미만), 60일 거래대금 2.7억(기준 5억 미만), 변동성 37.9%(75거래일 기준, 기준 35% 초과), 상장 3개월(기준 12개월 미만), 연 분배율 산출 불가(상장 1년 미만 — 12개월 창이 안 채워짐)</t>
        </is>
      </c>
      <c r="O552" s="95" t="inlineStr">
        <is>
          <t>코스피 200 KTB 혼합 위클리 고정 10% 커버드콜 지수</t>
        </is>
      </c>
      <c r="P552" s="95" t="inlineStr">
        <is>
          <t>커버드콜</t>
        </is>
      </c>
      <c r="Q552" s="95" t="inlineStr">
        <is>
          <t>멀티에셋</t>
        </is>
      </c>
      <c r="R552" s="95" t="inlineStr">
        <is>
          <t>판정 불가</t>
        </is>
      </c>
      <c r="S552" s="96" t="n">
        <v>3</v>
      </c>
    </row>
    <row r="553">
      <c r="A553" s="95" t="inlineStr">
        <is>
          <t>DAISHIN 금융&amp;지주고배당</t>
        </is>
      </c>
      <c r="B553" s="95" t="inlineStr">
        <is>
          <t>0189Z0</t>
        </is>
      </c>
      <c r="C553" s="95" t="inlineStr">
        <is>
          <t>대신자산운용</t>
        </is>
      </c>
      <c r="D553" s="96" t="n">
        <v>10390</v>
      </c>
      <c r="E553" s="96" t="n">
        <v>10390000000</v>
      </c>
      <c r="F553" s="96" t="n">
        <v>37678576</v>
      </c>
      <c r="G553" s="97" t="n">
        <v>0.0024</v>
      </c>
      <c r="H553" s="97" t="n">
        <v>0.2838</v>
      </c>
      <c r="I553" s="97" t="n">
        <v>0.002</v>
      </c>
      <c r="J553" s="97" t="n"/>
      <c r="K553" s="96" t="n">
        <v>2</v>
      </c>
      <c r="L553" s="95" t="inlineStr">
        <is>
          <t>20260828</t>
        </is>
      </c>
      <c r="M553" s="95" t="inlineStr">
        <is>
          <t>제외</t>
        </is>
      </c>
      <c r="N553" s="95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553" s="95" t="inlineStr">
        <is>
          <t>KRX-Akros 금융 &amp; 지주 고배당 지수</t>
        </is>
      </c>
      <c r="P553" s="95" t="inlineStr">
        <is>
          <t>일반</t>
        </is>
      </c>
      <c r="Q553" s="95" t="inlineStr">
        <is>
          <t>주식</t>
        </is>
      </c>
      <c r="R553" s="95" t="inlineStr">
        <is>
          <t>판정 불가</t>
        </is>
      </c>
      <c r="S553" s="96" t="n">
        <v>2</v>
      </c>
    </row>
    <row r="554">
      <c r="A554" s="95" t="inlineStr">
        <is>
          <t>KIWOOM 미국우주테크TOP2채권혼합50</t>
        </is>
      </c>
      <c r="B554" s="95" t="inlineStr">
        <is>
          <t>0216K0</t>
        </is>
      </c>
      <c r="C554" s="95" t="inlineStr">
        <is>
          <t>키움투자자산운용</t>
        </is>
      </c>
      <c r="D554" s="96" t="n">
        <v>8770</v>
      </c>
      <c r="E554" s="96" t="n">
        <v>8770000000</v>
      </c>
      <c r="F554" s="96" t="n">
        <v>423914377</v>
      </c>
      <c r="G554" s="97" t="n">
        <v>0.0021</v>
      </c>
      <c r="H554" s="97" t="n"/>
      <c r="I554" s="97" t="n">
        <v>0.0012</v>
      </c>
      <c r="J554" s="97" t="n"/>
      <c r="K554" s="96" t="n">
        <v>1</v>
      </c>
      <c r="L554" s="95" t="inlineStr">
        <is>
          <t>20260828</t>
        </is>
      </c>
      <c r="M554" s="95" t="inlineStr">
        <is>
          <t>제외</t>
        </is>
      </c>
      <c r="N554" s="95" t="inlineStr">
        <is>
          <t>순자산 88억(기준 300억 미만), 60일 거래대금 4.2억(기준 5억 미만), 변동성 산출 불가(시세 51일치뿐), 상장 2개월(기준 12개월 미만), 연 분배율 산출 불가(상장 1년 미만 — 12개월 창이 안 채워짐)</t>
        </is>
      </c>
      <c r="O554" s="95" t="inlineStr">
        <is>
          <t>Akros 미국우주 Top2 채권혼합 지수</t>
        </is>
      </c>
      <c r="P554" s="95" t="inlineStr">
        <is>
          <t>일반</t>
        </is>
      </c>
      <c r="Q554" s="95" t="inlineStr">
        <is>
          <t>멀티에셋</t>
        </is>
      </c>
      <c r="R554" s="95" t="inlineStr">
        <is>
          <t>판정 불가</t>
        </is>
      </c>
      <c r="S554" s="96" t="n">
        <v>1</v>
      </c>
    </row>
    <row r="555">
      <c r="A555" s="95" t="inlineStr">
        <is>
          <t>KIWOOM 삼성전자선물단일종목레버리지</t>
        </is>
      </c>
      <c r="B555" s="95" t="inlineStr">
        <is>
          <t>0194N0</t>
        </is>
      </c>
      <c r="C555" s="95" t="inlineStr">
        <is>
          <t>키움투자자산운용</t>
        </is>
      </c>
      <c r="D555" s="96" t="n">
        <v>10180</v>
      </c>
      <c r="E555" s="96" t="n">
        <v>7889500000</v>
      </c>
      <c r="F555" s="96" t="n">
        <v>1808567407</v>
      </c>
      <c r="G555" s="97" t="n">
        <v>0.0025</v>
      </c>
      <c r="H555" s="97" t="n">
        <v>1.9276</v>
      </c>
      <c r="I555" s="97" t="n">
        <v>0.001</v>
      </c>
      <c r="J555" s="97" t="n"/>
      <c r="K555" s="96" t="n">
        <v>3</v>
      </c>
      <c r="L555" s="95" t="inlineStr">
        <is>
          <t>20260828</t>
        </is>
      </c>
      <c r="M555" s="95" t="inlineStr">
        <is>
          <t>제외</t>
        </is>
      </c>
      <c r="N555" s="95" t="inlineStr">
        <is>
          <t>순자산 79억(기준 300억 미만), 변동성 192.8%(79거래일 기준, 기준 35% 초과), 상장 4개월(기준 12개월 미만), 연 분배율 산출 불가(상장 1년 미만 — 12개월 창이 안 채워짐)</t>
        </is>
      </c>
      <c r="O555" s="95" t="inlineStr">
        <is>
          <t>KRX 삼성전자 선물 지수</t>
        </is>
      </c>
      <c r="P555" s="95" t="inlineStr">
        <is>
          <t>일반</t>
        </is>
      </c>
      <c r="Q555" s="95" t="inlineStr">
        <is>
          <t>주식</t>
        </is>
      </c>
      <c r="R555" s="95" t="inlineStr">
        <is>
          <t>판정 불가</t>
        </is>
      </c>
      <c r="S555" s="96" t="n">
        <v>3</v>
      </c>
    </row>
    <row r="556">
      <c r="A556" s="95" t="inlineStr">
        <is>
          <t>FOCUS AI반도체위클리고정커버드콜</t>
        </is>
      </c>
      <c r="B556" s="95" t="inlineStr">
        <is>
          <t>0176P0</t>
        </is>
      </c>
      <c r="C556" s="95" t="inlineStr">
        <is>
          <t>브이아이자산운용</t>
        </is>
      </c>
      <c r="D556" s="96" t="n">
        <v>12855</v>
      </c>
      <c r="E556" s="96" t="n">
        <v>7070250000</v>
      </c>
      <c r="F556" s="96" t="n">
        <v>162507061</v>
      </c>
      <c r="G556" s="97" t="n">
        <v>0.003</v>
      </c>
      <c r="H556" s="97" t="n">
        <v>0.7973</v>
      </c>
      <c r="I556" s="97" t="n">
        <v>0.0143</v>
      </c>
      <c r="J556" s="97" t="n"/>
      <c r="K556" s="96" t="n">
        <v>5</v>
      </c>
      <c r="L556" s="95" t="inlineStr">
        <is>
          <t>20260828</t>
        </is>
      </c>
      <c r="M556" s="95" t="inlineStr">
        <is>
          <t>제외</t>
        </is>
      </c>
      <c r="N556" s="95" t="inlineStr">
        <is>
          <t>순자산 71억(기준 300억 미만), 60일 거래대금 1.6억(기준 5억 미만), 변동성 79.7%(112거래일 기준, 기준 35% 초과), 상장 5개월(기준 12개월 미만), 연 분배율 산출 불가(상장 1년 미만 — 12개월 창이 안 채워짐)</t>
        </is>
      </c>
      <c r="O556" s="95" t="inlineStr">
        <is>
          <t>AI 반도체 위클리 고정 30% 커버드콜 지수</t>
        </is>
      </c>
      <c r="P556" s="95" t="inlineStr">
        <is>
          <t>커버드콜</t>
        </is>
      </c>
      <c r="Q556" s="95" t="inlineStr">
        <is>
          <t>주식</t>
        </is>
      </c>
      <c r="R556" s="95" t="inlineStr">
        <is>
          <t>판정 불가</t>
        </is>
      </c>
      <c r="S556" s="96" t="n">
        <v>5</v>
      </c>
    </row>
    <row r="557">
      <c r="A557" s="95" t="inlineStr">
        <is>
          <t>DAISHIN 오피스리츠플러스</t>
        </is>
      </c>
      <c r="B557" s="95" t="inlineStr">
        <is>
          <t>0174J0</t>
        </is>
      </c>
      <c r="C557" s="95" t="inlineStr">
        <is>
          <t>대신자산운용</t>
        </is>
      </c>
      <c r="D557" s="96" t="n">
        <v>8630</v>
      </c>
      <c r="E557" s="96" t="n">
        <v>5178000000</v>
      </c>
      <c r="F557" s="96" t="n">
        <v>33218507</v>
      </c>
      <c r="G557" s="97" t="n">
        <v>0.0019</v>
      </c>
      <c r="H557" s="97" t="n">
        <v>0.2787</v>
      </c>
      <c r="I557" s="97" t="n">
        <v>0.0046</v>
      </c>
      <c r="J557" s="97" t="n"/>
      <c r="K557" s="96" t="n">
        <v>5</v>
      </c>
      <c r="L557" s="95" t="inlineStr">
        <is>
          <t>20260828</t>
        </is>
      </c>
      <c r="M557" s="95" t="inlineStr">
        <is>
          <t>제외</t>
        </is>
      </c>
      <c r="N557" s="95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557" s="95" t="inlineStr">
        <is>
          <t>KRX 프라임 오피스 리츠 지수</t>
        </is>
      </c>
      <c r="P557" s="95" t="inlineStr">
        <is>
          <t>일반</t>
        </is>
      </c>
      <c r="Q557" s="95" t="inlineStr">
        <is>
          <t>부동산</t>
        </is>
      </c>
      <c r="R557" s="95" t="inlineStr">
        <is>
          <t>판정 불가</t>
        </is>
      </c>
      <c r="S557" s="96" t="n">
        <v>5</v>
      </c>
    </row>
    <row r="558">
      <c r="A558" s="95" t="inlineStr">
        <is>
          <t>PLUS 차이나항셍테크위클리타겟커버드콜</t>
        </is>
      </c>
      <c r="B558" s="95" t="inlineStr">
        <is>
          <t>0128D0</t>
        </is>
      </c>
      <c r="C558" s="95" t="inlineStr">
        <is>
          <t>한화자산운용</t>
        </is>
      </c>
      <c r="D558" s="96" t="n">
        <v>6435</v>
      </c>
      <c r="E558" s="96" t="n">
        <v>4504500000</v>
      </c>
      <c r="F558" s="96" t="n">
        <v>28869290</v>
      </c>
      <c r="G558" s="97" t="n">
        <v>0.0039</v>
      </c>
      <c r="H558" s="97" t="n">
        <v>0.2719</v>
      </c>
      <c r="I558" s="97" t="n">
        <v>0.0125</v>
      </c>
      <c r="J558" s="97" t="n"/>
      <c r="K558" s="96" t="n">
        <v>9</v>
      </c>
      <c r="L558" s="95" t="inlineStr">
        <is>
          <t>20260828</t>
        </is>
      </c>
      <c r="M558" s="95" t="inlineStr">
        <is>
          <t>제외</t>
        </is>
      </c>
      <c r="N558" s="95" t="inlineStr">
        <is>
          <t>순자산 45억(기준 300억 미만), 60일 거래대금 0.3억(기준 5억 미만), 상장 10개월(기준 12개월 미만), 연 분배율 산출 불가(상장 1년 미만 — 12개월 창이 안 채워짐)</t>
        </is>
      </c>
      <c r="O558" s="95" t="inlineStr">
        <is>
          <t>HSTECH 15% Target Premium Weekly Covered Call Index</t>
        </is>
      </c>
      <c r="P558" s="95" t="inlineStr">
        <is>
          <t>커버드콜</t>
        </is>
      </c>
      <c r="Q558" s="95" t="inlineStr">
        <is>
          <t>주식</t>
        </is>
      </c>
      <c r="R558" s="95" t="inlineStr">
        <is>
          <t>판정 불가</t>
        </is>
      </c>
      <c r="S558" s="96" t="n">
        <v>9</v>
      </c>
    </row>
    <row r="559">
      <c r="A559" s="95" t="inlineStr">
        <is>
          <t>RISE 삼성전자SK하이닉스채권혼합50</t>
        </is>
      </c>
      <c r="B559" s="95" t="inlineStr">
        <is>
          <t>0162Z0</t>
        </is>
      </c>
      <c r="C559" s="95" t="inlineStr">
        <is>
          <t>KB자산운용</t>
        </is>
      </c>
      <c r="D559" s="96" t="n">
        <v>13390</v>
      </c>
      <c r="E559" s="96" t="n">
        <v>4055831000000</v>
      </c>
      <c r="F559" s="96" t="n">
        <v>148720586256</v>
      </c>
      <c r="G559" s="97" t="n">
        <v>0.0001</v>
      </c>
      <c r="H559" s="97" t="n">
        <v>0.4815</v>
      </c>
      <c r="I559" s="97" t="n">
        <v>0.0022</v>
      </c>
      <c r="J559" s="97" t="n"/>
      <c r="K559" s="96" t="n">
        <v>2</v>
      </c>
      <c r="L559" s="95" t="inlineStr">
        <is>
          <t>20260730</t>
        </is>
      </c>
      <c r="M559" s="95" t="inlineStr">
        <is>
          <t>제외</t>
        </is>
      </c>
      <c r="N559" s="95" t="inlineStr">
        <is>
          <t>변동성 48.1%(139거래일 기준, 기준 35% 초과), 상장 7개월(기준 12개월 미만), 연 분배율 산출 불가(상장 1년 미만 — 12개월 창이 안 채워짐)</t>
        </is>
      </c>
      <c r="O559" s="95" t="inlineStr">
        <is>
          <t>KAP 삼성전자SK하이닉스채권혼합50지수</t>
        </is>
      </c>
      <c r="P559" s="95" t="inlineStr">
        <is>
          <t>일반</t>
        </is>
      </c>
      <c r="Q559" s="95" t="inlineStr">
        <is>
          <t>멀티에셋</t>
        </is>
      </c>
      <c r="R559" s="95" t="inlineStr">
        <is>
          <t>판정 불가</t>
        </is>
      </c>
      <c r="S559" s="96" t="n">
        <v>2</v>
      </c>
    </row>
    <row r="560">
      <c r="A560" s="95" t="inlineStr">
        <is>
          <t>TIGER 코리아AI전력기기TOP3플러스</t>
        </is>
      </c>
      <c r="B560" s="95" t="inlineStr">
        <is>
          <t>0117V0</t>
        </is>
      </c>
      <c r="C560" s="95" t="inlineStr">
        <is>
          <t>미래에셋자산운용</t>
        </is>
      </c>
      <c r="D560" s="96" t="n">
        <v>18675</v>
      </c>
      <c r="E560" s="96" t="n">
        <v>1000046250000</v>
      </c>
      <c r="F560" s="96" t="n">
        <v>48446770693</v>
      </c>
      <c r="G560" s="97" t="n">
        <v>0.004</v>
      </c>
      <c r="H560" s="97" t="n">
        <v>0.7401000000000001</v>
      </c>
      <c r="I560" s="97" t="n">
        <v>0.0066</v>
      </c>
      <c r="J560" s="97" t="n"/>
      <c r="K560" s="96" t="n">
        <v>1</v>
      </c>
      <c r="L560" s="95" t="inlineStr">
        <is>
          <t>20260730</t>
        </is>
      </c>
      <c r="M560" s="95" t="inlineStr">
        <is>
          <t>제외</t>
        </is>
      </c>
      <c r="N560" s="95" t="inlineStr">
        <is>
          <t>변동성 74.0%(1년 기준, 기준 35% 초과), 상장 11개월(기준 12개월 미만), 연 분배율 산출 불가(상장 1년 미만 — 12개월 창이 안 채워짐)</t>
        </is>
      </c>
      <c r="O560" s="95" t="inlineStr">
        <is>
          <t>KEDI 코리아AI전력기기TOP3플러스 지수</t>
        </is>
      </c>
      <c r="P560" s="95" t="inlineStr">
        <is>
          <t>일반</t>
        </is>
      </c>
      <c r="Q560" s="95" t="inlineStr">
        <is>
          <t>주식</t>
        </is>
      </c>
      <c r="R560" s="95" t="inlineStr">
        <is>
          <t>판정 불가</t>
        </is>
      </c>
      <c r="S560" s="96" t="n">
        <v>1</v>
      </c>
    </row>
    <row r="561">
      <c r="A561" s="95" t="inlineStr">
        <is>
          <t>KODEX 26-12 금융채(AA-이상)액티브</t>
        </is>
      </c>
      <c r="B561" s="95" t="inlineStr">
        <is>
          <t>0117L0</t>
        </is>
      </c>
      <c r="C561" s="95" t="inlineStr">
        <is>
          <t>삼성자산운용(ETF)</t>
        </is>
      </c>
      <c r="D561" s="96" t="n">
        <v>10170</v>
      </c>
      <c r="E561" s="96" t="n">
        <v>870958800000</v>
      </c>
      <c r="F561" s="96" t="n">
        <v>294005191</v>
      </c>
      <c r="G561" s="97" t="n">
        <v>0.0009</v>
      </c>
      <c r="H561" s="97" t="n">
        <v>0.006</v>
      </c>
      <c r="I561" s="97" t="n">
        <v>0.0053</v>
      </c>
      <c r="J561" s="97" t="n"/>
      <c r="K561" s="96" t="n">
        <v>1</v>
      </c>
      <c r="L561" s="95" t="inlineStr">
        <is>
          <t>20251212</t>
        </is>
      </c>
      <c r="M561" s="95" t="inlineStr">
        <is>
          <t>제외</t>
        </is>
      </c>
      <c r="N561" s="95" t="inlineStr">
        <is>
          <t>60일 거래대금 2.9억(기준 5억 미만), 상장 11개월(기준 12개월 미만), 연 분배율 산출 불가(상장 1년 미만 — 12개월 창이 안 채워짐)</t>
        </is>
      </c>
      <c r="O561" s="95" t="inlineStr">
        <is>
          <t>KAP 26-12 금융채 총수익 지수(AA- 이상)</t>
        </is>
      </c>
      <c r="P561" s="95" t="inlineStr">
        <is>
          <t>일반</t>
        </is>
      </c>
      <c r="Q561" s="95" t="inlineStr">
        <is>
          <t>채권</t>
        </is>
      </c>
      <c r="R561" s="95" t="inlineStr">
        <is>
          <t>판정 불가</t>
        </is>
      </c>
      <c r="S561" s="96" t="n">
        <v>1</v>
      </c>
    </row>
    <row r="562">
      <c r="A562" s="95" t="inlineStr">
        <is>
          <t>TIGER 2차전지TOP10</t>
        </is>
      </c>
      <c r="B562" s="95" t="inlineStr">
        <is>
          <t>364980</t>
        </is>
      </c>
      <c r="C562" s="95" t="inlineStr">
        <is>
          <t>미래에셋자산운용</t>
        </is>
      </c>
      <c r="D562" s="96" t="n">
        <v>10275</v>
      </c>
      <c r="E562" s="96" t="n">
        <v>698700000000</v>
      </c>
      <c r="F562" s="96" t="n">
        <v>33637329796</v>
      </c>
      <c r="G562" s="97" t="n">
        <v>0.004</v>
      </c>
      <c r="H562" s="97" t="n">
        <v>0.5734</v>
      </c>
      <c r="I562" s="97" t="n">
        <v>0.0054</v>
      </c>
      <c r="J562" s="97" t="n"/>
      <c r="K562" s="96" t="n">
        <v>4</v>
      </c>
      <c r="L562" s="95" t="inlineStr">
        <is>
          <t>20250429</t>
        </is>
      </c>
      <c r="M562" s="95" t="inlineStr">
        <is>
          <t>제외</t>
        </is>
      </c>
      <c r="N562" s="95" t="inlineStr">
        <is>
          <t>변동성 57.3%(1년 기준, 기준 35% 초과), 최근 12개월 분배 없음, 연 분배율 산출 불가(최근 12개월 분배 기록 없음)</t>
        </is>
      </c>
      <c r="O562" s="95" t="inlineStr">
        <is>
          <t>KRX 2차전지 TOP 10 지수</t>
        </is>
      </c>
      <c r="P562" s="95" t="inlineStr">
        <is>
          <t>일반</t>
        </is>
      </c>
      <c r="Q562" s="95" t="inlineStr">
        <is>
          <t>주식</t>
        </is>
      </c>
      <c r="R562" s="95" t="inlineStr">
        <is>
          <t>무분배</t>
        </is>
      </c>
      <c r="S562" s="96" t="n">
        <v>0</v>
      </c>
    </row>
    <row r="563">
      <c r="A563" s="95" t="inlineStr">
        <is>
          <t>ACE 미국대형성장주액티브</t>
        </is>
      </c>
      <c r="B563" s="95" t="inlineStr">
        <is>
          <t>0127P0</t>
        </is>
      </c>
      <c r="C563" s="95" t="inlineStr">
        <is>
          <t>한국투신운용(ETF)</t>
        </is>
      </c>
      <c r="D563" s="96" t="n">
        <v>10360</v>
      </c>
      <c r="E563" s="96" t="n">
        <v>692048000000</v>
      </c>
      <c r="F563" s="96" t="n">
        <v>1228671305</v>
      </c>
      <c r="G563" s="97" t="n">
        <v>0.003</v>
      </c>
      <c r="H563" s="97" t="n">
        <v>0.219</v>
      </c>
      <c r="I563" s="97" t="n">
        <v>0.0017</v>
      </c>
      <c r="J563" s="97" t="n"/>
      <c r="K563" s="96" t="n">
        <v>2</v>
      </c>
      <c r="L563" s="95" t="inlineStr">
        <is>
          <t>20260730</t>
        </is>
      </c>
      <c r="M563" s="95" t="inlineStr">
        <is>
          <t>제외</t>
        </is>
      </c>
      <c r="N563" s="95" t="inlineStr">
        <is>
          <t>상장 10개월(기준 12개월 미만), 연 분배율 산출 불가(상장 1년 미만 — 12개월 창이 안 채워짐)</t>
        </is>
      </c>
      <c r="O563" s="95" t="inlineStr">
        <is>
          <t>Morningstar US Large Cap Growth PR USD</t>
        </is>
      </c>
      <c r="P563" s="95" t="inlineStr">
        <is>
          <t>일반</t>
        </is>
      </c>
      <c r="Q563" s="95" t="inlineStr">
        <is>
          <t>주식</t>
        </is>
      </c>
      <c r="R563" s="95" t="inlineStr">
        <is>
          <t>판정 불가</t>
        </is>
      </c>
      <c r="S563" s="96" t="n">
        <v>2</v>
      </c>
    </row>
    <row r="564">
      <c r="A564" s="95" t="inlineStr">
        <is>
          <t>RISE AI전력인프라</t>
        </is>
      </c>
      <c r="B564" s="95" t="inlineStr">
        <is>
          <t>0101N0</t>
        </is>
      </c>
      <c r="C564" s="95" t="inlineStr">
        <is>
          <t>KB자산운용</t>
        </is>
      </c>
      <c r="D564" s="96" t="n">
        <v>20280</v>
      </c>
      <c r="E564" s="96" t="n">
        <v>637806000000</v>
      </c>
      <c r="F564" s="96" t="n">
        <v>10191774810</v>
      </c>
      <c r="G564" s="97" t="n">
        <v>0.002</v>
      </c>
      <c r="H564" s="97" t="n">
        <v>0.6689000000000001</v>
      </c>
      <c r="I564" s="97" t="n">
        <v>0.0001</v>
      </c>
      <c r="J564" s="97" t="n"/>
      <c r="K564" s="96" t="n">
        <v>1</v>
      </c>
      <c r="L564" s="95" t="inlineStr">
        <is>
          <t>20251229</t>
        </is>
      </c>
      <c r="M564" s="95" t="inlineStr">
        <is>
          <t>제외</t>
        </is>
      </c>
      <c r="N564" s="95" t="inlineStr">
        <is>
          <t>변동성 66.9%(1년 기준, 기준 35% 초과), 연 분배율 산출 불가(상장 1년 미만 — 12개월 창이 안 채워짐)</t>
        </is>
      </c>
      <c r="O564" s="95" t="inlineStr">
        <is>
          <t>KRX-Akros AI 전력인프라 지수</t>
        </is>
      </c>
      <c r="P564" s="95" t="inlineStr">
        <is>
          <t>일반</t>
        </is>
      </c>
      <c r="Q564" s="95" t="inlineStr">
        <is>
          <t>주식</t>
        </is>
      </c>
      <c r="R564" s="95" t="inlineStr">
        <is>
          <t>연배당</t>
        </is>
      </c>
      <c r="S564" s="96" t="n">
        <v>1</v>
      </c>
    </row>
    <row r="565">
      <c r="A565" s="95" t="inlineStr">
        <is>
          <t>KODEX 미국AI광통신네트워크</t>
        </is>
      </c>
      <c r="B565" s="95" t="inlineStr">
        <is>
          <t>0173Y0</t>
        </is>
      </c>
      <c r="C565" s="95" t="inlineStr">
        <is>
          <t>삼성자산운용(ETF)</t>
        </is>
      </c>
      <c r="D565" s="96" t="n">
        <v>10730</v>
      </c>
      <c r="E565" s="96" t="n">
        <v>388426000000</v>
      </c>
      <c r="F565" s="96" t="n">
        <v>13376552326</v>
      </c>
      <c r="G565" s="97" t="n">
        <v>0.005500000000000001</v>
      </c>
      <c r="H565" s="97" t="n">
        <v>0.8089</v>
      </c>
      <c r="I565" s="97" t="n">
        <v>0.0005</v>
      </c>
      <c r="J565" s="97" t="n"/>
      <c r="K565" s="96" t="n">
        <v>1</v>
      </c>
      <c r="L565" s="95" t="inlineStr">
        <is>
          <t>20260730</t>
        </is>
      </c>
      <c r="M565" s="95" t="inlineStr">
        <is>
          <t>제외</t>
        </is>
      </c>
      <c r="N565" s="95" t="inlineStr">
        <is>
          <t>변동성 80.9%(117거래일 기준, 기준 35% 초과), 상장 6개월(기준 12개월 미만), 연 분배율 산출 불가(상장 1년 미만 — 12개월 창이 안 채워짐)</t>
        </is>
      </c>
      <c r="O565" s="95" t="inlineStr">
        <is>
          <t>Akros U.S. AI Optical Communication and Network Infrastructu</t>
        </is>
      </c>
      <c r="P565" s="95" t="inlineStr">
        <is>
          <t>일반</t>
        </is>
      </c>
      <c r="Q565" s="95" t="inlineStr">
        <is>
          <t>주식</t>
        </is>
      </c>
      <c r="R565" s="95" t="inlineStr">
        <is>
          <t>판정 불가</t>
        </is>
      </c>
      <c r="S565" s="96" t="n">
        <v>1</v>
      </c>
    </row>
    <row r="566">
      <c r="A566" s="95" t="inlineStr">
        <is>
          <t>1Q 미국우주항공테크</t>
        </is>
      </c>
      <c r="B566" s="95" t="inlineStr">
        <is>
          <t>0131V0</t>
        </is>
      </c>
      <c r="C566" s="95" t="inlineStr">
        <is>
          <t>하나자산운용</t>
        </is>
      </c>
      <c r="D566" s="96" t="n">
        <v>10830</v>
      </c>
      <c r="E566" s="96" t="n">
        <v>352516500000</v>
      </c>
      <c r="F566" s="96" t="n">
        <v>2520160655</v>
      </c>
      <c r="G566" s="97" t="n">
        <v>0.0049</v>
      </c>
      <c r="H566" s="97" t="n">
        <v>0.5286</v>
      </c>
      <c r="I566" s="97" t="n">
        <v>0.001</v>
      </c>
      <c r="J566" s="97" t="n"/>
      <c r="K566" s="96" t="n">
        <v>1</v>
      </c>
      <c r="L566" s="95" t="inlineStr">
        <is>
          <t>20260429</t>
        </is>
      </c>
      <c r="M566" s="95" t="inlineStr">
        <is>
          <t>제외</t>
        </is>
      </c>
      <c r="N566" s="95" t="inlineStr">
        <is>
          <t>변동성 52.9%(1년 기준, 기준 35% 초과), 상장 10개월(기준 12개월 미만), 연 분배율 산출 불가(상장 1년 미만 — 12개월 창이 안 채워짐)</t>
        </is>
      </c>
      <c r="O566" s="95" t="inlineStr">
        <is>
          <t>Akros U.S. Aerospace Tech Index</t>
        </is>
      </c>
      <c r="P566" s="95" t="inlineStr">
        <is>
          <t>일반</t>
        </is>
      </c>
      <c r="Q566" s="95" t="inlineStr">
        <is>
          <t>주식</t>
        </is>
      </c>
      <c r="R566" s="95" t="inlineStr">
        <is>
          <t>판정 불가</t>
        </is>
      </c>
      <c r="S566" s="96" t="n">
        <v>1</v>
      </c>
    </row>
    <row r="567">
      <c r="A567" s="95" t="inlineStr">
        <is>
          <t>KODEX 미국우주항공</t>
        </is>
      </c>
      <c r="B567" s="95" t="inlineStr">
        <is>
          <t>0167Z0</t>
        </is>
      </c>
      <c r="C567" s="95" t="inlineStr">
        <is>
          <t>삼성자산운용(ETF)</t>
        </is>
      </c>
      <c r="D567" s="96" t="n">
        <v>7470</v>
      </c>
      <c r="E567" s="96" t="n">
        <v>348102000000</v>
      </c>
      <c r="F567" s="96" t="n">
        <v>8171963834</v>
      </c>
      <c r="G567" s="97" t="n">
        <v>0.005500000000000001</v>
      </c>
      <c r="H567" s="97" t="n">
        <v>0.6796</v>
      </c>
      <c r="I567" s="97" t="n">
        <v>0.0011</v>
      </c>
      <c r="J567" s="97" t="n"/>
      <c r="K567" s="96" t="n">
        <v>1</v>
      </c>
      <c r="L567" s="95" t="inlineStr">
        <is>
          <t>20260730</t>
        </is>
      </c>
      <c r="M567" s="95" t="inlineStr">
        <is>
          <t>제외</t>
        </is>
      </c>
      <c r="N567" s="95" t="inlineStr">
        <is>
          <t>변동성 68.0%(127거래일 기준, 기준 35% 초과), 상장 6개월(기준 12개월 미만), 연 분배율 산출 불가(상장 1년 미만 — 12개월 창이 안 채워짐)</t>
        </is>
      </c>
      <c r="O567" s="95" t="inlineStr">
        <is>
          <t>iSelect U.S. Aerospace Index</t>
        </is>
      </c>
      <c r="P567" s="95" t="inlineStr">
        <is>
          <t>일반</t>
        </is>
      </c>
      <c r="Q567" s="95" t="inlineStr">
        <is>
          <t>주식</t>
        </is>
      </c>
      <c r="R567" s="95" t="inlineStr">
        <is>
          <t>판정 불가</t>
        </is>
      </c>
      <c r="S567" s="96" t="n">
        <v>1</v>
      </c>
    </row>
    <row r="568">
      <c r="A568" s="95" t="inlineStr">
        <is>
          <t>KoAct 바이오헬스케어액티브</t>
        </is>
      </c>
      <c r="B568" s="95" t="inlineStr">
        <is>
          <t>462900</t>
        </is>
      </c>
      <c r="C568" s="95" t="inlineStr">
        <is>
          <t>삼성액티브자산(ETF)</t>
        </is>
      </c>
      <c r="D568" s="96" t="n">
        <v>12945</v>
      </c>
      <c r="E568" s="96" t="n">
        <v>337864500000</v>
      </c>
      <c r="F568" s="96" t="n">
        <v>26194299877</v>
      </c>
      <c r="G568" s="97" t="n">
        <v>0.005</v>
      </c>
      <c r="H568" s="97" t="n">
        <v>0.5982999999999999</v>
      </c>
      <c r="I568" s="97" t="n">
        <v>0.0024</v>
      </c>
      <c r="J568" s="97" t="n"/>
      <c r="K568" s="96" t="n">
        <v>1</v>
      </c>
      <c r="L568" s="95" t="inlineStr">
        <is>
          <t>20240429</t>
        </is>
      </c>
      <c r="M568" s="95" t="inlineStr">
        <is>
          <t>제외</t>
        </is>
      </c>
      <c r="N568" s="95" t="inlineStr">
        <is>
          <t>변동성 59.8%(1년 기준, 기준 35% 초과), 최근 12개월 분배 없음, 연 분배율 산출 불가(최근 12개월 분배 기록 없음)</t>
        </is>
      </c>
      <c r="O568" s="95" t="inlineStr">
        <is>
          <t>iSelect 바이오헬스케어 PR 지수</t>
        </is>
      </c>
      <c r="P568" s="95" t="inlineStr">
        <is>
          <t>일반</t>
        </is>
      </c>
      <c r="Q568" s="95" t="inlineStr">
        <is>
          <t>주식</t>
        </is>
      </c>
      <c r="R568" s="95" t="inlineStr">
        <is>
          <t>무분배</t>
        </is>
      </c>
      <c r="S568" s="96" t="n">
        <v>0</v>
      </c>
    </row>
    <row r="569">
      <c r="A569" s="95" t="inlineStr">
        <is>
          <t>1Q 미국나스닥100미국채혼합50액티브</t>
        </is>
      </c>
      <c r="B569" s="95" t="inlineStr">
        <is>
          <t>0111P0</t>
        </is>
      </c>
      <c r="C569" s="95" t="inlineStr">
        <is>
          <t>하나자산운용</t>
        </is>
      </c>
      <c r="D569" s="96" t="n">
        <v>10755</v>
      </c>
      <c r="E569" s="96" t="n">
        <v>305442000000</v>
      </c>
      <c r="F569" s="96" t="n">
        <v>1872569689</v>
      </c>
      <c r="G569" s="97" t="n">
        <v>0.0005</v>
      </c>
      <c r="H569" s="97" t="n">
        <v>0.1321</v>
      </c>
      <c r="I569" s="97" t="n">
        <v>0.0026</v>
      </c>
      <c r="J569" s="97" t="n"/>
      <c r="K569" s="96" t="n">
        <v>3</v>
      </c>
      <c r="L569" s="95" t="inlineStr">
        <is>
          <t>20260730</t>
        </is>
      </c>
      <c r="M569" s="95" t="inlineStr">
        <is>
          <t>제외</t>
        </is>
      </c>
      <c r="N569" s="95" t="inlineStr">
        <is>
          <t>연 분배율 산출 불가(상장 1년 미만 — 12개월 창이 안 채워짐)</t>
        </is>
      </c>
      <c r="O569" s="95" t="inlineStr">
        <is>
          <t>Nasdaq-100 US T-Bills 0-6 Month 50/50 Index</t>
        </is>
      </c>
      <c r="P569" s="95" t="inlineStr">
        <is>
          <t>일반</t>
        </is>
      </c>
      <c r="Q569" s="95" t="inlineStr">
        <is>
          <t>멀티에셋</t>
        </is>
      </c>
      <c r="R569" s="95" t="inlineStr">
        <is>
          <t>분기배당</t>
        </is>
      </c>
      <c r="S569" s="96" t="n">
        <v>3</v>
      </c>
    </row>
    <row r="570">
      <c r="A570" s="95" t="inlineStr">
        <is>
          <t>SOL 반도체전공정</t>
        </is>
      </c>
      <c r="B570" s="95" t="inlineStr">
        <is>
          <t>475300</t>
        </is>
      </c>
      <c r="C570" s="95" t="inlineStr">
        <is>
          <t>신한자산운용</t>
        </is>
      </c>
      <c r="D570" s="96" t="n"/>
      <c r="E570" s="96" t="n"/>
      <c r="F570" s="96" t="n"/>
      <c r="G570" s="97" t="n"/>
      <c r="H570" s="97" t="n"/>
      <c r="I570" s="97" t="n"/>
      <c r="J570" s="97" t="n"/>
      <c r="K570" s="96" t="n"/>
      <c r="L570" s="95" t="n"/>
      <c r="M570" s="95" t="inlineStr">
        <is>
          <t>제외</t>
        </is>
      </c>
      <c r="N570" s="95" t="inlineStr">
        <is>
          <t>수집 실패(세 번 다시 물었으나 답이 오지 않음: HTTP 403)</t>
        </is>
      </c>
      <c r="O570" s="95" t="inlineStr"/>
      <c r="P570" s="95" t="inlineStr">
        <is>
          <t>일반</t>
        </is>
      </c>
      <c r="Q570" s="95" t="inlineStr"/>
      <c r="R570" s="95" t="inlineStr"/>
      <c r="S570" s="96" t="n"/>
    </row>
    <row r="571">
      <c r="A571" s="95" t="inlineStr">
        <is>
          <t>SOL 미국테크TOP10</t>
        </is>
      </c>
      <c r="B571" s="95" t="inlineStr">
        <is>
          <t>481190</t>
        </is>
      </c>
      <c r="C571" s="95" t="inlineStr">
        <is>
          <t>신한자산운용</t>
        </is>
      </c>
      <c r="D571" s="96" t="n"/>
      <c r="E571" s="96" t="n"/>
      <c r="F571" s="96" t="n"/>
      <c r="G571" s="97" t="n"/>
      <c r="H571" s="97" t="n"/>
      <c r="I571" s="97" t="n"/>
      <c r="J571" s="97" t="n"/>
      <c r="K571" s="96" t="n"/>
      <c r="L571" s="95" t="n"/>
      <c r="M571" s="95" t="inlineStr">
        <is>
          <t>제외</t>
        </is>
      </c>
      <c r="N571" s="95" t="inlineStr">
        <is>
          <t>수집 실패(세 번 다시 물었으나 답이 오지 않음: page.goto: net::ERR_EMPTY_RESPONSE at https://www.etfcheck.co.kr/
Call log:
  - )</t>
        </is>
      </c>
      <c r="O571" s="95" t="inlineStr"/>
      <c r="P571" s="95" t="inlineStr">
        <is>
          <t>일반</t>
        </is>
      </c>
      <c r="Q571" s="95" t="inlineStr"/>
      <c r="R571" s="95" t="inlineStr"/>
      <c r="S571" s="96" t="n"/>
    </row>
    <row r="572">
      <c r="A572" s="95" t="inlineStr">
        <is>
          <t>KODEX 28-12 회사채(AA-이상)액티브</t>
        </is>
      </c>
      <c r="B572" s="95" t="inlineStr">
        <is>
          <t>0119H0</t>
        </is>
      </c>
      <c r="C572" s="95" t="inlineStr">
        <is>
          <t>삼성자산운용(ETF)</t>
        </is>
      </c>
      <c r="D572" s="96" t="n">
        <v>9910</v>
      </c>
      <c r="E572" s="96" t="n">
        <v>277777300000</v>
      </c>
      <c r="F572" s="96" t="n">
        <v>217990627</v>
      </c>
      <c r="G572" s="97" t="n">
        <v>0.0009</v>
      </c>
      <c r="H572" s="97" t="n">
        <v>0.0208</v>
      </c>
      <c r="I572" s="97" t="n">
        <v>0.0049</v>
      </c>
      <c r="J572" s="97" t="n"/>
      <c r="K572" s="96" t="n">
        <v>1</v>
      </c>
      <c r="L572" s="95" t="inlineStr">
        <is>
          <t>20251212</t>
        </is>
      </c>
      <c r="M572" s="95" t="inlineStr">
        <is>
          <t>제외</t>
        </is>
      </c>
      <c r="N572" s="95" t="inlineStr">
        <is>
          <t>60일 거래대금 2.2억(기준 5억 미만), 상장 10개월(기준 12개월 미만), 연 분배율 산출 불가(상장 1년 미만 — 12개월 창이 안 채워짐)</t>
        </is>
      </c>
      <c r="O572" s="95" t="inlineStr">
        <is>
          <t>KAP 28-12 회사채 총수익 지수(AA- 이상)</t>
        </is>
      </c>
      <c r="P572" s="95" t="inlineStr">
        <is>
          <t>일반</t>
        </is>
      </c>
      <c r="Q572" s="95" t="inlineStr">
        <is>
          <t>채권</t>
        </is>
      </c>
      <c r="R572" s="95" t="inlineStr">
        <is>
          <t>판정 불가</t>
        </is>
      </c>
      <c r="S572" s="96" t="n">
        <v>1</v>
      </c>
    </row>
    <row r="573">
      <c r="A573" s="95" t="inlineStr">
        <is>
          <t>KODEX 바이오</t>
        </is>
      </c>
      <c r="B573" s="95" t="inlineStr">
        <is>
          <t>244580</t>
        </is>
      </c>
      <c r="C573" s="95" t="inlineStr">
        <is>
          <t>삼성자산운용(ETF)</t>
        </is>
      </c>
      <c r="D573" s="96" t="n">
        <v>7930</v>
      </c>
      <c r="E573" s="96" t="n">
        <v>206814400000</v>
      </c>
      <c r="F573" s="96" t="n">
        <v>6412412507</v>
      </c>
      <c r="G573" s="97" t="n">
        <v>0.004500000000000001</v>
      </c>
      <c r="H573" s="97" t="n">
        <v>0.5007</v>
      </c>
      <c r="I573" s="97" t="n">
        <v>0.0018</v>
      </c>
      <c r="J573" s="97" t="n"/>
      <c r="K573" s="96" t="n">
        <v>2</v>
      </c>
      <c r="L573" s="95" t="inlineStr">
        <is>
          <t>20250429</t>
        </is>
      </c>
      <c r="M573" s="95" t="inlineStr">
        <is>
          <t>제외</t>
        </is>
      </c>
      <c r="N573" s="95" t="inlineStr">
        <is>
          <t>변동성 50.1%(1년 기준, 기준 35% 초과), 최근 12개월 분배 없음, 연 분배율 산출 불가(최근 12개월 분배 기록 없음)</t>
        </is>
      </c>
      <c r="O573" s="95" t="inlineStr">
        <is>
          <t>FnGuide 바이오 지수</t>
        </is>
      </c>
      <c r="P573" s="95" t="inlineStr">
        <is>
          <t>일반</t>
        </is>
      </c>
      <c r="Q573" s="95" t="inlineStr">
        <is>
          <t>주식</t>
        </is>
      </c>
      <c r="R573" s="95" t="inlineStr">
        <is>
          <t>무분배</t>
        </is>
      </c>
      <c r="S573" s="96" t="n">
        <v>0</v>
      </c>
    </row>
    <row r="574">
      <c r="A574" s="95" t="inlineStr">
        <is>
          <t>KODEX 미국AI반도체TOP3플러스</t>
        </is>
      </c>
      <c r="B574" s="95" t="inlineStr">
        <is>
          <t>0151S0</t>
        </is>
      </c>
      <c r="C574" s="95" t="inlineStr">
        <is>
          <t>삼성자산운용(ETF)</t>
        </is>
      </c>
      <c r="D574" s="96" t="n">
        <v>14830</v>
      </c>
      <c r="E574" s="96" t="n">
        <v>202429500000</v>
      </c>
      <c r="F574" s="96" t="n">
        <v>6349463439</v>
      </c>
      <c r="G574" s="97" t="n">
        <v>0.0049</v>
      </c>
      <c r="H574" s="97" t="n">
        <v>0.4671</v>
      </c>
      <c r="I574" s="97" t="n">
        <v>0.0009</v>
      </c>
      <c r="J574" s="97" t="n"/>
      <c r="K574" s="96" t="n">
        <v>2</v>
      </c>
      <c r="L574" s="95" t="inlineStr">
        <is>
          <t>20260730</t>
        </is>
      </c>
      <c r="M574" s="95" t="inlineStr">
        <is>
          <t>제외</t>
        </is>
      </c>
      <c r="N574" s="95" t="inlineStr">
        <is>
          <t>변동성 46.7%(168거래일 기준, 기준 35% 초과), 상장 8개월(기준 12개월 미만), 연 분배율 산출 불가(상장 1년 미만 — 12개월 창이 안 채워짐)</t>
        </is>
      </c>
      <c r="O574" s="95" t="inlineStr">
        <is>
          <t>Akros U.S. AI Semiconductor TOP3 Plus Index</t>
        </is>
      </c>
      <c r="P574" s="95" t="inlineStr">
        <is>
          <t>일반</t>
        </is>
      </c>
      <c r="Q574" s="95" t="inlineStr">
        <is>
          <t>주식</t>
        </is>
      </c>
      <c r="R574" s="95" t="inlineStr">
        <is>
          <t>판정 불가</t>
        </is>
      </c>
      <c r="S574" s="96" t="n">
        <v>2</v>
      </c>
    </row>
    <row r="575">
      <c r="A575" s="95" t="inlineStr">
        <is>
          <t>KODEX 조선TOP10</t>
        </is>
      </c>
      <c r="B575" s="95" t="inlineStr">
        <is>
          <t>0115D0</t>
        </is>
      </c>
      <c r="C575" s="95" t="inlineStr">
        <is>
          <t>삼성자산운용(ETF)</t>
        </is>
      </c>
      <c r="D575" s="96" t="n">
        <v>7775</v>
      </c>
      <c r="E575" s="96" t="n">
        <v>199040000000</v>
      </c>
      <c r="F575" s="96" t="n">
        <v>19587720625</v>
      </c>
      <c r="G575" s="97" t="n">
        <v>0.004500000000000001</v>
      </c>
      <c r="H575" s="97" t="n">
        <v>0.5661999999999999</v>
      </c>
      <c r="I575" s="97" t="n">
        <v>0.0022</v>
      </c>
      <c r="J575" s="97" t="n"/>
      <c r="K575" s="96" t="n">
        <v>1</v>
      </c>
      <c r="L575" s="95" t="inlineStr">
        <is>
          <t>20260429</t>
        </is>
      </c>
      <c r="M575" s="95" t="inlineStr">
        <is>
          <t>제외</t>
        </is>
      </c>
      <c r="N575" s="95" t="inlineStr">
        <is>
          <t>변동성 56.6%(1년 기준, 기준 35% 초과), 상장 11개월(기준 12개월 미만), 연 분배율 산출 불가(상장 1년 미만 — 12개월 창이 안 채워짐)</t>
        </is>
      </c>
      <c r="O575" s="95" t="inlineStr">
        <is>
          <t>KRX 조선 TOP10</t>
        </is>
      </c>
      <c r="P575" s="95" t="inlineStr">
        <is>
          <t>일반</t>
        </is>
      </c>
      <c r="Q575" s="95" t="inlineStr">
        <is>
          <t>주식</t>
        </is>
      </c>
      <c r="R575" s="95" t="inlineStr">
        <is>
          <t>판정 불가</t>
        </is>
      </c>
      <c r="S575" s="96" t="n">
        <v>1</v>
      </c>
    </row>
    <row r="576">
      <c r="A576" s="95" t="inlineStr">
        <is>
          <t>KODEX 200ESG</t>
        </is>
      </c>
      <c r="B576" s="95" t="inlineStr">
        <is>
          <t>337160</t>
        </is>
      </c>
      <c r="C576" s="95" t="inlineStr">
        <is>
          <t>삼성자산운용(ETF)</t>
        </is>
      </c>
      <c r="D576" s="96" t="n"/>
      <c r="E576" s="96" t="n"/>
      <c r="F576" s="96" t="n"/>
      <c r="G576" s="97" t="n"/>
      <c r="H576" s="97" t="n"/>
      <c r="I576" s="97" t="n"/>
      <c r="J576" s="97" t="n"/>
      <c r="K576" s="96" t="n"/>
      <c r="L576" s="95" t="n"/>
      <c r="M576" s="95" t="inlineStr">
        <is>
          <t>제외</t>
        </is>
      </c>
      <c r="N576" s="95" t="inlineStr">
        <is>
          <t>수집 실패(세 번 다시 물었으나 답이 오지 않음: HTTP 403)</t>
        </is>
      </c>
      <c r="O576" s="95" t="inlineStr"/>
      <c r="P576" s="95" t="inlineStr">
        <is>
          <t>일반</t>
        </is>
      </c>
      <c r="Q576" s="95" t="inlineStr"/>
      <c r="R576" s="95" t="inlineStr"/>
      <c r="S576" s="96" t="n"/>
    </row>
    <row r="577">
      <c r="A577" s="95" t="inlineStr">
        <is>
          <t>WON 종합채권(AA-이상)액티브</t>
        </is>
      </c>
      <c r="B577" s="95" t="inlineStr">
        <is>
          <t>488720</t>
        </is>
      </c>
      <c r="C577" s="95" t="inlineStr">
        <is>
          <t>우리자산운용</t>
        </is>
      </c>
      <c r="D577" s="96" t="n"/>
      <c r="E577" s="96" t="n"/>
      <c r="F577" s="96" t="n"/>
      <c r="G577" s="97" t="n"/>
      <c r="H577" s="97" t="n"/>
      <c r="I577" s="97" t="n"/>
      <c r="J577" s="97" t="n"/>
      <c r="K577" s="96" t="n"/>
      <c r="L577" s="95" t="n"/>
      <c r="M577" s="95" t="inlineStr">
        <is>
          <t>제외</t>
        </is>
      </c>
      <c r="N577" s="95" t="inlineStr">
        <is>
          <t>수집 실패(세 번 다시 물었으나 답이 오지 않음: HTTP 0)</t>
        </is>
      </c>
      <c r="O577" s="95" t="inlineStr"/>
      <c r="P577" s="95" t="inlineStr">
        <is>
          <t>일반</t>
        </is>
      </c>
      <c r="Q577" s="95" t="inlineStr"/>
      <c r="R577" s="95" t="inlineStr"/>
      <c r="S577" s="96" t="n"/>
    </row>
    <row r="578">
      <c r="A578" s="95" t="inlineStr">
        <is>
          <t>ACE 미국대형가치주액티브</t>
        </is>
      </c>
      <c r="B578" s="95" t="inlineStr">
        <is>
          <t>0127M0</t>
        </is>
      </c>
      <c r="C578" s="95" t="inlineStr">
        <is>
          <t>한국투신운용(ETF)</t>
        </is>
      </c>
      <c r="D578" s="96" t="n">
        <v>12195</v>
      </c>
      <c r="E578" s="96" t="n">
        <v>144510750000</v>
      </c>
      <c r="F578" s="96" t="n">
        <v>1004609951</v>
      </c>
      <c r="G578" s="97" t="n">
        <v>0.003</v>
      </c>
      <c r="H578" s="97" t="n">
        <v>0.1526</v>
      </c>
      <c r="I578" s="97" t="n">
        <v>0.0036</v>
      </c>
      <c r="J578" s="97" t="n"/>
      <c r="K578" s="96" t="n">
        <v>4</v>
      </c>
      <c r="L578" s="95" t="inlineStr">
        <is>
          <t>20260730</t>
        </is>
      </c>
      <c r="M578" s="95" t="inlineStr">
        <is>
          <t>제외</t>
        </is>
      </c>
      <c r="N578" s="95" t="inlineStr">
        <is>
          <t>상장 10개월(기준 12개월 미만), 연 분배율 산출 불가(상장 1년 미만 — 12개월 창이 안 채워짐)</t>
        </is>
      </c>
      <c r="O578" s="95" t="inlineStr">
        <is>
          <t>Morningstar US Large Cap Value PR USD</t>
        </is>
      </c>
      <c r="P578" s="95" t="inlineStr">
        <is>
          <t>일반</t>
        </is>
      </c>
      <c r="Q578" s="95" t="inlineStr">
        <is>
          <t>주식</t>
        </is>
      </c>
      <c r="R578" s="95" t="inlineStr">
        <is>
          <t>판정 불가</t>
        </is>
      </c>
      <c r="S578" s="96" t="n">
        <v>4</v>
      </c>
    </row>
    <row r="579">
      <c r="A579" s="95" t="inlineStr">
        <is>
          <t>TIGER 삼성그룹</t>
        </is>
      </c>
      <c r="B579" s="95" t="inlineStr">
        <is>
          <t>138520</t>
        </is>
      </c>
      <c r="C579" s="95" t="inlineStr">
        <is>
          <t>미래에셋자산운용</t>
        </is>
      </c>
      <c r="D579" s="96" t="n"/>
      <c r="E579" s="96" t="n"/>
      <c r="F579" s="96" t="n"/>
      <c r="G579" s="97" t="n"/>
      <c r="H579" s="97" t="n"/>
      <c r="I579" s="97" t="n"/>
      <c r="J579" s="97" t="n"/>
      <c r="K579" s="96" t="n"/>
      <c r="L579" s="95" t="n"/>
      <c r="M579" s="95" t="inlineStr">
        <is>
          <t>제외</t>
        </is>
      </c>
      <c r="N579" s="95" t="inlineStr">
        <is>
          <t>수집 실패(세 번 다시 물었으나 답이 오지 않음: page.goto: net::ERR_EMPTY_RESPONSE at https://www.etfcheck.co.kr/
Call log:
  - )</t>
        </is>
      </c>
      <c r="O579" s="95" t="inlineStr"/>
      <c r="P579" s="95" t="inlineStr">
        <is>
          <t>일반</t>
        </is>
      </c>
      <c r="Q579" s="95" t="inlineStr"/>
      <c r="R579" s="95" t="inlineStr"/>
      <c r="S579" s="96" t="n"/>
    </row>
    <row r="580">
      <c r="A580" s="95" t="inlineStr">
        <is>
          <t>KoAct 미국나스닥채권혼합50액티브</t>
        </is>
      </c>
      <c r="B580" s="95" t="inlineStr">
        <is>
          <t>0104H0</t>
        </is>
      </c>
      <c r="C580" s="95" t="inlineStr">
        <is>
          <t>삼성액티브자산(ETF)</t>
        </is>
      </c>
      <c r="D580" s="96" t="n">
        <v>11690</v>
      </c>
      <c r="E580" s="96" t="n">
        <v>142618000000</v>
      </c>
      <c r="F580" s="96" t="n">
        <v>1352896704</v>
      </c>
      <c r="G580" s="97" t="n">
        <v>0.0025</v>
      </c>
      <c r="H580" s="97" t="n">
        <v>0.1962</v>
      </c>
      <c r="I580" s="97" t="n">
        <v>0.0031</v>
      </c>
      <c r="J580" s="97" t="n"/>
      <c r="K580" s="96" t="n">
        <v>1</v>
      </c>
      <c r="L580" s="95" t="inlineStr">
        <is>
          <t>20251229</t>
        </is>
      </c>
      <c r="M580" s="95" t="inlineStr">
        <is>
          <t>제외</t>
        </is>
      </c>
      <c r="N580" s="95" t="inlineStr">
        <is>
          <t>연 분배율 산출 불가(상장 1년 미만 — 12개월 창이 안 채워짐)</t>
        </is>
      </c>
      <c r="O580" s="95" t="inlineStr">
        <is>
          <t>FnGuide 미국나스닥 금융채권혼합 지수</t>
        </is>
      </c>
      <c r="P580" s="95" t="inlineStr">
        <is>
          <t>일반</t>
        </is>
      </c>
      <c r="Q580" s="95" t="inlineStr">
        <is>
          <t>멀티에셋</t>
        </is>
      </c>
      <c r="R580" s="95" t="inlineStr">
        <is>
          <t>연배당</t>
        </is>
      </c>
      <c r="S580" s="96" t="n">
        <v>1</v>
      </c>
    </row>
    <row r="581">
      <c r="A581" s="95" t="inlineStr">
        <is>
          <t>RISE 코리아전략산업액티브</t>
        </is>
      </c>
      <c r="B581" s="95" t="inlineStr">
        <is>
          <t>0151P0</t>
        </is>
      </c>
      <c r="C581" s="95" t="inlineStr">
        <is>
          <t>KB자산운용</t>
        </is>
      </c>
      <c r="D581" s="96" t="n">
        <v>14200</v>
      </c>
      <c r="E581" s="96" t="n">
        <v>140580000000</v>
      </c>
      <c r="F581" s="96" t="n">
        <v>6241946636</v>
      </c>
      <c r="G581" s="97" t="n">
        <v>0.005</v>
      </c>
      <c r="H581" s="97" t="n">
        <v>0.723</v>
      </c>
      <c r="I581" s="97" t="n">
        <v>0.0025</v>
      </c>
      <c r="J581" s="97" t="n"/>
      <c r="K581" s="96" t="n">
        <v>1</v>
      </c>
      <c r="L581" s="95" t="inlineStr">
        <is>
          <t>20260730</t>
        </is>
      </c>
      <c r="M581" s="95" t="inlineStr">
        <is>
          <t>제외</t>
        </is>
      </c>
      <c r="N581" s="95" t="inlineStr">
        <is>
          <t>변동성 72.3%(163거래일 기준, 기준 35% 초과), 상장 8개월(기준 12개월 미만), 연 분배율 산출 불가(상장 1년 미만 — 12개월 창이 안 채워짐)</t>
        </is>
      </c>
      <c r="O581" s="95" t="inlineStr">
        <is>
          <t>KAP 코리아전략산업지수</t>
        </is>
      </c>
      <c r="P581" s="95" t="inlineStr">
        <is>
          <t>일반</t>
        </is>
      </c>
      <c r="Q581" s="95" t="inlineStr">
        <is>
          <t>주식</t>
        </is>
      </c>
      <c r="R581" s="95" t="inlineStr">
        <is>
          <t>판정 불가</t>
        </is>
      </c>
      <c r="S581" s="96" t="n">
        <v>1</v>
      </c>
    </row>
    <row r="582">
      <c r="A582" s="95" t="inlineStr">
        <is>
          <t>PLUS 국공채머니마켓액티브</t>
        </is>
      </c>
      <c r="B582" s="95" t="inlineStr">
        <is>
          <t>491230</t>
        </is>
      </c>
      <c r="C582" s="95" t="inlineStr">
        <is>
          <t>한화자산운용</t>
        </is>
      </c>
      <c r="D582" s="96" t="n"/>
      <c r="E582" s="96" t="n"/>
      <c r="F582" s="96" t="n"/>
      <c r="G582" s="97" t="n"/>
      <c r="H582" s="97" t="n"/>
      <c r="I582" s="97" t="n"/>
      <c r="J582" s="97" t="n"/>
      <c r="K582" s="96" t="n"/>
      <c r="L582" s="95" t="n"/>
      <c r="M582" s="95" t="inlineStr">
        <is>
          <t>제외</t>
        </is>
      </c>
      <c r="N582" s="95" t="inlineStr">
        <is>
          <t>수집 실패(세 번 다시 물었으나 답이 오지 않음: HTTP 0)</t>
        </is>
      </c>
      <c r="O582" s="95" t="inlineStr"/>
      <c r="P582" s="95" t="inlineStr">
        <is>
          <t>일반</t>
        </is>
      </c>
      <c r="Q582" s="95" t="inlineStr"/>
      <c r="R582" s="95" t="inlineStr"/>
      <c r="S582" s="96" t="n"/>
    </row>
    <row r="583">
      <c r="A583" s="95" t="inlineStr">
        <is>
          <t>TIGER 미국AI전력SMR</t>
        </is>
      </c>
      <c r="B583" s="95" t="inlineStr">
        <is>
          <t>0123G0</t>
        </is>
      </c>
      <c r="C583" s="95" t="inlineStr">
        <is>
          <t>미래에셋자산운용</t>
        </is>
      </c>
      <c r="D583" s="96" t="n">
        <v>6020</v>
      </c>
      <c r="E583" s="96" t="n">
        <v>123109000000</v>
      </c>
      <c r="F583" s="96" t="n">
        <v>829491026</v>
      </c>
      <c r="G583" s="97" t="n">
        <v>0.0049</v>
      </c>
      <c r="H583" s="97" t="n">
        <v>0.5486</v>
      </c>
      <c r="I583" s="97" t="n">
        <v>0.0005</v>
      </c>
      <c r="J583" s="97" t="n"/>
      <c r="K583" s="96" t="n">
        <v>1</v>
      </c>
      <c r="L583" s="95" t="inlineStr">
        <is>
          <t>20251229</t>
        </is>
      </c>
      <c r="M583" s="95" t="inlineStr">
        <is>
          <t>제외</t>
        </is>
      </c>
      <c r="N583" s="95" t="inlineStr">
        <is>
          <t>변동성 54.9%(1년 기준, 기준 35% 초과), 상장 10개월(기준 12개월 미만), 연 분배율 산출 불가(상장 1년 미만 — 12개월 창이 안 채워짐)</t>
        </is>
      </c>
      <c r="O583" s="95" t="inlineStr">
        <is>
          <t>Akros U.S. AI Electricity SMR Index</t>
        </is>
      </c>
      <c r="P583" s="95" t="inlineStr">
        <is>
          <t>일반</t>
        </is>
      </c>
      <c r="Q583" s="95" t="inlineStr">
        <is>
          <t>주식</t>
        </is>
      </c>
      <c r="R583" s="95" t="inlineStr">
        <is>
          <t>판정 불가</t>
        </is>
      </c>
      <c r="S583" s="96" t="n">
        <v>1</v>
      </c>
    </row>
    <row r="584">
      <c r="A584" s="95" t="inlineStr">
        <is>
          <t>KODEX 차이나AI반도체TOP10</t>
        </is>
      </c>
      <c r="B584" s="95" t="inlineStr">
        <is>
          <t>0162L0</t>
        </is>
      </c>
      <c r="C584" s="95" t="inlineStr">
        <is>
          <t>삼성자산운용(ETF)</t>
        </is>
      </c>
      <c r="D584" s="96" t="n">
        <v>13415</v>
      </c>
      <c r="E584" s="96" t="n">
        <v>108661500000</v>
      </c>
      <c r="F584" s="96" t="n">
        <v>15874176655</v>
      </c>
      <c r="G584" s="97" t="n">
        <v>0.005500000000000001</v>
      </c>
      <c r="H584" s="97" t="n">
        <v>0.638</v>
      </c>
      <c r="I584" s="97" t="n">
        <v>0.0012</v>
      </c>
      <c r="J584" s="97" t="n"/>
      <c r="K584" s="96" t="n">
        <v>2</v>
      </c>
      <c r="L584" s="95" t="inlineStr">
        <is>
          <t>20260730</t>
        </is>
      </c>
      <c r="M584" s="95" t="inlineStr">
        <is>
          <t>제외</t>
        </is>
      </c>
      <c r="N584" s="95" t="inlineStr">
        <is>
          <t>변동성 63.8%(139거래일 기준, 기준 35% 초과), 상장 7개월(기준 12개월 미만), 연 분배율 산출 불가(상장 1년 미만 — 12개월 창이 안 채워짐)</t>
        </is>
      </c>
      <c r="O584" s="95" t="inlineStr">
        <is>
          <t>Indxx China AI Semiconductor Top 10 Index</t>
        </is>
      </c>
      <c r="P584" s="95" t="inlineStr">
        <is>
          <t>일반</t>
        </is>
      </c>
      <c r="Q584" s="95" t="inlineStr">
        <is>
          <t>주식</t>
        </is>
      </c>
      <c r="R584" s="95" t="inlineStr">
        <is>
          <t>판정 불가</t>
        </is>
      </c>
      <c r="S584" s="96" t="n">
        <v>2</v>
      </c>
    </row>
    <row r="585">
      <c r="A585" s="95" t="inlineStr">
        <is>
          <t>PLUS 금채권혼합</t>
        </is>
      </c>
      <c r="B585" s="95" t="inlineStr">
        <is>
          <t>0138Y0</t>
        </is>
      </c>
      <c r="C585" s="95" t="inlineStr">
        <is>
          <t>한화자산운용</t>
        </is>
      </c>
      <c r="D585" s="96" t="n">
        <v>9720</v>
      </c>
      <c r="E585" s="96" t="n">
        <v>107892000000</v>
      </c>
      <c r="F585" s="96" t="n">
        <v>1532112452</v>
      </c>
      <c r="G585" s="97" t="n">
        <v>0.0015</v>
      </c>
      <c r="H585" s="97" t="n">
        <v>0.1538</v>
      </c>
      <c r="I585" s="97" t="n">
        <v>0.0002</v>
      </c>
      <c r="J585" s="97" t="n"/>
      <c r="K585" s="96" t="n">
        <v>1</v>
      </c>
      <c r="L585" s="95" t="inlineStr">
        <is>
          <t>20251229</t>
        </is>
      </c>
      <c r="M585" s="95" t="inlineStr">
        <is>
          <t>제외</t>
        </is>
      </c>
      <c r="N585" s="95" t="inlineStr">
        <is>
          <t>상장 9개월(기준 12개월 미만), 연 분배율 산출 불가(상장 1년 미만 — 12개월 창이 안 채워짐)</t>
        </is>
      </c>
      <c r="O585" s="95" t="inlineStr">
        <is>
          <t>Akros U.S. Gold ETF Treasury Balanced Index</t>
        </is>
      </c>
      <c r="P585" s="95" t="inlineStr">
        <is>
          <t>일반</t>
        </is>
      </c>
      <c r="Q585" s="95" t="inlineStr">
        <is>
          <t>멀티에셋</t>
        </is>
      </c>
      <c r="R585" s="95" t="inlineStr">
        <is>
          <t>판정 불가</t>
        </is>
      </c>
      <c r="S585" s="96" t="n">
        <v>1</v>
      </c>
    </row>
    <row r="586">
      <c r="A586" s="95" t="inlineStr">
        <is>
          <t>RISE 26-11 회사채(AA-이상)액티브</t>
        </is>
      </c>
      <c r="B586" s="95" t="inlineStr">
        <is>
          <t>0122W0</t>
        </is>
      </c>
      <c r="C586" s="95" t="inlineStr">
        <is>
          <t>KB자산운용</t>
        </is>
      </c>
      <c r="D586" s="96" t="n">
        <v>51050</v>
      </c>
      <c r="E586" s="96" t="n">
        <v>101793700000</v>
      </c>
      <c r="F586" s="96" t="n">
        <v>226547819</v>
      </c>
      <c r="G586" s="97" t="n">
        <v>0.0005</v>
      </c>
      <c r="H586" s="97" t="n">
        <v>0.0035</v>
      </c>
      <c r="I586" s="97" t="n">
        <v>0.0027</v>
      </c>
      <c r="J586" s="97" t="n"/>
      <c r="K586" s="96" t="n">
        <v>1</v>
      </c>
      <c r="L586" s="95" t="inlineStr">
        <is>
          <t>20251212</t>
        </is>
      </c>
      <c r="M586" s="95" t="inlineStr">
        <is>
          <t>제외</t>
        </is>
      </c>
      <c r="N586" s="95" t="inlineStr">
        <is>
          <t>60일 거래대금 2.3억(기준 5억 미만), 상장 10개월(기준 12개월 미만), 연 분배율 산출 불가(상장 1년 미만 — 12개월 창이 안 채워짐)</t>
        </is>
      </c>
      <c r="O586" s="95" t="inlineStr">
        <is>
          <t>KAP 26-11 회사채(AA-이상) 총수익지수</t>
        </is>
      </c>
      <c r="P586" s="95" t="inlineStr">
        <is>
          <t>일반</t>
        </is>
      </c>
      <c r="Q586" s="95" t="inlineStr">
        <is>
          <t>채권</t>
        </is>
      </c>
      <c r="R586" s="95" t="inlineStr">
        <is>
          <t>판정 불가</t>
        </is>
      </c>
      <c r="S586" s="96" t="n">
        <v>1</v>
      </c>
    </row>
    <row r="587">
      <c r="A587" s="95" t="inlineStr">
        <is>
          <t>KIWOOM 미국S&amp;P500모멘텀</t>
        </is>
      </c>
      <c r="B587" s="95" t="inlineStr">
        <is>
          <t>0137V0</t>
        </is>
      </c>
      <c r="C587" s="95" t="inlineStr">
        <is>
          <t>키움투자자산운용</t>
        </is>
      </c>
      <c r="D587" s="96" t="n">
        <v>11180</v>
      </c>
      <c r="E587" s="96" t="n">
        <v>99502000000</v>
      </c>
      <c r="F587" s="96" t="n">
        <v>1494535559</v>
      </c>
      <c r="G587" s="97" t="n">
        <v>0.0012</v>
      </c>
      <c r="H587" s="97" t="n">
        <v>0.2772</v>
      </c>
      <c r="I587" s="97" t="n">
        <v>0.0014</v>
      </c>
      <c r="J587" s="97" t="n"/>
      <c r="K587" s="96" t="n">
        <v>3</v>
      </c>
      <c r="L587" s="95" t="inlineStr">
        <is>
          <t>20260730</t>
        </is>
      </c>
      <c r="M587" s="95" t="inlineStr">
        <is>
          <t>제외</t>
        </is>
      </c>
      <c r="N587" s="95" t="inlineStr">
        <is>
          <t>상장 9개월(기준 12개월 미만), 연 분배율 산출 불가(상장 1년 미만 — 12개월 창이 안 채워짐)</t>
        </is>
      </c>
      <c r="O587" s="95" t="inlineStr">
        <is>
          <t>S&amp;P 500 Momentum Index (US Dollar)</t>
        </is>
      </c>
      <c r="P587" s="95" t="inlineStr">
        <is>
          <t>일반</t>
        </is>
      </c>
      <c r="Q587" s="95" t="inlineStr">
        <is>
          <t>주식</t>
        </is>
      </c>
      <c r="R587" s="95" t="inlineStr">
        <is>
          <t>판정 불가</t>
        </is>
      </c>
      <c r="S587" s="96" t="n">
        <v>3</v>
      </c>
    </row>
    <row r="588">
      <c r="A588" s="95" t="inlineStr">
        <is>
          <t>TIGER 미국AI데이터센터TOP4Plus</t>
        </is>
      </c>
      <c r="B588" s="95" t="inlineStr">
        <is>
          <t>0142D0</t>
        </is>
      </c>
      <c r="C588" s="95" t="inlineStr">
        <is>
          <t>미래에셋자산운용</t>
        </is>
      </c>
      <c r="D588" s="96" t="n">
        <v>10500</v>
      </c>
      <c r="E588" s="96" t="n">
        <v>97650000000</v>
      </c>
      <c r="F588" s="96" t="n">
        <v>2096330577</v>
      </c>
      <c r="G588" s="97" t="n">
        <v>0.0049</v>
      </c>
      <c r="H588" s="97" t="n">
        <v>0.7561</v>
      </c>
      <c r="I588" s="97" t="n">
        <v>0.0002</v>
      </c>
      <c r="J588" s="97" t="n"/>
      <c r="K588" s="96" t="n">
        <v>1</v>
      </c>
      <c r="L588" s="95" t="inlineStr">
        <is>
          <t>20251229</t>
        </is>
      </c>
      <c r="M588" s="95" t="inlineStr">
        <is>
          <t>제외</t>
        </is>
      </c>
      <c r="N588" s="95" t="inlineStr">
        <is>
          <t>변동성 75.6%(190거래일 기준, 기준 35% 초과), 상장 9개월(기준 12개월 미만), 연 분배율 산출 불가(상장 1년 미만 — 12개월 창이 안 채워짐)</t>
        </is>
      </c>
      <c r="O588" s="95" t="inlineStr">
        <is>
          <t>Akros U.S. AI Data Center TOP4 Plus Index</t>
        </is>
      </c>
      <c r="P588" s="95" t="inlineStr">
        <is>
          <t>일반</t>
        </is>
      </c>
      <c r="Q588" s="95" t="inlineStr">
        <is>
          <t>주식</t>
        </is>
      </c>
      <c r="R588" s="95" t="inlineStr">
        <is>
          <t>판정 불가</t>
        </is>
      </c>
      <c r="S588" s="96" t="n">
        <v>1</v>
      </c>
    </row>
    <row r="589">
      <c r="A589" s="95" t="inlineStr">
        <is>
          <t>TIME 글로벌탑픽액티브</t>
        </is>
      </c>
      <c r="B589" s="95" t="inlineStr">
        <is>
          <t>0113D0</t>
        </is>
      </c>
      <c r="C589" s="95" t="inlineStr">
        <is>
          <t>타임폴리오자산운용</t>
        </is>
      </c>
      <c r="D589" s="96" t="n">
        <v>11845</v>
      </c>
      <c r="E589" s="96" t="n">
        <v>68108750000</v>
      </c>
      <c r="F589" s="96" t="n">
        <v>568396326</v>
      </c>
      <c r="G589" s="97" t="n">
        <v>0.0005999999999999999</v>
      </c>
      <c r="H589" s="97" t="n">
        <v>0.1902</v>
      </c>
      <c r="I589" s="97" t="n">
        <v>0.0016</v>
      </c>
      <c r="J589" s="97" t="n"/>
      <c r="K589" s="96" t="n">
        <v>1</v>
      </c>
      <c r="L589" s="95" t="inlineStr">
        <is>
          <t>20251229</t>
        </is>
      </c>
      <c r="M589" s="95" t="inlineStr">
        <is>
          <t>제외</t>
        </is>
      </c>
      <c r="N589" s="95" t="inlineStr">
        <is>
          <t>상장 11개월(기준 12개월 미만), 연 분배율 산출 불가(상장 1년 미만 — 12개월 창이 안 채워짐)</t>
        </is>
      </c>
      <c r="O589" s="95" t="inlineStr">
        <is>
          <t>Bloomberg World Large, Mid &amp; Small Cap Price Return Index</t>
        </is>
      </c>
      <c r="P589" s="95" t="inlineStr">
        <is>
          <t>일반</t>
        </is>
      </c>
      <c r="Q589" s="95" t="inlineStr">
        <is>
          <t>멀티에셋</t>
        </is>
      </c>
      <c r="R589" s="95" t="inlineStr">
        <is>
          <t>판정 불가</t>
        </is>
      </c>
      <c r="S589" s="96" t="n">
        <v>1</v>
      </c>
    </row>
    <row r="590">
      <c r="A590" s="95" t="inlineStr">
        <is>
          <t>KIWOOM 단기자금</t>
        </is>
      </c>
      <c r="B590" s="95" t="inlineStr">
        <is>
          <t>130730</t>
        </is>
      </c>
      <c r="C590" s="95" t="inlineStr">
        <is>
          <t>키움투자자산운용</t>
        </is>
      </c>
      <c r="D590" s="96" t="n"/>
      <c r="E590" s="96" t="n"/>
      <c r="F590" s="96" t="n"/>
      <c r="G590" s="97" t="n"/>
      <c r="H590" s="97" t="n"/>
      <c r="I590" s="97" t="n"/>
      <c r="J590" s="97" t="n"/>
      <c r="K590" s="96" t="n"/>
      <c r="L590" s="95" t="n"/>
      <c r="M590" s="95" t="inlineStr">
        <is>
          <t>제외</t>
        </is>
      </c>
      <c r="N590" s="95" t="inlineStr">
        <is>
          <t>수집 실패(세 번 다시 물었으나 답이 오지 않음: HTTP 0)</t>
        </is>
      </c>
      <c r="O590" s="95" t="inlineStr"/>
      <c r="P590" s="95" t="inlineStr">
        <is>
          <t>일반</t>
        </is>
      </c>
      <c r="Q590" s="95" t="inlineStr"/>
      <c r="R590" s="95" t="inlineStr"/>
      <c r="S590" s="96" t="n"/>
    </row>
    <row r="591">
      <c r="A591" s="95" t="inlineStr">
        <is>
          <t>FOCUS 200</t>
        </is>
      </c>
      <c r="B591" s="95" t="inlineStr">
        <is>
          <t>0098Z0</t>
        </is>
      </c>
      <c r="C591" s="95" t="inlineStr">
        <is>
          <t>브이아이자산운용</t>
        </is>
      </c>
      <c r="D591" s="96" t="n">
        <v>90655</v>
      </c>
      <c r="E591" s="96" t="n">
        <v>67991250000</v>
      </c>
      <c r="F591" s="96" t="n">
        <v>88949641</v>
      </c>
      <c r="G591" s="97" t="n">
        <v>0.0005</v>
      </c>
      <c r="H591" s="97" t="n">
        <v>0.5948</v>
      </c>
      <c r="I591" s="97" t="n">
        <v>0.0016</v>
      </c>
      <c r="J591" s="97" t="n"/>
      <c r="K591" s="96" t="n">
        <v>2</v>
      </c>
      <c r="L591" s="95" t="inlineStr">
        <is>
          <t>20260730</t>
        </is>
      </c>
      <c r="M591" s="95" t="inlineStr">
        <is>
          <t>제외</t>
        </is>
      </c>
      <c r="N591" s="95" t="inlineStr">
        <is>
          <t>60일 거래대금 0.9억(기준 5억 미만), 변동성 59.5%(1년 기준, 기준 35% 초과), 연 분배율 산출 불가(상장 1년 미만 — 12개월 창이 안 채워짐)</t>
        </is>
      </c>
      <c r="O591" s="95" t="inlineStr">
        <is>
          <t>KOSPI 200</t>
        </is>
      </c>
      <c r="P591" s="95" t="inlineStr">
        <is>
          <t>일반</t>
        </is>
      </c>
      <c r="Q591" s="95" t="inlineStr">
        <is>
          <t>주식</t>
        </is>
      </c>
      <c r="R591" s="95" t="inlineStr">
        <is>
          <t>연배당</t>
        </is>
      </c>
      <c r="S591" s="96" t="n">
        <v>2</v>
      </c>
    </row>
    <row r="592">
      <c r="A592" s="95" t="inlineStr">
        <is>
          <t>TIGER 구글밸류체인</t>
        </is>
      </c>
      <c r="B592" s="95" t="inlineStr">
        <is>
          <t>0190Y0</t>
        </is>
      </c>
      <c r="C592" s="95" t="inlineStr">
        <is>
          <t>미래에셋자산운용</t>
        </is>
      </c>
      <c r="D592" s="96" t="n">
        <v>8380</v>
      </c>
      <c r="E592" s="96" t="n">
        <v>67878000000</v>
      </c>
      <c r="F592" s="96" t="n">
        <v>1093996172</v>
      </c>
      <c r="G592" s="97" t="n">
        <v>0.004500000000000001</v>
      </c>
      <c r="H592" s="97" t="n">
        <v>0.3852</v>
      </c>
      <c r="I592" s="97" t="n">
        <v>0.0037</v>
      </c>
      <c r="J592" s="97" t="n"/>
      <c r="K592" s="96" t="n">
        <v>1</v>
      </c>
      <c r="L592" s="95" t="inlineStr">
        <is>
          <t>20260730</t>
        </is>
      </c>
      <c r="M592" s="95" t="inlineStr">
        <is>
          <t>제외</t>
        </is>
      </c>
      <c r="N592" s="95" t="inlineStr">
        <is>
          <t>변동성 38.5%(89거래일 기준, 기준 35% 초과), 상장 4개월(기준 12개월 미만), 연 분배율 산출 불가(상장 1년 미만 — 12개월 창이 안 채워짐)</t>
        </is>
      </c>
      <c r="O592" s="95" t="inlineStr">
        <is>
          <t>Akros Google Value Chain Index</t>
        </is>
      </c>
      <c r="P592" s="95" t="inlineStr">
        <is>
          <t>일반</t>
        </is>
      </c>
      <c r="Q592" s="95" t="inlineStr">
        <is>
          <t>주식</t>
        </is>
      </c>
      <c r="R592" s="95" t="inlineStr">
        <is>
          <t>판정 불가</t>
        </is>
      </c>
      <c r="S592" s="96" t="n">
        <v>1</v>
      </c>
    </row>
    <row r="593">
      <c r="A593" s="95" t="inlineStr">
        <is>
          <t>PLUS 단기채권액티브</t>
        </is>
      </c>
      <c r="B593" s="95" t="inlineStr">
        <is>
          <t>278620</t>
        </is>
      </c>
      <c r="C593" s="95" t="inlineStr">
        <is>
          <t>한화자산운용</t>
        </is>
      </c>
      <c r="D593" s="96" t="n"/>
      <c r="E593" s="96" t="n"/>
      <c r="F593" s="96" t="n"/>
      <c r="G593" s="97" t="n"/>
      <c r="H593" s="97" t="n"/>
      <c r="I593" s="97" t="n"/>
      <c r="J593" s="97" t="n"/>
      <c r="K593" s="96" t="n"/>
      <c r="L593" s="95" t="n"/>
      <c r="M593" s="95" t="inlineStr">
        <is>
          <t>제외</t>
        </is>
      </c>
      <c r="N593" s="95" t="inlineStr">
        <is>
          <t>수집 실패(세 번 다시 물었으나 답이 오지 않음: page.goto: net::ERR_EMPTY_RESPONSE at https://www.etfcheck.co.kr/
Call log:
  - )</t>
        </is>
      </c>
      <c r="O593" s="95" t="inlineStr"/>
      <c r="P593" s="95" t="inlineStr">
        <is>
          <t>일반</t>
        </is>
      </c>
      <c r="Q593" s="95" t="inlineStr"/>
      <c r="R593" s="95" t="inlineStr"/>
      <c r="S593" s="96" t="n"/>
    </row>
    <row r="594">
      <c r="A594" s="95" t="inlineStr">
        <is>
          <t>KODEX 헬스케어</t>
        </is>
      </c>
      <c r="B594" s="95" t="inlineStr">
        <is>
          <t>266420</t>
        </is>
      </c>
      <c r="C594" s="95" t="inlineStr">
        <is>
          <t>삼성자산운용(ETF)</t>
        </is>
      </c>
      <c r="D594" s="96" t="n">
        <v>16090</v>
      </c>
      <c r="E594" s="96" t="n">
        <v>64360000000</v>
      </c>
      <c r="F594" s="96" t="n">
        <v>712472621</v>
      </c>
      <c r="G594" s="97" t="n">
        <v>0.0009</v>
      </c>
      <c r="H594" s="97" t="n">
        <v>0.435</v>
      </c>
      <c r="I594" s="97" t="n">
        <v>0.0026</v>
      </c>
      <c r="J594" s="97" t="n"/>
      <c r="K594" s="96" t="n">
        <v>2</v>
      </c>
      <c r="L594" s="95" t="inlineStr">
        <is>
          <t>20250429</t>
        </is>
      </c>
      <c r="M594" s="95" t="inlineStr">
        <is>
          <t>제외</t>
        </is>
      </c>
      <c r="N594" s="95" t="inlineStr">
        <is>
          <t>변동성 43.5%(1년 기준, 기준 35% 초과), 최근 12개월 분배 없음, 연 분배율 산출 불가(최근 12개월 분배 기록 없음)</t>
        </is>
      </c>
      <c r="O594" s="95" t="inlineStr">
        <is>
          <t>KRX 헬스케어</t>
        </is>
      </c>
      <c r="P594" s="95" t="inlineStr">
        <is>
          <t>일반</t>
        </is>
      </c>
      <c r="Q594" s="95" t="inlineStr">
        <is>
          <t>주식</t>
        </is>
      </c>
      <c r="R594" s="95" t="inlineStr">
        <is>
          <t>무분배</t>
        </is>
      </c>
      <c r="S594" s="96" t="n">
        <v>0</v>
      </c>
    </row>
    <row r="595">
      <c r="A595" s="95" t="inlineStr">
        <is>
          <t>KODEX 코리아소버린AI</t>
        </is>
      </c>
      <c r="B595" s="95" t="inlineStr">
        <is>
          <t>0115E0</t>
        </is>
      </c>
      <c r="C595" s="95" t="inlineStr">
        <is>
          <t>삼성자산운용(ETF)</t>
        </is>
      </c>
      <c r="D595" s="96" t="n">
        <v>13835</v>
      </c>
      <c r="E595" s="96" t="n">
        <v>60182250000</v>
      </c>
      <c r="F595" s="96" t="n">
        <v>1156428589</v>
      </c>
      <c r="G595" s="97" t="n">
        <v>0.004500000000000001</v>
      </c>
      <c r="H595" s="97" t="n">
        <v>0.4728</v>
      </c>
      <c r="I595" s="97" t="n">
        <v>0.0021</v>
      </c>
      <c r="J595" s="97" t="n"/>
      <c r="K595" s="96" t="n">
        <v>2</v>
      </c>
      <c r="L595" s="95" t="inlineStr">
        <is>
          <t>20260730</t>
        </is>
      </c>
      <c r="M595" s="95" t="inlineStr">
        <is>
          <t>제외</t>
        </is>
      </c>
      <c r="N595" s="95" t="inlineStr">
        <is>
          <t>변동성 47.3%(1년 기준, 기준 35% 초과), 상장 11개월(기준 12개월 미만), 연 분배율 산출 불가(상장 1년 미만 — 12개월 창이 안 채워짐)</t>
        </is>
      </c>
      <c r="O595" s="95" t="inlineStr">
        <is>
          <t>KRX 코리아 소버린 AI 지수</t>
        </is>
      </c>
      <c r="P595" s="95" t="inlineStr">
        <is>
          <t>일반</t>
        </is>
      </c>
      <c r="Q595" s="95" t="inlineStr">
        <is>
          <t>주식</t>
        </is>
      </c>
      <c r="R595" s="95" t="inlineStr">
        <is>
          <t>판정 불가</t>
        </is>
      </c>
      <c r="S595" s="96" t="n">
        <v>2</v>
      </c>
    </row>
    <row r="596">
      <c r="A596" s="95" t="inlineStr">
        <is>
          <t>PLUS K제조업핵심기업액티브</t>
        </is>
      </c>
      <c r="B596" s="95" t="inlineStr">
        <is>
          <t>0166S0</t>
        </is>
      </c>
      <c r="C596" s="95" t="inlineStr">
        <is>
          <t>한화자산운용</t>
        </is>
      </c>
      <c r="D596" s="96" t="n">
        <v>10945</v>
      </c>
      <c r="E596" s="96" t="n">
        <v>57461250000</v>
      </c>
      <c r="F596" s="96" t="n">
        <v>944114567</v>
      </c>
      <c r="G596" s="97" t="n">
        <v>0.0063</v>
      </c>
      <c r="H596" s="97" t="n">
        <v>0.7223999999999999</v>
      </c>
      <c r="I596" s="97" t="n">
        <v>0.0004</v>
      </c>
      <c r="J596" s="97" t="n"/>
      <c r="K596" s="96" t="n">
        <v>1</v>
      </c>
      <c r="L596" s="95" t="inlineStr">
        <is>
          <t>20260429</t>
        </is>
      </c>
      <c r="M596" s="95" t="inlineStr">
        <is>
          <t>제외</t>
        </is>
      </c>
      <c r="N596" s="95" t="inlineStr">
        <is>
          <t>변동성 72.2%(122거래일 기준, 기준 35% 초과), 상장 6개월(기준 12개월 미만), 연 분배율 산출 불가(상장 1년 미만 — 12개월 창이 안 채워짐)</t>
        </is>
      </c>
      <c r="O596" s="95" t="inlineStr">
        <is>
          <t>Akros K제조업 50 지수</t>
        </is>
      </c>
      <c r="P596" s="95" t="inlineStr">
        <is>
          <t>일반</t>
        </is>
      </c>
      <c r="Q596" s="95" t="inlineStr">
        <is>
          <t>주식</t>
        </is>
      </c>
      <c r="R596" s="95" t="inlineStr">
        <is>
          <t>판정 불가</t>
        </is>
      </c>
      <c r="S596" s="96" t="n">
        <v>1</v>
      </c>
    </row>
    <row r="597">
      <c r="A597" s="95" t="inlineStr">
        <is>
          <t>SOL 조선기자재</t>
        </is>
      </c>
      <c r="B597" s="95" t="inlineStr">
        <is>
          <t>0141S0</t>
        </is>
      </c>
      <c r="C597" s="95" t="inlineStr">
        <is>
          <t>신한자산운용</t>
        </is>
      </c>
      <c r="D597" s="96" t="n">
        <v>8940</v>
      </c>
      <c r="E597" s="96" t="n">
        <v>56322000000</v>
      </c>
      <c r="F597" s="96" t="n">
        <v>2674978703</v>
      </c>
      <c r="G597" s="97" t="n">
        <v>0.004500000000000001</v>
      </c>
      <c r="H597" s="97" t="n">
        <v>0.593</v>
      </c>
      <c r="I597" s="97" t="n">
        <v>0.0007000000000000001</v>
      </c>
      <c r="J597" s="97" t="n"/>
      <c r="K597" s="96" t="n">
        <v>2</v>
      </c>
      <c r="L597" s="95" t="inlineStr">
        <is>
          <t>20260429</t>
        </is>
      </c>
      <c r="M597" s="95" t="inlineStr">
        <is>
          <t>제외</t>
        </is>
      </c>
      <c r="N597" s="95" t="inlineStr">
        <is>
          <t>변동성 59.3%(185거래일 기준, 기준 35% 초과), 상장 9개월(기준 12개월 미만), 연 분배율 산출 불가(상장 1년 미만 — 12개월 창이 안 채워짐)</t>
        </is>
      </c>
      <c r="O597" s="95" t="inlineStr">
        <is>
          <t>FnGuide 조선 기자재 지수</t>
        </is>
      </c>
      <c r="P597" s="95" t="inlineStr">
        <is>
          <t>일반</t>
        </is>
      </c>
      <c r="Q597" s="95" t="inlineStr">
        <is>
          <t>주식</t>
        </is>
      </c>
      <c r="R597" s="95" t="inlineStr">
        <is>
          <t>판정 불가</t>
        </is>
      </c>
      <c r="S597" s="96" t="n">
        <v>2</v>
      </c>
    </row>
    <row r="598">
      <c r="A598" s="95" t="inlineStr">
        <is>
          <t>HK 머니마켓액티브</t>
        </is>
      </c>
      <c r="B598" s="95" t="inlineStr">
        <is>
          <t>0113P0</t>
        </is>
      </c>
      <c r="C598" s="95" t="inlineStr">
        <is>
          <t>흥국자산운용</t>
        </is>
      </c>
      <c r="D598" s="96" t="n">
        <v>102555</v>
      </c>
      <c r="E598" s="96" t="n">
        <v>53123490000</v>
      </c>
      <c r="F598" s="96" t="n">
        <v>2487678</v>
      </c>
      <c r="G598" s="97" t="n">
        <v>0.00045</v>
      </c>
      <c r="H598" s="97" t="n">
        <v>0.0029</v>
      </c>
      <c r="I598" s="97" t="n">
        <v>0.0024</v>
      </c>
      <c r="J598" s="97" t="n"/>
      <c r="K598" s="96" t="n">
        <v>1</v>
      </c>
      <c r="L598" s="95" t="inlineStr">
        <is>
          <t>20251229</t>
        </is>
      </c>
      <c r="M598" s="95" t="inlineStr">
        <is>
          <t>제외</t>
        </is>
      </c>
      <c r="N598" s="95" t="inlineStr">
        <is>
          <t>60일 거래대금 0.0억(기준 5억 미만), 연 분배율 산출 불가(상장 1년 미만 — 12개월 창이 안 채워짐)</t>
        </is>
      </c>
      <c r="O598" s="95" t="inlineStr">
        <is>
          <t>KAP 머니마켓 지수(총수익)</t>
        </is>
      </c>
      <c r="P598" s="95" t="inlineStr">
        <is>
          <t>일반</t>
        </is>
      </c>
      <c r="Q598" s="95" t="inlineStr">
        <is>
          <t>단기자금(파킹형)</t>
        </is>
      </c>
      <c r="R598" s="95" t="inlineStr">
        <is>
          <t>연배당</t>
        </is>
      </c>
      <c r="S598" s="96" t="n">
        <v>1</v>
      </c>
    </row>
    <row r="599">
      <c r="A599" s="95" t="inlineStr">
        <is>
          <t>ACE 미국AI테크핵심산업액티브</t>
        </is>
      </c>
      <c r="B599" s="95" t="inlineStr">
        <is>
          <t>0118Z0</t>
        </is>
      </c>
      <c r="C599" s="95" t="inlineStr">
        <is>
          <t>한국투신운용(ETF)</t>
        </is>
      </c>
      <c r="D599" s="96" t="n">
        <v>8605</v>
      </c>
      <c r="E599" s="96" t="n">
        <v>51199750000</v>
      </c>
      <c r="F599" s="96" t="n">
        <v>306313743</v>
      </c>
      <c r="G599" s="97" t="n">
        <v>0.004500000000000001</v>
      </c>
      <c r="H599" s="97" t="n">
        <v>0.4486</v>
      </c>
      <c r="I599" s="97" t="n">
        <v>0.0003</v>
      </c>
      <c r="J599" s="97" t="n"/>
      <c r="K599" s="96" t="n">
        <v>1</v>
      </c>
      <c r="L599" s="95" t="inlineStr">
        <is>
          <t>20251229</t>
        </is>
      </c>
      <c r="M599" s="95" t="inlineStr">
        <is>
          <t>제외</t>
        </is>
      </c>
      <c r="N599" s="95" t="inlineStr">
        <is>
          <t>60일 거래대금 3.1억(기준 5억 미만), 변동성 44.9%(1년 기준, 기준 35% 초과), 상장 11개월(기준 12개월 미만), 연 분배율 산출 불가(상장 1년 미만 — 12개월 창이 안 채워짐)</t>
        </is>
      </c>
      <c r="O599" s="95" t="inlineStr">
        <is>
          <t>Akros U.S. AI Innovator Index</t>
        </is>
      </c>
      <c r="P599" s="95" t="inlineStr">
        <is>
          <t>일반</t>
        </is>
      </c>
      <c r="Q599" s="95" t="inlineStr">
        <is>
          <t>주식</t>
        </is>
      </c>
      <c r="R599" s="95" t="inlineStr">
        <is>
          <t>판정 불가</t>
        </is>
      </c>
      <c r="S599" s="96" t="n">
        <v>1</v>
      </c>
    </row>
    <row r="600">
      <c r="A600" s="95" t="inlineStr">
        <is>
          <t>SOL 미국넥스트테크TOP10액티브</t>
        </is>
      </c>
      <c r="B600" s="95" t="inlineStr">
        <is>
          <t>0118S0</t>
        </is>
      </c>
      <c r="C600" s="95" t="inlineStr">
        <is>
          <t>신한자산운용</t>
        </is>
      </c>
      <c r="D600" s="96" t="n">
        <v>10585</v>
      </c>
      <c r="E600" s="96" t="n">
        <v>49220250000</v>
      </c>
      <c r="F600" s="96" t="n">
        <v>544234961</v>
      </c>
      <c r="G600" s="97" t="n">
        <v>0.005500000000000001</v>
      </c>
      <c r="H600" s="97" t="n">
        <v>0.6093999999999999</v>
      </c>
      <c r="I600" s="97" t="n">
        <v>0.0004</v>
      </c>
      <c r="J600" s="97" t="n"/>
      <c r="K600" s="96" t="n">
        <v>2</v>
      </c>
      <c r="L600" s="95" t="inlineStr">
        <is>
          <t>20260429</t>
        </is>
      </c>
      <c r="M600" s="95" t="inlineStr">
        <is>
          <t>제외</t>
        </is>
      </c>
      <c r="N600" s="95" t="inlineStr">
        <is>
          <t>변동성 60.9%(1년 기준, 기준 35% 초과), 상장 11개월(기준 12개월 미만), 연 분배율 산출 불가(상장 1년 미만 — 12개월 창이 안 채워짐)</t>
        </is>
      </c>
      <c r="O600" s="95" t="inlineStr">
        <is>
          <t>KEDI U.S. Next Tech Top10 Index</t>
        </is>
      </c>
      <c r="P600" s="95" t="inlineStr">
        <is>
          <t>일반</t>
        </is>
      </c>
      <c r="Q600" s="95" t="inlineStr">
        <is>
          <t>주식</t>
        </is>
      </c>
      <c r="R600" s="95" t="inlineStr">
        <is>
          <t>판정 불가</t>
        </is>
      </c>
      <c r="S600" s="96" t="n">
        <v>2</v>
      </c>
    </row>
    <row r="601">
      <c r="A601" s="95" t="inlineStr">
        <is>
          <t>IBK 미국AI TOP10국채혼합50</t>
        </is>
      </c>
      <c r="B601" s="95" t="inlineStr">
        <is>
          <t>0178H0</t>
        </is>
      </c>
      <c r="C601" s="95" t="inlineStr">
        <is>
          <t>IBK자산운용</t>
        </is>
      </c>
      <c r="D601" s="96" t="n">
        <v>9950</v>
      </c>
      <c r="E601" s="96" t="n">
        <v>46765000000</v>
      </c>
      <c r="F601" s="96" t="n">
        <v>98887313</v>
      </c>
      <c r="G601" s="97" t="n">
        <v>0.0025</v>
      </c>
      <c r="H601" s="97" t="n">
        <v>0.1375</v>
      </c>
      <c r="I601" s="97" t="n">
        <v>0.0015</v>
      </c>
      <c r="J601" s="97" t="n"/>
      <c r="K601" s="96" t="n">
        <v>1</v>
      </c>
      <c r="L601" s="95" t="inlineStr">
        <is>
          <t>20260730</t>
        </is>
      </c>
      <c r="M601" s="95" t="inlineStr">
        <is>
          <t>제외</t>
        </is>
      </c>
      <c r="N601" s="95" t="inlineStr">
        <is>
          <t>60일 거래대금 1.0억(기준 5억 미만), 상장 5개월(기준 12개월 미만), 연 분배율 산출 불가(상장 1년 미만 — 12개월 창이 안 채워짐)</t>
        </is>
      </c>
      <c r="O601" s="95" t="inlineStr">
        <is>
          <t>FnGuide 미국AI TOP10국채혼합 지수</t>
        </is>
      </c>
      <c r="P601" s="95" t="inlineStr">
        <is>
          <t>일반</t>
        </is>
      </c>
      <c r="Q601" s="95" t="inlineStr">
        <is>
          <t>멀티에셋</t>
        </is>
      </c>
      <c r="R601" s="95" t="inlineStr">
        <is>
          <t>판정 불가</t>
        </is>
      </c>
      <c r="S601" s="96" t="n">
        <v>1</v>
      </c>
    </row>
    <row r="602">
      <c r="A602" s="95" t="inlineStr">
        <is>
          <t>KODEX 미국원자력SMR</t>
        </is>
      </c>
      <c r="B602" s="95" t="inlineStr">
        <is>
          <t>0132H0</t>
        </is>
      </c>
      <c r="C602" s="95" t="inlineStr">
        <is>
          <t>삼성자산운용(ETF)</t>
        </is>
      </c>
      <c r="D602" s="96" t="n">
        <v>7445</v>
      </c>
      <c r="E602" s="96" t="n">
        <v>43553250000</v>
      </c>
      <c r="F602" s="96" t="n">
        <v>434471413</v>
      </c>
      <c r="G602" s="97" t="n">
        <v>0.004500000000000001</v>
      </c>
      <c r="H602" s="97" t="n">
        <v>0.5204</v>
      </c>
      <c r="I602" s="97" t="n">
        <v>0.0005</v>
      </c>
      <c r="J602" s="97" t="n"/>
      <c r="K602" s="96" t="n">
        <v>3</v>
      </c>
      <c r="L602" s="95" t="inlineStr">
        <is>
          <t>20260730</t>
        </is>
      </c>
      <c r="M602" s="95" t="inlineStr">
        <is>
          <t>제외</t>
        </is>
      </c>
      <c r="N602" s="95" t="inlineStr">
        <is>
          <t>60일 거래대금 4.3억(기준 5억 미만), 변동성 52.0%(1년 기준, 기준 35% 초과), 상장 10개월(기준 12개월 미만), 연 분배율 산출 불가(상장 1년 미만 — 12개월 창이 안 채워짐)</t>
        </is>
      </c>
      <c r="O602" s="95" t="inlineStr">
        <is>
          <t>iSelect U.S. Nuclear Power SMR Index</t>
        </is>
      </c>
      <c r="P602" s="95" t="inlineStr">
        <is>
          <t>일반</t>
        </is>
      </c>
      <c r="Q602" s="95" t="inlineStr">
        <is>
          <t>주식</t>
        </is>
      </c>
      <c r="R602" s="95" t="inlineStr">
        <is>
          <t>판정 불가</t>
        </is>
      </c>
      <c r="S602" s="96" t="n">
        <v>3</v>
      </c>
    </row>
    <row r="603">
      <c r="A603" s="95" t="inlineStr">
        <is>
          <t>ACE 미국주식베스트셀러</t>
        </is>
      </c>
      <c r="B603" s="95" t="inlineStr">
        <is>
          <t>473590</t>
        </is>
      </c>
      <c r="C603" s="95" t="inlineStr">
        <is>
          <t>한국투신운용(ETF)</t>
        </is>
      </c>
      <c r="D603" s="96" t="n"/>
      <c r="E603" s="96" t="n"/>
      <c r="F603" s="96" t="n"/>
      <c r="G603" s="97" t="n"/>
      <c r="H603" s="97" t="n"/>
      <c r="I603" s="97" t="n"/>
      <c r="J603" s="97" t="n"/>
      <c r="K603" s="96" t="n"/>
      <c r="L603" s="95" t="n"/>
      <c r="M603" s="95" t="inlineStr">
        <is>
          <t>제외</t>
        </is>
      </c>
      <c r="N603" s="95" t="inlineStr">
        <is>
          <t>수집 실패(세 번 다시 물었으나 답이 오지 않음: HTTP 403)</t>
        </is>
      </c>
      <c r="O603" s="95" t="inlineStr"/>
      <c r="P603" s="95" t="inlineStr">
        <is>
          <t>일반</t>
        </is>
      </c>
      <c r="Q603" s="95" t="inlineStr"/>
      <c r="R603" s="95" t="inlineStr"/>
      <c r="S603" s="96" t="n"/>
    </row>
    <row r="604">
      <c r="A604" s="95" t="inlineStr">
        <is>
          <t>1Q 코스닥150채권혼합50액티브</t>
        </is>
      </c>
      <c r="B604" s="95" t="inlineStr">
        <is>
          <t>0186S0</t>
        </is>
      </c>
      <c r="C604" s="95" t="inlineStr">
        <is>
          <t>하나자산운용</t>
        </is>
      </c>
      <c r="D604" s="96" t="n"/>
      <c r="E604" s="96" t="n"/>
      <c r="F604" s="96" t="n"/>
      <c r="G604" s="97" t="n"/>
      <c r="H604" s="97" t="n"/>
      <c r="I604" s="97" t="n"/>
      <c r="J604" s="97" t="n"/>
      <c r="K604" s="96" t="n"/>
      <c r="L604" s="95" t="n"/>
      <c r="M604" s="95" t="inlineStr">
        <is>
          <t>제외</t>
        </is>
      </c>
      <c r="N604" s="95" t="inlineStr">
        <is>
          <t>수집 실패(세 번 다시 물었으나 답이 오지 않음: HTTP 0)</t>
        </is>
      </c>
      <c r="O604" s="95" t="inlineStr"/>
      <c r="P604" s="95" t="inlineStr">
        <is>
          <t>일반</t>
        </is>
      </c>
      <c r="Q604" s="95" t="inlineStr"/>
      <c r="R604" s="95" t="inlineStr"/>
      <c r="S604" s="96" t="n"/>
    </row>
    <row r="605">
      <c r="A605" s="95" t="inlineStr">
        <is>
          <t>SOL 중기종합채권(AA-이상)액티브</t>
        </is>
      </c>
      <c r="B605" s="95" t="inlineStr">
        <is>
          <t>0141T0</t>
        </is>
      </c>
      <c r="C605" s="95" t="inlineStr">
        <is>
          <t>신한자산운용</t>
        </is>
      </c>
      <c r="D605" s="96" t="n"/>
      <c r="E605" s="96" t="n"/>
      <c r="F605" s="96" t="n"/>
      <c r="G605" s="97" t="n"/>
      <c r="H605" s="97" t="n"/>
      <c r="I605" s="97" t="n"/>
      <c r="J605" s="97" t="n"/>
      <c r="K605" s="96" t="n"/>
      <c r="L605" s="95" t="n"/>
      <c r="M605" s="95" t="inlineStr">
        <is>
          <t>제외</t>
        </is>
      </c>
      <c r="N605" s="95" t="inlineStr">
        <is>
          <t>수집 실패(세 번 다시 물었으나 답이 오지 않음: page.goto: net::ERR_EMPTY_RESPONSE at https://www.etfcheck.co.kr/
Call log:
  - )</t>
        </is>
      </c>
      <c r="O605" s="95" t="inlineStr"/>
      <c r="P605" s="95" t="inlineStr">
        <is>
          <t>일반</t>
        </is>
      </c>
      <c r="Q605" s="95" t="inlineStr"/>
      <c r="R605" s="95" t="inlineStr"/>
      <c r="S605" s="96" t="n"/>
    </row>
    <row r="606">
      <c r="A606" s="95" t="inlineStr">
        <is>
          <t>ACE 일본Nikkei225(H)</t>
        </is>
      </c>
      <c r="B606" s="95" t="inlineStr">
        <is>
          <t>238720</t>
        </is>
      </c>
      <c r="C606" s="95" t="inlineStr">
        <is>
          <t>한국투신운용(ETF)</t>
        </is>
      </c>
      <c r="D606" s="96" t="n"/>
      <c r="E606" s="96" t="n"/>
      <c r="F606" s="96" t="n"/>
      <c r="G606" s="97" t="n"/>
      <c r="H606" s="97" t="n"/>
      <c r="I606" s="97" t="n"/>
      <c r="J606" s="97" t="n"/>
      <c r="K606" s="96" t="n"/>
      <c r="L606" s="95" t="n"/>
      <c r="M606" s="95" t="inlineStr">
        <is>
          <t>제외</t>
        </is>
      </c>
      <c r="N606" s="95" t="inlineStr">
        <is>
          <t>수집 실패(세 번 다시 물었으나 답이 오지 않음: HTTP 403)</t>
        </is>
      </c>
      <c r="O606" s="95" t="inlineStr"/>
      <c r="P606" s="95" t="inlineStr">
        <is>
          <t>일반</t>
        </is>
      </c>
      <c r="Q606" s="95" t="inlineStr"/>
      <c r="R606" s="95" t="inlineStr"/>
      <c r="S606" s="96" t="n"/>
    </row>
    <row r="607">
      <c r="A607" s="95" t="inlineStr">
        <is>
          <t>TIGER 미국방산TOP10</t>
        </is>
      </c>
      <c r="B607" s="95" t="inlineStr">
        <is>
          <t>494840</t>
        </is>
      </c>
      <c r="C607" s="95" t="inlineStr">
        <is>
          <t>미래에셋자산운용</t>
        </is>
      </c>
      <c r="D607" s="96" t="n"/>
      <c r="E607" s="96" t="n"/>
      <c r="F607" s="96" t="n"/>
      <c r="G607" s="97" t="n"/>
      <c r="H607" s="97" t="n"/>
      <c r="I607" s="97" t="n"/>
      <c r="J607" s="97" t="n"/>
      <c r="K607" s="96" t="n"/>
      <c r="L607" s="95" t="n"/>
      <c r="M607" s="95" t="inlineStr">
        <is>
          <t>제외</t>
        </is>
      </c>
      <c r="N607" s="95" t="inlineStr">
        <is>
          <t>수집 실패(세 번 다시 물었으나 답이 오지 않음: HTTP 403)</t>
        </is>
      </c>
      <c r="O607" s="95" t="inlineStr"/>
      <c r="P607" s="95" t="inlineStr">
        <is>
          <t>일반</t>
        </is>
      </c>
      <c r="Q607" s="95" t="inlineStr"/>
      <c r="R607" s="95" t="inlineStr"/>
      <c r="S607" s="96" t="n"/>
    </row>
    <row r="608">
      <c r="A608" s="95" t="inlineStr">
        <is>
          <t>TIGER 금은선물(H)</t>
        </is>
      </c>
      <c r="B608" s="95" t="inlineStr">
        <is>
          <t>139320</t>
        </is>
      </c>
      <c r="C608" s="95" t="inlineStr">
        <is>
          <t>미래에셋자산운용</t>
        </is>
      </c>
      <c r="D608" s="96" t="n"/>
      <c r="E608" s="96" t="n"/>
      <c r="F608" s="96" t="n"/>
      <c r="G608" s="97" t="n"/>
      <c r="H608" s="97" t="n"/>
      <c r="I608" s="97" t="n"/>
      <c r="J608" s="97" t="n"/>
      <c r="K608" s="96" t="n"/>
      <c r="L608" s="95" t="n"/>
      <c r="M608" s="95" t="inlineStr">
        <is>
          <t>제외</t>
        </is>
      </c>
      <c r="N608" s="95" t="inlineStr">
        <is>
          <t>수집 실패(세 번 다시 물었으나 답이 오지 않음: HTTP 403)</t>
        </is>
      </c>
      <c r="O608" s="95" t="inlineStr"/>
      <c r="P608" s="95" t="inlineStr">
        <is>
          <t>일반</t>
        </is>
      </c>
      <c r="Q608" s="95" t="inlineStr"/>
      <c r="R608" s="95" t="inlineStr"/>
      <c r="S608" s="96" t="n"/>
    </row>
    <row r="609">
      <c r="A609" s="95" t="inlineStr">
        <is>
          <t>RISE 메타버스</t>
        </is>
      </c>
      <c r="B609" s="95" t="inlineStr">
        <is>
          <t>401170</t>
        </is>
      </c>
      <c r="C609" s="95" t="inlineStr">
        <is>
          <t>KB자산운용</t>
        </is>
      </c>
      <c r="D609" s="96" t="n"/>
      <c r="E609" s="96" t="n"/>
      <c r="F609" s="96" t="n"/>
      <c r="G609" s="97" t="n"/>
      <c r="H609" s="97" t="n"/>
      <c r="I609" s="97" t="n"/>
      <c r="J609" s="97" t="n"/>
      <c r="K609" s="96" t="n"/>
      <c r="L609" s="95" t="n"/>
      <c r="M609" s="95" t="inlineStr">
        <is>
          <t>제외</t>
        </is>
      </c>
      <c r="N609" s="95" t="inlineStr">
        <is>
          <t>수집 실패(세 번 다시 물었으나 답이 오지 않음: HTTP 0)</t>
        </is>
      </c>
      <c r="O609" s="95" t="inlineStr"/>
      <c r="P609" s="95" t="inlineStr">
        <is>
          <t>일반</t>
        </is>
      </c>
      <c r="Q609" s="95" t="inlineStr"/>
      <c r="R609" s="95" t="inlineStr"/>
      <c r="S609" s="96" t="n"/>
    </row>
    <row r="610">
      <c r="A610" s="95" t="inlineStr">
        <is>
          <t>RISE 200채권혼합50</t>
        </is>
      </c>
      <c r="B610" s="95" t="inlineStr">
        <is>
          <t>183700</t>
        </is>
      </c>
      <c r="C610" s="95" t="inlineStr">
        <is>
          <t>KB자산운용</t>
        </is>
      </c>
      <c r="D610" s="96" t="n"/>
      <c r="E610" s="96" t="n"/>
      <c r="F610" s="96" t="n"/>
      <c r="G610" s="97" t="n"/>
      <c r="H610" s="97" t="n"/>
      <c r="I610" s="97" t="n"/>
      <c r="J610" s="97" t="n"/>
      <c r="K610" s="96" t="n"/>
      <c r="L610" s="95" t="n"/>
      <c r="M610" s="95" t="inlineStr">
        <is>
          <t>제외</t>
        </is>
      </c>
      <c r="N610" s="95" t="inlineStr">
        <is>
          <t>수집 실패(세 번 다시 물었으나 답이 오지 않음: HTTP 403)</t>
        </is>
      </c>
      <c r="O610" s="95" t="inlineStr"/>
      <c r="P610" s="95" t="inlineStr">
        <is>
          <t>일반</t>
        </is>
      </c>
      <c r="Q610" s="95" t="inlineStr"/>
      <c r="R610" s="95" t="inlineStr"/>
      <c r="S610" s="96" t="n"/>
    </row>
    <row r="611">
      <c r="A611" s="95" t="inlineStr">
        <is>
          <t>FOCUS AI코리아액티브</t>
        </is>
      </c>
      <c r="B611" s="95" t="inlineStr">
        <is>
          <t>448570</t>
        </is>
      </c>
      <c r="C611" s="95" t="inlineStr">
        <is>
          <t>브이아이자산운용</t>
        </is>
      </c>
      <c r="D611" s="96" t="n"/>
      <c r="E611" s="96" t="n"/>
      <c r="F611" s="96" t="n"/>
      <c r="G611" s="97" t="n"/>
      <c r="H611" s="97" t="n"/>
      <c r="I611" s="97" t="n"/>
      <c r="J611" s="97" t="n"/>
      <c r="K611" s="96" t="n"/>
      <c r="L611" s="95" t="n"/>
      <c r="M611" s="95" t="inlineStr">
        <is>
          <t>제외</t>
        </is>
      </c>
      <c r="N611" s="95" t="inlineStr">
        <is>
          <t>수집 실패(세 번 다시 물었으나 답이 오지 않음: HTTP 403)</t>
        </is>
      </c>
      <c r="O611" s="95" t="inlineStr"/>
      <c r="P611" s="95" t="inlineStr">
        <is>
          <t>일반</t>
        </is>
      </c>
      <c r="Q611" s="95" t="inlineStr"/>
      <c r="R611" s="95" t="inlineStr"/>
      <c r="S611" s="96" t="n"/>
    </row>
    <row r="612">
      <c r="A612" s="95" t="inlineStr">
        <is>
          <t>IBK 200</t>
        </is>
      </c>
      <c r="B612" s="95" t="inlineStr">
        <is>
          <t>472840</t>
        </is>
      </c>
      <c r="C612" s="95" t="inlineStr">
        <is>
          <t>IBK자산운용</t>
        </is>
      </c>
      <c r="D612" s="96" t="n"/>
      <c r="E612" s="96" t="n"/>
      <c r="F612" s="96" t="n"/>
      <c r="G612" s="97" t="n"/>
      <c r="H612" s="97" t="n"/>
      <c r="I612" s="97" t="n"/>
      <c r="J612" s="97" t="n"/>
      <c r="K612" s="96" t="n"/>
      <c r="L612" s="95" t="n"/>
      <c r="M612" s="95" t="inlineStr">
        <is>
          <t>제외</t>
        </is>
      </c>
      <c r="N612" s="95" t="inlineStr">
        <is>
          <t>수집 실패(세 번 다시 물었으나 답이 오지 않음: HTTP 403)</t>
        </is>
      </c>
      <c r="O612" s="95" t="inlineStr"/>
      <c r="P612" s="95" t="inlineStr">
        <is>
          <t>일반</t>
        </is>
      </c>
      <c r="Q612" s="95" t="inlineStr"/>
      <c r="R612" s="95" t="inlineStr"/>
      <c r="S612" s="96" t="n"/>
    </row>
    <row r="613">
      <c r="A613" s="95" t="inlineStr">
        <is>
          <t>PLUS 글로벌원자력밸류체인</t>
        </is>
      </c>
      <c r="B613" s="95" t="inlineStr">
        <is>
          <t>0007G0</t>
        </is>
      </c>
      <c r="C613" s="95" t="inlineStr">
        <is>
          <t>한화자산운용</t>
        </is>
      </c>
      <c r="D613" s="96" t="n"/>
      <c r="E613" s="96" t="n"/>
      <c r="F613" s="96" t="n"/>
      <c r="G613" s="97" t="n"/>
      <c r="H613" s="97" t="n"/>
      <c r="I613" s="97" t="n"/>
      <c r="J613" s="97" t="n"/>
      <c r="K613" s="96" t="n"/>
      <c r="L613" s="95" t="n"/>
      <c r="M613" s="95" t="inlineStr">
        <is>
          <t>제외</t>
        </is>
      </c>
      <c r="N613" s="95" t="inlineStr">
        <is>
          <t>수집 실패(세 번 다시 물었으나 답이 오지 않음: HTTP 0)</t>
        </is>
      </c>
      <c r="O613" s="95" t="inlineStr"/>
      <c r="P613" s="95" t="inlineStr">
        <is>
          <t>일반</t>
        </is>
      </c>
      <c r="Q613" s="95" t="inlineStr"/>
      <c r="R613" s="95" t="inlineStr"/>
      <c r="S613" s="96" t="n"/>
    </row>
    <row r="614">
      <c r="A614" s="95" t="inlineStr">
        <is>
          <t>TIGER 경기방어</t>
        </is>
      </c>
      <c r="B614" s="95" t="inlineStr">
        <is>
          <t>139280</t>
        </is>
      </c>
      <c r="C614" s="95" t="inlineStr">
        <is>
          <t>미래에셋자산운용</t>
        </is>
      </c>
      <c r="D614" s="96" t="n"/>
      <c r="E614" s="96" t="n"/>
      <c r="F614" s="96" t="n"/>
      <c r="G614" s="97" t="n"/>
      <c r="H614" s="97" t="n"/>
      <c r="I614" s="97" t="n"/>
      <c r="J614" s="97" t="n"/>
      <c r="K614" s="96" t="n"/>
      <c r="L614" s="95" t="n"/>
      <c r="M614" s="95" t="inlineStr">
        <is>
          <t>제외</t>
        </is>
      </c>
      <c r="N614" s="95" t="inlineStr">
        <is>
          <t>수집 실패(세 번 다시 물었으나 답이 오지 않음: HTTP 403)</t>
        </is>
      </c>
      <c r="O614" s="95" t="inlineStr"/>
      <c r="P614" s="95" t="inlineStr">
        <is>
          <t>일반</t>
        </is>
      </c>
      <c r="Q614" s="95" t="inlineStr"/>
      <c r="R614" s="95" t="inlineStr"/>
      <c r="S614" s="96" t="n"/>
    </row>
    <row r="615">
      <c r="A615" s="95" t="inlineStr">
        <is>
          <t>KODEX 차이나AI테크액티브</t>
        </is>
      </c>
      <c r="B615" s="95" t="inlineStr">
        <is>
          <t>428510</t>
        </is>
      </c>
      <c r="C615" s="95" t="inlineStr">
        <is>
          <t>삼성자산운용(ETF)</t>
        </is>
      </c>
      <c r="D615" s="96" t="n"/>
      <c r="E615" s="96" t="n"/>
      <c r="F615" s="96" t="n"/>
      <c r="G615" s="97" t="n"/>
      <c r="H615" s="97" t="n"/>
      <c r="I615" s="97" t="n"/>
      <c r="J615" s="97" t="n"/>
      <c r="K615" s="96" t="n"/>
      <c r="L615" s="95" t="n"/>
      <c r="M615" s="95" t="inlineStr">
        <is>
          <t>제외</t>
        </is>
      </c>
      <c r="N615" s="95" t="inlineStr">
        <is>
          <t>수집 실패(세 번 다시 물었으나 답이 오지 않음: HTTP 403)</t>
        </is>
      </c>
      <c r="O615" s="95" t="inlineStr"/>
      <c r="P615" s="95" t="inlineStr">
        <is>
          <t>일반</t>
        </is>
      </c>
      <c r="Q615" s="95" t="inlineStr"/>
      <c r="R615" s="95" t="inlineStr"/>
      <c r="S615" s="96" t="n"/>
    </row>
    <row r="616">
      <c r="A616" s="95" t="inlineStr">
        <is>
          <t>HANARO 반도체핵심공정주도주</t>
        </is>
      </c>
      <c r="B616" s="95" t="inlineStr">
        <is>
          <t>476260</t>
        </is>
      </c>
      <c r="C616" s="95" t="inlineStr">
        <is>
          <t>NH-Amundi자산운용</t>
        </is>
      </c>
      <c r="D616" s="96" t="n"/>
      <c r="E616" s="96" t="n"/>
      <c r="F616" s="96" t="n"/>
      <c r="G616" s="97" t="n"/>
      <c r="H616" s="97" t="n"/>
      <c r="I616" s="97" t="n"/>
      <c r="J616" s="97" t="n"/>
      <c r="K616" s="96" t="n"/>
      <c r="L616" s="95" t="n"/>
      <c r="M616" s="95" t="inlineStr">
        <is>
          <t>제외</t>
        </is>
      </c>
      <c r="N616" s="95" t="inlineStr">
        <is>
          <t>수집 실패(세 번 다시 물었으나 답이 오지 않음: HTTP 403)</t>
        </is>
      </c>
      <c r="O616" s="95" t="inlineStr"/>
      <c r="P616" s="95" t="inlineStr">
        <is>
          <t>일반</t>
        </is>
      </c>
      <c r="Q616" s="95" t="inlineStr"/>
      <c r="R616" s="95" t="inlineStr"/>
      <c r="S616" s="96" t="n"/>
    </row>
    <row r="617">
      <c r="A617" s="95" t="inlineStr">
        <is>
          <t>KODEX 모멘텀주</t>
        </is>
      </c>
      <c r="B617" s="95" t="inlineStr">
        <is>
          <t>275280</t>
        </is>
      </c>
      <c r="C617" s="95" t="inlineStr">
        <is>
          <t>삼성자산운용(ETF)</t>
        </is>
      </c>
      <c r="D617" s="96" t="n"/>
      <c r="E617" s="96" t="n"/>
      <c r="F617" s="96" t="n"/>
      <c r="G617" s="97" t="n"/>
      <c r="H617" s="97" t="n"/>
      <c r="I617" s="97" t="n"/>
      <c r="J617" s="97" t="n"/>
      <c r="K617" s="96" t="n"/>
      <c r="L617" s="95" t="n"/>
      <c r="M617" s="95" t="inlineStr">
        <is>
          <t>제외</t>
        </is>
      </c>
      <c r="N617" s="95" t="inlineStr">
        <is>
          <t>수집 실패(세 번 다시 물었으나 답이 오지 않음: HTTP 0)</t>
        </is>
      </c>
      <c r="O617" s="95" t="inlineStr"/>
      <c r="P617" s="95" t="inlineStr">
        <is>
          <t>일반</t>
        </is>
      </c>
      <c r="Q617" s="95" t="inlineStr"/>
      <c r="R617" s="95" t="inlineStr"/>
      <c r="S617" s="96" t="n"/>
    </row>
    <row r="618">
      <c r="A618" s="95" t="inlineStr">
        <is>
          <t>TIGER 미국AI반도체팹리스</t>
        </is>
      </c>
      <c r="B618" s="95" t="inlineStr">
        <is>
          <t>491830</t>
        </is>
      </c>
      <c r="C618" s="95" t="inlineStr">
        <is>
          <t>미래에셋자산운용</t>
        </is>
      </c>
      <c r="D618" s="96" t="n"/>
      <c r="E618" s="96" t="n"/>
      <c r="F618" s="96" t="n"/>
      <c r="G618" s="97" t="n"/>
      <c r="H618" s="97" t="n"/>
      <c r="I618" s="97" t="n"/>
      <c r="J618" s="97" t="n"/>
      <c r="K618" s="96" t="n"/>
      <c r="L618" s="95" t="n"/>
      <c r="M618" s="95" t="inlineStr">
        <is>
          <t>제외</t>
        </is>
      </c>
      <c r="N618" s="95" t="inlineStr">
        <is>
          <t>수집 실패(세 번 다시 물었으나 답이 오지 않음: HTTP 403)</t>
        </is>
      </c>
      <c r="O618" s="95" t="inlineStr"/>
      <c r="P618" s="95" t="inlineStr">
        <is>
          <t>일반</t>
        </is>
      </c>
      <c r="Q618" s="95" t="inlineStr"/>
      <c r="R618" s="95" t="inlineStr"/>
      <c r="S618" s="96" t="n"/>
    </row>
    <row r="619">
      <c r="A619" s="95" t="inlineStr">
        <is>
          <t>TIGER 유로스탁스50(합성 H)</t>
        </is>
      </c>
      <c r="B619" s="95" t="inlineStr">
        <is>
          <t>195930</t>
        </is>
      </c>
      <c r="C619" s="95" t="inlineStr">
        <is>
          <t>미래에셋자산운용</t>
        </is>
      </c>
      <c r="D619" s="96" t="n"/>
      <c r="E619" s="96" t="n"/>
      <c r="F619" s="96" t="n"/>
      <c r="G619" s="97" t="n"/>
      <c r="H619" s="97" t="n"/>
      <c r="I619" s="97" t="n"/>
      <c r="J619" s="97" t="n"/>
      <c r="K619" s="96" t="n"/>
      <c r="L619" s="95" t="n"/>
      <c r="M619" s="95" t="inlineStr">
        <is>
          <t>제외</t>
        </is>
      </c>
      <c r="N619" s="95" t="inlineStr">
        <is>
          <t>수집 실패(세 번 다시 물었으나 답이 오지 않음: HTTP 403)</t>
        </is>
      </c>
      <c r="O619" s="95" t="inlineStr"/>
      <c r="P619" s="95" t="inlineStr">
        <is>
          <t>일반</t>
        </is>
      </c>
      <c r="Q619" s="95" t="inlineStr"/>
      <c r="R619" s="95" t="inlineStr"/>
      <c r="S619" s="96" t="n"/>
    </row>
    <row r="620">
      <c r="A620" s="95" t="inlineStr">
        <is>
          <t>TIGER 모멘텀</t>
        </is>
      </c>
      <c r="B620" s="95" t="inlineStr">
        <is>
          <t>147970</t>
        </is>
      </c>
      <c r="C620" s="95" t="inlineStr">
        <is>
          <t>미래에셋자산운용</t>
        </is>
      </c>
      <c r="D620" s="96" t="n"/>
      <c r="E620" s="96" t="n"/>
      <c r="F620" s="96" t="n"/>
      <c r="G620" s="97" t="n"/>
      <c r="H620" s="97" t="n"/>
      <c r="I620" s="97" t="n"/>
      <c r="J620" s="97" t="n"/>
      <c r="K620" s="96" t="n"/>
      <c r="L620" s="95" t="n"/>
      <c r="M620" s="95" t="inlineStr">
        <is>
          <t>제외</t>
        </is>
      </c>
      <c r="N620" s="95" t="inlineStr">
        <is>
          <t>수집 실패(세 번 다시 물었으나 답이 오지 않음: HTTP 403)</t>
        </is>
      </c>
      <c r="O620" s="95" t="inlineStr"/>
      <c r="P620" s="95" t="inlineStr">
        <is>
          <t>일반</t>
        </is>
      </c>
      <c r="Q620" s="95" t="inlineStr"/>
      <c r="R620" s="95" t="inlineStr"/>
      <c r="S620" s="96" t="n"/>
    </row>
    <row r="621">
      <c r="A621" s="95" t="inlineStr">
        <is>
          <t>TIGER 한중반도체(합성)</t>
        </is>
      </c>
      <c r="B621" s="95" t="inlineStr">
        <is>
          <t>449690</t>
        </is>
      </c>
      <c r="C621" s="95" t="inlineStr">
        <is>
          <t>미래에셋자산운용</t>
        </is>
      </c>
      <c r="D621" s="96" t="n"/>
      <c r="E621" s="96" t="n"/>
      <c r="F621" s="96" t="n"/>
      <c r="G621" s="97" t="n"/>
      <c r="H621" s="97" t="n"/>
      <c r="I621" s="97" t="n"/>
      <c r="J621" s="97" t="n"/>
      <c r="K621" s="96" t="n"/>
      <c r="L621" s="95" t="n"/>
      <c r="M621" s="95" t="inlineStr">
        <is>
          <t>제외</t>
        </is>
      </c>
      <c r="N621" s="95" t="inlineStr">
        <is>
          <t>수집 실패(세 번 다시 물었으나 답이 오지 않음: HTTP 403)</t>
        </is>
      </c>
      <c r="O621" s="95" t="inlineStr"/>
      <c r="P621" s="95" t="inlineStr">
        <is>
          <t>일반</t>
        </is>
      </c>
      <c r="Q621" s="95" t="inlineStr"/>
      <c r="R621" s="95" t="inlineStr"/>
      <c r="S621" s="96" t="n"/>
    </row>
    <row r="622">
      <c r="A622" s="95" t="inlineStr">
        <is>
          <t>KODEX 미국S&amp;P500배당귀족커버드콜(합성 H)</t>
        </is>
      </c>
      <c r="B622" s="95" t="inlineStr">
        <is>
          <t>276970</t>
        </is>
      </c>
      <c r="C622" s="95" t="inlineStr">
        <is>
          <t>삼성자산운용(ETF)</t>
        </is>
      </c>
      <c r="D622" s="96" t="n"/>
      <c r="E622" s="96" t="n"/>
      <c r="F622" s="96" t="n"/>
      <c r="G622" s="97" t="n"/>
      <c r="H622" s="97" t="n"/>
      <c r="I622" s="97" t="n"/>
      <c r="J622" s="97" t="n"/>
      <c r="K622" s="96" t="n"/>
      <c r="L622" s="95" t="n"/>
      <c r="M622" s="95" t="inlineStr">
        <is>
          <t>제외</t>
        </is>
      </c>
      <c r="N622" s="95" t="inlineStr">
        <is>
          <t>수집 실패(세 번 다시 물었으나 답이 오지 않음: HTTP 403)</t>
        </is>
      </c>
      <c r="O622" s="95" t="inlineStr"/>
      <c r="P622" s="95" t="inlineStr">
        <is>
          <t>커버드콜</t>
        </is>
      </c>
      <c r="Q622" s="95" t="inlineStr"/>
      <c r="R622" s="95" t="inlineStr"/>
      <c r="S622" s="96" t="n"/>
    </row>
    <row r="623">
      <c r="A623" s="95" t="inlineStr">
        <is>
          <t>TIGER Fn메타버스</t>
        </is>
      </c>
      <c r="B623" s="95" t="inlineStr">
        <is>
          <t>400970</t>
        </is>
      </c>
      <c r="C623" s="95" t="inlineStr">
        <is>
          <t>미래에셋자산운용</t>
        </is>
      </c>
      <c r="D623" s="96" t="n"/>
      <c r="E623" s="96" t="n"/>
      <c r="F623" s="96" t="n"/>
      <c r="G623" s="97" t="n"/>
      <c r="H623" s="97" t="n"/>
      <c r="I623" s="97" t="n"/>
      <c r="J623" s="97" t="n"/>
      <c r="K623" s="96" t="n"/>
      <c r="L623" s="95" t="n"/>
      <c r="M623" s="95" t="inlineStr">
        <is>
          <t>제외</t>
        </is>
      </c>
      <c r="N623" s="95" t="inlineStr">
        <is>
          <t>수집 실패(세 번 다시 물었으나 답이 오지 않음: HTTP 403)</t>
        </is>
      </c>
      <c r="O623" s="95" t="inlineStr"/>
      <c r="P623" s="95" t="inlineStr">
        <is>
          <t>일반</t>
        </is>
      </c>
      <c r="Q623" s="95" t="inlineStr"/>
      <c r="R623" s="95" t="inlineStr"/>
      <c r="S623" s="96" t="n"/>
    </row>
    <row r="624">
      <c r="A624" s="95" t="inlineStr">
        <is>
          <t>ACE 미국30년국채선물레버리지(합성 H)</t>
        </is>
      </c>
      <c r="B624" s="95" t="inlineStr">
        <is>
          <t>452250</t>
        </is>
      </c>
      <c r="C624" s="95" t="inlineStr">
        <is>
          <t>한국투신운용(ETF)</t>
        </is>
      </c>
      <c r="D624" s="96" t="n"/>
      <c r="E624" s="96" t="n"/>
      <c r="F624" s="96" t="n"/>
      <c r="G624" s="97" t="n"/>
      <c r="H624" s="97" t="n"/>
      <c r="I624" s="97" t="n"/>
      <c r="J624" s="97" t="n"/>
      <c r="K624" s="96" t="n"/>
      <c r="L624" s="95" t="n"/>
      <c r="M624" s="95" t="inlineStr">
        <is>
          <t>제외</t>
        </is>
      </c>
      <c r="N624" s="95" t="inlineStr">
        <is>
          <t>수집 실패(세 번 다시 물었으나 답이 오지 않음: HTTP 403)</t>
        </is>
      </c>
      <c r="O624" s="95" t="inlineStr"/>
      <c r="P624" s="95" t="inlineStr">
        <is>
          <t>일반</t>
        </is>
      </c>
      <c r="Q624" s="95" t="inlineStr"/>
      <c r="R624" s="95" t="inlineStr"/>
      <c r="S624" s="96" t="n"/>
    </row>
    <row r="625">
      <c r="A625" s="95" t="inlineStr">
        <is>
          <t>KIWOOM 미국원유에너지기업</t>
        </is>
      </c>
      <c r="B625" s="95" t="inlineStr">
        <is>
          <t>474800</t>
        </is>
      </c>
      <c r="C625" s="95" t="inlineStr">
        <is>
          <t>키움투자자산운용</t>
        </is>
      </c>
      <c r="D625" s="96" t="n"/>
      <c r="E625" s="96" t="n"/>
      <c r="F625" s="96" t="n"/>
      <c r="G625" s="97" t="n"/>
      <c r="H625" s="97" t="n"/>
      <c r="I625" s="97" t="n"/>
      <c r="J625" s="97" t="n"/>
      <c r="K625" s="96" t="n"/>
      <c r="L625" s="95" t="n"/>
      <c r="M625" s="95" t="inlineStr">
        <is>
          <t>제외</t>
        </is>
      </c>
      <c r="N625" s="95" t="inlineStr">
        <is>
          <t>수집 실패(세 번 다시 물었으나 답이 오지 않음: HTTP 403)</t>
        </is>
      </c>
      <c r="O625" s="95" t="inlineStr"/>
      <c r="P625" s="95" t="inlineStr">
        <is>
          <t>일반</t>
        </is>
      </c>
      <c r="Q625" s="95" t="inlineStr"/>
      <c r="R625" s="95" t="inlineStr"/>
      <c r="S625" s="96" t="n"/>
    </row>
    <row r="626">
      <c r="A626" s="95" t="inlineStr">
        <is>
          <t>WON 초대형IB&amp;금융지주</t>
        </is>
      </c>
      <c r="B626" s="95" t="inlineStr">
        <is>
          <t>0154F0</t>
        </is>
      </c>
      <c r="C626" s="95" t="inlineStr">
        <is>
          <t>우리자산운용</t>
        </is>
      </c>
      <c r="D626" s="96" t="n"/>
      <c r="E626" s="96" t="n"/>
      <c r="F626" s="96" t="n"/>
      <c r="G626" s="97" t="n"/>
      <c r="H626" s="97" t="n"/>
      <c r="I626" s="97" t="n"/>
      <c r="J626" s="97" t="n"/>
      <c r="K626" s="96" t="n"/>
      <c r="L626" s="95" t="n"/>
      <c r="M626" s="95" t="inlineStr">
        <is>
          <t>제외</t>
        </is>
      </c>
      <c r="N626" s="95" t="inlineStr">
        <is>
          <t>수집 실패(세 번 다시 물었으나 답이 오지 않음: HTTP 403)</t>
        </is>
      </c>
      <c r="O626" s="95" t="inlineStr"/>
      <c r="P626" s="95" t="inlineStr">
        <is>
          <t>일반</t>
        </is>
      </c>
      <c r="Q626" s="95" t="inlineStr"/>
      <c r="R626" s="95" t="inlineStr"/>
      <c r="S626" s="96" t="n"/>
    </row>
    <row r="627">
      <c r="A627" s="95" t="inlineStr">
        <is>
          <t>SOL 코스닥150</t>
        </is>
      </c>
      <c r="B627" s="95" t="inlineStr">
        <is>
          <t>450910</t>
        </is>
      </c>
      <c r="C627" s="95" t="inlineStr">
        <is>
          <t>신한자산운용</t>
        </is>
      </c>
      <c r="D627" s="96" t="n"/>
      <c r="E627" s="96" t="n"/>
      <c r="F627" s="96" t="n"/>
      <c r="G627" s="97" t="n"/>
      <c r="H627" s="97" t="n"/>
      <c r="I627" s="97" t="n"/>
      <c r="J627" s="97" t="n"/>
      <c r="K627" s="96" t="n"/>
      <c r="L627" s="95" t="n"/>
      <c r="M627" s="95" t="inlineStr">
        <is>
          <t>제외</t>
        </is>
      </c>
      <c r="N627" s="95" t="inlineStr">
        <is>
          <t>수집 실패(세 번 다시 물었으나 답이 오지 않음: HTTP 403)</t>
        </is>
      </c>
      <c r="O627" s="95" t="inlineStr"/>
      <c r="P627" s="95" t="inlineStr">
        <is>
          <t>일반</t>
        </is>
      </c>
      <c r="Q627" s="95" t="inlineStr"/>
      <c r="R627" s="95" t="inlineStr"/>
      <c r="S627" s="96" t="n"/>
    </row>
    <row r="628">
      <c r="A628" s="95" t="inlineStr">
        <is>
          <t>TIGER 인터넷TOP10</t>
        </is>
      </c>
      <c r="B628" s="95" t="inlineStr">
        <is>
          <t>365000</t>
        </is>
      </c>
      <c r="C628" s="95" t="inlineStr">
        <is>
          <t>미래에셋자산운용</t>
        </is>
      </c>
      <c r="D628" s="96" t="n"/>
      <c r="E628" s="96" t="n"/>
      <c r="F628" s="96" t="n"/>
      <c r="G628" s="97" t="n"/>
      <c r="H628" s="97" t="n"/>
      <c r="I628" s="97" t="n"/>
      <c r="J628" s="97" t="n"/>
      <c r="K628" s="96" t="n"/>
      <c r="L628" s="95" t="n"/>
      <c r="M628" s="95" t="inlineStr">
        <is>
          <t>제외</t>
        </is>
      </c>
      <c r="N628" s="95" t="inlineStr">
        <is>
          <t>수집 실패(세 번 다시 물었으나 답이 오지 않음: HTTP 403)</t>
        </is>
      </c>
      <c r="O628" s="95" t="inlineStr"/>
      <c r="P628" s="95" t="inlineStr">
        <is>
          <t>일반</t>
        </is>
      </c>
      <c r="Q628" s="95" t="inlineStr"/>
      <c r="R628" s="95" t="inlineStr"/>
      <c r="S628" s="96" t="n"/>
    </row>
    <row r="629">
      <c r="A629" s="95" t="inlineStr">
        <is>
          <t>RISE 글로벌테크놀로지(합성 H)</t>
        </is>
      </c>
      <c r="B629" s="95" t="inlineStr">
        <is>
          <t>276650</t>
        </is>
      </c>
      <c r="C629" s="95" t="inlineStr">
        <is>
          <t>KB자산운용</t>
        </is>
      </c>
      <c r="D629" s="96" t="n"/>
      <c r="E629" s="96" t="n"/>
      <c r="F629" s="96" t="n"/>
      <c r="G629" s="97" t="n"/>
      <c r="H629" s="97" t="n"/>
      <c r="I629" s="97" t="n"/>
      <c r="J629" s="97" t="n"/>
      <c r="K629" s="96" t="n"/>
      <c r="L629" s="95" t="n"/>
      <c r="M629" s="95" t="inlineStr">
        <is>
          <t>제외</t>
        </is>
      </c>
      <c r="N629" s="95" t="inlineStr">
        <is>
          <t>수집 실패(세 번 다시 물었으나 답이 오지 않음: HTTP 403)</t>
        </is>
      </c>
      <c r="O629" s="95" t="inlineStr"/>
      <c r="P629" s="95" t="inlineStr">
        <is>
          <t>일반</t>
        </is>
      </c>
      <c r="Q629" s="95" t="inlineStr"/>
      <c r="R629" s="95" t="inlineStr"/>
      <c r="S629" s="96" t="n"/>
    </row>
    <row r="630">
      <c r="A630" s="95" t="inlineStr">
        <is>
          <t>KODEX 미국테크TOP3플러스</t>
        </is>
      </c>
      <c r="B630" s="95" t="inlineStr">
        <is>
          <t>491090</t>
        </is>
      </c>
      <c r="C630" s="95" t="inlineStr">
        <is>
          <t>삼성자산운용(ETF)</t>
        </is>
      </c>
      <c r="D630" s="96" t="n"/>
      <c r="E630" s="96" t="n"/>
      <c r="F630" s="96" t="n"/>
      <c r="G630" s="97" t="n"/>
      <c r="H630" s="97" t="n"/>
      <c r="I630" s="97" t="n"/>
      <c r="J630" s="97" t="n"/>
      <c r="K630" s="96" t="n"/>
      <c r="L630" s="95" t="n"/>
      <c r="M630" s="95" t="inlineStr">
        <is>
          <t>제외</t>
        </is>
      </c>
      <c r="N630" s="95" t="inlineStr">
        <is>
          <t>수집 실패(세 번 다시 물었으나 답이 오지 않음: page.goto: net::ERR_EMPTY_RESPONSE at https://www.etfcheck.co.kr/
Call log:
  - )</t>
        </is>
      </c>
      <c r="O630" s="95" t="inlineStr"/>
      <c r="P630" s="95" t="inlineStr">
        <is>
          <t>일반</t>
        </is>
      </c>
      <c r="Q630" s="95" t="inlineStr"/>
      <c r="R630" s="95" t="inlineStr"/>
      <c r="S630" s="96" t="n"/>
    </row>
    <row r="631">
      <c r="A631" s="95" t="inlineStr">
        <is>
          <t>RISE V&amp;S셀렉트밸류채권혼합</t>
        </is>
      </c>
      <c r="B631" s="95" t="inlineStr">
        <is>
          <t>241390</t>
        </is>
      </c>
      <c r="C631" s="95" t="inlineStr">
        <is>
          <t>KB자산운용</t>
        </is>
      </c>
      <c r="D631" s="96" t="n"/>
      <c r="E631" s="96" t="n"/>
      <c r="F631" s="96" t="n"/>
      <c r="G631" s="97" t="n"/>
      <c r="H631" s="97" t="n"/>
      <c r="I631" s="97" t="n"/>
      <c r="J631" s="97" t="n"/>
      <c r="K631" s="96" t="n"/>
      <c r="L631" s="95" t="n"/>
      <c r="M631" s="95" t="inlineStr">
        <is>
          <t>제외</t>
        </is>
      </c>
      <c r="N631" s="95" t="inlineStr">
        <is>
          <t>수집 실패(세 번 다시 물었으나 답이 오지 않음: HTTP 403)</t>
        </is>
      </c>
      <c r="O631" s="95" t="inlineStr"/>
      <c r="P631" s="95" t="inlineStr">
        <is>
          <t>일반</t>
        </is>
      </c>
      <c r="Q631" s="95" t="inlineStr"/>
      <c r="R631" s="95" t="inlineStr"/>
      <c r="S631" s="96" t="n"/>
    </row>
    <row r="632">
      <c r="A632" s="95" t="inlineStr">
        <is>
          <t>1Q 200채권혼합50액티브</t>
        </is>
      </c>
      <c r="B632" s="95" t="inlineStr">
        <is>
          <t>0184E0</t>
        </is>
      </c>
      <c r="C632" s="95" t="inlineStr">
        <is>
          <t>하나자산운용</t>
        </is>
      </c>
      <c r="D632" s="96" t="n"/>
      <c r="E632" s="96" t="n"/>
      <c r="F632" s="96" t="n"/>
      <c r="G632" s="97" t="n"/>
      <c r="H632" s="97" t="n"/>
      <c r="I632" s="97" t="n"/>
      <c r="J632" s="97" t="n"/>
      <c r="K632" s="96" t="n"/>
      <c r="L632" s="95" t="n"/>
      <c r="M632" s="95" t="inlineStr">
        <is>
          <t>제외</t>
        </is>
      </c>
      <c r="N632" s="95" t="inlineStr">
        <is>
          <t>수집 실패(세 번 다시 물었으나 답이 오지 않음: HTTP 0)</t>
        </is>
      </c>
      <c r="O632" s="95" t="inlineStr"/>
      <c r="P632" s="95" t="inlineStr">
        <is>
          <t>일반</t>
        </is>
      </c>
      <c r="Q632" s="95" t="inlineStr"/>
      <c r="R632" s="95" t="inlineStr"/>
      <c r="S632" s="96" t="n"/>
    </row>
  </sheetData>
  <autoFilter ref="A3:S6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98" t="inlineStr">
        <is>
          <t>이 파일을 쓰는 법</t>
        </is>
      </c>
    </row>
    <row r="2" ht="3" customHeight="1">
      <c r="A2" s="6" t="n"/>
      <c r="B2" s="6" t="n"/>
    </row>
    <row r="4" ht="18" customHeight="1">
      <c r="B4" s="99" t="inlineStr"/>
    </row>
    <row r="5" ht="24" customHeight="1">
      <c r="B5" s="100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99" t="inlineStr"/>
    </row>
    <row r="11" ht="24" customHeight="1">
      <c r="B11" s="100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99" t="inlineStr"/>
    </row>
    <row r="24" ht="24" customHeight="1">
      <c r="B24" s="100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189종목 — 유동성·변동성·분배이력 기준을 통과한 종목</t>
        </is>
      </c>
    </row>
    <row r="26" ht="18" customHeight="1">
      <c r="B26" s="70" t="inlineStr">
        <is>
          <t xml:space="preserve">     · 기준 미달 325종목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115종목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99" t="inlineStr"/>
    </row>
    <row r="32" ht="24" customHeight="1">
      <c r="B32" s="100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99" t="inlineStr"/>
    </row>
    <row r="35" ht="24" customHeight="1">
      <c r="B35" s="100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99" t="inlineStr"/>
    </row>
    <row r="39" ht="24" customHeight="1">
      <c r="B39" s="100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2026-09-17T12:41:57Z</dcterms:created>
  <dcterms:modified xsi:type="dcterms:W3CDTF">2026-09-17T12:41:58Z</dcterms:modified>
</cp:coreProperties>
</file>