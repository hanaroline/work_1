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'ETF데이터'!$A$4:$A$253</definedName>
    <definedName name="검색어">'제안서'!$E$17</definedName>
    <definedName name="검색건수">COUNTIF('ETF데이터'!$W$4:$W$253,1)</definedName>
    <definedName name="검색결과">OFFSET('ETF데이터'!$Y$4,0,0,MAX(1,COUNTIF('ETF데이터'!$W$4:$W$253,1)),1)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'ETF데이터'!$A$3:$T$336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IF($K20=0,0,ROUNDDOWN($D20/INDEX('ETF데이터'!$D$4:$D$253,$K20),0))</f>
        <v/>
      </c>
      <c r="F20" s="23">
        <f>IF($K20=0,0,$E20*INDEX('ETF데이터'!$D$4:$D$253,$K20))</f>
        <v/>
      </c>
      <c r="G20" s="23">
        <f>IF($K20=0,0,$F20*INDEX('ETF데이터'!$J$4:$J$253,$K20)/12)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IF($K20=0,"",INDEX('ETF데이터'!$M$4:$M$253,$K20))</f>
        <v/>
      </c>
      <c r="M20" s="3">
        <f>IF($K20=0,"",INDEX('ETF데이터'!$R$4:$R$253,$K20))</f>
        <v/>
      </c>
      <c r="N20" s="3">
        <f>IF(OR($M20="",$M20="월배당"),0,1)</f>
        <v/>
      </c>
      <c r="O20" s="3">
        <f>IF($K20=0,1,IF(INDEX('ETF데이터'!$T$4:$T$253,$K20)="",1,INDEX('ETF데이터'!$T$4:$T$253,$K20)))</f>
        <v/>
      </c>
      <c r="P20" s="3">
        <f>IF($K20=0,0,IF(INDEX('ETF데이터'!$T$4:$T$253,$K20)="",1,0))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IF($K21=0,0,ROUNDDOWN($D21/INDEX('ETF데이터'!$D$4:$D$253,$K21),0))</f>
        <v/>
      </c>
      <c r="F21" s="26">
        <f>IF($K21=0,0,$E21*INDEX('ETF데이터'!$D$4:$D$253,$K21))</f>
        <v/>
      </c>
      <c r="G21" s="26">
        <f>IF($K21=0,0,$F21*INDEX('ETF데이터'!$J$4:$J$253,$K21)/12)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IF($K21=0,"",INDEX('ETF데이터'!$M$4:$M$253,$K21))</f>
        <v/>
      </c>
      <c r="M21" s="3">
        <f>IF($K21=0,"",INDEX('ETF데이터'!$R$4:$R$253,$K21))</f>
        <v/>
      </c>
      <c r="N21" s="3">
        <f>IF(OR($M21="",$M21="월배당"),0,1)</f>
        <v/>
      </c>
      <c r="O21" s="3">
        <f>IF($K21=0,1,IF(INDEX('ETF데이터'!$T$4:$T$253,$K21)="",1,INDEX('ETF데이터'!$T$4:$T$253,$K21)))</f>
        <v/>
      </c>
      <c r="P21" s="3">
        <f>IF($K21=0,0,IF(INDEX('ETF데이터'!$T$4:$T$253,$K21)="",1,0))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IF($K22=0,0,ROUNDDOWN($D22/INDEX('ETF데이터'!$D$4:$D$253,$K22),0))</f>
        <v/>
      </c>
      <c r="F22" s="23">
        <f>IF($K22=0,0,$E22*INDEX('ETF데이터'!$D$4:$D$253,$K22))</f>
        <v/>
      </c>
      <c r="G22" s="23">
        <f>IF($K22=0,0,$F22*INDEX('ETF데이터'!$J$4:$J$253,$K22)/12)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IF($K22=0,"",INDEX('ETF데이터'!$M$4:$M$253,$K22))</f>
        <v/>
      </c>
      <c r="M22" s="3">
        <f>IF($K22=0,"",INDEX('ETF데이터'!$R$4:$R$253,$K22))</f>
        <v/>
      </c>
      <c r="N22" s="3">
        <f>IF(OR($M22="",$M22="월배당"),0,1)</f>
        <v/>
      </c>
      <c r="O22" s="3">
        <f>IF($K22=0,1,IF(INDEX('ETF데이터'!$T$4:$T$253,$K22)="",1,INDEX('ETF데이터'!$T$4:$T$253,$K22)))</f>
        <v/>
      </c>
      <c r="P22" s="3">
        <f>IF($K22=0,0,IF(INDEX('ETF데이터'!$T$4:$T$253,$K22)="",1,0))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IF($K23=0,0,ROUNDDOWN($D23/INDEX('ETF데이터'!$D$4:$D$253,$K23),0))</f>
        <v/>
      </c>
      <c r="F23" s="26">
        <f>IF($K23=0,0,$E23*INDEX('ETF데이터'!$D$4:$D$253,$K23))</f>
        <v/>
      </c>
      <c r="G23" s="26">
        <f>IF($K23=0,0,$F23*INDEX('ETF데이터'!$J$4:$J$253,$K23)/12)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IF($K23=0,"",INDEX('ETF데이터'!$M$4:$M$253,$K23))</f>
        <v/>
      </c>
      <c r="M23" s="3">
        <f>IF($K23=0,"",INDEX('ETF데이터'!$R$4:$R$253,$K23))</f>
        <v/>
      </c>
      <c r="N23" s="3">
        <f>IF(OR($M23="",$M23="월배당"),0,1)</f>
        <v/>
      </c>
      <c r="O23" s="3">
        <f>IF($K23=0,1,IF(INDEX('ETF데이터'!$T$4:$T$253,$K23)="",1,INDEX('ETF데이터'!$T$4:$T$253,$K23)))</f>
        <v/>
      </c>
      <c r="P23" s="3">
        <f>IF($K23=0,0,IF(INDEX('ETF데이터'!$T$4:$T$253,$K23)="",1,0))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IF($K24=0,0,ROUNDDOWN($D24/INDEX('ETF데이터'!$D$4:$D$253,$K24),0))</f>
        <v/>
      </c>
      <c r="F24" s="23">
        <f>IF($K24=0,0,$E24*INDEX('ETF데이터'!$D$4:$D$253,$K24))</f>
        <v/>
      </c>
      <c r="G24" s="23">
        <f>IF($K24=0,0,$F24*INDEX('ETF데이터'!$J$4:$J$253,$K24)/12)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IF($K24=0,"",INDEX('ETF데이터'!$M$4:$M$253,$K24))</f>
        <v/>
      </c>
      <c r="M24" s="3">
        <f>IF($K24=0,"",INDEX('ETF데이터'!$R$4:$R$253,$K24))</f>
        <v/>
      </c>
      <c r="N24" s="3">
        <f>IF(OR($M24="",$M24="월배당"),0,1)</f>
        <v/>
      </c>
      <c r="O24" s="3">
        <f>IF($K24=0,1,IF(INDEX('ETF데이터'!$T$4:$T$253,$K24)="",1,INDEX('ETF데이터'!$T$4:$T$253,$K24)))</f>
        <v/>
      </c>
      <c r="P24" s="3">
        <f>IF($K24=0,0,IF(INDEX('ETF데이터'!$T$4:$T$253,$K24)="",1,0))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IF($K25=0,0,ROUNDDOWN($D25/INDEX('ETF데이터'!$D$4:$D$253,$K25),0))</f>
        <v/>
      </c>
      <c r="F25" s="26">
        <f>IF($K25=0,0,$E25*INDEX('ETF데이터'!$D$4:$D$253,$K25))</f>
        <v/>
      </c>
      <c r="G25" s="26">
        <f>IF($K25=0,0,$F25*INDEX('ETF데이터'!$J$4:$J$253,$K25)/12)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IF($K25=0,"",INDEX('ETF데이터'!$M$4:$M$253,$K25))</f>
        <v/>
      </c>
      <c r="M25" s="3">
        <f>IF($K25=0,"",INDEX('ETF데이터'!$R$4:$R$253,$K25))</f>
        <v/>
      </c>
      <c r="N25" s="3">
        <f>IF(OR($M25="",$M25="월배당"),0,1)</f>
        <v/>
      </c>
      <c r="O25" s="3">
        <f>IF($K25=0,1,IF(INDEX('ETF데이터'!$T$4:$T$253,$K25)="",1,INDEX('ETF데이터'!$T$4:$T$253,$K25)))</f>
        <v/>
      </c>
      <c r="P25" s="3">
        <f>IF($K25=0,0,IF(INDEX('ETF데이터'!$T$4:$T$253,$K25)="",1,0))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IF($K26=0,0,ROUNDDOWN($D26/INDEX('ETF데이터'!$D$4:$D$253,$K26),0))</f>
        <v/>
      </c>
      <c r="F26" s="23">
        <f>IF($K26=0,0,$E26*INDEX('ETF데이터'!$D$4:$D$253,$K26))</f>
        <v/>
      </c>
      <c r="G26" s="23">
        <f>IF($K26=0,0,$F26*INDEX('ETF데이터'!$J$4:$J$253,$K26)/12)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IF($K26=0,"",INDEX('ETF데이터'!$M$4:$M$253,$K26))</f>
        <v/>
      </c>
      <c r="M26" s="3">
        <f>IF($K26=0,"",INDEX('ETF데이터'!$R$4:$R$253,$K26))</f>
        <v/>
      </c>
      <c r="N26" s="3">
        <f>IF(OR($M26="",$M26="월배당"),0,1)</f>
        <v/>
      </c>
      <c r="O26" s="3">
        <f>IF($K26=0,1,IF(INDEX('ETF데이터'!$T$4:$T$253,$K26)="",1,INDEX('ETF데이터'!$T$4:$T$253,$K26)))</f>
        <v/>
      </c>
      <c r="P26" s="3">
        <f>IF($K26=0,0,IF(INDEX('ETF데이터'!$T$4:$T$253,$K26)="",1,0))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IF($K27=0,0,ROUNDDOWN($D27/INDEX('ETF데이터'!$D$4:$D$253,$K27),0))</f>
        <v/>
      </c>
      <c r="F27" s="26">
        <f>IF($K27=0,0,$E27*INDEX('ETF데이터'!$D$4:$D$253,$K27))</f>
        <v/>
      </c>
      <c r="G27" s="26">
        <f>IF($K27=0,0,$F27*INDEX('ETF데이터'!$J$4:$J$253,$K27)/12)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IF($K27=0,"",INDEX('ETF데이터'!$M$4:$M$253,$K27))</f>
        <v/>
      </c>
      <c r="M27" s="3">
        <f>IF($K27=0,"",INDEX('ETF데이터'!$R$4:$R$253,$K27))</f>
        <v/>
      </c>
      <c r="N27" s="3">
        <f>IF(OR($M27="",$M27="월배당"),0,1)</f>
        <v/>
      </c>
      <c r="O27" s="3">
        <f>IF($K27=0,1,IF(INDEX('ETF데이터'!$T$4:$T$253,$K27)="",1,INDEX('ETF데이터'!$T$4:$T$253,$K27)))</f>
        <v/>
      </c>
      <c r="P27" s="3">
        <f>IF($K27=0,0,IF(INDEX('ETF데이터'!$T$4:$T$253,$K27)="",1,0))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IF($K28=0,0,ROUNDDOWN($D28/INDEX('ETF데이터'!$D$4:$D$253,$K28),0))</f>
        <v/>
      </c>
      <c r="F28" s="23">
        <f>IF($K28=0,0,$E28*INDEX('ETF데이터'!$D$4:$D$253,$K28))</f>
        <v/>
      </c>
      <c r="G28" s="23">
        <f>IF($K28=0,0,$F28*INDEX('ETF데이터'!$J$4:$J$253,$K28)/12)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IF($K28=0,"",INDEX('ETF데이터'!$M$4:$M$253,$K28))</f>
        <v/>
      </c>
      <c r="M28" s="3">
        <f>IF($K28=0,"",INDEX('ETF데이터'!$R$4:$R$253,$K28))</f>
        <v/>
      </c>
      <c r="N28" s="3">
        <f>IF(OR($M28="",$M28="월배당"),0,1)</f>
        <v/>
      </c>
      <c r="O28" s="3">
        <f>IF($K28=0,1,IF(INDEX('ETF데이터'!$T$4:$T$253,$K28)="",1,INDEX('ETF데이터'!$T$4:$T$253,$K28)))</f>
        <v/>
      </c>
      <c r="P28" s="3">
        <f>IF($K28=0,0,IF(INDEX('ETF데이터'!$T$4:$T$253,$K28)="",1,0))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IF($K29=0,0,ROUNDDOWN($D29/INDEX('ETF데이터'!$D$4:$D$253,$K29),0))</f>
        <v/>
      </c>
      <c r="F29" s="26">
        <f>IF($K29=0,0,$E29*INDEX('ETF데이터'!$D$4:$D$253,$K29))</f>
        <v/>
      </c>
      <c r="G29" s="26">
        <f>IF($K29=0,0,$F29*INDEX('ETF데이터'!$J$4:$J$253,$K29)/12)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IF($K29=0,"",INDEX('ETF데이터'!$M$4:$M$253,$K29))</f>
        <v/>
      </c>
      <c r="M29" s="3">
        <f>IF($K29=0,"",INDEX('ETF데이터'!$R$4:$R$253,$K29))</f>
        <v/>
      </c>
      <c r="N29" s="3">
        <f>IF(OR($M29="",$M29="월배당"),0,1)</f>
        <v/>
      </c>
      <c r="O29" s="3">
        <f>IF($K29=0,1,IF(INDEX('ETF데이터'!$T$4:$T$253,$K29)="",1,INDEX('ETF데이터'!$T$4:$T$253,$K29)))</f>
        <v/>
      </c>
      <c r="P29" s="3">
        <f>IF($K29=0,0,IF(INDEX('ETF데이터'!$T$4:$T$253,$K29)="",1,0))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73종목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'ETF데이터'!$A$28</f>
        <v/>
      </c>
      <c r="C75" s="61">
        <f>'ETF데이터'!$P$28</f>
        <v/>
      </c>
      <c r="D75" s="51">
        <f>'ETF데이터'!$D$28</f>
        <v/>
      </c>
      <c r="E75" s="62">
        <f>'ETF데이터'!$J$28</f>
        <v/>
      </c>
      <c r="F75" s="51">
        <f>IF($D75=0,0,ROUNDDOWN(100000000/$D75,0)*$D75*$E75/12)</f>
        <v/>
      </c>
      <c r="G75" s="51">
        <f>$F75*(1-$C$13*'ETF데이터'!$T$28)</f>
        <v/>
      </c>
      <c r="H75" s="63">
        <f>'ETF데이터'!$H$28</f>
        <v/>
      </c>
    </row>
    <row r="76" ht="19" customHeight="1">
      <c r="B76" s="56">
        <f>'ETF데이터'!$A$44</f>
        <v/>
      </c>
      <c r="C76" s="57">
        <f>'ETF데이터'!$P$44</f>
        <v/>
      </c>
      <c r="D76" s="48">
        <f>'ETF데이터'!$D$44</f>
        <v/>
      </c>
      <c r="E76" s="58">
        <f>'ETF데이터'!$J$44</f>
        <v/>
      </c>
      <c r="F76" s="48">
        <f>IF($D76=0,0,ROUNDDOWN(100000000/$D76,0)*$D76*$E76/12)</f>
        <v/>
      </c>
      <c r="G76" s="48">
        <f>$F76*(1-$C$13*'ETF데이터'!$T$44)</f>
        <v/>
      </c>
      <c r="H76" s="59">
        <f>'ETF데이터'!$H$44</f>
        <v/>
      </c>
    </row>
    <row r="77" ht="19" customHeight="1">
      <c r="B77" s="60">
        <f>'ETF데이터'!$A$59</f>
        <v/>
      </c>
      <c r="C77" s="61">
        <f>'ETF데이터'!$P$59</f>
        <v/>
      </c>
      <c r="D77" s="51">
        <f>'ETF데이터'!$D$59</f>
        <v/>
      </c>
      <c r="E77" s="62">
        <f>'ETF데이터'!$J$59</f>
        <v/>
      </c>
      <c r="F77" s="51">
        <f>IF($D77=0,0,ROUNDDOWN(100000000/$D77,0)*$D77*$E77/12)</f>
        <v/>
      </c>
      <c r="G77" s="51">
        <f>$F77*(1-$C$13*'ETF데이터'!$T$59)</f>
        <v/>
      </c>
      <c r="H77" s="63">
        <f>'ETF데이터'!$H$59</f>
        <v/>
      </c>
    </row>
    <row r="78" ht="19" customHeight="1">
      <c r="B78" s="56">
        <f>'ETF데이터'!$A$66</f>
        <v/>
      </c>
      <c r="C78" s="57">
        <f>'ETF데이터'!$P$66</f>
        <v/>
      </c>
      <c r="D78" s="48">
        <f>'ETF데이터'!$D$66</f>
        <v/>
      </c>
      <c r="E78" s="58">
        <f>'ETF데이터'!$J$66</f>
        <v/>
      </c>
      <c r="F78" s="48">
        <f>IF($D78=0,0,ROUNDDOWN(100000000/$D78,0)*$D78*$E78/12)</f>
        <v/>
      </c>
      <c r="G78" s="48">
        <f>$F78*(1-$C$13*'ETF데이터'!$T$66)</f>
        <v/>
      </c>
      <c r="H78" s="59">
        <f>'ETF데이터'!$H$66</f>
        <v/>
      </c>
    </row>
    <row r="79" ht="19" customHeight="1">
      <c r="B79" s="64">
        <f>'ETF데이터'!$A$79</f>
        <v/>
      </c>
      <c r="C79" s="65">
        <f>'ETF데이터'!$P$79</f>
        <v/>
      </c>
      <c r="D79" s="54">
        <f>'ETF데이터'!$D$79</f>
        <v/>
      </c>
      <c r="E79" s="66">
        <f>'ETF데이터'!$J$79</f>
        <v/>
      </c>
      <c r="F79" s="54">
        <f>IF($D79=0,0,ROUNDDOWN(100000000/$D79,0)*$D79*$E79/12)</f>
        <v/>
      </c>
      <c r="G79" s="54">
        <f>$F79*(1-$C$13*'ETF데이터'!$T$79)</f>
        <v/>
      </c>
      <c r="H79" s="67">
        <f>'ETF데이터'!$H$79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250종목 중 250종목).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2026-09-18T01:24:35.203Z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COUNTIF('ETF데이터'!$T$4:$T$253,1)</f>
        <v/>
      </c>
      <c r="D14" s="3" t="inlineStr">
        <is>
          <t>전체 250종목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IF($K20=0,"",INDEX('ETF데이터'!$A$4:$A$253,$K20))</f>
        <v/>
      </c>
      <c r="C20" s="73">
        <f>IF($K20=0,"",INDEX('ETF데이터'!$R$4:$R$253,$K20))</f>
        <v/>
      </c>
      <c r="D20" s="74">
        <f>IF($K20=0,"",INDEX('ETF데이터'!$J$4:$J$253,$K20))</f>
        <v/>
      </c>
      <c r="E20" s="75">
        <f>IF($K20=0,"",$D20/12)</f>
        <v/>
      </c>
      <c r="F20" s="76">
        <f>IF($K20=0,"",INDEX('ETF데이터'!$D$4:$D$253,$K20))</f>
        <v/>
      </c>
      <c r="G20" s="74">
        <f>IF($K20=0,"",INDEX('ETF데이터'!$H$4:$H$253,$K20))</f>
        <v/>
      </c>
      <c r="H20" s="77">
        <f>IF($K20=0,"",INDEX('ETF데이터'!$E$4:$E$253,$K20)/100000000)</f>
        <v/>
      </c>
      <c r="I20" s="73">
        <f>IF($K20=0,"",INDEX('ETF데이터'!$M$4:$M$253,$K20))</f>
        <v/>
      </c>
      <c r="J20" s="78" t="n"/>
      <c r="K20">
        <f>IFERROR(MATCH(1,'ETF데이터'!$V$4:$V$253,0),0)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IF($K21=0,"",INDEX('ETF데이터'!$A$4:$A$253,$K21))</f>
        <v/>
      </c>
      <c r="C21" s="79">
        <f>IF($K21=0,"",INDEX('ETF데이터'!$R$4:$R$253,$K21))</f>
        <v/>
      </c>
      <c r="D21" s="80">
        <f>IF($K21=0,"",INDEX('ETF데이터'!$J$4:$J$253,$K21))</f>
        <v/>
      </c>
      <c r="E21" s="81">
        <f>IF($K21=0,"",$D21/12)</f>
        <v/>
      </c>
      <c r="F21" s="82">
        <f>IF($K21=0,"",INDEX('ETF데이터'!$D$4:$D$253,$K21))</f>
        <v/>
      </c>
      <c r="G21" s="80">
        <f>IF($K21=0,"",INDEX('ETF데이터'!$H$4:$H$253,$K21))</f>
        <v/>
      </c>
      <c r="H21" s="83">
        <f>IF($K21=0,"",INDEX('ETF데이터'!$E$4:$E$253,$K21)/100000000)</f>
        <v/>
      </c>
      <c r="I21" s="79">
        <f>IF($K21=0,"",INDEX('ETF데이터'!$M$4:$M$253,$K21))</f>
        <v/>
      </c>
      <c r="J21" s="78" t="n"/>
      <c r="K21">
        <f>IFERROR(MATCH(2,'ETF데이터'!$V$4:$V$253,0),0)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IF($K22=0,"",INDEX('ETF데이터'!$A$4:$A$253,$K22))</f>
        <v/>
      </c>
      <c r="C22" s="73">
        <f>IF($K22=0,"",INDEX('ETF데이터'!$R$4:$R$253,$K22))</f>
        <v/>
      </c>
      <c r="D22" s="74">
        <f>IF($K22=0,"",INDEX('ETF데이터'!$J$4:$J$253,$K22))</f>
        <v/>
      </c>
      <c r="E22" s="75">
        <f>IF($K22=0,"",$D22/12)</f>
        <v/>
      </c>
      <c r="F22" s="76">
        <f>IF($K22=0,"",INDEX('ETF데이터'!$D$4:$D$253,$K22))</f>
        <v/>
      </c>
      <c r="G22" s="74">
        <f>IF($K22=0,"",INDEX('ETF데이터'!$H$4:$H$253,$K22))</f>
        <v/>
      </c>
      <c r="H22" s="77">
        <f>IF($K22=0,"",INDEX('ETF데이터'!$E$4:$E$253,$K22)/100000000)</f>
        <v/>
      </c>
      <c r="I22" s="73">
        <f>IF($K22=0,"",INDEX('ETF데이터'!$M$4:$M$253,$K22))</f>
        <v/>
      </c>
      <c r="J22" s="78" t="n"/>
      <c r="K22">
        <f>IFERROR(MATCH(3,'ETF데이터'!$V$4:$V$253,0),0)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IF($K23=0,"",INDEX('ETF데이터'!$A$4:$A$253,$K23))</f>
        <v/>
      </c>
      <c r="C23" s="79">
        <f>IF($K23=0,"",INDEX('ETF데이터'!$R$4:$R$253,$K23))</f>
        <v/>
      </c>
      <c r="D23" s="80">
        <f>IF($K23=0,"",INDEX('ETF데이터'!$J$4:$J$253,$K23))</f>
        <v/>
      </c>
      <c r="E23" s="81">
        <f>IF($K23=0,"",$D23/12)</f>
        <v/>
      </c>
      <c r="F23" s="82">
        <f>IF($K23=0,"",INDEX('ETF데이터'!$D$4:$D$253,$K23))</f>
        <v/>
      </c>
      <c r="G23" s="80">
        <f>IF($K23=0,"",INDEX('ETF데이터'!$H$4:$H$253,$K23))</f>
        <v/>
      </c>
      <c r="H23" s="83">
        <f>IF($K23=0,"",INDEX('ETF데이터'!$E$4:$E$253,$K23)/100000000)</f>
        <v/>
      </c>
      <c r="I23" s="79">
        <f>IF($K23=0,"",INDEX('ETF데이터'!$M$4:$M$253,$K23))</f>
        <v/>
      </c>
      <c r="J23" s="78" t="n"/>
      <c r="K23">
        <f>IFERROR(MATCH(4,'ETF데이터'!$V$4:$V$253,0),0)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IF($K24=0,"",INDEX('ETF데이터'!$A$4:$A$253,$K24))</f>
        <v/>
      </c>
      <c r="C24" s="73">
        <f>IF($K24=0,"",INDEX('ETF데이터'!$R$4:$R$253,$K24))</f>
        <v/>
      </c>
      <c r="D24" s="74">
        <f>IF($K24=0,"",INDEX('ETF데이터'!$J$4:$J$253,$K24))</f>
        <v/>
      </c>
      <c r="E24" s="75">
        <f>IF($K24=0,"",$D24/12)</f>
        <v/>
      </c>
      <c r="F24" s="76">
        <f>IF($K24=0,"",INDEX('ETF데이터'!$D$4:$D$253,$K24))</f>
        <v/>
      </c>
      <c r="G24" s="74">
        <f>IF($K24=0,"",INDEX('ETF데이터'!$H$4:$H$253,$K24))</f>
        <v/>
      </c>
      <c r="H24" s="77">
        <f>IF($K24=0,"",INDEX('ETF데이터'!$E$4:$E$253,$K24)/100000000)</f>
        <v/>
      </c>
      <c r="I24" s="73">
        <f>IF($K24=0,"",INDEX('ETF데이터'!$M$4:$M$253,$K24))</f>
        <v/>
      </c>
      <c r="J24" s="78" t="n"/>
      <c r="K24">
        <f>IFERROR(MATCH(5,'ETF데이터'!$V$4:$V$253,0),0)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IF($K25=0,"",INDEX('ETF데이터'!$A$4:$A$253,$K25))</f>
        <v/>
      </c>
      <c r="C25" s="79">
        <f>IF($K25=0,"",INDEX('ETF데이터'!$R$4:$R$253,$K25))</f>
        <v/>
      </c>
      <c r="D25" s="80">
        <f>IF($K25=0,"",INDEX('ETF데이터'!$J$4:$J$253,$K25))</f>
        <v/>
      </c>
      <c r="E25" s="81">
        <f>IF($K25=0,"",$D25/12)</f>
        <v/>
      </c>
      <c r="F25" s="82">
        <f>IF($K25=0,"",INDEX('ETF데이터'!$D$4:$D$253,$K25))</f>
        <v/>
      </c>
      <c r="G25" s="80">
        <f>IF($K25=0,"",INDEX('ETF데이터'!$H$4:$H$253,$K25))</f>
        <v/>
      </c>
      <c r="H25" s="83">
        <f>IF($K25=0,"",INDEX('ETF데이터'!$E$4:$E$253,$K25)/100000000)</f>
        <v/>
      </c>
      <c r="I25" s="79">
        <f>IF($K25=0,"",INDEX('ETF데이터'!$M$4:$M$253,$K25))</f>
        <v/>
      </c>
      <c r="J25" s="78" t="n"/>
      <c r="K25">
        <f>IFERROR(MATCH(6,'ETF데이터'!$V$4:$V$253,0),0)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IF($K26=0,"",INDEX('ETF데이터'!$A$4:$A$253,$K26))</f>
        <v/>
      </c>
      <c r="C26" s="73">
        <f>IF($K26=0,"",INDEX('ETF데이터'!$R$4:$R$253,$K26))</f>
        <v/>
      </c>
      <c r="D26" s="74">
        <f>IF($K26=0,"",INDEX('ETF데이터'!$J$4:$J$253,$K26))</f>
        <v/>
      </c>
      <c r="E26" s="75">
        <f>IF($K26=0,"",$D26/12)</f>
        <v/>
      </c>
      <c r="F26" s="76">
        <f>IF($K26=0,"",INDEX('ETF데이터'!$D$4:$D$253,$K26))</f>
        <v/>
      </c>
      <c r="G26" s="74">
        <f>IF($K26=0,"",INDEX('ETF데이터'!$H$4:$H$253,$K26))</f>
        <v/>
      </c>
      <c r="H26" s="77">
        <f>IF($K26=0,"",INDEX('ETF데이터'!$E$4:$E$253,$K26)/100000000)</f>
        <v/>
      </c>
      <c r="I26" s="73">
        <f>IF($K26=0,"",INDEX('ETF데이터'!$M$4:$M$253,$K26))</f>
        <v/>
      </c>
      <c r="J26" s="78" t="n"/>
      <c r="K26">
        <f>IFERROR(MATCH(7,'ETF데이터'!$V$4:$V$253,0),0)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IF($K27=0,"",INDEX('ETF데이터'!$A$4:$A$253,$K27))</f>
        <v/>
      </c>
      <c r="C27" s="79">
        <f>IF($K27=0,"",INDEX('ETF데이터'!$R$4:$R$253,$K27))</f>
        <v/>
      </c>
      <c r="D27" s="80">
        <f>IF($K27=0,"",INDEX('ETF데이터'!$J$4:$J$253,$K27))</f>
        <v/>
      </c>
      <c r="E27" s="81">
        <f>IF($K27=0,"",$D27/12)</f>
        <v/>
      </c>
      <c r="F27" s="82">
        <f>IF($K27=0,"",INDEX('ETF데이터'!$D$4:$D$253,$K27))</f>
        <v/>
      </c>
      <c r="G27" s="80">
        <f>IF($K27=0,"",INDEX('ETF데이터'!$H$4:$H$253,$K27))</f>
        <v/>
      </c>
      <c r="H27" s="83">
        <f>IF($K27=0,"",INDEX('ETF데이터'!$E$4:$E$253,$K27)/100000000)</f>
        <v/>
      </c>
      <c r="I27" s="79">
        <f>IF($K27=0,"",INDEX('ETF데이터'!$M$4:$M$253,$K27))</f>
        <v/>
      </c>
      <c r="J27" s="78" t="n"/>
      <c r="K27">
        <f>IFERROR(MATCH(8,'ETF데이터'!$V$4:$V$253,0),0)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IF($K28=0,"",INDEX('ETF데이터'!$A$4:$A$253,$K28))</f>
        <v/>
      </c>
      <c r="C28" s="73">
        <f>IF($K28=0,"",INDEX('ETF데이터'!$R$4:$R$253,$K28))</f>
        <v/>
      </c>
      <c r="D28" s="74">
        <f>IF($K28=0,"",INDEX('ETF데이터'!$J$4:$J$253,$K28))</f>
        <v/>
      </c>
      <c r="E28" s="75">
        <f>IF($K28=0,"",$D28/12)</f>
        <v/>
      </c>
      <c r="F28" s="76">
        <f>IF($K28=0,"",INDEX('ETF데이터'!$D$4:$D$253,$K28))</f>
        <v/>
      </c>
      <c r="G28" s="74">
        <f>IF($K28=0,"",INDEX('ETF데이터'!$H$4:$H$253,$K28))</f>
        <v/>
      </c>
      <c r="H28" s="77">
        <f>IF($K28=0,"",INDEX('ETF데이터'!$E$4:$E$253,$K28)/100000000)</f>
        <v/>
      </c>
      <c r="I28" s="73">
        <f>IF($K28=0,"",INDEX('ETF데이터'!$M$4:$M$253,$K28))</f>
        <v/>
      </c>
      <c r="J28" s="78" t="n"/>
      <c r="K28">
        <f>IFERROR(MATCH(9,'ETF데이터'!$V$4:$V$253,0),0)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IF($K29=0,"",INDEX('ETF데이터'!$A$4:$A$253,$K29))</f>
        <v/>
      </c>
      <c r="C29" s="79">
        <f>IF($K29=0,"",INDEX('ETF데이터'!$R$4:$R$253,$K29))</f>
        <v/>
      </c>
      <c r="D29" s="80">
        <f>IF($K29=0,"",INDEX('ETF데이터'!$J$4:$J$253,$K29))</f>
        <v/>
      </c>
      <c r="E29" s="81">
        <f>IF($K29=0,"",$D29/12)</f>
        <v/>
      </c>
      <c r="F29" s="82">
        <f>IF($K29=0,"",INDEX('ETF데이터'!$D$4:$D$253,$K29))</f>
        <v/>
      </c>
      <c r="G29" s="80">
        <f>IF($K29=0,"",INDEX('ETF데이터'!$H$4:$H$253,$K29))</f>
        <v/>
      </c>
      <c r="H29" s="83">
        <f>IF($K29=0,"",INDEX('ETF데이터'!$E$4:$E$253,$K29)/100000000)</f>
        <v/>
      </c>
      <c r="I29" s="79">
        <f>IF($K29=0,"",INDEX('ETF데이터'!$M$4:$M$253,$K29))</f>
        <v/>
      </c>
      <c r="J29" s="78" t="n"/>
      <c r="K29">
        <f>IFERROR(MATCH(10,'ETF데이터'!$V$4:$V$253,0),0)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IF($K30=0,"",INDEX('ETF데이터'!$A$4:$A$253,$K30))</f>
        <v/>
      </c>
      <c r="C30" s="73">
        <f>IF($K30=0,"",INDEX('ETF데이터'!$R$4:$R$253,$K30))</f>
        <v/>
      </c>
      <c r="D30" s="74">
        <f>IF($K30=0,"",INDEX('ETF데이터'!$J$4:$J$253,$K30))</f>
        <v/>
      </c>
      <c r="E30" s="75">
        <f>IF($K30=0,"",$D30/12)</f>
        <v/>
      </c>
      <c r="F30" s="76">
        <f>IF($K30=0,"",INDEX('ETF데이터'!$D$4:$D$253,$K30))</f>
        <v/>
      </c>
      <c r="G30" s="74">
        <f>IF($K30=0,"",INDEX('ETF데이터'!$H$4:$H$253,$K30))</f>
        <v/>
      </c>
      <c r="H30" s="77">
        <f>IF($K30=0,"",INDEX('ETF데이터'!$E$4:$E$253,$K30)/100000000)</f>
        <v/>
      </c>
      <c r="I30" s="73">
        <f>IF($K30=0,"",INDEX('ETF데이터'!$M$4:$M$253,$K30))</f>
        <v/>
      </c>
      <c r="J30" s="78" t="n"/>
      <c r="K30">
        <f>IFERROR(MATCH(11,'ETF데이터'!$V$4:$V$253,0),0)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IF($K31=0,"",INDEX('ETF데이터'!$A$4:$A$253,$K31))</f>
        <v/>
      </c>
      <c r="C31" s="79">
        <f>IF($K31=0,"",INDEX('ETF데이터'!$R$4:$R$253,$K31))</f>
        <v/>
      </c>
      <c r="D31" s="80">
        <f>IF($K31=0,"",INDEX('ETF데이터'!$J$4:$J$253,$K31))</f>
        <v/>
      </c>
      <c r="E31" s="81">
        <f>IF($K31=0,"",$D31/12)</f>
        <v/>
      </c>
      <c r="F31" s="82">
        <f>IF($K31=0,"",INDEX('ETF데이터'!$D$4:$D$253,$K31))</f>
        <v/>
      </c>
      <c r="G31" s="80">
        <f>IF($K31=0,"",INDEX('ETF데이터'!$H$4:$H$253,$K31))</f>
        <v/>
      </c>
      <c r="H31" s="83">
        <f>IF($K31=0,"",INDEX('ETF데이터'!$E$4:$E$253,$K31)/100000000)</f>
        <v/>
      </c>
      <c r="I31" s="79">
        <f>IF($K31=0,"",INDEX('ETF데이터'!$M$4:$M$253,$K31))</f>
        <v/>
      </c>
      <c r="J31" s="78" t="n"/>
      <c r="K31">
        <f>IFERROR(MATCH(12,'ETF데이터'!$V$4:$V$253,0),0)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IF($K32=0,"",INDEX('ETF데이터'!$A$4:$A$253,$K32))</f>
        <v/>
      </c>
      <c r="C32" s="73">
        <f>IF($K32=0,"",INDEX('ETF데이터'!$R$4:$R$253,$K32))</f>
        <v/>
      </c>
      <c r="D32" s="74">
        <f>IF($K32=0,"",INDEX('ETF데이터'!$J$4:$J$253,$K32))</f>
        <v/>
      </c>
      <c r="E32" s="75">
        <f>IF($K32=0,"",$D32/12)</f>
        <v/>
      </c>
      <c r="F32" s="76">
        <f>IF($K32=0,"",INDEX('ETF데이터'!$D$4:$D$253,$K32))</f>
        <v/>
      </c>
      <c r="G32" s="74">
        <f>IF($K32=0,"",INDEX('ETF데이터'!$H$4:$H$253,$K32))</f>
        <v/>
      </c>
      <c r="H32" s="77">
        <f>IF($K32=0,"",INDEX('ETF데이터'!$E$4:$E$253,$K32)/100000000)</f>
        <v/>
      </c>
      <c r="I32" s="73">
        <f>IF($K32=0,"",INDEX('ETF데이터'!$M$4:$M$253,$K32))</f>
        <v/>
      </c>
      <c r="J32" s="78" t="n"/>
      <c r="K32">
        <f>IFERROR(MATCH(13,'ETF데이터'!$V$4:$V$253,0),0)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IF($K33=0,"",INDEX('ETF데이터'!$A$4:$A$253,$K33))</f>
        <v/>
      </c>
      <c r="C33" s="79">
        <f>IF($K33=0,"",INDEX('ETF데이터'!$R$4:$R$253,$K33))</f>
        <v/>
      </c>
      <c r="D33" s="80">
        <f>IF($K33=0,"",INDEX('ETF데이터'!$J$4:$J$253,$K33))</f>
        <v/>
      </c>
      <c r="E33" s="81">
        <f>IF($K33=0,"",$D33/12)</f>
        <v/>
      </c>
      <c r="F33" s="82">
        <f>IF($K33=0,"",INDEX('ETF데이터'!$D$4:$D$253,$K33))</f>
        <v/>
      </c>
      <c r="G33" s="80">
        <f>IF($K33=0,"",INDEX('ETF데이터'!$H$4:$H$253,$K33))</f>
        <v/>
      </c>
      <c r="H33" s="83">
        <f>IF($K33=0,"",INDEX('ETF데이터'!$E$4:$E$253,$K33)/100000000)</f>
        <v/>
      </c>
      <c r="I33" s="79">
        <f>IF($K33=0,"",INDEX('ETF데이터'!$M$4:$M$253,$K33))</f>
        <v/>
      </c>
      <c r="J33" s="78" t="n"/>
      <c r="K33">
        <f>IFERROR(MATCH(14,'ETF데이터'!$V$4:$V$253,0),0)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IF($K34=0,"",INDEX('ETF데이터'!$A$4:$A$253,$K34))</f>
        <v/>
      </c>
      <c r="C34" s="73">
        <f>IF($K34=0,"",INDEX('ETF데이터'!$R$4:$R$253,$K34))</f>
        <v/>
      </c>
      <c r="D34" s="74">
        <f>IF($K34=0,"",INDEX('ETF데이터'!$J$4:$J$253,$K34))</f>
        <v/>
      </c>
      <c r="E34" s="75">
        <f>IF($K34=0,"",$D34/12)</f>
        <v/>
      </c>
      <c r="F34" s="76">
        <f>IF($K34=0,"",INDEX('ETF데이터'!$D$4:$D$253,$K34))</f>
        <v/>
      </c>
      <c r="G34" s="74">
        <f>IF($K34=0,"",INDEX('ETF데이터'!$H$4:$H$253,$K34))</f>
        <v/>
      </c>
      <c r="H34" s="77">
        <f>IF($K34=0,"",INDEX('ETF데이터'!$E$4:$E$253,$K34)/100000000)</f>
        <v/>
      </c>
      <c r="I34" s="73">
        <f>IF($K34=0,"",INDEX('ETF데이터'!$M$4:$M$253,$K34))</f>
        <v/>
      </c>
      <c r="J34" s="78" t="n"/>
      <c r="K34">
        <f>IFERROR(MATCH(15,'ETF데이터'!$V$4:$V$253,0),0)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IF($K35=0,"",INDEX('ETF데이터'!$A$4:$A$253,$K35))</f>
        <v/>
      </c>
      <c r="C35" s="79">
        <f>IF($K35=0,"",INDEX('ETF데이터'!$R$4:$R$253,$K35))</f>
        <v/>
      </c>
      <c r="D35" s="80">
        <f>IF($K35=0,"",INDEX('ETF데이터'!$J$4:$J$253,$K35))</f>
        <v/>
      </c>
      <c r="E35" s="81">
        <f>IF($K35=0,"",$D35/12)</f>
        <v/>
      </c>
      <c r="F35" s="82">
        <f>IF($K35=0,"",INDEX('ETF데이터'!$D$4:$D$253,$K35))</f>
        <v/>
      </c>
      <c r="G35" s="80">
        <f>IF($K35=0,"",INDEX('ETF데이터'!$H$4:$H$253,$K35))</f>
        <v/>
      </c>
      <c r="H35" s="83">
        <f>IF($K35=0,"",INDEX('ETF데이터'!$E$4:$E$253,$K35)/100000000)</f>
        <v/>
      </c>
      <c r="I35" s="79">
        <f>IF($K35=0,"",INDEX('ETF데이터'!$M$4:$M$253,$K35))</f>
        <v/>
      </c>
      <c r="J35" s="78" t="n"/>
      <c r="K35">
        <f>IFERROR(MATCH(16,'ETF데이터'!$V$4:$V$253,0),0)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IF($K36=0,"",INDEX('ETF데이터'!$A$4:$A$253,$K36))</f>
        <v/>
      </c>
      <c r="C36" s="73">
        <f>IF($K36=0,"",INDEX('ETF데이터'!$R$4:$R$253,$K36))</f>
        <v/>
      </c>
      <c r="D36" s="74">
        <f>IF($K36=0,"",INDEX('ETF데이터'!$J$4:$J$253,$K36))</f>
        <v/>
      </c>
      <c r="E36" s="75">
        <f>IF($K36=0,"",$D36/12)</f>
        <v/>
      </c>
      <c r="F36" s="76">
        <f>IF($K36=0,"",INDEX('ETF데이터'!$D$4:$D$253,$K36))</f>
        <v/>
      </c>
      <c r="G36" s="74">
        <f>IF($K36=0,"",INDEX('ETF데이터'!$H$4:$H$253,$K36))</f>
        <v/>
      </c>
      <c r="H36" s="77">
        <f>IF($K36=0,"",INDEX('ETF데이터'!$E$4:$E$253,$K36)/100000000)</f>
        <v/>
      </c>
      <c r="I36" s="73">
        <f>IF($K36=0,"",INDEX('ETF데이터'!$M$4:$M$253,$K36))</f>
        <v/>
      </c>
      <c r="J36" s="78" t="n"/>
      <c r="K36">
        <f>IFERROR(MATCH(17,'ETF데이터'!$V$4:$V$253,0),0)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IF($K37=0,"",INDEX('ETF데이터'!$A$4:$A$253,$K37))</f>
        <v/>
      </c>
      <c r="C37" s="79">
        <f>IF($K37=0,"",INDEX('ETF데이터'!$R$4:$R$253,$K37))</f>
        <v/>
      </c>
      <c r="D37" s="80">
        <f>IF($K37=0,"",INDEX('ETF데이터'!$J$4:$J$253,$K37))</f>
        <v/>
      </c>
      <c r="E37" s="81">
        <f>IF($K37=0,"",$D37/12)</f>
        <v/>
      </c>
      <c r="F37" s="82">
        <f>IF($K37=0,"",INDEX('ETF데이터'!$D$4:$D$253,$K37))</f>
        <v/>
      </c>
      <c r="G37" s="80">
        <f>IF($K37=0,"",INDEX('ETF데이터'!$H$4:$H$253,$K37))</f>
        <v/>
      </c>
      <c r="H37" s="83">
        <f>IF($K37=0,"",INDEX('ETF데이터'!$E$4:$E$253,$K37)/100000000)</f>
        <v/>
      </c>
      <c r="I37" s="79">
        <f>IF($K37=0,"",INDEX('ETF데이터'!$M$4:$M$253,$K37))</f>
        <v/>
      </c>
      <c r="J37" s="78" t="n"/>
      <c r="K37">
        <f>IFERROR(MATCH(18,'ETF데이터'!$V$4:$V$253,0),0)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IF($K38=0,"",INDEX('ETF데이터'!$A$4:$A$253,$K38))</f>
        <v/>
      </c>
      <c r="C38" s="73">
        <f>IF($K38=0,"",INDEX('ETF데이터'!$R$4:$R$253,$K38))</f>
        <v/>
      </c>
      <c r="D38" s="74">
        <f>IF($K38=0,"",INDEX('ETF데이터'!$J$4:$J$253,$K38))</f>
        <v/>
      </c>
      <c r="E38" s="75">
        <f>IF($K38=0,"",$D38/12)</f>
        <v/>
      </c>
      <c r="F38" s="76">
        <f>IF($K38=0,"",INDEX('ETF데이터'!$D$4:$D$253,$K38))</f>
        <v/>
      </c>
      <c r="G38" s="74">
        <f>IF($K38=0,"",INDEX('ETF데이터'!$H$4:$H$253,$K38))</f>
        <v/>
      </c>
      <c r="H38" s="77">
        <f>IF($K38=0,"",INDEX('ETF데이터'!$E$4:$E$253,$K38)/100000000)</f>
        <v/>
      </c>
      <c r="I38" s="73">
        <f>IF($K38=0,"",INDEX('ETF데이터'!$M$4:$M$253,$K38))</f>
        <v/>
      </c>
      <c r="J38" s="78" t="n"/>
      <c r="K38">
        <f>IFERROR(MATCH(19,'ETF데이터'!$V$4:$V$253,0),0)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IF($K39=0,"",INDEX('ETF데이터'!$A$4:$A$253,$K39))</f>
        <v/>
      </c>
      <c r="C39" s="79">
        <f>IF($K39=0,"",INDEX('ETF데이터'!$R$4:$R$253,$K39))</f>
        <v/>
      </c>
      <c r="D39" s="80">
        <f>IF($K39=0,"",INDEX('ETF데이터'!$J$4:$J$253,$K39))</f>
        <v/>
      </c>
      <c r="E39" s="81">
        <f>IF($K39=0,"",$D39/12)</f>
        <v/>
      </c>
      <c r="F39" s="82">
        <f>IF($K39=0,"",INDEX('ETF데이터'!$D$4:$D$253,$K39))</f>
        <v/>
      </c>
      <c r="G39" s="80">
        <f>IF($K39=0,"",INDEX('ETF데이터'!$H$4:$H$253,$K39))</f>
        <v/>
      </c>
      <c r="H39" s="83">
        <f>IF($K39=0,"",INDEX('ETF데이터'!$E$4:$E$253,$K39)/100000000)</f>
        <v/>
      </c>
      <c r="I39" s="79">
        <f>IF($K39=0,"",INDEX('ETF데이터'!$M$4:$M$253,$K39))</f>
        <v/>
      </c>
      <c r="J39" s="78" t="n"/>
      <c r="K39">
        <f>IFERROR(MATCH(20,'ETF데이터'!$V$4:$V$253,0),0)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IF($K40=0,"",INDEX('ETF데이터'!$A$4:$A$253,$K40))</f>
        <v/>
      </c>
      <c r="C40" s="73">
        <f>IF($K40=0,"",INDEX('ETF데이터'!$R$4:$R$253,$K40))</f>
        <v/>
      </c>
      <c r="D40" s="74">
        <f>IF($K40=0,"",INDEX('ETF데이터'!$J$4:$J$253,$K40))</f>
        <v/>
      </c>
      <c r="E40" s="75">
        <f>IF($K40=0,"",$D40/12)</f>
        <v/>
      </c>
      <c r="F40" s="76">
        <f>IF($K40=0,"",INDEX('ETF데이터'!$D$4:$D$253,$K40))</f>
        <v/>
      </c>
      <c r="G40" s="74">
        <f>IF($K40=0,"",INDEX('ETF데이터'!$H$4:$H$253,$K40))</f>
        <v/>
      </c>
      <c r="H40" s="77">
        <f>IF($K40=0,"",INDEX('ETF데이터'!$E$4:$E$253,$K40)/100000000)</f>
        <v/>
      </c>
      <c r="I40" s="73">
        <f>IF($K40=0,"",INDEX('ETF데이터'!$M$4:$M$253,$K40))</f>
        <v/>
      </c>
      <c r="J40" s="78" t="n"/>
      <c r="K40">
        <f>IFERROR(MATCH(21,'ETF데이터'!$V$4:$V$253,0),0)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IF($K41=0,"",INDEX('ETF데이터'!$A$4:$A$253,$K41))</f>
        <v/>
      </c>
      <c r="C41" s="79">
        <f>IF($K41=0,"",INDEX('ETF데이터'!$R$4:$R$253,$K41))</f>
        <v/>
      </c>
      <c r="D41" s="80">
        <f>IF($K41=0,"",INDEX('ETF데이터'!$J$4:$J$253,$K41))</f>
        <v/>
      </c>
      <c r="E41" s="81">
        <f>IF($K41=0,"",$D41/12)</f>
        <v/>
      </c>
      <c r="F41" s="82">
        <f>IF($K41=0,"",INDEX('ETF데이터'!$D$4:$D$253,$K41))</f>
        <v/>
      </c>
      <c r="G41" s="80">
        <f>IF($K41=0,"",INDEX('ETF데이터'!$H$4:$H$253,$K41))</f>
        <v/>
      </c>
      <c r="H41" s="83">
        <f>IF($K41=0,"",INDEX('ETF데이터'!$E$4:$E$253,$K41)/100000000)</f>
        <v/>
      </c>
      <c r="I41" s="79">
        <f>IF($K41=0,"",INDEX('ETF데이터'!$M$4:$M$253,$K41))</f>
        <v/>
      </c>
      <c r="J41" s="78" t="n"/>
      <c r="K41">
        <f>IFERROR(MATCH(22,'ETF데이터'!$V$4:$V$253,0),0)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IF($K42=0,"",INDEX('ETF데이터'!$A$4:$A$253,$K42))</f>
        <v/>
      </c>
      <c r="C42" s="73">
        <f>IF($K42=0,"",INDEX('ETF데이터'!$R$4:$R$253,$K42))</f>
        <v/>
      </c>
      <c r="D42" s="74">
        <f>IF($K42=0,"",INDEX('ETF데이터'!$J$4:$J$253,$K42))</f>
        <v/>
      </c>
      <c r="E42" s="75">
        <f>IF($K42=0,"",$D42/12)</f>
        <v/>
      </c>
      <c r="F42" s="76">
        <f>IF($K42=0,"",INDEX('ETF데이터'!$D$4:$D$253,$K42))</f>
        <v/>
      </c>
      <c r="G42" s="74">
        <f>IF($K42=0,"",INDEX('ETF데이터'!$H$4:$H$253,$K42))</f>
        <v/>
      </c>
      <c r="H42" s="77">
        <f>IF($K42=0,"",INDEX('ETF데이터'!$E$4:$E$253,$K42)/100000000)</f>
        <v/>
      </c>
      <c r="I42" s="73">
        <f>IF($K42=0,"",INDEX('ETF데이터'!$M$4:$M$253,$K42))</f>
        <v/>
      </c>
      <c r="J42" s="78" t="n"/>
      <c r="K42">
        <f>IFERROR(MATCH(23,'ETF데이터'!$V$4:$V$253,0),0)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IF($K43=0,"",INDEX('ETF데이터'!$A$4:$A$253,$K43))</f>
        <v/>
      </c>
      <c r="C43" s="79">
        <f>IF($K43=0,"",INDEX('ETF데이터'!$R$4:$R$253,$K43))</f>
        <v/>
      </c>
      <c r="D43" s="80">
        <f>IF($K43=0,"",INDEX('ETF데이터'!$J$4:$J$253,$K43))</f>
        <v/>
      </c>
      <c r="E43" s="81">
        <f>IF($K43=0,"",$D43/12)</f>
        <v/>
      </c>
      <c r="F43" s="82">
        <f>IF($K43=0,"",INDEX('ETF데이터'!$D$4:$D$253,$K43))</f>
        <v/>
      </c>
      <c r="G43" s="80">
        <f>IF($K43=0,"",INDEX('ETF데이터'!$H$4:$H$253,$K43))</f>
        <v/>
      </c>
      <c r="H43" s="83">
        <f>IF($K43=0,"",INDEX('ETF데이터'!$E$4:$E$253,$K43)/100000000)</f>
        <v/>
      </c>
      <c r="I43" s="79">
        <f>IF($K43=0,"",INDEX('ETF데이터'!$M$4:$M$253,$K43))</f>
        <v/>
      </c>
      <c r="J43" s="78" t="n"/>
      <c r="K43">
        <f>IFERROR(MATCH(24,'ETF데이터'!$V$4:$V$253,0),0)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IF($K44=0,"",INDEX('ETF데이터'!$A$4:$A$253,$K44))</f>
        <v/>
      </c>
      <c r="C44" s="73">
        <f>IF($K44=0,"",INDEX('ETF데이터'!$R$4:$R$253,$K44))</f>
        <v/>
      </c>
      <c r="D44" s="74">
        <f>IF($K44=0,"",INDEX('ETF데이터'!$J$4:$J$253,$K44))</f>
        <v/>
      </c>
      <c r="E44" s="75">
        <f>IF($K44=0,"",$D44/12)</f>
        <v/>
      </c>
      <c r="F44" s="76">
        <f>IF($K44=0,"",INDEX('ETF데이터'!$D$4:$D$253,$K44))</f>
        <v/>
      </c>
      <c r="G44" s="74">
        <f>IF($K44=0,"",INDEX('ETF데이터'!$H$4:$H$253,$K44))</f>
        <v/>
      </c>
      <c r="H44" s="77">
        <f>IF($K44=0,"",INDEX('ETF데이터'!$E$4:$E$253,$K44)/100000000)</f>
        <v/>
      </c>
      <c r="I44" s="73">
        <f>IF($K44=0,"",INDEX('ETF데이터'!$M$4:$M$253,$K44))</f>
        <v/>
      </c>
      <c r="J44" s="78" t="n"/>
      <c r="K44">
        <f>IFERROR(MATCH(25,'ETF데이터'!$V$4:$V$253,0),0)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IF($K45=0,"",INDEX('ETF데이터'!$A$4:$A$253,$K45))</f>
        <v/>
      </c>
      <c r="C45" s="79">
        <f>IF($K45=0,"",INDEX('ETF데이터'!$R$4:$R$253,$K45))</f>
        <v/>
      </c>
      <c r="D45" s="80">
        <f>IF($K45=0,"",INDEX('ETF데이터'!$J$4:$J$253,$K45))</f>
        <v/>
      </c>
      <c r="E45" s="81">
        <f>IF($K45=0,"",$D45/12)</f>
        <v/>
      </c>
      <c r="F45" s="82">
        <f>IF($K45=0,"",INDEX('ETF데이터'!$D$4:$D$253,$K45))</f>
        <v/>
      </c>
      <c r="G45" s="80">
        <f>IF($K45=0,"",INDEX('ETF데이터'!$H$4:$H$253,$K45))</f>
        <v/>
      </c>
      <c r="H45" s="83">
        <f>IF($K45=0,"",INDEX('ETF데이터'!$E$4:$E$253,$K45)/100000000)</f>
        <v/>
      </c>
      <c r="I45" s="79">
        <f>IF($K45=0,"",INDEX('ETF데이터'!$M$4:$M$253,$K45))</f>
        <v/>
      </c>
      <c r="J45" s="78" t="n"/>
      <c r="K45">
        <f>IFERROR(MATCH(26,'ETF데이터'!$V$4:$V$253,0),0)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IF($K46=0,"",INDEX('ETF데이터'!$A$4:$A$253,$K46))</f>
        <v/>
      </c>
      <c r="C46" s="73">
        <f>IF($K46=0,"",INDEX('ETF데이터'!$R$4:$R$253,$K46))</f>
        <v/>
      </c>
      <c r="D46" s="74">
        <f>IF($K46=0,"",INDEX('ETF데이터'!$J$4:$J$253,$K46))</f>
        <v/>
      </c>
      <c r="E46" s="75">
        <f>IF($K46=0,"",$D46/12)</f>
        <v/>
      </c>
      <c r="F46" s="76">
        <f>IF($K46=0,"",INDEX('ETF데이터'!$D$4:$D$253,$K46))</f>
        <v/>
      </c>
      <c r="G46" s="74">
        <f>IF($K46=0,"",INDEX('ETF데이터'!$H$4:$H$253,$K46))</f>
        <v/>
      </c>
      <c r="H46" s="77">
        <f>IF($K46=0,"",INDEX('ETF데이터'!$E$4:$E$253,$K46)/100000000)</f>
        <v/>
      </c>
      <c r="I46" s="73">
        <f>IF($K46=0,"",INDEX('ETF데이터'!$M$4:$M$253,$K46))</f>
        <v/>
      </c>
      <c r="J46" s="78" t="n"/>
      <c r="K46">
        <f>IFERROR(MATCH(27,'ETF데이터'!$V$4:$V$253,0),0)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IF($K47=0,"",INDEX('ETF데이터'!$A$4:$A$253,$K47))</f>
        <v/>
      </c>
      <c r="C47" s="79">
        <f>IF($K47=0,"",INDEX('ETF데이터'!$R$4:$R$253,$K47))</f>
        <v/>
      </c>
      <c r="D47" s="80">
        <f>IF($K47=0,"",INDEX('ETF데이터'!$J$4:$J$253,$K47))</f>
        <v/>
      </c>
      <c r="E47" s="81">
        <f>IF($K47=0,"",$D47/12)</f>
        <v/>
      </c>
      <c r="F47" s="82">
        <f>IF($K47=0,"",INDEX('ETF데이터'!$D$4:$D$253,$K47))</f>
        <v/>
      </c>
      <c r="G47" s="80">
        <f>IF($K47=0,"",INDEX('ETF데이터'!$H$4:$H$253,$K47))</f>
        <v/>
      </c>
      <c r="H47" s="83">
        <f>IF($K47=0,"",INDEX('ETF데이터'!$E$4:$E$253,$K47)/100000000)</f>
        <v/>
      </c>
      <c r="I47" s="79">
        <f>IF($K47=0,"",INDEX('ETF데이터'!$M$4:$M$253,$K47))</f>
        <v/>
      </c>
      <c r="J47" s="78" t="n"/>
      <c r="K47">
        <f>IFERROR(MATCH(28,'ETF데이터'!$V$4:$V$253,0),0)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IF($K48=0,"",INDEX('ETF데이터'!$A$4:$A$253,$K48))</f>
        <v/>
      </c>
      <c r="C48" s="73">
        <f>IF($K48=0,"",INDEX('ETF데이터'!$R$4:$R$253,$K48))</f>
        <v/>
      </c>
      <c r="D48" s="74">
        <f>IF($K48=0,"",INDEX('ETF데이터'!$J$4:$J$253,$K48))</f>
        <v/>
      </c>
      <c r="E48" s="75">
        <f>IF($K48=0,"",$D48/12)</f>
        <v/>
      </c>
      <c r="F48" s="76">
        <f>IF($K48=0,"",INDEX('ETF데이터'!$D$4:$D$253,$K48))</f>
        <v/>
      </c>
      <c r="G48" s="74">
        <f>IF($K48=0,"",INDEX('ETF데이터'!$H$4:$H$253,$K48))</f>
        <v/>
      </c>
      <c r="H48" s="77">
        <f>IF($K48=0,"",INDEX('ETF데이터'!$E$4:$E$253,$K48)/100000000)</f>
        <v/>
      </c>
      <c r="I48" s="73">
        <f>IF($K48=0,"",INDEX('ETF데이터'!$M$4:$M$253,$K48))</f>
        <v/>
      </c>
      <c r="J48" s="78" t="n"/>
      <c r="K48">
        <f>IFERROR(MATCH(29,'ETF데이터'!$V$4:$V$253,0),0)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IF($K49=0,"",INDEX('ETF데이터'!$A$4:$A$253,$K49))</f>
        <v/>
      </c>
      <c r="C49" s="79">
        <f>IF($K49=0,"",INDEX('ETF데이터'!$R$4:$R$253,$K49))</f>
        <v/>
      </c>
      <c r="D49" s="80">
        <f>IF($K49=0,"",INDEX('ETF데이터'!$J$4:$J$253,$K49))</f>
        <v/>
      </c>
      <c r="E49" s="81">
        <f>IF($K49=0,"",$D49/12)</f>
        <v/>
      </c>
      <c r="F49" s="82">
        <f>IF($K49=0,"",INDEX('ETF데이터'!$D$4:$D$253,$K49))</f>
        <v/>
      </c>
      <c r="G49" s="80">
        <f>IF($K49=0,"",INDEX('ETF데이터'!$H$4:$H$253,$K49))</f>
        <v/>
      </c>
      <c r="H49" s="83">
        <f>IF($K49=0,"",INDEX('ETF데이터'!$E$4:$E$253,$K49)/100000000)</f>
        <v/>
      </c>
      <c r="I49" s="79">
        <f>IF($K49=0,"",INDEX('ETF데이터'!$M$4:$M$253,$K49))</f>
        <v/>
      </c>
      <c r="J49" s="78" t="n"/>
      <c r="K49">
        <f>IFERROR(MATCH(30,'ETF데이터'!$V$4:$V$253,0),0)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IF($K50=0,"",INDEX('ETF데이터'!$A$4:$A$253,$K50))</f>
        <v/>
      </c>
      <c r="C50" s="73">
        <f>IF($K50=0,"",INDEX('ETF데이터'!$R$4:$R$253,$K50))</f>
        <v/>
      </c>
      <c r="D50" s="74">
        <f>IF($K50=0,"",INDEX('ETF데이터'!$J$4:$J$253,$K50))</f>
        <v/>
      </c>
      <c r="E50" s="75">
        <f>IF($K50=0,"",$D50/12)</f>
        <v/>
      </c>
      <c r="F50" s="76">
        <f>IF($K50=0,"",INDEX('ETF데이터'!$D$4:$D$253,$K50))</f>
        <v/>
      </c>
      <c r="G50" s="74">
        <f>IF($K50=0,"",INDEX('ETF데이터'!$H$4:$H$253,$K50))</f>
        <v/>
      </c>
      <c r="H50" s="77">
        <f>IF($K50=0,"",INDEX('ETF데이터'!$E$4:$E$253,$K50)/100000000)</f>
        <v/>
      </c>
      <c r="I50" s="73">
        <f>IF($K50=0,"",INDEX('ETF데이터'!$M$4:$M$253,$K50))</f>
        <v/>
      </c>
      <c r="J50" s="78" t="n"/>
      <c r="K50">
        <f>IFERROR(MATCH(31,'ETF데이터'!$V$4:$V$253,0),0)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IF($K51=0,"",INDEX('ETF데이터'!$A$4:$A$253,$K51))</f>
        <v/>
      </c>
      <c r="C51" s="79">
        <f>IF($K51=0,"",INDEX('ETF데이터'!$R$4:$R$253,$K51))</f>
        <v/>
      </c>
      <c r="D51" s="80">
        <f>IF($K51=0,"",INDEX('ETF데이터'!$J$4:$J$253,$K51))</f>
        <v/>
      </c>
      <c r="E51" s="81">
        <f>IF($K51=0,"",$D51/12)</f>
        <v/>
      </c>
      <c r="F51" s="82">
        <f>IF($K51=0,"",INDEX('ETF데이터'!$D$4:$D$253,$K51))</f>
        <v/>
      </c>
      <c r="G51" s="80">
        <f>IF($K51=0,"",INDEX('ETF데이터'!$H$4:$H$253,$K51))</f>
        <v/>
      </c>
      <c r="H51" s="83">
        <f>IF($K51=0,"",INDEX('ETF데이터'!$E$4:$E$253,$K51)/100000000)</f>
        <v/>
      </c>
      <c r="I51" s="79">
        <f>IF($K51=0,"",INDEX('ETF데이터'!$M$4:$M$253,$K51))</f>
        <v/>
      </c>
      <c r="J51" s="78" t="n"/>
      <c r="K51">
        <f>IFERROR(MATCH(32,'ETF데이터'!$V$4:$V$253,0),0)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IF($K52=0,"",INDEX('ETF데이터'!$A$4:$A$253,$K52))</f>
        <v/>
      </c>
      <c r="C52" s="73">
        <f>IF($K52=0,"",INDEX('ETF데이터'!$R$4:$R$253,$K52))</f>
        <v/>
      </c>
      <c r="D52" s="74">
        <f>IF($K52=0,"",INDEX('ETF데이터'!$J$4:$J$253,$K52))</f>
        <v/>
      </c>
      <c r="E52" s="75">
        <f>IF($K52=0,"",$D52/12)</f>
        <v/>
      </c>
      <c r="F52" s="76">
        <f>IF($K52=0,"",INDEX('ETF데이터'!$D$4:$D$253,$K52))</f>
        <v/>
      </c>
      <c r="G52" s="74">
        <f>IF($K52=0,"",INDEX('ETF데이터'!$H$4:$H$253,$K52))</f>
        <v/>
      </c>
      <c r="H52" s="77">
        <f>IF($K52=0,"",INDEX('ETF데이터'!$E$4:$E$253,$K52)/100000000)</f>
        <v/>
      </c>
      <c r="I52" s="73">
        <f>IF($K52=0,"",INDEX('ETF데이터'!$M$4:$M$253,$K52))</f>
        <v/>
      </c>
      <c r="J52" s="78" t="n"/>
      <c r="K52">
        <f>IFERROR(MATCH(33,'ETF데이터'!$V$4:$V$253,0),0)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IF($K53=0,"",INDEX('ETF데이터'!$A$4:$A$253,$K53))</f>
        <v/>
      </c>
      <c r="C53" s="79">
        <f>IF($K53=0,"",INDEX('ETF데이터'!$R$4:$R$253,$K53))</f>
        <v/>
      </c>
      <c r="D53" s="80">
        <f>IF($K53=0,"",INDEX('ETF데이터'!$J$4:$J$253,$K53))</f>
        <v/>
      </c>
      <c r="E53" s="81">
        <f>IF($K53=0,"",$D53/12)</f>
        <v/>
      </c>
      <c r="F53" s="82">
        <f>IF($K53=0,"",INDEX('ETF데이터'!$D$4:$D$253,$K53))</f>
        <v/>
      </c>
      <c r="G53" s="80">
        <f>IF($K53=0,"",INDEX('ETF데이터'!$H$4:$H$253,$K53))</f>
        <v/>
      </c>
      <c r="H53" s="83">
        <f>IF($K53=0,"",INDEX('ETF데이터'!$E$4:$E$253,$K53)/100000000)</f>
        <v/>
      </c>
      <c r="I53" s="79">
        <f>IF($K53=0,"",INDEX('ETF데이터'!$M$4:$M$253,$K53))</f>
        <v/>
      </c>
      <c r="J53" s="78" t="n"/>
      <c r="K53">
        <f>IFERROR(MATCH(34,'ETF데이터'!$V$4:$V$253,0),0)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IF($K54=0,"",INDEX('ETF데이터'!$A$4:$A$253,$K54))</f>
        <v/>
      </c>
      <c r="C54" s="73">
        <f>IF($K54=0,"",INDEX('ETF데이터'!$R$4:$R$253,$K54))</f>
        <v/>
      </c>
      <c r="D54" s="74">
        <f>IF($K54=0,"",INDEX('ETF데이터'!$J$4:$J$253,$K54))</f>
        <v/>
      </c>
      <c r="E54" s="75">
        <f>IF($K54=0,"",$D54/12)</f>
        <v/>
      </c>
      <c r="F54" s="76">
        <f>IF($K54=0,"",INDEX('ETF데이터'!$D$4:$D$253,$K54))</f>
        <v/>
      </c>
      <c r="G54" s="74">
        <f>IF($K54=0,"",INDEX('ETF데이터'!$H$4:$H$253,$K54))</f>
        <v/>
      </c>
      <c r="H54" s="77">
        <f>IF($K54=0,"",INDEX('ETF데이터'!$E$4:$E$253,$K54)/100000000)</f>
        <v/>
      </c>
      <c r="I54" s="73">
        <f>IF($K54=0,"",INDEX('ETF데이터'!$M$4:$M$253,$K54))</f>
        <v/>
      </c>
      <c r="J54" s="78" t="n"/>
      <c r="K54">
        <f>IFERROR(MATCH(35,'ETF데이터'!$V$4:$V$253,0),0)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IF($K55=0,"",INDEX('ETF데이터'!$A$4:$A$253,$K55))</f>
        <v/>
      </c>
      <c r="C55" s="79">
        <f>IF($K55=0,"",INDEX('ETF데이터'!$R$4:$R$253,$K55))</f>
        <v/>
      </c>
      <c r="D55" s="80">
        <f>IF($K55=0,"",INDEX('ETF데이터'!$J$4:$J$253,$K55))</f>
        <v/>
      </c>
      <c r="E55" s="81">
        <f>IF($K55=0,"",$D55/12)</f>
        <v/>
      </c>
      <c r="F55" s="82">
        <f>IF($K55=0,"",INDEX('ETF데이터'!$D$4:$D$253,$K55))</f>
        <v/>
      </c>
      <c r="G55" s="80">
        <f>IF($K55=0,"",INDEX('ETF데이터'!$H$4:$H$253,$K55))</f>
        <v/>
      </c>
      <c r="H55" s="83">
        <f>IF($K55=0,"",INDEX('ETF데이터'!$E$4:$E$253,$K55)/100000000)</f>
        <v/>
      </c>
      <c r="I55" s="79">
        <f>IF($K55=0,"",INDEX('ETF데이터'!$M$4:$M$253,$K55))</f>
        <v/>
      </c>
      <c r="J55" s="78" t="n"/>
      <c r="K55">
        <f>IFERROR(MATCH(36,'ETF데이터'!$V$4:$V$253,0),0)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IF($K56=0,"",INDEX('ETF데이터'!$A$4:$A$253,$K56))</f>
        <v/>
      </c>
      <c r="C56" s="73">
        <f>IF($K56=0,"",INDEX('ETF데이터'!$R$4:$R$253,$K56))</f>
        <v/>
      </c>
      <c r="D56" s="74">
        <f>IF($K56=0,"",INDEX('ETF데이터'!$J$4:$J$253,$K56))</f>
        <v/>
      </c>
      <c r="E56" s="75">
        <f>IF($K56=0,"",$D56/12)</f>
        <v/>
      </c>
      <c r="F56" s="76">
        <f>IF($K56=0,"",INDEX('ETF데이터'!$D$4:$D$253,$K56))</f>
        <v/>
      </c>
      <c r="G56" s="74">
        <f>IF($K56=0,"",INDEX('ETF데이터'!$H$4:$H$253,$K56))</f>
        <v/>
      </c>
      <c r="H56" s="77">
        <f>IF($K56=0,"",INDEX('ETF데이터'!$E$4:$E$253,$K56)/100000000)</f>
        <v/>
      </c>
      <c r="I56" s="73">
        <f>IF($K56=0,"",INDEX('ETF데이터'!$M$4:$M$253,$K56))</f>
        <v/>
      </c>
      <c r="J56" s="78" t="n"/>
      <c r="K56">
        <f>IFERROR(MATCH(37,'ETF데이터'!$V$4:$V$253,0),0)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IF($K57=0,"",INDEX('ETF데이터'!$A$4:$A$253,$K57))</f>
        <v/>
      </c>
      <c r="C57" s="79">
        <f>IF($K57=0,"",INDEX('ETF데이터'!$R$4:$R$253,$K57))</f>
        <v/>
      </c>
      <c r="D57" s="80">
        <f>IF($K57=0,"",INDEX('ETF데이터'!$J$4:$J$253,$K57))</f>
        <v/>
      </c>
      <c r="E57" s="81">
        <f>IF($K57=0,"",$D57/12)</f>
        <v/>
      </c>
      <c r="F57" s="82">
        <f>IF($K57=0,"",INDEX('ETF데이터'!$D$4:$D$253,$K57))</f>
        <v/>
      </c>
      <c r="G57" s="80">
        <f>IF($K57=0,"",INDEX('ETF데이터'!$H$4:$H$253,$K57))</f>
        <v/>
      </c>
      <c r="H57" s="83">
        <f>IF($K57=0,"",INDEX('ETF데이터'!$E$4:$E$253,$K57)/100000000)</f>
        <v/>
      </c>
      <c r="I57" s="79">
        <f>IF($K57=0,"",INDEX('ETF데이터'!$M$4:$M$253,$K57))</f>
        <v/>
      </c>
      <c r="J57" s="78" t="n"/>
      <c r="K57">
        <f>IFERROR(MATCH(38,'ETF데이터'!$V$4:$V$253,0),0)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IF($K58=0,"",INDEX('ETF데이터'!$A$4:$A$253,$K58))</f>
        <v/>
      </c>
      <c r="C58" s="73">
        <f>IF($K58=0,"",INDEX('ETF데이터'!$R$4:$R$253,$K58))</f>
        <v/>
      </c>
      <c r="D58" s="74">
        <f>IF($K58=0,"",INDEX('ETF데이터'!$J$4:$J$253,$K58))</f>
        <v/>
      </c>
      <c r="E58" s="75">
        <f>IF($K58=0,"",$D58/12)</f>
        <v/>
      </c>
      <c r="F58" s="76">
        <f>IF($K58=0,"",INDEX('ETF데이터'!$D$4:$D$253,$K58))</f>
        <v/>
      </c>
      <c r="G58" s="74">
        <f>IF($K58=0,"",INDEX('ETF데이터'!$H$4:$H$253,$K58))</f>
        <v/>
      </c>
      <c r="H58" s="77">
        <f>IF($K58=0,"",INDEX('ETF데이터'!$E$4:$E$253,$K58)/100000000)</f>
        <v/>
      </c>
      <c r="I58" s="73">
        <f>IF($K58=0,"",INDEX('ETF데이터'!$M$4:$M$253,$K58))</f>
        <v/>
      </c>
      <c r="J58" s="78" t="n"/>
      <c r="K58">
        <f>IFERROR(MATCH(39,'ETF데이터'!$V$4:$V$253,0),0)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IF($K59=0,"",INDEX('ETF데이터'!$A$4:$A$253,$K59))</f>
        <v/>
      </c>
      <c r="C59" s="79">
        <f>IF($K59=0,"",INDEX('ETF데이터'!$R$4:$R$253,$K59))</f>
        <v/>
      </c>
      <c r="D59" s="80">
        <f>IF($K59=0,"",INDEX('ETF데이터'!$J$4:$J$253,$K59))</f>
        <v/>
      </c>
      <c r="E59" s="81">
        <f>IF($K59=0,"",$D59/12)</f>
        <v/>
      </c>
      <c r="F59" s="82">
        <f>IF($K59=0,"",INDEX('ETF데이터'!$D$4:$D$253,$K59))</f>
        <v/>
      </c>
      <c r="G59" s="80">
        <f>IF($K59=0,"",INDEX('ETF데이터'!$H$4:$H$253,$K59))</f>
        <v/>
      </c>
      <c r="H59" s="83">
        <f>IF($K59=0,"",INDEX('ETF데이터'!$E$4:$E$253,$K59)/100000000)</f>
        <v/>
      </c>
      <c r="I59" s="79">
        <f>IF($K59=0,"",INDEX('ETF데이터'!$M$4:$M$253,$K59))</f>
        <v/>
      </c>
      <c r="J59" s="78" t="n"/>
      <c r="K59">
        <f>IFERROR(MATCH(40,'ETF데이터'!$V$4:$V$253,0),0)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IF($K60=0,"",INDEX('ETF데이터'!$A$4:$A$253,$K60))</f>
        <v/>
      </c>
      <c r="C60" s="73">
        <f>IF($K60=0,"",INDEX('ETF데이터'!$R$4:$R$253,$K60))</f>
        <v/>
      </c>
      <c r="D60" s="74">
        <f>IF($K60=0,"",INDEX('ETF데이터'!$J$4:$J$253,$K60))</f>
        <v/>
      </c>
      <c r="E60" s="75">
        <f>IF($K60=0,"",$D60/12)</f>
        <v/>
      </c>
      <c r="F60" s="76">
        <f>IF($K60=0,"",INDEX('ETF데이터'!$D$4:$D$253,$K60))</f>
        <v/>
      </c>
      <c r="G60" s="74">
        <f>IF($K60=0,"",INDEX('ETF데이터'!$H$4:$H$253,$K60))</f>
        <v/>
      </c>
      <c r="H60" s="77">
        <f>IF($K60=0,"",INDEX('ETF데이터'!$E$4:$E$253,$K60)/100000000)</f>
        <v/>
      </c>
      <c r="I60" s="73">
        <f>IF($K60=0,"",INDEX('ETF데이터'!$M$4:$M$253,$K60))</f>
        <v/>
      </c>
      <c r="J60" s="78" t="n"/>
      <c r="K60">
        <f>IFERROR(MATCH(41,'ETF데이터'!$V$4:$V$253,0),0)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IF($K61=0,"",INDEX('ETF데이터'!$A$4:$A$253,$K61))</f>
        <v/>
      </c>
      <c r="C61" s="79">
        <f>IF($K61=0,"",INDEX('ETF데이터'!$R$4:$R$253,$K61))</f>
        <v/>
      </c>
      <c r="D61" s="80">
        <f>IF($K61=0,"",INDEX('ETF데이터'!$J$4:$J$253,$K61))</f>
        <v/>
      </c>
      <c r="E61" s="81">
        <f>IF($K61=0,"",$D61/12)</f>
        <v/>
      </c>
      <c r="F61" s="82">
        <f>IF($K61=0,"",INDEX('ETF데이터'!$D$4:$D$253,$K61))</f>
        <v/>
      </c>
      <c r="G61" s="80">
        <f>IF($K61=0,"",INDEX('ETF데이터'!$H$4:$H$253,$K61))</f>
        <v/>
      </c>
      <c r="H61" s="83">
        <f>IF($K61=0,"",INDEX('ETF데이터'!$E$4:$E$253,$K61)/100000000)</f>
        <v/>
      </c>
      <c r="I61" s="79">
        <f>IF($K61=0,"",INDEX('ETF데이터'!$M$4:$M$253,$K61))</f>
        <v/>
      </c>
      <c r="J61" s="78" t="n"/>
      <c r="K61">
        <f>IFERROR(MATCH(42,'ETF데이터'!$V$4:$V$253,0),0)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IF($K62=0,"",INDEX('ETF데이터'!$A$4:$A$253,$K62))</f>
        <v/>
      </c>
      <c r="C62" s="73">
        <f>IF($K62=0,"",INDEX('ETF데이터'!$R$4:$R$253,$K62))</f>
        <v/>
      </c>
      <c r="D62" s="74">
        <f>IF($K62=0,"",INDEX('ETF데이터'!$J$4:$J$253,$K62))</f>
        <v/>
      </c>
      <c r="E62" s="75">
        <f>IF($K62=0,"",$D62/12)</f>
        <v/>
      </c>
      <c r="F62" s="76">
        <f>IF($K62=0,"",INDEX('ETF데이터'!$D$4:$D$253,$K62))</f>
        <v/>
      </c>
      <c r="G62" s="74">
        <f>IF($K62=0,"",INDEX('ETF데이터'!$H$4:$H$253,$K62))</f>
        <v/>
      </c>
      <c r="H62" s="77">
        <f>IF($K62=0,"",INDEX('ETF데이터'!$E$4:$E$253,$K62)/100000000)</f>
        <v/>
      </c>
      <c r="I62" s="73">
        <f>IF($K62=0,"",INDEX('ETF데이터'!$M$4:$M$253,$K62))</f>
        <v/>
      </c>
      <c r="J62" s="78" t="n"/>
      <c r="K62">
        <f>IFERROR(MATCH(43,'ETF데이터'!$V$4:$V$253,0),0)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IF($K63=0,"",INDEX('ETF데이터'!$A$4:$A$253,$K63))</f>
        <v/>
      </c>
      <c r="C63" s="79">
        <f>IF($K63=0,"",INDEX('ETF데이터'!$R$4:$R$253,$K63))</f>
        <v/>
      </c>
      <c r="D63" s="80">
        <f>IF($K63=0,"",INDEX('ETF데이터'!$J$4:$J$253,$K63))</f>
        <v/>
      </c>
      <c r="E63" s="81">
        <f>IF($K63=0,"",$D63/12)</f>
        <v/>
      </c>
      <c r="F63" s="82">
        <f>IF($K63=0,"",INDEX('ETF데이터'!$D$4:$D$253,$K63))</f>
        <v/>
      </c>
      <c r="G63" s="80">
        <f>IF($K63=0,"",INDEX('ETF데이터'!$H$4:$H$253,$K63))</f>
        <v/>
      </c>
      <c r="H63" s="83">
        <f>IF($K63=0,"",INDEX('ETF데이터'!$E$4:$E$253,$K63)/100000000)</f>
        <v/>
      </c>
      <c r="I63" s="79">
        <f>IF($K63=0,"",INDEX('ETF데이터'!$M$4:$M$253,$K63))</f>
        <v/>
      </c>
      <c r="J63" s="78" t="n"/>
      <c r="K63">
        <f>IFERROR(MATCH(44,'ETF데이터'!$V$4:$V$253,0),0)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IF($K64=0,"",INDEX('ETF데이터'!$A$4:$A$253,$K64))</f>
        <v/>
      </c>
      <c r="C64" s="73">
        <f>IF($K64=0,"",INDEX('ETF데이터'!$R$4:$R$253,$K64))</f>
        <v/>
      </c>
      <c r="D64" s="74">
        <f>IF($K64=0,"",INDEX('ETF데이터'!$J$4:$J$253,$K64))</f>
        <v/>
      </c>
      <c r="E64" s="75">
        <f>IF($K64=0,"",$D64/12)</f>
        <v/>
      </c>
      <c r="F64" s="76">
        <f>IF($K64=0,"",INDEX('ETF데이터'!$D$4:$D$253,$K64))</f>
        <v/>
      </c>
      <c r="G64" s="74">
        <f>IF($K64=0,"",INDEX('ETF데이터'!$H$4:$H$253,$K64))</f>
        <v/>
      </c>
      <c r="H64" s="77">
        <f>IF($K64=0,"",INDEX('ETF데이터'!$E$4:$E$253,$K64)/100000000)</f>
        <v/>
      </c>
      <c r="I64" s="73">
        <f>IF($K64=0,"",INDEX('ETF데이터'!$M$4:$M$253,$K64))</f>
        <v/>
      </c>
      <c r="J64" s="78" t="n"/>
      <c r="K64">
        <f>IFERROR(MATCH(45,'ETF데이터'!$V$4:$V$253,0),0)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IF($K65=0,"",INDEX('ETF데이터'!$A$4:$A$253,$K65))</f>
        <v/>
      </c>
      <c r="C65" s="79">
        <f>IF($K65=0,"",INDEX('ETF데이터'!$R$4:$R$253,$K65))</f>
        <v/>
      </c>
      <c r="D65" s="80">
        <f>IF($K65=0,"",INDEX('ETF데이터'!$J$4:$J$253,$K65))</f>
        <v/>
      </c>
      <c r="E65" s="81">
        <f>IF($K65=0,"",$D65/12)</f>
        <v/>
      </c>
      <c r="F65" s="82">
        <f>IF($K65=0,"",INDEX('ETF데이터'!$D$4:$D$253,$K65))</f>
        <v/>
      </c>
      <c r="G65" s="80">
        <f>IF($K65=0,"",INDEX('ETF데이터'!$H$4:$H$253,$K65))</f>
        <v/>
      </c>
      <c r="H65" s="83">
        <f>IF($K65=0,"",INDEX('ETF데이터'!$E$4:$E$253,$K65)/100000000)</f>
        <v/>
      </c>
      <c r="I65" s="79">
        <f>IF($K65=0,"",INDEX('ETF데이터'!$M$4:$M$253,$K65))</f>
        <v/>
      </c>
      <c r="J65" s="78" t="n"/>
      <c r="K65">
        <f>IFERROR(MATCH(46,'ETF데이터'!$V$4:$V$253,0),0)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IF($K66=0,"",INDEX('ETF데이터'!$A$4:$A$253,$K66))</f>
        <v/>
      </c>
      <c r="C66" s="73">
        <f>IF($K66=0,"",INDEX('ETF데이터'!$R$4:$R$253,$K66))</f>
        <v/>
      </c>
      <c r="D66" s="74">
        <f>IF($K66=0,"",INDEX('ETF데이터'!$J$4:$J$253,$K66))</f>
        <v/>
      </c>
      <c r="E66" s="75">
        <f>IF($K66=0,"",$D66/12)</f>
        <v/>
      </c>
      <c r="F66" s="76">
        <f>IF($K66=0,"",INDEX('ETF데이터'!$D$4:$D$253,$K66))</f>
        <v/>
      </c>
      <c r="G66" s="74">
        <f>IF($K66=0,"",INDEX('ETF데이터'!$H$4:$H$253,$K66))</f>
        <v/>
      </c>
      <c r="H66" s="77">
        <f>IF($K66=0,"",INDEX('ETF데이터'!$E$4:$E$253,$K66)/100000000)</f>
        <v/>
      </c>
      <c r="I66" s="73">
        <f>IF($K66=0,"",INDEX('ETF데이터'!$M$4:$M$253,$K66))</f>
        <v/>
      </c>
      <c r="J66" s="78" t="n"/>
      <c r="K66">
        <f>IFERROR(MATCH(47,'ETF데이터'!$V$4:$V$253,0),0)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IF($K67=0,"",INDEX('ETF데이터'!$A$4:$A$253,$K67))</f>
        <v/>
      </c>
      <c r="C67" s="79">
        <f>IF($K67=0,"",INDEX('ETF데이터'!$R$4:$R$253,$K67))</f>
        <v/>
      </c>
      <c r="D67" s="80">
        <f>IF($K67=0,"",INDEX('ETF데이터'!$J$4:$J$253,$K67))</f>
        <v/>
      </c>
      <c r="E67" s="81">
        <f>IF($K67=0,"",$D67/12)</f>
        <v/>
      </c>
      <c r="F67" s="82">
        <f>IF($K67=0,"",INDEX('ETF데이터'!$D$4:$D$253,$K67))</f>
        <v/>
      </c>
      <c r="G67" s="80">
        <f>IF($K67=0,"",INDEX('ETF데이터'!$H$4:$H$253,$K67))</f>
        <v/>
      </c>
      <c r="H67" s="83">
        <f>IF($K67=0,"",INDEX('ETF데이터'!$E$4:$E$253,$K67)/100000000)</f>
        <v/>
      </c>
      <c r="I67" s="79">
        <f>IF($K67=0,"",INDEX('ETF데이터'!$M$4:$M$253,$K67))</f>
        <v/>
      </c>
      <c r="J67" s="78" t="n"/>
      <c r="K67">
        <f>IFERROR(MATCH(48,'ETF데이터'!$V$4:$V$253,0),0)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IF($K68=0,"",INDEX('ETF데이터'!$A$4:$A$253,$K68))</f>
        <v/>
      </c>
      <c r="C68" s="73">
        <f>IF($K68=0,"",INDEX('ETF데이터'!$R$4:$R$253,$K68))</f>
        <v/>
      </c>
      <c r="D68" s="74">
        <f>IF($K68=0,"",INDEX('ETF데이터'!$J$4:$J$253,$K68))</f>
        <v/>
      </c>
      <c r="E68" s="75">
        <f>IF($K68=0,"",$D68/12)</f>
        <v/>
      </c>
      <c r="F68" s="76">
        <f>IF($K68=0,"",INDEX('ETF데이터'!$D$4:$D$253,$K68))</f>
        <v/>
      </c>
      <c r="G68" s="74">
        <f>IF($K68=0,"",INDEX('ETF데이터'!$H$4:$H$253,$K68))</f>
        <v/>
      </c>
      <c r="H68" s="77">
        <f>IF($K68=0,"",INDEX('ETF데이터'!$E$4:$E$253,$K68)/100000000)</f>
        <v/>
      </c>
      <c r="I68" s="73">
        <f>IF($K68=0,"",INDEX('ETF데이터'!$M$4:$M$253,$K68))</f>
        <v/>
      </c>
      <c r="J68" s="78" t="n"/>
      <c r="K68">
        <f>IFERROR(MATCH(49,'ETF데이터'!$V$4:$V$253,0),0)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IF($K69=0,"",INDEX('ETF데이터'!$A$4:$A$253,$K69))</f>
        <v/>
      </c>
      <c r="C69" s="79">
        <f>IF($K69=0,"",INDEX('ETF데이터'!$R$4:$R$253,$K69))</f>
        <v/>
      </c>
      <c r="D69" s="80">
        <f>IF($K69=0,"",INDEX('ETF데이터'!$J$4:$J$253,$K69))</f>
        <v/>
      </c>
      <c r="E69" s="81">
        <f>IF($K69=0,"",$D69/12)</f>
        <v/>
      </c>
      <c r="F69" s="82">
        <f>IF($K69=0,"",INDEX('ETF데이터'!$D$4:$D$253,$K69))</f>
        <v/>
      </c>
      <c r="G69" s="80">
        <f>IF($K69=0,"",INDEX('ETF데이터'!$H$4:$H$253,$K69))</f>
        <v/>
      </c>
      <c r="H69" s="83">
        <f>IF($K69=0,"",INDEX('ETF데이터'!$E$4:$E$253,$K69)/100000000)</f>
        <v/>
      </c>
      <c r="I69" s="79">
        <f>IF($K69=0,"",INDEX('ETF데이터'!$M$4:$M$253,$K69))</f>
        <v/>
      </c>
      <c r="J69" s="78" t="n"/>
      <c r="K69">
        <f>IFERROR(MATCH(50,'ETF데이터'!$V$4:$V$253,0),0)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IF($K70=0,"",INDEX('ETF데이터'!$A$4:$A$253,$K70))</f>
        <v/>
      </c>
      <c r="C70" s="73">
        <f>IF($K70=0,"",INDEX('ETF데이터'!$R$4:$R$253,$K70))</f>
        <v/>
      </c>
      <c r="D70" s="74">
        <f>IF($K70=0,"",INDEX('ETF데이터'!$J$4:$J$253,$K70))</f>
        <v/>
      </c>
      <c r="E70" s="75">
        <f>IF($K70=0,"",$D70/12)</f>
        <v/>
      </c>
      <c r="F70" s="76">
        <f>IF($K70=0,"",INDEX('ETF데이터'!$D$4:$D$253,$K70))</f>
        <v/>
      </c>
      <c r="G70" s="74">
        <f>IF($K70=0,"",INDEX('ETF데이터'!$H$4:$H$253,$K70))</f>
        <v/>
      </c>
      <c r="H70" s="77">
        <f>IF($K70=0,"",INDEX('ETF데이터'!$E$4:$E$253,$K70)/100000000)</f>
        <v/>
      </c>
      <c r="I70" s="73">
        <f>IF($K70=0,"",INDEX('ETF데이터'!$M$4:$M$253,$K70))</f>
        <v/>
      </c>
      <c r="J70" s="78" t="n"/>
      <c r="K70">
        <f>IFERROR(MATCH(51,'ETF데이터'!$V$4:$V$253,0),0)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IF($K71=0,"",INDEX('ETF데이터'!$A$4:$A$253,$K71))</f>
        <v/>
      </c>
      <c r="C71" s="79">
        <f>IF($K71=0,"",INDEX('ETF데이터'!$R$4:$R$253,$K71))</f>
        <v/>
      </c>
      <c r="D71" s="80">
        <f>IF($K71=0,"",INDEX('ETF데이터'!$J$4:$J$253,$K71))</f>
        <v/>
      </c>
      <c r="E71" s="81">
        <f>IF($K71=0,"",$D71/12)</f>
        <v/>
      </c>
      <c r="F71" s="82">
        <f>IF($K71=0,"",INDEX('ETF데이터'!$D$4:$D$253,$K71))</f>
        <v/>
      </c>
      <c r="G71" s="80">
        <f>IF($K71=0,"",INDEX('ETF데이터'!$H$4:$H$253,$K71))</f>
        <v/>
      </c>
      <c r="H71" s="83">
        <f>IF($K71=0,"",INDEX('ETF데이터'!$E$4:$E$253,$K71)/100000000)</f>
        <v/>
      </c>
      <c r="I71" s="79">
        <f>IF($K71=0,"",INDEX('ETF데이터'!$M$4:$M$253,$K71))</f>
        <v/>
      </c>
      <c r="J71" s="78" t="n"/>
      <c r="K71">
        <f>IFERROR(MATCH(52,'ETF데이터'!$V$4:$V$253,0),0)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IF($K72=0,"",INDEX('ETF데이터'!$A$4:$A$253,$K72))</f>
        <v/>
      </c>
      <c r="C72" s="73">
        <f>IF($K72=0,"",INDEX('ETF데이터'!$R$4:$R$253,$K72))</f>
        <v/>
      </c>
      <c r="D72" s="74">
        <f>IF($K72=0,"",INDEX('ETF데이터'!$J$4:$J$253,$K72))</f>
        <v/>
      </c>
      <c r="E72" s="75">
        <f>IF($K72=0,"",$D72/12)</f>
        <v/>
      </c>
      <c r="F72" s="76">
        <f>IF($K72=0,"",INDEX('ETF데이터'!$D$4:$D$253,$K72))</f>
        <v/>
      </c>
      <c r="G72" s="74">
        <f>IF($K72=0,"",INDEX('ETF데이터'!$H$4:$H$253,$K72))</f>
        <v/>
      </c>
      <c r="H72" s="77">
        <f>IF($K72=0,"",INDEX('ETF데이터'!$E$4:$E$253,$K72)/100000000)</f>
        <v/>
      </c>
      <c r="I72" s="73">
        <f>IF($K72=0,"",INDEX('ETF데이터'!$M$4:$M$253,$K72))</f>
        <v/>
      </c>
      <c r="J72" s="78" t="n"/>
      <c r="K72">
        <f>IFERROR(MATCH(53,'ETF데이터'!$V$4:$V$253,0),0)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IF($K73=0,"",INDEX('ETF데이터'!$A$4:$A$253,$K73))</f>
        <v/>
      </c>
      <c r="C73" s="79">
        <f>IF($K73=0,"",INDEX('ETF데이터'!$R$4:$R$253,$K73))</f>
        <v/>
      </c>
      <c r="D73" s="80">
        <f>IF($K73=0,"",INDEX('ETF데이터'!$J$4:$J$253,$K73))</f>
        <v/>
      </c>
      <c r="E73" s="81">
        <f>IF($K73=0,"",$D73/12)</f>
        <v/>
      </c>
      <c r="F73" s="82">
        <f>IF($K73=0,"",INDEX('ETF데이터'!$D$4:$D$253,$K73))</f>
        <v/>
      </c>
      <c r="G73" s="80">
        <f>IF($K73=0,"",INDEX('ETF데이터'!$H$4:$H$253,$K73))</f>
        <v/>
      </c>
      <c r="H73" s="83">
        <f>IF($K73=0,"",INDEX('ETF데이터'!$E$4:$E$253,$K73)/100000000)</f>
        <v/>
      </c>
      <c r="I73" s="79">
        <f>IF($K73=0,"",INDEX('ETF데이터'!$M$4:$M$253,$K73))</f>
        <v/>
      </c>
      <c r="J73" s="78" t="n"/>
      <c r="K73">
        <f>IFERROR(MATCH(54,'ETF데이터'!$V$4:$V$253,0),0)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IF($K74=0,"",INDEX('ETF데이터'!$A$4:$A$253,$K74))</f>
        <v/>
      </c>
      <c r="C74" s="73">
        <f>IF($K74=0,"",INDEX('ETF데이터'!$R$4:$R$253,$K74))</f>
        <v/>
      </c>
      <c r="D74" s="74">
        <f>IF($K74=0,"",INDEX('ETF데이터'!$J$4:$J$253,$K74))</f>
        <v/>
      </c>
      <c r="E74" s="75">
        <f>IF($K74=0,"",$D74/12)</f>
        <v/>
      </c>
      <c r="F74" s="76">
        <f>IF($K74=0,"",INDEX('ETF데이터'!$D$4:$D$253,$K74))</f>
        <v/>
      </c>
      <c r="G74" s="74">
        <f>IF($K74=0,"",INDEX('ETF데이터'!$H$4:$H$253,$K74))</f>
        <v/>
      </c>
      <c r="H74" s="77">
        <f>IF($K74=0,"",INDEX('ETF데이터'!$E$4:$E$253,$K74)/100000000)</f>
        <v/>
      </c>
      <c r="I74" s="73">
        <f>IF($K74=0,"",INDEX('ETF데이터'!$M$4:$M$253,$K74))</f>
        <v/>
      </c>
      <c r="J74" s="78" t="n"/>
      <c r="K74">
        <f>IFERROR(MATCH(55,'ETF데이터'!$V$4:$V$253,0),0)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IF($K75=0,"",INDEX('ETF데이터'!$A$4:$A$253,$K75))</f>
        <v/>
      </c>
      <c r="C75" s="79">
        <f>IF($K75=0,"",INDEX('ETF데이터'!$R$4:$R$253,$K75))</f>
        <v/>
      </c>
      <c r="D75" s="80">
        <f>IF($K75=0,"",INDEX('ETF데이터'!$J$4:$J$253,$K75))</f>
        <v/>
      </c>
      <c r="E75" s="81">
        <f>IF($K75=0,"",$D75/12)</f>
        <v/>
      </c>
      <c r="F75" s="82">
        <f>IF($K75=0,"",INDEX('ETF데이터'!$D$4:$D$253,$K75))</f>
        <v/>
      </c>
      <c r="G75" s="80">
        <f>IF($K75=0,"",INDEX('ETF데이터'!$H$4:$H$253,$K75))</f>
        <v/>
      </c>
      <c r="H75" s="83">
        <f>IF($K75=0,"",INDEX('ETF데이터'!$E$4:$E$253,$K75)/100000000)</f>
        <v/>
      </c>
      <c r="I75" s="79">
        <f>IF($K75=0,"",INDEX('ETF데이터'!$M$4:$M$253,$K75))</f>
        <v/>
      </c>
      <c r="J75" s="78" t="n"/>
      <c r="K75">
        <f>IFERROR(MATCH(56,'ETF데이터'!$V$4:$V$253,0),0)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IF($K76=0,"",INDEX('ETF데이터'!$A$4:$A$253,$K76))</f>
        <v/>
      </c>
      <c r="C76" s="73">
        <f>IF($K76=0,"",INDEX('ETF데이터'!$R$4:$R$253,$K76))</f>
        <v/>
      </c>
      <c r="D76" s="74">
        <f>IF($K76=0,"",INDEX('ETF데이터'!$J$4:$J$253,$K76))</f>
        <v/>
      </c>
      <c r="E76" s="75">
        <f>IF($K76=0,"",$D76/12)</f>
        <v/>
      </c>
      <c r="F76" s="76">
        <f>IF($K76=0,"",INDEX('ETF데이터'!$D$4:$D$253,$K76))</f>
        <v/>
      </c>
      <c r="G76" s="74">
        <f>IF($K76=0,"",INDEX('ETF데이터'!$H$4:$H$253,$K76))</f>
        <v/>
      </c>
      <c r="H76" s="77">
        <f>IF($K76=0,"",INDEX('ETF데이터'!$E$4:$E$253,$K76)/100000000)</f>
        <v/>
      </c>
      <c r="I76" s="73">
        <f>IF($K76=0,"",INDEX('ETF데이터'!$M$4:$M$253,$K76))</f>
        <v/>
      </c>
      <c r="J76" s="78" t="n"/>
      <c r="K76">
        <f>IFERROR(MATCH(57,'ETF데이터'!$V$4:$V$253,0),0)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IF($K77=0,"",INDEX('ETF데이터'!$A$4:$A$253,$K77))</f>
        <v/>
      </c>
      <c r="C77" s="79">
        <f>IF($K77=0,"",INDEX('ETF데이터'!$R$4:$R$253,$K77))</f>
        <v/>
      </c>
      <c r="D77" s="80">
        <f>IF($K77=0,"",INDEX('ETF데이터'!$J$4:$J$253,$K77))</f>
        <v/>
      </c>
      <c r="E77" s="81">
        <f>IF($K77=0,"",$D77/12)</f>
        <v/>
      </c>
      <c r="F77" s="82">
        <f>IF($K77=0,"",INDEX('ETF데이터'!$D$4:$D$253,$K77))</f>
        <v/>
      </c>
      <c r="G77" s="80">
        <f>IF($K77=0,"",INDEX('ETF데이터'!$H$4:$H$253,$K77))</f>
        <v/>
      </c>
      <c r="H77" s="83">
        <f>IF($K77=0,"",INDEX('ETF데이터'!$E$4:$E$253,$K77)/100000000)</f>
        <v/>
      </c>
      <c r="I77" s="79">
        <f>IF($K77=0,"",INDEX('ETF데이터'!$M$4:$M$253,$K77))</f>
        <v/>
      </c>
      <c r="J77" s="78" t="n"/>
      <c r="K77">
        <f>IFERROR(MATCH(58,'ETF데이터'!$V$4:$V$253,0),0)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IF($K78=0,"",INDEX('ETF데이터'!$A$4:$A$253,$K78))</f>
        <v/>
      </c>
      <c r="C78" s="73">
        <f>IF($K78=0,"",INDEX('ETF데이터'!$R$4:$R$253,$K78))</f>
        <v/>
      </c>
      <c r="D78" s="74">
        <f>IF($K78=0,"",INDEX('ETF데이터'!$J$4:$J$253,$K78))</f>
        <v/>
      </c>
      <c r="E78" s="75">
        <f>IF($K78=0,"",$D78/12)</f>
        <v/>
      </c>
      <c r="F78" s="76">
        <f>IF($K78=0,"",INDEX('ETF데이터'!$D$4:$D$253,$K78))</f>
        <v/>
      </c>
      <c r="G78" s="74">
        <f>IF($K78=0,"",INDEX('ETF데이터'!$H$4:$H$253,$K78))</f>
        <v/>
      </c>
      <c r="H78" s="77">
        <f>IF($K78=0,"",INDEX('ETF데이터'!$E$4:$E$253,$K78)/100000000)</f>
        <v/>
      </c>
      <c r="I78" s="73">
        <f>IF($K78=0,"",INDEX('ETF데이터'!$M$4:$M$253,$K78))</f>
        <v/>
      </c>
      <c r="J78" s="78" t="n"/>
      <c r="K78">
        <f>IFERROR(MATCH(59,'ETF데이터'!$V$4:$V$253,0),0)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IF($K79=0,"",INDEX('ETF데이터'!$A$4:$A$253,$K79))</f>
        <v/>
      </c>
      <c r="C79" s="84">
        <f>IF($K79=0,"",INDEX('ETF데이터'!$R$4:$R$253,$K79))</f>
        <v/>
      </c>
      <c r="D79" s="85">
        <f>IF($K79=0,"",INDEX('ETF데이터'!$J$4:$J$253,$K79))</f>
        <v/>
      </c>
      <c r="E79" s="86">
        <f>IF($K79=0,"",$D79/12)</f>
        <v/>
      </c>
      <c r="F79" s="87">
        <f>IF($K79=0,"",INDEX('ETF데이터'!$D$4:$D$253,$K79))</f>
        <v/>
      </c>
      <c r="G79" s="85">
        <f>IF($K79=0,"",INDEX('ETF데이터'!$H$4:$H$253,$K79))</f>
        <v/>
      </c>
      <c r="H79" s="88">
        <f>IF($K79=0,"",INDEX('ETF데이터'!$E$4:$E$253,$K79)/100000000)</f>
        <v/>
      </c>
      <c r="I79" s="84">
        <f>IF($K79=0,"",INDEX('ETF데이터'!$M$4:$M$253,$K79))</f>
        <v/>
      </c>
      <c r="J79" s="89" t="n"/>
      <c r="K79">
        <f>IFERROR(MATCH(60,'ETF데이터'!$V$4:$V$253,0),0)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8042</v>
      </c>
      <c r="E4" s="94" t="n">
        <v>363498400000</v>
      </c>
      <c r="F4" s="94" t="n">
        <v>2819271155</v>
      </c>
      <c r="G4" s="74" t="n">
        <v>0.0035</v>
      </c>
      <c r="H4" s="74" t="n">
        <v>0.1636</v>
      </c>
      <c r="I4" s="74" t="n">
        <v>0.0194</v>
      </c>
      <c r="J4" s="74" t="n">
        <v>0.277916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IFERROR(INDEX($A$4:$A$253,MATCH(1,$X$4:$X$253,0)),"")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10120</v>
      </c>
      <c r="E5" s="94" t="n">
        <v>181148000000</v>
      </c>
      <c r="F5" s="94" t="n">
        <v>2874639602</v>
      </c>
      <c r="G5" s="74" t="n">
        <v>0.004500000000000001</v>
      </c>
      <c r="H5" s="74" t="n">
        <v>0.2145</v>
      </c>
      <c r="I5" s="74" t="n">
        <v>0.0297</v>
      </c>
      <c r="J5" s="74" t="n">
        <v>0.261858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IFERROR(INDEX($A$4:$A$253,MATCH(2,$X$4:$X$253,0)),"")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9400</v>
      </c>
      <c r="E6" s="94" t="n">
        <v>174370000000</v>
      </c>
      <c r="F6" s="94" t="n">
        <v>1620093821</v>
      </c>
      <c r="G6" s="74" t="n">
        <v>0.0035</v>
      </c>
      <c r="H6" s="74" t="n">
        <v>0.2287</v>
      </c>
      <c r="I6" s="74" t="n">
        <v>0.0148</v>
      </c>
      <c r="J6" s="74" t="n">
        <v>0.244255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0.7805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IFERROR(INDEX($A$4:$A$253,MATCH(3,$X$4:$X$253,0)),"")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6415</v>
      </c>
      <c r="E7" s="94" t="n">
        <v>300542750000</v>
      </c>
      <c r="F7" s="94" t="n">
        <v>4132355574</v>
      </c>
      <c r="G7" s="74" t="n">
        <v>0.003</v>
      </c>
      <c r="H7" s="74" t="n">
        <v>0.3076</v>
      </c>
      <c r="I7" s="74" t="n">
        <v>0.0148</v>
      </c>
      <c r="J7" s="74" t="n">
        <v>0.236633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0.2194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IFERROR(INDEX($A$4:$A$253,MATCH(4,$X$4:$X$253,0)),"")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9020</v>
      </c>
      <c r="E8" s="94" t="n">
        <v>1037300000000</v>
      </c>
      <c r="F8" s="94" t="n">
        <v>13139284818</v>
      </c>
      <c r="G8" s="74" t="n">
        <v>0.0025</v>
      </c>
      <c r="H8" s="74" t="n">
        <v>0.1951</v>
      </c>
      <c r="I8" s="74" t="n">
        <v>0.0166</v>
      </c>
      <c r="J8" s="74" t="n">
        <v>0.223947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0.8599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IFERROR(INDEX($A$4:$A$253,MATCH(5,$X$4:$X$253,0)),"")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10465</v>
      </c>
      <c r="E9" s="94" t="n">
        <v>573482000000</v>
      </c>
      <c r="F9" s="94" t="n">
        <v>7365456187</v>
      </c>
      <c r="G9" s="74" t="n">
        <v>0.0025</v>
      </c>
      <c r="H9" s="74" t="n">
        <v>0.203</v>
      </c>
      <c r="I9" s="74" t="n">
        <v>0.0166</v>
      </c>
      <c r="J9" s="74" t="n">
        <v>0.215002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IFERROR(INDEX($A$4:$A$253,MATCH(6,$X$4:$X$253,0)),"")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14195</v>
      </c>
      <c r="E10" s="94" t="n">
        <v>788532250000</v>
      </c>
      <c r="F10" s="94" t="n">
        <v>9537517751</v>
      </c>
      <c r="G10" s="74" t="n">
        <v>0.0025</v>
      </c>
      <c r="H10" s="74" t="n">
        <v>0.332</v>
      </c>
      <c r="I10" s="74" t="n">
        <v>0.0163</v>
      </c>
      <c r="J10" s="74" t="n">
        <v>0.204438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IFERROR(INDEX($A$4:$A$253,MATCH(7,$X$4:$X$253,0)),"")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9695</v>
      </c>
      <c r="E11" s="94" t="n">
        <v>162876000000</v>
      </c>
      <c r="F11" s="94" t="n">
        <v>1347207010</v>
      </c>
      <c r="G11" s="74" t="n">
        <v>0.004500000000000001</v>
      </c>
      <c r="H11" s="74" t="n">
        <v>0.1507</v>
      </c>
      <c r="I11" s="74" t="n">
        <v>0.0199</v>
      </c>
      <c r="J11" s="74" t="n">
        <v>0.200413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 s="74" t="n">
        <v>0.9012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IFERROR(INDEX($A$4:$A$253,MATCH(8,$X$4:$X$253,0)),"")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10545</v>
      </c>
      <c r="E12" s="94" t="n">
        <v>80142000000</v>
      </c>
      <c r="F12" s="94" t="n">
        <v>1003267462</v>
      </c>
      <c r="G12" s="74" t="n">
        <v>0.003</v>
      </c>
      <c r="H12" s="74" t="n">
        <v>0.2665</v>
      </c>
      <c r="I12" s="74" t="n">
        <v>0.0124</v>
      </c>
      <c r="J12" s="74" t="n">
        <v>0.169464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 s="74" t="n">
        <v>0.2602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IFERROR(INDEX($A$4:$A$253,MATCH(9,$X$4:$X$253,0)),"")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7960</v>
      </c>
      <c r="E13" s="94" t="n">
        <v>289346000000</v>
      </c>
      <c r="F13" s="94" t="n">
        <v>1412926978</v>
      </c>
      <c r="G13" s="74" t="n">
        <v>0.0039</v>
      </c>
      <c r="H13" s="74" t="n">
        <v>0.1245</v>
      </c>
      <c r="I13" s="74" t="n">
        <v>0.0125</v>
      </c>
      <c r="J13" s="74" t="n">
        <v>0.161558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 s="74" t="n">
        <v>0.5762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IFERROR(INDEX($A$4:$A$253,MATCH(10,$X$4:$X$253,0)),"")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11380</v>
      </c>
      <c r="E14" s="94" t="n">
        <v>248084000000</v>
      </c>
      <c r="F14" s="94" t="n">
        <v>1809178570</v>
      </c>
      <c r="G14" s="74" t="n">
        <v>0.0025</v>
      </c>
      <c r="H14" s="74" t="n">
        <v>0.2193</v>
      </c>
      <c r="I14" s="74" t="n">
        <v>0.0124</v>
      </c>
      <c r="J14" s="74" t="n">
        <v>0.159578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IFERROR(INDEX($A$4:$A$253,MATCH(11,$X$4:$X$253,0)),"")</f>
        <v/>
      </c>
    </row>
    <row r="15">
      <c r="A15" s="93" t="inlineStr">
        <is>
          <t>KODEX 금융고배당TOP10타겟위클리커버드콜</t>
        </is>
      </c>
      <c r="B15" s="93" t="inlineStr">
        <is>
          <t>498410</t>
        </is>
      </c>
      <c r="C15" s="93" t="inlineStr">
        <is>
          <t>삼성자산운용(ETF)</t>
        </is>
      </c>
      <c r="D15" s="94" t="n">
        <v>11915</v>
      </c>
      <c r="E15" s="94" t="n">
        <v>830475500000</v>
      </c>
      <c r="F15" s="94" t="n">
        <v>22247696180</v>
      </c>
      <c r="G15" s="74" t="n">
        <v>0.0039</v>
      </c>
      <c r="H15" s="74" t="n">
        <v>0.3246</v>
      </c>
      <c r="I15" s="74" t="n">
        <v>0.0121</v>
      </c>
      <c r="J15" s="74" t="n">
        <v>0.157952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코스피 200 금융 고배당 TOP 10 타겟 15% 분배 위클리 커버드콜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0.1987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IFERROR(INDEX($A$4:$A$253,MATCH(12,$X$4:$X$253,0)),"")</f>
        <v/>
      </c>
    </row>
    <row r="16">
      <c r="A16" s="93" t="inlineStr">
        <is>
          <t>KODEX 미국S&amp;P500데일리커버드콜OTM</t>
        </is>
      </c>
      <c r="B16" s="93" t="inlineStr">
        <is>
          <t>0005A0</t>
        </is>
      </c>
      <c r="C16" s="93" t="inlineStr">
        <is>
          <t>삼성자산운용(ETF)</t>
        </is>
      </c>
      <c r="D16" s="94" t="n">
        <v>9380</v>
      </c>
      <c r="E16" s="94" t="n">
        <v>201670000000</v>
      </c>
      <c r="F16" s="94" t="n">
        <v>1961310179</v>
      </c>
      <c r="G16" s="74" t="n">
        <v>0.0025</v>
      </c>
      <c r="H16" s="74" t="n">
        <v>0.1479</v>
      </c>
      <c r="I16" s="74" t="n">
        <v>0.0124</v>
      </c>
      <c r="J16" s="74" t="n">
        <v>0.157889</v>
      </c>
      <c r="K16" s="94" t="n">
        <v>20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S&amp;P500 Covered Call 1% OTM Daily Index(TR)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IFERROR(INDEX($A$4:$A$253,MATCH(13,$X$4:$X$253,0)),"")</f>
        <v/>
      </c>
    </row>
    <row r="17">
      <c r="A17" s="93" t="inlineStr">
        <is>
          <t>TIGER 미국나스닥100타겟데일리커버드콜</t>
        </is>
      </c>
      <c r="B17" s="93" t="inlineStr">
        <is>
          <t>486290</t>
        </is>
      </c>
      <c r="C17" s="93" t="inlineStr">
        <is>
          <t>미래에셋자산운용</t>
        </is>
      </c>
      <c r="D17" s="94" t="n">
        <v>10485</v>
      </c>
      <c r="E17" s="94" t="n">
        <v>2518497000000</v>
      </c>
      <c r="F17" s="94" t="n">
        <v>29218364064</v>
      </c>
      <c r="G17" s="74" t="n">
        <v>0.0025</v>
      </c>
      <c r="H17" s="74" t="n">
        <v>0.2077</v>
      </c>
      <c r="I17" s="74" t="n">
        <v>0.0124</v>
      </c>
      <c r="J17" s="74" t="n">
        <v>0.156223</v>
      </c>
      <c r="K17" s="94" t="n">
        <v>26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NASDAQ 100 Daily Covered Call Target Premium 15%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IFERROR(INDEX($A$4:$A$253,MATCH(14,$X$4:$X$253,0)),"")</f>
        <v/>
      </c>
    </row>
    <row r="18">
      <c r="A18" s="93" t="inlineStr">
        <is>
          <t>KODEX 미국AI테크TOP10타겟커버드콜</t>
        </is>
      </c>
      <c r="B18" s="93" t="inlineStr">
        <is>
          <t>483280</t>
        </is>
      </c>
      <c r="C18" s="93" t="inlineStr">
        <is>
          <t>삼성자산운용(ETF)</t>
        </is>
      </c>
      <c r="D18" s="94" t="n">
        <v>11870</v>
      </c>
      <c r="E18" s="94" t="n">
        <v>466491000000</v>
      </c>
      <c r="F18" s="94" t="n">
        <v>2775207019</v>
      </c>
      <c r="G18" s="74" t="n">
        <v>0.0039</v>
      </c>
      <c r="H18" s="74" t="n">
        <v>0.2464</v>
      </c>
      <c r="I18" s="74" t="n">
        <v>0.0123</v>
      </c>
      <c r="J18" s="74" t="n">
        <v>0.155013</v>
      </c>
      <c r="K18" s="94" t="n">
        <v>27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KEDI US AI Tech Top 10+15% Premium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IFERROR(INDEX($A$4:$A$253,MATCH(15,$X$4:$X$253,0)),"")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6752</v>
      </c>
      <c r="E19" s="94" t="n">
        <v>763988800000</v>
      </c>
      <c r="F19" s="94" t="n">
        <v>7850731865</v>
      </c>
      <c r="G19" s="74" t="n">
        <v>0.0039</v>
      </c>
      <c r="H19" s="74" t="n">
        <v>0.0892</v>
      </c>
      <c r="I19" s="74" t="n">
        <v>0.01</v>
      </c>
      <c r="J19" s="74" t="n">
        <v>0.134182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0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IFERROR(INDEX($A$4:$A$253,MATCH(16,$X$4:$X$253,0)),"")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7325</v>
      </c>
      <c r="E20" s="94" t="n">
        <v>747516250000</v>
      </c>
      <c r="F20" s="94" t="n">
        <v>4009025702</v>
      </c>
      <c r="G20" s="74" t="n">
        <v>0.0025</v>
      </c>
      <c r="H20" s="74" t="n">
        <v>0.0839</v>
      </c>
      <c r="I20" s="74" t="n">
        <v>0.0101</v>
      </c>
      <c r="J20" s="74" t="n">
        <v>0.131604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 s="74" t="n">
        <v>0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IFERROR(INDEX($A$4:$A$253,MATCH(17,$X$4:$X$253,0)),"")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7955</v>
      </c>
      <c r="E21" s="94" t="n">
        <v>278822750000</v>
      </c>
      <c r="F21" s="94" t="n">
        <v>2151547005</v>
      </c>
      <c r="G21" s="74" t="n">
        <v>0.0025</v>
      </c>
      <c r="H21" s="74" t="n">
        <v>0.1361</v>
      </c>
      <c r="I21" s="74" t="n">
        <v>0.0074</v>
      </c>
      <c r="J21" s="74" t="n">
        <v>0.127844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 s="74" t="n">
        <v>0.8142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IFERROR(INDEX($A$4:$A$253,MATCH(18,$X$4:$X$253,0)),"")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10860</v>
      </c>
      <c r="E22" s="94" t="n">
        <v>285618000000</v>
      </c>
      <c r="F22" s="94" t="n">
        <v>918952232</v>
      </c>
      <c r="G22" s="74" t="n">
        <v>0.0037</v>
      </c>
      <c r="H22" s="74" t="n">
        <v>0.147</v>
      </c>
      <c r="I22" s="74" t="n">
        <v>0.01</v>
      </c>
      <c r="J22" s="74" t="n">
        <v>0.123389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IFERROR(INDEX($A$4:$A$253,MATCH(19,$X$4:$X$253,0)),"")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10225</v>
      </c>
      <c r="E23" s="94" t="n">
        <v>177915000000</v>
      </c>
      <c r="F23" s="94" t="n">
        <v>2237966667</v>
      </c>
      <c r="G23" s="74" t="n">
        <v>0.0039</v>
      </c>
      <c r="H23" s="74" t="n">
        <v>0.157</v>
      </c>
      <c r="I23" s="74" t="n">
        <v>0.0098</v>
      </c>
      <c r="J23" s="74" t="n">
        <v>0.121858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0.8539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IFERROR(INDEX($A$4:$A$253,MATCH(20,$X$4:$X$253,0)),"")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9760</v>
      </c>
      <c r="E24" s="94" t="n">
        <v>314272000000</v>
      </c>
      <c r="F24" s="94" t="n">
        <v>3336873791</v>
      </c>
      <c r="G24" s="74" t="n">
        <v>0.0025</v>
      </c>
      <c r="H24" s="74" t="n">
        <v>0.1435</v>
      </c>
      <c r="I24" s="74" t="n">
        <v>0.01</v>
      </c>
      <c r="J24" s="74" t="n">
        <v>0.120594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 s="74" t="n">
        <v>0.8505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IFERROR(INDEX($A$4:$A$253,MATCH(21,$X$4:$X$253,0)),"")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15105</v>
      </c>
      <c r="E25" s="94" t="n">
        <v>425961000000</v>
      </c>
      <c r="F25" s="94" t="n">
        <v>1641309224</v>
      </c>
      <c r="G25" s="74" t="n">
        <v>0.005</v>
      </c>
      <c r="H25" s="74" t="n">
        <v>0.1951</v>
      </c>
      <c r="I25" s="74" t="n">
        <v>0.0083</v>
      </c>
      <c r="J25" s="74" t="n">
        <v>0.103807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IFERROR(INDEX($A$4:$A$253,MATCH(22,$X$4:$X$253,0)),"")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10895</v>
      </c>
      <c r="E26" s="94" t="n">
        <v>696190500000</v>
      </c>
      <c r="F26" s="94" t="n">
        <v>3284170817</v>
      </c>
      <c r="G26" s="74" t="n">
        <v>0.0039</v>
      </c>
      <c r="H26" s="74" t="n">
        <v>0.1502</v>
      </c>
      <c r="I26" s="74" t="n">
        <v>0.008</v>
      </c>
      <c r="J26" s="74" t="n">
        <v>0.09986200000000001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 s="74" t="n">
        <v>0.9384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IFERROR(INDEX($A$4:$A$253,MATCH(23,$X$4:$X$253,0)),"")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4062</v>
      </c>
      <c r="E27" s="94" t="n">
        <v>1558589400000</v>
      </c>
      <c r="F27" s="94" t="n">
        <v>11986649832</v>
      </c>
      <c r="G27" s="74" t="n">
        <v>0.0008</v>
      </c>
      <c r="H27" s="74" t="n">
        <v>0.177</v>
      </c>
      <c r="I27" s="74" t="n">
        <v>0.008100000000000001</v>
      </c>
      <c r="J27" s="74" t="n">
        <v>0.09748900000000001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IFERROR(INDEX($A$4:$A$253,MATCH(24,$X$4:$X$253,0)),"")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12445</v>
      </c>
      <c r="E28" s="94" t="n">
        <v>1720521250000</v>
      </c>
      <c r="F28" s="94" t="n">
        <v>12059383369</v>
      </c>
      <c r="G28" s="74" t="n">
        <v>0.0019</v>
      </c>
      <c r="H28" s="74" t="n">
        <v>0.1237</v>
      </c>
      <c r="I28" s="74" t="n">
        <v>0.007800000000000001</v>
      </c>
      <c r="J28" s="74" t="n">
        <v>0.095139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IFERROR(INDEX($A$4:$A$253,MATCH(25,$X$4:$X$253,0)),"")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4195</v>
      </c>
      <c r="E29" s="94" t="n">
        <v>485151750000</v>
      </c>
      <c r="F29" s="94" t="n">
        <v>2308757646</v>
      </c>
      <c r="G29" s="74" t="n">
        <v>0.0009</v>
      </c>
      <c r="H29" s="74" t="n">
        <v>0.1487</v>
      </c>
      <c r="I29" s="74" t="n">
        <v>0.0141</v>
      </c>
      <c r="J29" s="74" t="n">
        <v>0.092253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 s="74" t="n">
        <v>0.9121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IFERROR(INDEX($A$4:$A$253,MATCH(26,$X$4:$X$253,0)),"")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10950</v>
      </c>
      <c r="E30" s="94" t="n">
        <v>85410000000</v>
      </c>
      <c r="F30" s="94" t="n">
        <v>851596256</v>
      </c>
      <c r="G30" s="74" t="n">
        <v>0.0024</v>
      </c>
      <c r="H30" s="74" t="n">
        <v>0.1115</v>
      </c>
      <c r="I30" s="74" t="n">
        <v>0.006</v>
      </c>
      <c r="J30" s="74" t="n">
        <v>0.0779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IFERROR(INDEX($A$4:$A$253,MATCH(27,$X$4:$X$253,0)),"")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10875</v>
      </c>
      <c r="E31" s="94" t="n">
        <v>90153750000</v>
      </c>
      <c r="F31" s="94" t="n">
        <v>761405906</v>
      </c>
      <c r="G31" s="74" t="n">
        <v>0.0015</v>
      </c>
      <c r="H31" s="74" t="n">
        <v>0.1017</v>
      </c>
      <c r="I31" s="74" t="n">
        <v>0.005699999999999999</v>
      </c>
      <c r="J31" s="74" t="n">
        <v>0.071356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1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IFERROR(INDEX($A$4:$A$253,MATCH(28,$X$4:$X$253,0)),"")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8195</v>
      </c>
      <c r="E32" s="94" t="n">
        <v>590941450000</v>
      </c>
      <c r="F32" s="94" t="n">
        <v>4451600432</v>
      </c>
      <c r="G32" s="74" t="n">
        <v>0.00015</v>
      </c>
      <c r="H32" s="74" t="n">
        <v>0.091</v>
      </c>
      <c r="I32" s="74" t="n">
        <v>0.0042</v>
      </c>
      <c r="J32" s="74" t="n">
        <v>0.052349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IFERROR(INDEX($A$4:$A$253,MATCH(29,$X$4:$X$253,0)),"")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12960</v>
      </c>
      <c r="E33" s="94" t="n">
        <v>78408000000</v>
      </c>
      <c r="F33" s="94" t="n">
        <v>815669680</v>
      </c>
      <c r="G33" s="74" t="n">
        <v>0.003</v>
      </c>
      <c r="H33" s="74" t="n">
        <v>0.2814</v>
      </c>
      <c r="I33" s="74" t="n">
        <v>0.0053</v>
      </c>
      <c r="J33" s="74" t="n">
        <v>0.04976899999999999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 s="74" t="n">
        <v>0.6636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IFERROR(INDEX($A$4:$A$253,MATCH(30,$X$4:$X$253,0)),"")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50790</v>
      </c>
      <c r="E34" s="94" t="n">
        <v>454011810000</v>
      </c>
      <c r="F34" s="94" t="n">
        <v>1870758387</v>
      </c>
      <c r="G34" s="74" t="n">
        <v>0.0005</v>
      </c>
      <c r="H34" s="74" t="n">
        <v>0.1783</v>
      </c>
      <c r="I34" s="74" t="n">
        <v>0.0224</v>
      </c>
      <c r="J34" s="74" t="n">
        <v>0.047824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 s="74" t="n">
        <v>0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IFERROR(INDEX($A$4:$A$253,MATCH(31,$X$4:$X$253,0)),"")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96190</v>
      </c>
      <c r="E35" s="94" t="n">
        <v>222679850000</v>
      </c>
      <c r="F35" s="94" t="n">
        <v>583423355</v>
      </c>
      <c r="G35" s="74" t="n">
        <v>0.0018</v>
      </c>
      <c r="H35" s="74" t="n">
        <v>0.0393</v>
      </c>
      <c r="I35" s="74" t="n">
        <v>0.004</v>
      </c>
      <c r="J35" s="74" t="n">
        <v>0.046044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0.5956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IFERROR(INDEX($A$4:$A$253,MATCH(32,$X$4:$X$253,0)),"")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874863500000</v>
      </c>
      <c r="F36" s="94" t="n">
        <v>8187605014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0.9038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IFERROR(INDEX($A$4:$A$253,MATCH(33,$X$4:$X$253,0)),"")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8920</v>
      </c>
      <c r="E37" s="94" t="n">
        <v>386236000000</v>
      </c>
      <c r="F37" s="94" t="n">
        <v>4923710227</v>
      </c>
      <c r="G37" s="74" t="n">
        <v>0.0005</v>
      </c>
      <c r="H37" s="74" t="n">
        <v>0.133</v>
      </c>
      <c r="I37" s="74" t="n">
        <v>0.0036</v>
      </c>
      <c r="J37" s="74" t="n">
        <v>0.044507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0.7531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IFERROR(INDEX($A$4:$A$253,MATCH(34,$X$4:$X$253,0)),"")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13040</v>
      </c>
      <c r="E38" s="94" t="n">
        <v>74328000000</v>
      </c>
      <c r="F38" s="94" t="n">
        <v>979321717</v>
      </c>
      <c r="G38" s="74" t="n">
        <v>0.004500000000000001</v>
      </c>
      <c r="H38" s="74" t="n">
        <v>0.2879</v>
      </c>
      <c r="I38" s="74" t="n">
        <v>0.0033</v>
      </c>
      <c r="J38" s="74" t="n">
        <v>0.044248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 s="74" t="n">
        <v>1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IFERROR(INDEX($A$4:$A$253,MATCH(35,$X$4:$X$253,0)),"")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15405</v>
      </c>
      <c r="E39" s="94" t="n">
        <v>335829000000</v>
      </c>
      <c r="F39" s="94" t="n">
        <v>2461411066</v>
      </c>
      <c r="G39" s="74" t="n">
        <v>0.0025</v>
      </c>
      <c r="H39" s="74" t="n">
        <v>0.3042</v>
      </c>
      <c r="I39" s="74" t="n">
        <v>0.0042</v>
      </c>
      <c r="J39" s="74" t="n">
        <v>0.043427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 s="74" t="n">
        <v>0.7758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IFERROR(INDEX($A$4:$A$253,MATCH(36,$X$4:$X$253,0)),"")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9410</v>
      </c>
      <c r="E40" s="94" t="n">
        <v>187353100000</v>
      </c>
      <c r="F40" s="94" t="n">
        <v>868256534</v>
      </c>
      <c r="G40" s="74" t="n">
        <v>0.0015</v>
      </c>
      <c r="H40" s="74" t="n">
        <v>0.0449</v>
      </c>
      <c r="I40" s="74" t="n">
        <v>0.0036</v>
      </c>
      <c r="J40" s="74" t="n">
        <v>0.042508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 s="74" t="n">
        <v>0.495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IFERROR(INDEX($A$4:$A$253,MATCH(37,$X$4:$X$253,0)),"")</f>
        <v/>
      </c>
    </row>
    <row r="41">
      <c r="A41" s="93" t="inlineStr">
        <is>
          <t>KODEX 고배당주</t>
        </is>
      </c>
      <c r="B41" s="93" t="inlineStr">
        <is>
          <t>279530</t>
        </is>
      </c>
      <c r="C41" s="93" t="inlineStr">
        <is>
          <t>삼성자산운용(ETF)</t>
        </is>
      </c>
      <c r="D41" s="94" t="n">
        <v>17490</v>
      </c>
      <c r="E41" s="94" t="n">
        <v>346302000000</v>
      </c>
      <c r="F41" s="94" t="n">
        <v>5013283238</v>
      </c>
      <c r="G41" s="74" t="n">
        <v>0.003</v>
      </c>
      <c r="H41" s="74" t="n">
        <v>0.297</v>
      </c>
      <c r="I41" s="74" t="n">
        <v>0.0043</v>
      </c>
      <c r="J41" s="74" t="n">
        <v>0.041795</v>
      </c>
      <c r="K41" s="94" t="n">
        <v>36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고배당 Plus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IFERROR(INDEX($A$4:$A$253,MATCH(38,$X$4:$X$253,0)),"")</f>
        <v/>
      </c>
    </row>
    <row r="42">
      <c r="A42" s="93" t="inlineStr">
        <is>
          <t>ACE 미국30년국채액티브(H)</t>
        </is>
      </c>
      <c r="B42" s="93" t="inlineStr">
        <is>
          <t>453850</t>
        </is>
      </c>
      <c r="C42" s="93" t="inlineStr">
        <is>
          <t>한국투자신탁운용</t>
        </is>
      </c>
      <c r="D42" s="94" t="n">
        <v>7145</v>
      </c>
      <c r="E42" s="94" t="n">
        <v>1482587500000</v>
      </c>
      <c r="F42" s="94" t="n">
        <v>6811506010</v>
      </c>
      <c r="G42" s="74" t="n">
        <v>0.0005</v>
      </c>
      <c r="H42" s="74" t="n">
        <v>0.0885</v>
      </c>
      <c r="I42" s="74" t="n">
        <v>0.0036</v>
      </c>
      <c r="J42" s="74" t="n">
        <v>0.04156799999999999</v>
      </c>
      <c r="K42" s="94" t="n">
        <v>41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Bloomberg US Treasury 20+ Year Total Return Index</t>
        </is>
      </c>
      <c r="P42" s="93" t="inlineStr">
        <is>
          <t>일반</t>
        </is>
      </c>
      <c r="Q42" s="93" t="inlineStr">
        <is>
          <t>채권</t>
        </is>
      </c>
      <c r="R42" s="93" t="inlineStr">
        <is>
          <t>월배당</t>
        </is>
      </c>
      <c r="S42" s="94" t="n">
        <v>11</v>
      </c>
      <c r="T42" s="74" t="n">
        <v>0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IFERROR(INDEX($A$4:$A$253,MATCH(39,$X$4:$X$253,0)),"")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11890</v>
      </c>
      <c r="E43" s="94" t="n">
        <v>539806000000</v>
      </c>
      <c r="F43" s="94" t="n">
        <v>1631366094</v>
      </c>
      <c r="G43" s="74" t="n">
        <v>0.0015</v>
      </c>
      <c r="H43" s="74" t="n">
        <v>0.1066</v>
      </c>
      <c r="I43" s="74" t="n">
        <v>0.0036</v>
      </c>
      <c r="J43" s="74" t="n">
        <v>0.041548</v>
      </c>
      <c r="K43" s="94" t="n">
        <v>14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 s="74" t="n">
        <v>1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IFERROR(INDEX($A$4:$A$253,MATCH(40,$X$4:$X$253,0)),"")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25020</v>
      </c>
      <c r="E44" s="94" t="n">
        <v>2388409200000</v>
      </c>
      <c r="F44" s="94" t="n">
        <v>21611395095</v>
      </c>
      <c r="G44" s="74" t="n">
        <v>0.0023</v>
      </c>
      <c r="H44" s="74" t="n">
        <v>0.3049</v>
      </c>
      <c r="I44" s="74" t="n">
        <v>0.004099999999999999</v>
      </c>
      <c r="J44" s="74" t="n">
        <v>0.041327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 s="74" t="n">
        <v>0.9594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IFERROR(INDEX($A$4:$A$253,MATCH(41,$X$4:$X$253,0)),"")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13510</v>
      </c>
      <c r="E45" s="94" t="n">
        <v>225617000000</v>
      </c>
      <c r="F45" s="94" t="n">
        <v>3320244863</v>
      </c>
      <c r="G45" s="74" t="n">
        <v>0.003</v>
      </c>
      <c r="H45" s="74" t="n">
        <v>0.3462</v>
      </c>
      <c r="I45" s="74" t="n">
        <v>0.0044</v>
      </c>
      <c r="J45" s="74" t="n">
        <v>0.04122899999999999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 s="74" t="n">
        <v>0.7038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IFERROR(INDEX($A$4:$A$253,MATCH(42,$X$4:$X$253,0)),"")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9720</v>
      </c>
      <c r="E46" s="94" t="n">
        <v>112752000000</v>
      </c>
      <c r="F46" s="94" t="n">
        <v>1762040462</v>
      </c>
      <c r="G46" s="74" t="n">
        <v>0.0015</v>
      </c>
      <c r="H46" s="74" t="n">
        <v>0.108</v>
      </c>
      <c r="I46" s="74" t="n">
        <v>0.0031</v>
      </c>
      <c r="J46" s="74" t="n">
        <v>0.038683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0.9176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IFERROR(INDEX($A$4:$A$253,MATCH(43,$X$4:$X$253,0)),"")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15360</v>
      </c>
      <c r="E47" s="94" t="n">
        <v>595968000000</v>
      </c>
      <c r="F47" s="94" t="n">
        <v>3617896131</v>
      </c>
      <c r="G47" s="74" t="n">
        <v>0.002</v>
      </c>
      <c r="H47" s="74" t="n">
        <v>0.1536</v>
      </c>
      <c r="I47" s="74" t="n">
        <v>0.0032</v>
      </c>
      <c r="J47" s="74" t="n">
        <v>0.036979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IFERROR(INDEX($A$4:$A$253,MATCH(44,$X$4:$X$253,0)),"")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27145</v>
      </c>
      <c r="E48" s="94" t="n">
        <v>848281250000</v>
      </c>
      <c r="F48" s="94" t="n">
        <v>21534517422</v>
      </c>
      <c r="G48" s="74" t="n">
        <v>0.003</v>
      </c>
      <c r="H48" s="74" t="n">
        <v>0.3336</v>
      </c>
      <c r="I48" s="74" t="n">
        <v>0.0038</v>
      </c>
      <c r="J48" s="74" t="n">
        <v>0.036692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 s="74" t="n">
        <v>0.9739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IFERROR(INDEX($A$4:$A$253,MATCH(45,$X$4:$X$253,0)),"")</f>
        <v/>
      </c>
    </row>
    <row r="49">
      <c r="A49" s="93" t="inlineStr">
        <is>
          <t>KODEX 은행</t>
        </is>
      </c>
      <c r="B49" s="93" t="inlineStr">
        <is>
          <t>091170</t>
        </is>
      </c>
      <c r="C49" s="93" t="inlineStr">
        <is>
          <t>삼성자산운용(ETF)</t>
        </is>
      </c>
      <c r="D49" s="94" t="n">
        <v>16685</v>
      </c>
      <c r="E49" s="94" t="n">
        <v>294490250000</v>
      </c>
      <c r="F49" s="94" t="n">
        <v>25313698311</v>
      </c>
      <c r="G49" s="74" t="n">
        <v>0.003</v>
      </c>
      <c r="H49" s="74" t="n">
        <v>0.3419</v>
      </c>
      <c r="I49" s="74" t="n">
        <v>0.0037</v>
      </c>
      <c r="J49" s="74" t="n">
        <v>0.0365</v>
      </c>
      <c r="K49" s="94" t="n">
        <v>29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KRX 은행</t>
        </is>
      </c>
      <c r="P49" s="93" t="inlineStr">
        <is>
          <t>일반</t>
        </is>
      </c>
      <c r="Q49" s="93" t="inlineStr">
        <is>
          <t>주식</t>
        </is>
      </c>
      <c r="R49" s="93" t="inlineStr">
        <is>
          <t>월배당</t>
        </is>
      </c>
      <c r="S49" s="94" t="n">
        <v>11</v>
      </c>
      <c r="T49" s="74" t="n">
        <v>0.8998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IFERROR(INDEX($A$4:$A$253,MATCH(46,$X$4:$X$253,0)),"")</f>
        <v/>
      </c>
    </row>
    <row r="50">
      <c r="A50" s="93" t="inlineStr">
        <is>
          <t>TIGER 미국초단기(3개월이하)국채</t>
        </is>
      </c>
      <c r="B50" s="93" t="inlineStr">
        <is>
          <t>0046A0</t>
        </is>
      </c>
      <c r="C50" s="93" t="inlineStr">
        <is>
          <t>미래에셋자산운용</t>
        </is>
      </c>
      <c r="D50" s="94" t="n">
        <v>9575</v>
      </c>
      <c r="E50" s="94" t="n">
        <v>374957000000</v>
      </c>
      <c r="F50" s="94" t="n">
        <v>8148146675</v>
      </c>
      <c r="G50" s="74" t="n">
        <v>0.0009</v>
      </c>
      <c r="H50" s="74" t="n">
        <v>0.1053</v>
      </c>
      <c r="I50" s="74" t="n">
        <v>0.0027</v>
      </c>
      <c r="J50" s="74" t="n">
        <v>0.035927</v>
      </c>
      <c r="K50" s="94" t="n">
        <v>16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ICE 0-3 Month US Treasury Securities Index</t>
        </is>
      </c>
      <c r="P50" s="93" t="inlineStr">
        <is>
          <t>일반</t>
        </is>
      </c>
      <c r="Q50" s="93" t="inlineStr">
        <is>
          <t>단기자금(파킹형)</t>
        </is>
      </c>
      <c r="R50" s="93" t="inlineStr">
        <is>
          <t>월배당</t>
        </is>
      </c>
      <c r="S50" s="94" t="n">
        <v>11</v>
      </c>
      <c r="T50" s="74" t="n">
        <v>0.8314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IFERROR(INDEX($A$4:$A$253,MATCH(47,$X$4:$X$253,0)),"")</f>
        <v/>
      </c>
    </row>
    <row r="51">
      <c r="A51" s="93" t="inlineStr">
        <is>
          <t>RISE 미국30년국채엔화노출(합성 H)</t>
        </is>
      </c>
      <c r="B51" s="93" t="inlineStr">
        <is>
          <t>472870</t>
        </is>
      </c>
      <c r="C51" s="93" t="inlineStr">
        <is>
          <t>KB자산운용</t>
        </is>
      </c>
      <c r="D51" s="94" t="n">
        <v>6975</v>
      </c>
      <c r="E51" s="94" t="n">
        <v>169143750000</v>
      </c>
      <c r="F51" s="94" t="n">
        <v>1601972165</v>
      </c>
      <c r="G51" s="74" t="n">
        <v>0.0015</v>
      </c>
      <c r="H51" s="74" t="n">
        <v>0.1368</v>
      </c>
      <c r="I51" s="74" t="n">
        <v>0.0024</v>
      </c>
      <c r="J51" s="74" t="n">
        <v>0.034122</v>
      </c>
      <c r="K51" s="94" t="n">
        <v>29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KIS 미국채 30년 엔화노출 지수(USD/JPY 헤지)</t>
        </is>
      </c>
      <c r="P51" s="93" t="inlineStr">
        <is>
          <t>일반</t>
        </is>
      </c>
      <c r="Q51" s="93" t="inlineStr">
        <is>
          <t>채권</t>
        </is>
      </c>
      <c r="R51" s="93" t="inlineStr">
        <is>
          <t>월배당</t>
        </is>
      </c>
      <c r="S51" s="94" t="n">
        <v>11</v>
      </c>
      <c r="T51" s="74" t="n">
        <v>0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IFERROR(INDEX($A$4:$A$253,MATCH(48,$X$4:$X$253,0)),"")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7550</v>
      </c>
      <c r="E52" s="94" t="n">
        <v>61155000000</v>
      </c>
      <c r="F52" s="94" t="n">
        <v>631877768</v>
      </c>
      <c r="G52" s="74" t="n">
        <v>0.0015</v>
      </c>
      <c r="H52" s="74" t="n">
        <v>0.1291</v>
      </c>
      <c r="I52" s="74" t="n">
        <v>0.0029</v>
      </c>
      <c r="J52" s="74" t="n">
        <v>0.03404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IFERROR(INDEX($A$4:$A$253,MATCH(49,$X$4:$X$253,0)),"")</f>
        <v/>
      </c>
    </row>
    <row r="53">
      <c r="A53" s="93" t="inlineStr">
        <is>
          <t>ACE 국고채10년</t>
        </is>
      </c>
      <c r="B53" s="93" t="inlineStr">
        <is>
          <t>365780</t>
        </is>
      </c>
      <c r="C53" s="93" t="inlineStr">
        <is>
          <t>한국투신운용(ETF)</t>
        </is>
      </c>
      <c r="D53" s="94" t="n">
        <v>82010</v>
      </c>
      <c r="E53" s="94" t="n">
        <v>516334960000</v>
      </c>
      <c r="F53" s="94" t="n">
        <v>1026561421</v>
      </c>
      <c r="G53" s="74" t="n">
        <v>0.0002</v>
      </c>
      <c r="H53" s="74" t="n">
        <v>0.0704</v>
      </c>
      <c r="I53" s="74" t="n">
        <v>0.0301</v>
      </c>
      <c r="J53" s="74" t="n">
        <v>0.032557</v>
      </c>
      <c r="K53" s="94" t="n">
        <v>5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KIS 10Y KTB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>
        <v>0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IFERROR(INDEX($A$4:$A$253,MATCH(50,$X$4:$X$253,0)),"")</f>
        <v/>
      </c>
    </row>
    <row r="54">
      <c r="A54" s="93" t="inlineStr">
        <is>
          <t>SOL CD금리&amp;머니마켓액티브</t>
        </is>
      </c>
      <c r="B54" s="93" t="inlineStr">
        <is>
          <t>497880</t>
        </is>
      </c>
      <c r="C54" s="93" t="inlineStr">
        <is>
          <t>신한자산운용</t>
        </is>
      </c>
      <c r="D54" s="94" t="n">
        <v>50112</v>
      </c>
      <c r="E54" s="94" t="n">
        <v>290148480000</v>
      </c>
      <c r="F54" s="94" t="n">
        <v>5731947169</v>
      </c>
      <c r="G54" s="74" t="n">
        <v>0.0005</v>
      </c>
      <c r="H54" s="74" t="n">
        <v>0.009000000000000001</v>
      </c>
      <c r="I54" s="74" t="n">
        <v>0.0032</v>
      </c>
      <c r="J54" s="74" t="n">
        <v>0.03113</v>
      </c>
      <c r="K54" s="94" t="n">
        <v>21</v>
      </c>
      <c r="L54" s="95" t="inlineStr">
        <is>
          <t>20260828</t>
        </is>
      </c>
      <c r="M54" s="93" t="inlineStr">
        <is>
          <t>채택</t>
        </is>
      </c>
      <c r="N54" s="93" t="inlineStr"/>
      <c r="O54" s="93" t="inlineStr">
        <is>
          <t>KAP CD &amp; 단기자금시장 지수</t>
        </is>
      </c>
      <c r="P54" s="93" t="inlineStr">
        <is>
          <t>일반</t>
        </is>
      </c>
      <c r="Q54" s="93" t="inlineStr">
        <is>
          <t>단기자금(파킹형)</t>
        </is>
      </c>
      <c r="R54" s="93" t="inlineStr">
        <is>
          <t>월배당</t>
        </is>
      </c>
      <c r="S54" s="94" t="n">
        <v>11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IFERROR(INDEX($A$4:$A$253,MATCH(51,$X$4:$X$253,0)),"")</f>
        <v/>
      </c>
    </row>
    <row r="55">
      <c r="A55" s="93" t="inlineStr">
        <is>
          <t>SOL 미국배당다우존스</t>
        </is>
      </c>
      <c r="B55" s="93" t="inlineStr">
        <is>
          <t>446720</t>
        </is>
      </c>
      <c r="C55" s="93" t="inlineStr">
        <is>
          <t>신한자산운용</t>
        </is>
      </c>
      <c r="D55" s="94" t="n">
        <v>13570</v>
      </c>
      <c r="E55" s="94" t="n">
        <v>1034034000000</v>
      </c>
      <c r="F55" s="94" t="n">
        <v>4502782635</v>
      </c>
      <c r="G55" s="74" t="n">
        <v>0.0001</v>
      </c>
      <c r="H55" s="74" t="n">
        <v>0.1414</v>
      </c>
      <c r="I55" s="74" t="n">
        <v>0.0019</v>
      </c>
      <c r="J55" s="74" t="n">
        <v>0.029919</v>
      </c>
      <c r="K55" s="94" t="n">
        <v>45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IFERROR(INDEX($A$4:$A$253,MATCH(52,$X$4:$X$253,0)),"")</f>
        <v/>
      </c>
    </row>
    <row r="56">
      <c r="A56" s="93" t="inlineStr">
        <is>
          <t>KODEX 코리아배당성장채권혼합</t>
        </is>
      </c>
      <c r="B56" s="93" t="inlineStr">
        <is>
          <t>237370</t>
        </is>
      </c>
      <c r="C56" s="93" t="inlineStr">
        <is>
          <t>삼성자산운용(ETF)</t>
        </is>
      </c>
      <c r="D56" s="94" t="n">
        <v>15615</v>
      </c>
      <c r="E56" s="94" t="n">
        <v>162396000000</v>
      </c>
      <c r="F56" s="94" t="n">
        <v>1150412157</v>
      </c>
      <c r="G56" s="74" t="n">
        <v>0.0019</v>
      </c>
      <c r="H56" s="74" t="n">
        <v>0.1083</v>
      </c>
      <c r="I56" s="74" t="n">
        <v>0.003</v>
      </c>
      <c r="J56" s="74" t="n">
        <v>0.029715</v>
      </c>
      <c r="K56" s="94" t="n">
        <v>24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배당성장채권혼합지수</t>
        </is>
      </c>
      <c r="P56" s="93" t="inlineStr">
        <is>
          <t>일반</t>
        </is>
      </c>
      <c r="Q56" s="93" t="inlineStr">
        <is>
          <t>멀티에셋</t>
        </is>
      </c>
      <c r="R56" s="93" t="inlineStr">
        <is>
          <t>월배당</t>
        </is>
      </c>
      <c r="S56" s="94" t="n">
        <v>12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IFERROR(INDEX($A$4:$A$253,MATCH(53,$X$4:$X$253,0)),"")</f>
        <v/>
      </c>
    </row>
    <row r="57">
      <c r="A57" s="93" t="inlineStr">
        <is>
          <t>SOL 미국배당미국채혼합50</t>
        </is>
      </c>
      <c r="B57" s="93" t="inlineStr">
        <is>
          <t>490490</t>
        </is>
      </c>
      <c r="C57" s="93" t="inlineStr">
        <is>
          <t>신한자산운용</t>
        </is>
      </c>
      <c r="D57" s="94" t="n">
        <v>10910</v>
      </c>
      <c r="E57" s="94" t="n">
        <v>471312000000</v>
      </c>
      <c r="F57" s="94" t="n">
        <v>2646256797</v>
      </c>
      <c r="G57" s="74" t="n">
        <v>0.0015</v>
      </c>
      <c r="H57" s="74" t="n">
        <v>0.1068</v>
      </c>
      <c r="I57" s="74" t="n">
        <v>0.0026</v>
      </c>
      <c r="J57" s="74" t="n">
        <v>0.029514</v>
      </c>
      <c r="K57" s="94" t="n">
        <v>23</v>
      </c>
      <c r="L57" s="95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KRX 다우존스 미국배당국채 혼합지수</t>
        </is>
      </c>
      <c r="P57" s="93" t="inlineStr">
        <is>
          <t>일반</t>
        </is>
      </c>
      <c r="Q57" s="93" t="inlineStr">
        <is>
          <t>멀티에셋</t>
        </is>
      </c>
      <c r="R57" s="93" t="inlineStr">
        <is>
          <t>월배당</t>
        </is>
      </c>
      <c r="S57" s="94" t="n">
        <v>12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IFERROR(INDEX($A$4:$A$253,MATCH(54,$X$4:$X$253,0)),"")</f>
        <v/>
      </c>
    </row>
    <row r="58">
      <c r="A58" s="93" t="inlineStr">
        <is>
          <t>ACE 미국배당다우존스</t>
        </is>
      </c>
      <c r="B58" s="93" t="inlineStr">
        <is>
          <t>402970</t>
        </is>
      </c>
      <c r="C58" s="93" t="inlineStr">
        <is>
          <t>한국투신운용(ETF)</t>
        </is>
      </c>
      <c r="D58" s="94" t="n">
        <v>15040</v>
      </c>
      <c r="E58" s="94" t="n">
        <v>967072000000</v>
      </c>
      <c r="F58" s="94" t="n">
        <v>4728488371</v>
      </c>
      <c r="G58" s="74" t="n">
        <v>0.0001</v>
      </c>
      <c r="H58" s="74" t="n">
        <v>0.1406</v>
      </c>
      <c r="I58" s="74" t="n">
        <v>0.0024</v>
      </c>
      <c r="J58" s="74" t="n">
        <v>0.029322</v>
      </c>
      <c r="K58" s="94" t="n">
        <v>44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Dow Jones U.S. Dividend 100 Price Return Index</t>
        </is>
      </c>
      <c r="P58" s="93" t="inlineStr">
        <is>
          <t>일반</t>
        </is>
      </c>
      <c r="Q58" s="93" t="inlineStr">
        <is>
          <t>주식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IFERROR(INDEX($A$4:$A$253,MATCH(55,$X$4:$X$253,0)),"")</f>
        <v/>
      </c>
    </row>
    <row r="59">
      <c r="A59" s="93" t="inlineStr">
        <is>
          <t>TIGER 미국배당다우존스</t>
        </is>
      </c>
      <c r="B59" s="93" t="inlineStr">
        <is>
          <t>458730</t>
        </is>
      </c>
      <c r="C59" s="93" t="inlineStr">
        <is>
          <t>미래에셋자산운용</t>
        </is>
      </c>
      <c r="D59" s="94" t="n">
        <v>14810</v>
      </c>
      <c r="E59" s="94" t="n">
        <v>4335627500000</v>
      </c>
      <c r="F59" s="94" t="n">
        <v>32431323964</v>
      </c>
      <c r="G59" s="74" t="n">
        <v>0.0001</v>
      </c>
      <c r="H59" s="74" t="n">
        <v>0.1415</v>
      </c>
      <c r="I59" s="74" t="n">
        <v>0.002</v>
      </c>
      <c r="J59" s="74" t="n">
        <v>0.029237</v>
      </c>
      <c r="K59" s="94" t="n">
        <v>38</v>
      </c>
      <c r="L59" s="95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Dow Jones U.S. Dividend 100 Price Return Index</t>
        </is>
      </c>
      <c r="P59" s="93" t="inlineStr">
        <is>
          <t>일반</t>
        </is>
      </c>
      <c r="Q59" s="93" t="inlineStr">
        <is>
          <t>주식</t>
        </is>
      </c>
      <c r="R59" s="93" t="inlineStr">
        <is>
          <t>월배당</t>
        </is>
      </c>
      <c r="S59" s="94" t="n">
        <v>11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IFERROR(INDEX($A$4:$A$253,MATCH(56,$X$4:$X$253,0)),"")</f>
        <v/>
      </c>
    </row>
    <row r="60">
      <c r="A60" s="93" t="inlineStr">
        <is>
          <t>KODEX 미국배당다우존스</t>
        </is>
      </c>
      <c r="B60" s="93" t="inlineStr">
        <is>
          <t>489250</t>
        </is>
      </c>
      <c r="C60" s="93" t="inlineStr">
        <is>
          <t>삼성자산운용(ETF)</t>
        </is>
      </c>
      <c r="D60" s="94" t="n">
        <v>12735</v>
      </c>
      <c r="E60" s="94" t="n">
        <v>604912500000</v>
      </c>
      <c r="F60" s="94" t="n">
        <v>5515443611</v>
      </c>
      <c r="G60" s="74" t="n">
        <v>9.900000000000001e-05</v>
      </c>
      <c r="H60" s="74" t="n">
        <v>0.1415</v>
      </c>
      <c r="I60" s="74" t="n">
        <v>0.0019</v>
      </c>
      <c r="J60" s="74" t="n">
        <v>0.028897</v>
      </c>
      <c r="K60" s="94" t="n">
        <v>25</v>
      </c>
      <c r="L60" s="95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IFERROR(INDEX($A$4:$A$253,MATCH(57,$X$4:$X$253,0)),"")</f>
        <v/>
      </c>
    </row>
    <row r="61">
      <c r="A61" s="93" t="inlineStr">
        <is>
          <t>KODEX CD1년금리플러스액티브(합성)</t>
        </is>
      </c>
      <c r="B61" s="93" t="inlineStr">
        <is>
          <t>481050</t>
        </is>
      </c>
      <c r="C61" s="93" t="inlineStr">
        <is>
          <t>삼성자산운용(ETF)</t>
        </is>
      </c>
      <c r="D61" s="94" t="n">
        <v>1023390</v>
      </c>
      <c r="E61" s="94" t="n">
        <v>2535653403000</v>
      </c>
      <c r="F61" s="94" t="n">
        <v>24063154060</v>
      </c>
      <c r="G61" s="74" t="n">
        <v>0.0005</v>
      </c>
      <c r="H61" s="74" t="n">
        <v>0.0083</v>
      </c>
      <c r="I61" s="74" t="n">
        <v>0.0027</v>
      </c>
      <c r="J61" s="74" t="n">
        <v>0.028795</v>
      </c>
      <c r="K61" s="94" t="n">
        <v>21</v>
      </c>
      <c r="L61" s="95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KAP 1년은행CD+추가금리 지수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IFERROR(INDEX($A$4:$A$253,MATCH(58,$X$4:$X$253,0)),"")</f>
        <v/>
      </c>
    </row>
    <row r="62">
      <c r="A62" s="93" t="inlineStr">
        <is>
          <t>SOL 미국배당다우존스(H)</t>
        </is>
      </c>
      <c r="B62" s="93" t="inlineStr">
        <is>
          <t>452360</t>
        </is>
      </c>
      <c r="C62" s="93" t="inlineStr">
        <is>
          <t>신한자산운용</t>
        </is>
      </c>
      <c r="D62" s="94" t="n">
        <v>13225</v>
      </c>
      <c r="E62" s="94" t="n">
        <v>226147500000</v>
      </c>
      <c r="F62" s="94" t="n">
        <v>1898613332</v>
      </c>
      <c r="G62" s="74" t="n">
        <v>0.0005</v>
      </c>
      <c r="H62" s="74" t="n">
        <v>0.1107</v>
      </c>
      <c r="I62" s="74" t="n">
        <v>0.0019</v>
      </c>
      <c r="J62" s="74" t="n">
        <v>0.028204</v>
      </c>
      <c r="K62" s="94" t="n">
        <v>41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IFERROR(INDEX($A$4:$A$253,MATCH(59,$X$4:$X$253,0)),"")</f>
        <v/>
      </c>
    </row>
    <row r="63">
      <c r="A63" s="93" t="inlineStr">
        <is>
          <t>TIGER CD금리플러스액티브(합성)</t>
        </is>
      </c>
      <c r="B63" s="93" t="inlineStr">
        <is>
          <t>499660</t>
        </is>
      </c>
      <c r="C63" s="93" t="inlineStr">
        <is>
          <t>미래에셋자산운용</t>
        </is>
      </c>
      <c r="D63" s="94" t="n">
        <v>1002127</v>
      </c>
      <c r="E63" s="94" t="n">
        <v>450456086500</v>
      </c>
      <c r="F63" s="94" t="n">
        <v>13002083791</v>
      </c>
      <c r="G63" s="74" t="n">
        <v>9.8e-05</v>
      </c>
      <c r="H63" s="74" t="n">
        <v>0.008100000000000001</v>
      </c>
      <c r="I63" s="74" t="n">
        <v>0.0024</v>
      </c>
      <c r="J63" s="74" t="n">
        <v>0.02815</v>
      </c>
      <c r="K63" s="94" t="n">
        <v>21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KIS CD+CPI연동금리 월분배 지수(PR지수)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 s="74" t="n">
        <v>0.9948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IFERROR(INDEX($A$4:$A$253,MATCH(60,$X$4:$X$253,0)),"")</f>
        <v/>
      </c>
    </row>
    <row r="64">
      <c r="A64" s="93" t="inlineStr">
        <is>
          <t>KODEX CD금리액티브(합성)</t>
        </is>
      </c>
      <c r="B64" s="93" t="inlineStr">
        <is>
          <t>459580</t>
        </is>
      </c>
      <c r="C64" s="93" t="inlineStr">
        <is>
          <t>삼성자산운용(ETF)</t>
        </is>
      </c>
      <c r="D64" s="94" t="n">
        <v>1075235</v>
      </c>
      <c r="E64" s="94" t="n">
        <v>6848709332500</v>
      </c>
      <c r="F64" s="94" t="n">
        <v>518403878379</v>
      </c>
      <c r="G64" s="74" t="n">
        <v>0.0002</v>
      </c>
      <c r="H64" s="74" t="n">
        <v>0.007900000000000001</v>
      </c>
      <c r="I64" s="74" t="n">
        <v>0.0026</v>
      </c>
      <c r="J64" s="74" t="n">
        <v>0.027513</v>
      </c>
      <c r="K64" s="94" t="n">
        <v>14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양도성예금증서(CD) 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IFERROR(INDEX($A$4:$A$253,MATCH(61,$X$4:$X$253,0)),"")</f>
        <v/>
      </c>
    </row>
    <row r="65">
      <c r="A65" s="93" t="inlineStr">
        <is>
          <t>RISE 중기우량회사채</t>
        </is>
      </c>
      <c r="B65" s="93" t="inlineStr">
        <is>
          <t>136340</t>
        </is>
      </c>
      <c r="C65" s="93" t="inlineStr">
        <is>
          <t>KB자산운용</t>
        </is>
      </c>
      <c r="D65" s="94" t="n">
        <v>103975</v>
      </c>
      <c r="E65" s="94" t="n">
        <v>298824150000</v>
      </c>
      <c r="F65" s="94" t="n">
        <v>586688179</v>
      </c>
      <c r="G65" s="74" t="n">
        <v>0.0007000000000000001</v>
      </c>
      <c r="H65" s="74" t="n">
        <v>0.0212</v>
      </c>
      <c r="I65" s="74" t="n">
        <v>0.0012</v>
      </c>
      <c r="J65" s="74" t="n">
        <v>0.027199</v>
      </c>
      <c r="K65" s="94" t="n">
        <v>45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KOBI Credit</t>
        </is>
      </c>
      <c r="P65" s="93" t="inlineStr">
        <is>
          <t>일반</t>
        </is>
      </c>
      <c r="Q65" s="93" t="inlineStr">
        <is>
          <t>채권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IFERROR(INDEX($A$4:$A$253,MATCH(62,$X$4:$X$253,0)),"")</f>
        <v/>
      </c>
    </row>
    <row r="66">
      <c r="A66" s="93" t="inlineStr">
        <is>
          <t>KODEX 단기채권PLUS</t>
        </is>
      </c>
      <c r="B66" s="93" t="inlineStr">
        <is>
          <t>214980</t>
        </is>
      </c>
      <c r="C66" s="93" t="inlineStr">
        <is>
          <t>삼성자산운용(ETF)</t>
        </is>
      </c>
      <c r="D66" s="94" t="n">
        <v>114425</v>
      </c>
      <c r="E66" s="94" t="n">
        <v>1827939375000</v>
      </c>
      <c r="F66" s="94" t="n">
        <v>3757333594</v>
      </c>
      <c r="G66" s="74" t="n">
        <v>0.0015</v>
      </c>
      <c r="H66" s="74" t="n">
        <v>0.0083</v>
      </c>
      <c r="I66" s="74" t="n">
        <v>0.0025</v>
      </c>
      <c r="J66" s="74" t="n">
        <v>0.026961</v>
      </c>
      <c r="K66" s="94" t="n">
        <v>14</v>
      </c>
      <c r="L66" s="95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KRW Cash+PLUS Index</t>
        </is>
      </c>
      <c r="P66" s="93" t="inlineStr">
        <is>
          <t>일반</t>
        </is>
      </c>
      <c r="Q66" s="93" t="inlineStr">
        <is>
          <t>채권</t>
        </is>
      </c>
      <c r="R66" s="93" t="inlineStr">
        <is>
          <t>월배당</t>
        </is>
      </c>
      <c r="S66" s="94" t="n">
        <v>12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IFERROR(INDEX($A$4:$A$253,MATCH(63,$X$4:$X$253,0)),"")</f>
        <v/>
      </c>
    </row>
    <row r="67">
      <c r="A67" s="93" t="inlineStr">
        <is>
          <t>KODEX 코리아배당성장</t>
        </is>
      </c>
      <c r="B67" s="93" t="inlineStr">
        <is>
          <t>211900</t>
        </is>
      </c>
      <c r="C67" s="93" t="inlineStr">
        <is>
          <t>삼성자산운용(ETF)</t>
        </is>
      </c>
      <c r="D67" s="94" t="n">
        <v>27970</v>
      </c>
      <c r="E67" s="94" t="n">
        <v>90902500000</v>
      </c>
      <c r="F67" s="94" t="n">
        <v>521162100</v>
      </c>
      <c r="G67" s="74" t="n">
        <v>0.0015</v>
      </c>
      <c r="H67" s="74" t="n">
        <v>0.3451</v>
      </c>
      <c r="I67" s="74" t="n">
        <v>0.0009</v>
      </c>
      <c r="J67" s="74" t="n">
        <v>0.026564</v>
      </c>
      <c r="K67" s="94" t="n">
        <v>16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코스피 배당성장 50</t>
        </is>
      </c>
      <c r="P67" s="93" t="inlineStr">
        <is>
          <t>일반</t>
        </is>
      </c>
      <c r="Q67" s="93" t="inlineStr">
        <is>
          <t>주식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IFERROR(INDEX($A$4:$A$253,MATCH(64,$X$4:$X$253,0)),"")</f>
        <v/>
      </c>
    </row>
    <row r="68">
      <c r="A68" s="93" t="inlineStr">
        <is>
          <t>KODEX KOFR금리액티브(합성)</t>
        </is>
      </c>
      <c r="B68" s="93" t="inlineStr">
        <is>
          <t>423160</t>
        </is>
      </c>
      <c r="C68" s="93" t="inlineStr">
        <is>
          <t>삼성자산운용(ETF)</t>
        </is>
      </c>
      <c r="D68" s="94" t="n">
        <v>110842</v>
      </c>
      <c r="E68" s="94" t="n">
        <v>3634287496000</v>
      </c>
      <c r="F68" s="94" t="n">
        <v>10776839569</v>
      </c>
      <c r="G68" s="74" t="n">
        <v>0.0005</v>
      </c>
      <c r="H68" s="74" t="n">
        <v>0.0075</v>
      </c>
      <c r="I68" s="74" t="n">
        <v>0.0024</v>
      </c>
      <c r="J68" s="74" t="n">
        <v>0.026073</v>
      </c>
      <c r="K68" s="94" t="n">
        <v>14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KOFR 인덱스</t>
        </is>
      </c>
      <c r="P68" s="93" t="inlineStr">
        <is>
          <t>일반</t>
        </is>
      </c>
      <c r="Q68" s="93" t="inlineStr">
        <is>
          <t>단기자금(파킹형)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IFERROR(INDEX($A$4:$A$253,MATCH(65,$X$4:$X$253,0)),"")</f>
        <v/>
      </c>
    </row>
    <row r="69">
      <c r="A69" s="93" t="inlineStr">
        <is>
          <t>KODEX TRF3070</t>
        </is>
      </c>
      <c r="B69" s="93" t="inlineStr">
        <is>
          <t>329650</t>
        </is>
      </c>
      <c r="C69" s="93" t="inlineStr">
        <is>
          <t>삼성자산운용(ETF)</t>
        </is>
      </c>
      <c r="D69" s="94" t="n">
        <v>14030</v>
      </c>
      <c r="E69" s="94" t="n">
        <v>231495000000</v>
      </c>
      <c r="F69" s="94" t="n">
        <v>662574179</v>
      </c>
      <c r="G69" s="74" t="n">
        <v>0.0024</v>
      </c>
      <c r="H69" s="74" t="n">
        <v>0.0486</v>
      </c>
      <c r="I69" s="74" t="n">
        <v>0.0022</v>
      </c>
      <c r="J69" s="74" t="n">
        <v>0.025873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FnGuide TRF 3070 지수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월배당</t>
        </is>
      </c>
      <c r="S69" s="94" t="n">
        <v>12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IFERROR(INDEX($A$4:$A$253,MATCH(66,$X$4:$X$253,0)),"")</f>
        <v/>
      </c>
    </row>
    <row r="70">
      <c r="A70" s="93" t="inlineStr">
        <is>
          <t>KODEX 단기변동금리부채권액티브</t>
        </is>
      </c>
      <c r="B70" s="93" t="inlineStr">
        <is>
          <t>273140</t>
        </is>
      </c>
      <c r="C70" s="93" t="inlineStr">
        <is>
          <t>삼성자산운용(ETF)</t>
        </is>
      </c>
      <c r="D70" s="94" t="n">
        <v>114610</v>
      </c>
      <c r="E70" s="94" t="n">
        <v>279763010000</v>
      </c>
      <c r="F70" s="94" t="n">
        <v>507303058</v>
      </c>
      <c r="G70" s="74" t="n">
        <v>0.0015</v>
      </c>
      <c r="H70" s="74" t="n">
        <v>0.0077</v>
      </c>
      <c r="I70" s="74" t="n">
        <v>0.0023</v>
      </c>
      <c r="J70" s="74" t="n">
        <v>0.02553</v>
      </c>
      <c r="K70" s="94" t="n">
        <v>14</v>
      </c>
      <c r="L70" s="95" t="inlineStr">
        <is>
          <t>20260914</t>
        </is>
      </c>
      <c r="M70" s="93" t="inlineStr">
        <is>
          <t>채택</t>
        </is>
      </c>
      <c r="N70" s="93" t="inlineStr"/>
      <c r="O70" s="93" t="inlineStr">
        <is>
          <t>KAP 단기변동금리부 은행채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월배당</t>
        </is>
      </c>
      <c r="S70" s="94" t="n">
        <v>12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IFERROR(INDEX($A$4:$A$253,MATCH(67,$X$4:$X$253,0)),"")</f>
        <v/>
      </c>
    </row>
    <row r="71">
      <c r="A71" s="93" t="inlineStr">
        <is>
          <t>KODEX 단기채권</t>
        </is>
      </c>
      <c r="B71" s="93" t="inlineStr">
        <is>
          <t>153130</t>
        </is>
      </c>
      <c r="C71" s="93" t="inlineStr">
        <is>
          <t>삼성자산운용(ETF)</t>
        </is>
      </c>
      <c r="D71" s="94" t="n">
        <v>113145</v>
      </c>
      <c r="E71" s="94" t="n">
        <v>806950140000</v>
      </c>
      <c r="F71" s="94" t="n">
        <v>3818509782</v>
      </c>
      <c r="G71" s="74" t="n">
        <v>0.0015</v>
      </c>
      <c r="H71" s="74" t="n">
        <v>0.007800000000000001</v>
      </c>
      <c r="I71" s="74" t="n">
        <v>0.0022</v>
      </c>
      <c r="J71" s="74" t="n">
        <v>0.025171</v>
      </c>
      <c r="K71" s="94" t="n">
        <v>14</v>
      </c>
      <c r="L71" s="95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KRW Cash Index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월배당</t>
        </is>
      </c>
      <c r="S71" s="94" t="n">
        <v>12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IFERROR(INDEX($A$4:$A$253,MATCH(68,$X$4:$X$253,0)),"")</f>
        <v/>
      </c>
    </row>
    <row r="72">
      <c r="A72" s="93" t="inlineStr">
        <is>
          <t>ACE 미국S&amp;P500미국채혼합50액티브</t>
        </is>
      </c>
      <c r="B72" s="93" t="inlineStr">
        <is>
          <t>438080</t>
        </is>
      </c>
      <c r="C72" s="93" t="inlineStr">
        <is>
          <t>한국투자신탁운용</t>
        </is>
      </c>
      <c r="D72" s="94" t="n">
        <v>14025</v>
      </c>
      <c r="E72" s="94" t="n">
        <v>1246822500000</v>
      </c>
      <c r="F72" s="94" t="n">
        <v>6949958570</v>
      </c>
      <c r="G72" s="74" t="n">
        <v>0.0015</v>
      </c>
      <c r="H72" s="74" t="n">
        <v>0.09910000000000001</v>
      </c>
      <c r="I72" s="74" t="n">
        <v>0.0236</v>
      </c>
      <c r="J72" s="74" t="n">
        <v>0.023815</v>
      </c>
      <c r="K72" s="94" t="n">
        <v>1</v>
      </c>
      <c r="L72" s="95" t="inlineStr">
        <is>
          <t>20251229</t>
        </is>
      </c>
      <c r="M72" s="93" t="inlineStr">
        <is>
          <t>채택</t>
        </is>
      </c>
      <c r="N72" s="93" t="inlineStr"/>
      <c r="O72" s="93" t="inlineStr">
        <is>
          <t>S&amp;P 500 and Short-Term Treasury 50/50 Blend Index (USD)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연배당</t>
        </is>
      </c>
      <c r="S72" s="94" t="n">
        <v>1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IFERROR(INDEX($A$4:$A$253,MATCH(69,$X$4:$X$253,0)),"")</f>
        <v/>
      </c>
    </row>
    <row r="73">
      <c r="A73" s="93" t="inlineStr">
        <is>
          <t>SOL 종합채권(AA-이상)액티브</t>
        </is>
      </c>
      <c r="B73" s="93" t="inlineStr">
        <is>
          <t>436140</t>
        </is>
      </c>
      <c r="C73" s="93" t="inlineStr">
        <is>
          <t>신한자산운용</t>
        </is>
      </c>
      <c r="D73" s="94" t="n">
        <v>105760</v>
      </c>
      <c r="E73" s="94" t="n">
        <v>1245006720000</v>
      </c>
      <c r="F73" s="94" t="n">
        <v>1186379997</v>
      </c>
      <c r="G73" s="74" t="n">
        <v>0.0004</v>
      </c>
      <c r="H73" s="74" t="n">
        <v>0.04559999999999999</v>
      </c>
      <c r="I73" s="74" t="n">
        <v>0.0212</v>
      </c>
      <c r="J73" s="74" t="n">
        <v>0.022504</v>
      </c>
      <c r="K73" s="94" t="n">
        <v>1</v>
      </c>
      <c r="L73" s="95" t="inlineStr">
        <is>
          <t>20251212</t>
        </is>
      </c>
      <c r="M73" s="93" t="inlineStr">
        <is>
          <t>채택</t>
        </is>
      </c>
      <c r="N73" s="93" t="inlineStr"/>
      <c r="O73" s="93" t="inlineStr">
        <is>
          <t>KAP K-종합채권지수(AA-이상, 총수익)</t>
        </is>
      </c>
      <c r="P73" s="93" t="inlineStr">
        <is>
          <t>일반</t>
        </is>
      </c>
      <c r="Q73" s="93" t="inlineStr">
        <is>
          <t>채권</t>
        </is>
      </c>
      <c r="R73" s="93" t="inlineStr">
        <is>
          <t>연배당</t>
        </is>
      </c>
      <c r="S73" s="94" t="n">
        <v>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IFERROR(INDEX($A$4:$A$253,MATCH(70,$X$4:$X$253,0)),"")</f>
        <v/>
      </c>
    </row>
    <row r="74">
      <c r="A74" s="93" t="inlineStr">
        <is>
          <t>KODEX 삼성전자채권혼합</t>
        </is>
      </c>
      <c r="B74" s="93" t="inlineStr">
        <is>
          <t>448330</t>
        </is>
      </c>
      <c r="C74" s="93" t="inlineStr">
        <is>
          <t>삼성자산운용(ETF)</t>
        </is>
      </c>
      <c r="D74" s="94" t="n">
        <v>17260</v>
      </c>
      <c r="E74" s="94" t="n">
        <v>1275514000000</v>
      </c>
      <c r="F74" s="94" t="n">
        <v>13345361115</v>
      </c>
      <c r="G74" s="74" t="n">
        <v>0.0007000000000000001</v>
      </c>
      <c r="H74" s="74" t="n">
        <v>0.2307</v>
      </c>
      <c r="I74" s="74" t="n">
        <v>0.0021</v>
      </c>
      <c r="J74" s="74" t="n">
        <v>0.020973</v>
      </c>
      <c r="K74" s="94" t="n">
        <v>24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Wise 삼성전자 채권혼합 지수</t>
        </is>
      </c>
      <c r="P74" s="93" t="inlineStr">
        <is>
          <t>일반</t>
        </is>
      </c>
      <c r="Q74" s="93" t="inlineStr">
        <is>
          <t>멀티에셋</t>
        </is>
      </c>
      <c r="R74" s="93" t="inlineStr">
        <is>
          <t>월배당</t>
        </is>
      </c>
      <c r="S74" s="94" t="n">
        <v>12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IFERROR(INDEX($A$4:$A$253,MATCH(71,$X$4:$X$253,0)),"")</f>
        <v/>
      </c>
    </row>
    <row r="75">
      <c r="A75" s="93" t="inlineStr">
        <is>
          <t>TIGER 미국S&amp;P500배당귀족</t>
        </is>
      </c>
      <c r="B75" s="93" t="inlineStr">
        <is>
          <t>429000</t>
        </is>
      </c>
      <c r="C75" s="93" t="inlineStr">
        <is>
          <t>미래에셋자산운용</t>
        </is>
      </c>
      <c r="D75" s="94" t="n">
        <v>13092</v>
      </c>
      <c r="E75" s="94" t="n">
        <v>187215600000</v>
      </c>
      <c r="F75" s="94" t="n">
        <v>1337214504</v>
      </c>
      <c r="G75" s="74" t="n">
        <v>0.0025</v>
      </c>
      <c r="H75" s="74" t="n">
        <v>0.1466</v>
      </c>
      <c r="I75" s="74" t="n">
        <v>0.0015</v>
      </c>
      <c r="J75" s="74" t="n">
        <v>0.020929</v>
      </c>
      <c r="K75" s="94" t="n">
        <v>48</v>
      </c>
      <c r="L75" s="95" t="inlineStr">
        <is>
          <t>20260828</t>
        </is>
      </c>
      <c r="M75" s="93" t="inlineStr">
        <is>
          <t>채택</t>
        </is>
      </c>
      <c r="N75" s="93" t="inlineStr"/>
      <c r="O75" s="93" t="inlineStr">
        <is>
          <t>S&amp;P 500 Dividend Aristocrats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월배당</t>
        </is>
      </c>
      <c r="S75" s="94" t="n">
        <v>11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IFERROR(INDEX($A$4:$A$253,MATCH(72,$X$4:$X$253,0)),"")</f>
        <v/>
      </c>
    </row>
    <row r="76">
      <c r="A76" s="93" t="inlineStr">
        <is>
          <t>KODEX 미국S&amp;P500</t>
        </is>
      </c>
      <c r="B76" s="93" t="inlineStr">
        <is>
          <t>379800</t>
        </is>
      </c>
      <c r="C76" s="93" t="inlineStr">
        <is>
          <t>삼성자산운용(ETF)</t>
        </is>
      </c>
      <c r="D76" s="94" t="n">
        <v>23800</v>
      </c>
      <c r="E76" s="94" t="n">
        <v>10343480000000</v>
      </c>
      <c r="F76" s="94" t="n">
        <v>658769887676</v>
      </c>
      <c r="G76" s="74" t="n">
        <v>6.2e-05</v>
      </c>
      <c r="H76" s="74" t="n">
        <v>0.1472</v>
      </c>
      <c r="I76" s="74" t="n">
        <v>0.0054</v>
      </c>
      <c r="J76" s="74" t="n">
        <v>0.020126</v>
      </c>
      <c r="K76" s="94" t="n">
        <v>6</v>
      </c>
      <c r="L76" s="95" t="inlineStr">
        <is>
          <t>20260730</t>
        </is>
      </c>
      <c r="M76" s="93" t="inlineStr">
        <is>
          <t>채택</t>
        </is>
      </c>
      <c r="N76" s="93" t="inlineStr"/>
      <c r="O76" s="93" t="inlineStr">
        <is>
          <t>S&amp;P 500</t>
        </is>
      </c>
      <c r="P76" s="93" t="inlineStr">
        <is>
          <t>일반</t>
        </is>
      </c>
      <c r="Q76" s="93" t="inlineStr">
        <is>
          <t>주식</t>
        </is>
      </c>
      <c r="R76" s="93" t="inlineStr">
        <is>
          <t>분기배당</t>
        </is>
      </c>
      <c r="S76" s="94" t="n">
        <v>4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IFERROR(INDEX($A$4:$A$253,MATCH(73,$X$4:$X$253,0)),"")</f>
        <v/>
      </c>
    </row>
    <row r="77">
      <c r="A77" s="93" t="inlineStr">
        <is>
          <t>SOL 미국S&amp;P500미국채혼합50</t>
        </is>
      </c>
      <c r="B77" s="93" t="inlineStr">
        <is>
          <t>0080X0</t>
        </is>
      </c>
      <c r="C77" s="93" t="inlineStr">
        <is>
          <t>신한자산운용</t>
        </is>
      </c>
      <c r="D77" s="94" t="n">
        <v>10865</v>
      </c>
      <c r="E77" s="94" t="n">
        <v>76055000000</v>
      </c>
      <c r="F77" s="94" t="n">
        <v>692258140</v>
      </c>
      <c r="G77" s="74" t="n">
        <v>0.0015</v>
      </c>
      <c r="H77" s="74" t="n">
        <v>0.1092</v>
      </c>
      <c r="I77" s="74" t="n">
        <v>0.0019</v>
      </c>
      <c r="J77" s="74" t="n">
        <v>0.019788</v>
      </c>
      <c r="K77" s="94" t="n">
        <v>13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S&amp;P 500 and iBoxx $ Treasuries 7-10Y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월배당</t>
        </is>
      </c>
      <c r="S77" s="94" t="n">
        <v>12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IFERROR(INDEX($A$4:$A$253,MATCH(74,$X$4:$X$253,0)),"")</f>
        <v/>
      </c>
    </row>
    <row r="78">
      <c r="A78" s="93" t="inlineStr">
        <is>
          <t>ACE 미국나스닥100미국채혼합50액티브</t>
        </is>
      </c>
      <c r="B78" s="93" t="inlineStr">
        <is>
          <t>438100</t>
        </is>
      </c>
      <c r="C78" s="93" t="inlineStr">
        <is>
          <t>한국투자신탁운용</t>
        </is>
      </c>
      <c r="D78" s="94" t="n">
        <v>15182</v>
      </c>
      <c r="E78" s="94" t="n">
        <v>941284000000</v>
      </c>
      <c r="F78" s="94" t="n">
        <v>5146701000</v>
      </c>
      <c r="G78" s="74" t="n">
        <v>0.0015</v>
      </c>
      <c r="H78" s="74" t="n">
        <v>0.1142</v>
      </c>
      <c r="I78" s="74" t="n">
        <v>0.0193</v>
      </c>
      <c r="J78" s="74" t="n">
        <v>0.01897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Nasdaq-100 US T-Bills 30/70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IFERROR(INDEX($A$4:$A$253,MATCH(75,$X$4:$X$253,0)),"")</f>
        <v/>
      </c>
    </row>
    <row r="79">
      <c r="A79" s="93" t="inlineStr">
        <is>
          <t>KODEX 200미국채혼합50</t>
        </is>
      </c>
      <c r="B79" s="93" t="inlineStr">
        <is>
          <t>284430</t>
        </is>
      </c>
      <c r="C79" s="93" t="inlineStr">
        <is>
          <t>삼성자산운용(ETF)</t>
        </is>
      </c>
      <c r="D79" s="94" t="n">
        <v>20825</v>
      </c>
      <c r="E79" s="94" t="n">
        <v>2019192000000</v>
      </c>
      <c r="F79" s="94" t="n">
        <v>21211699143</v>
      </c>
      <c r="G79" s="74" t="n">
        <v>0.0035</v>
      </c>
      <c r="H79" s="74" t="n">
        <v>0.2503</v>
      </c>
      <c r="I79" s="74" t="n">
        <v>0.0013</v>
      </c>
      <c r="J79" s="74" t="n">
        <v>0.016807</v>
      </c>
      <c r="K79" s="94" t="n">
        <v>14</v>
      </c>
      <c r="L79" s="95" t="inlineStr">
        <is>
          <t>20260914</t>
        </is>
      </c>
      <c r="M79" s="93" t="inlineStr">
        <is>
          <t>채택</t>
        </is>
      </c>
      <c r="N79" s="93" t="inlineStr"/>
      <c r="O79" s="93" t="inlineStr">
        <is>
          <t>코스피 200 미국채 혼합지수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12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IFERROR(INDEX($A$4:$A$253,MATCH(76,$X$4:$X$253,0)),"")</f>
        <v/>
      </c>
    </row>
    <row r="80">
      <c r="A80" s="93" t="inlineStr">
        <is>
          <t>KODEX TDF2050액티브 적격</t>
        </is>
      </c>
      <c r="B80" s="93" t="inlineStr">
        <is>
          <t>434060</t>
        </is>
      </c>
      <c r="C80" s="93" t="inlineStr">
        <is>
          <t>삼성자산운용(ETF)</t>
        </is>
      </c>
      <c r="D80" s="94" t="n">
        <v>16790</v>
      </c>
      <c r="E80" s="94" t="n">
        <v>634662000000</v>
      </c>
      <c r="F80" s="94" t="n">
        <v>2305369030</v>
      </c>
      <c r="G80" s="74" t="n">
        <v>0.003</v>
      </c>
      <c r="H80" s="74" t="n">
        <v>0.1242</v>
      </c>
      <c r="I80" s="74" t="n">
        <v>0.006999999999999999</v>
      </c>
      <c r="J80" s="74" t="n">
        <v>0.01626</v>
      </c>
      <c r="K80" s="94" t="n">
        <v>11</v>
      </c>
      <c r="L80" s="95" t="inlineStr">
        <is>
          <t>20260730</t>
        </is>
      </c>
      <c r="M80" s="93" t="inlineStr">
        <is>
          <t>채택</t>
        </is>
      </c>
      <c r="N80" s="93" t="inlineStr"/>
      <c r="O80" s="93" t="inlineStr">
        <is>
          <t>Samsung Korea Target Date 2050 Index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분기배당</t>
        </is>
      </c>
      <c r="S80" s="94" t="n">
        <v>4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IFERROR(INDEX($A$4:$A$253,MATCH(77,$X$4:$X$253,0)),"")</f>
        <v/>
      </c>
    </row>
    <row r="81">
      <c r="A81" s="93" t="inlineStr">
        <is>
          <t>KODEX 종합채권(AA-이상)액티브</t>
        </is>
      </c>
      <c r="B81" s="93" t="inlineStr">
        <is>
          <t>273130</t>
        </is>
      </c>
      <c r="C81" s="93" t="inlineStr">
        <is>
          <t>삼성자산운용(ETF)</t>
        </is>
      </c>
      <c r="D81" s="94" t="n">
        <v>109855</v>
      </c>
      <c r="E81" s="94" t="n">
        <v>3517117680000</v>
      </c>
      <c r="F81" s="94" t="n">
        <v>3366129380</v>
      </c>
      <c r="G81" s="74" t="n">
        <v>0.00045</v>
      </c>
      <c r="H81" s="74" t="n">
        <v>0.04099999999999999</v>
      </c>
      <c r="I81" s="74" t="n">
        <v>0.0149</v>
      </c>
      <c r="J81" s="74" t="n">
        <v>0.015721</v>
      </c>
      <c r="K81" s="94" t="n">
        <v>1</v>
      </c>
      <c r="L81" s="95" t="inlineStr">
        <is>
          <t>20251212</t>
        </is>
      </c>
      <c r="M81" s="93" t="inlineStr">
        <is>
          <t>채택</t>
        </is>
      </c>
      <c r="N81" s="93" t="inlineStr"/>
      <c r="O81" s="93" t="inlineStr">
        <is>
          <t>KAP 한국종합채권</t>
        </is>
      </c>
      <c r="P81" s="93" t="inlineStr">
        <is>
          <t>일반</t>
        </is>
      </c>
      <c r="Q81" s="93" t="inlineStr">
        <is>
          <t>채권</t>
        </is>
      </c>
      <c r="R81" s="93" t="inlineStr">
        <is>
          <t>연배당</t>
        </is>
      </c>
      <c r="S81" s="94" t="n">
        <v>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IFERROR(INDEX($A$4:$A$253,MATCH(78,$X$4:$X$253,0)),"")</f>
        <v/>
      </c>
    </row>
    <row r="82">
      <c r="A82" s="93" t="inlineStr">
        <is>
          <t>SOL 초단기채권액티브</t>
        </is>
      </c>
      <c r="B82" s="93" t="inlineStr">
        <is>
          <t>469830</t>
        </is>
      </c>
      <c r="C82" s="93" t="inlineStr">
        <is>
          <t>신한자산운용</t>
        </is>
      </c>
      <c r="D82" s="94" t="n">
        <v>54470</v>
      </c>
      <c r="E82" s="94" t="n">
        <v>1042991560000</v>
      </c>
      <c r="F82" s="94" t="n">
        <v>11992893726</v>
      </c>
      <c r="G82" s="74" t="n">
        <v>0.0005</v>
      </c>
      <c r="H82" s="74" t="n">
        <v>0.0161</v>
      </c>
      <c r="I82" s="74" t="n">
        <v>0.0158</v>
      </c>
      <c r="J82" s="74" t="n">
        <v>0.015605</v>
      </c>
      <c r="K82" s="94" t="n">
        <v>1</v>
      </c>
      <c r="L82" s="95" t="inlineStr">
        <is>
          <t>20251212</t>
        </is>
      </c>
      <c r="M82" s="93" t="inlineStr">
        <is>
          <t>채택</t>
        </is>
      </c>
      <c r="N82" s="93" t="inlineStr"/>
      <c r="O82" s="93" t="inlineStr">
        <is>
          <t>KAP 단기자금시장 지수</t>
        </is>
      </c>
      <c r="P82" s="93" t="inlineStr">
        <is>
          <t>일반</t>
        </is>
      </c>
      <c r="Q82" s="93" t="inlineStr">
        <is>
          <t>단기자금(파킹형)</t>
        </is>
      </c>
      <c r="R82" s="93" t="inlineStr">
        <is>
          <t>연배당</t>
        </is>
      </c>
      <c r="S82" s="94" t="n">
        <v>1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IFERROR(INDEX($A$4:$A$253,MATCH(79,$X$4:$X$253,0)),"")</f>
        <v/>
      </c>
    </row>
    <row r="83">
      <c r="A83" s="93" t="inlineStr">
        <is>
          <t>PLUS 미국S&amp;P500미국채혼합50액티브</t>
        </is>
      </c>
      <c r="B83" s="93" t="inlineStr">
        <is>
          <t>0057H0</t>
        </is>
      </c>
      <c r="C83" s="93" t="inlineStr">
        <is>
          <t>한화자산운용</t>
        </is>
      </c>
      <c r="D83" s="94" t="n">
        <v>11655</v>
      </c>
      <c r="E83" s="94" t="n">
        <v>79254000000</v>
      </c>
      <c r="F83" s="94" t="n">
        <v>1021012991</v>
      </c>
      <c r="G83" s="74" t="n">
        <v>0.0015</v>
      </c>
      <c r="H83" s="74" t="n">
        <v>0.1018</v>
      </c>
      <c r="I83" s="74" t="n">
        <v>0.001</v>
      </c>
      <c r="J83" s="74" t="n">
        <v>0.015358</v>
      </c>
      <c r="K83" s="94" t="n">
        <v>10</v>
      </c>
      <c r="L83" s="95" t="inlineStr">
        <is>
          <t>20260828</t>
        </is>
      </c>
      <c r="M83" s="93" t="inlineStr">
        <is>
          <t>채택</t>
        </is>
      </c>
      <c r="N83" s="93" t="inlineStr"/>
      <c r="O83" s="93" t="inlineStr">
        <is>
          <t>S&amp;P500 and U.S. Treasury Bill 0-3 Month 50/50 Blend Index (U</t>
        </is>
      </c>
      <c r="P83" s="93" t="inlineStr">
        <is>
          <t>일반</t>
        </is>
      </c>
      <c r="Q83" s="93" t="inlineStr">
        <is>
          <t>멀티에셋</t>
        </is>
      </c>
      <c r="R83" s="93" t="inlineStr">
        <is>
          <t>월배당</t>
        </is>
      </c>
      <c r="S83" s="94" t="n">
        <v>10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IFERROR(INDEX($A$4:$A$253,MATCH(80,$X$4:$X$253,0)),"")</f>
        <v/>
      </c>
    </row>
    <row r="84">
      <c r="A84" s="93" t="inlineStr">
        <is>
          <t>TIGER 차이나전기차SOLACTIVE</t>
        </is>
      </c>
      <c r="B84" s="93" t="inlineStr">
        <is>
          <t>371460</t>
        </is>
      </c>
      <c r="C84" s="93" t="inlineStr">
        <is>
          <t>미래에셋자산운용</t>
        </is>
      </c>
      <c r="D84" s="94" t="n">
        <v>9400</v>
      </c>
      <c r="E84" s="94" t="n">
        <v>674920000000</v>
      </c>
      <c r="F84" s="94" t="n">
        <v>2460824800</v>
      </c>
      <c r="G84" s="74" t="n">
        <v>0.0049</v>
      </c>
      <c r="H84" s="74" t="n">
        <v>0.2927</v>
      </c>
      <c r="I84" s="74" t="n">
        <v>0.011</v>
      </c>
      <c r="J84" s="74" t="n">
        <v>0.014894</v>
      </c>
      <c r="K84" s="94" t="n">
        <v>1</v>
      </c>
      <c r="L84" s="95" t="inlineStr">
        <is>
          <t>20251229</t>
        </is>
      </c>
      <c r="M84" s="93" t="inlineStr">
        <is>
          <t>채택</t>
        </is>
      </c>
      <c r="N84" s="93" t="inlineStr"/>
      <c r="O84" s="93" t="inlineStr">
        <is>
          <t>Solactive China Electric Vehicle and Battery Index PR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IFERROR(INDEX($A$4:$A$253,MATCH(81,$X$4:$X$253,0)),"")</f>
        <v/>
      </c>
    </row>
    <row r="85">
      <c r="A85" s="93" t="inlineStr">
        <is>
          <t>KODEX 머니마켓액티브</t>
        </is>
      </c>
      <c r="B85" s="93" t="inlineStr">
        <is>
          <t>488770</t>
        </is>
      </c>
      <c r="C85" s="93" t="inlineStr">
        <is>
          <t>삼성자산운용(ETF)</t>
        </is>
      </c>
      <c r="D85" s="94" t="n">
        <v>105570</v>
      </c>
      <c r="E85" s="94" t="n">
        <v>9003326310000</v>
      </c>
      <c r="F85" s="94" t="n">
        <v>75383474839</v>
      </c>
      <c r="G85" s="74" t="n">
        <v>0.0005</v>
      </c>
      <c r="H85" s="74" t="n">
        <v>0.0146</v>
      </c>
      <c r="I85" s="74" t="n">
        <v>0.0143</v>
      </c>
      <c r="J85" s="74" t="n">
        <v>0.01419</v>
      </c>
      <c r="K85" s="94" t="n">
        <v>1</v>
      </c>
      <c r="L85" s="95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MMF 지수</t>
        </is>
      </c>
      <c r="P85" s="93" t="inlineStr">
        <is>
          <t>일반</t>
        </is>
      </c>
      <c r="Q85" s="93" t="inlineStr">
        <is>
          <t>단기자금(파킹형)</t>
        </is>
      </c>
      <c r="R85" s="93" t="inlineStr">
        <is>
          <t>연배당</t>
        </is>
      </c>
      <c r="S85" s="94" t="n">
        <v>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IFERROR(INDEX($A$4:$A$253,MATCH(82,$X$4:$X$253,0)),"")</f>
        <v/>
      </c>
    </row>
    <row r="86">
      <c r="A86" s="93" t="inlineStr">
        <is>
          <t>RISE 머니마켓액티브</t>
        </is>
      </c>
      <c r="B86" s="93" t="inlineStr">
        <is>
          <t>455890</t>
        </is>
      </c>
      <c r="C86" s="93" t="inlineStr">
        <is>
          <t>KB자산운용</t>
        </is>
      </c>
      <c r="D86" s="94" t="n">
        <v>55565</v>
      </c>
      <c r="E86" s="94" t="n">
        <v>3124419950000</v>
      </c>
      <c r="F86" s="94" t="n">
        <v>11977727650</v>
      </c>
      <c r="G86" s="74" t="n">
        <v>0.0005</v>
      </c>
      <c r="H86" s="74" t="n">
        <v>0.0142</v>
      </c>
      <c r="I86" s="74" t="n">
        <v>0.0139</v>
      </c>
      <c r="J86" s="74" t="n">
        <v>0.013768</v>
      </c>
      <c r="K86" s="94" t="n">
        <v>1</v>
      </c>
      <c r="L86" s="95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KIS 시가평가 MMF 지수</t>
        </is>
      </c>
      <c r="P86" s="93" t="inlineStr">
        <is>
          <t>일반</t>
        </is>
      </c>
      <c r="Q86" s="93" t="inlineStr">
        <is>
          <t>단기자금(파킹형)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IFERROR(INDEX($A$4:$A$253,MATCH(83,$X$4:$X$253,0)),"")</f>
        <v/>
      </c>
    </row>
    <row r="87">
      <c r="A87" s="93" t="inlineStr">
        <is>
          <t>TIGER 미국다우존스30</t>
        </is>
      </c>
      <c r="B87" s="93" t="inlineStr">
        <is>
          <t>245340</t>
        </is>
      </c>
      <c r="C87" s="93" t="inlineStr">
        <is>
          <t>미래에셋자산운용</t>
        </is>
      </c>
      <c r="D87" s="94" t="n">
        <v>34890</v>
      </c>
      <c r="E87" s="94" t="n">
        <v>141653400000</v>
      </c>
      <c r="F87" s="94" t="n">
        <v>838265610</v>
      </c>
      <c r="G87" s="74" t="n">
        <v>0.0035</v>
      </c>
      <c r="H87" s="74" t="n">
        <v>0.1454</v>
      </c>
      <c r="I87" s="74" t="n">
        <v>0.001</v>
      </c>
      <c r="J87" s="74" t="n">
        <v>0.013471</v>
      </c>
      <c r="K87" s="94" t="n">
        <v>52</v>
      </c>
      <c r="L87" s="95" t="inlineStr">
        <is>
          <t>20260828</t>
        </is>
      </c>
      <c r="M87" s="93" t="inlineStr">
        <is>
          <t>채택</t>
        </is>
      </c>
      <c r="N87" s="93" t="inlineStr"/>
      <c r="O87" s="93" t="inlineStr">
        <is>
          <t>DowJones Industrial Average Index</t>
        </is>
      </c>
      <c r="P87" s="93" t="inlineStr">
        <is>
          <t>일반</t>
        </is>
      </c>
      <c r="Q87" s="93" t="inlineStr">
        <is>
          <t>주식</t>
        </is>
      </c>
      <c r="R87" s="93" t="inlineStr">
        <is>
          <t>월배당</t>
        </is>
      </c>
      <c r="S87" s="94" t="n">
        <v>11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IFERROR(INDEX($A$4:$A$253,MATCH(84,$X$4:$X$253,0)),"")</f>
        <v/>
      </c>
    </row>
    <row r="88">
      <c r="A88" s="93" t="inlineStr">
        <is>
          <t>KODEX MSCI선진국</t>
        </is>
      </c>
      <c r="B88" s="93" t="inlineStr">
        <is>
          <t>251350</t>
        </is>
      </c>
      <c r="C88" s="93" t="inlineStr">
        <is>
          <t>삼성자산운용(ETF)</t>
        </is>
      </c>
      <c r="D88" s="94" t="n">
        <v>38840</v>
      </c>
      <c r="E88" s="94" t="n">
        <v>497152000000</v>
      </c>
      <c r="F88" s="94" t="n">
        <v>1269810994</v>
      </c>
      <c r="G88" s="74" t="n">
        <v>0.003</v>
      </c>
      <c r="H88" s="74" t="n">
        <v>0.1324</v>
      </c>
      <c r="I88" s="74" t="n">
        <v>0.004500000000000001</v>
      </c>
      <c r="J88" s="74" t="n">
        <v>0.01344</v>
      </c>
      <c r="K88" s="94" t="n">
        <v>14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MSCI World Markets Index</t>
        </is>
      </c>
      <c r="P88" s="93" t="inlineStr">
        <is>
          <t>일반</t>
        </is>
      </c>
      <c r="Q88" s="93" t="inlineStr">
        <is>
          <t>주식</t>
        </is>
      </c>
      <c r="R88" s="93" t="inlineStr">
        <is>
          <t>분기배당</t>
        </is>
      </c>
      <c r="S88" s="94" t="n">
        <v>4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IFERROR(INDEX($A$4:$A$253,MATCH(85,$X$4:$X$253,0)),"")</f>
        <v/>
      </c>
    </row>
    <row r="89">
      <c r="A89" s="93" t="inlineStr">
        <is>
          <t>TIGER 종합채권(AA-이상)액티브</t>
        </is>
      </c>
      <c r="B89" s="93" t="inlineStr">
        <is>
          <t>451540</t>
        </is>
      </c>
      <c r="C89" s="93" t="inlineStr">
        <is>
          <t>미래에셋자산운용</t>
        </is>
      </c>
      <c r="D89" s="94" t="n">
        <v>52840</v>
      </c>
      <c r="E89" s="94" t="n">
        <v>1032387920000</v>
      </c>
      <c r="F89" s="94" t="n">
        <v>861456159</v>
      </c>
      <c r="G89" s="74" t="n">
        <v>0.0003</v>
      </c>
      <c r="H89" s="74" t="n">
        <v>0.0431</v>
      </c>
      <c r="I89" s="74" t="n">
        <v>0.0125</v>
      </c>
      <c r="J89" s="74" t="n">
        <v>0.013248</v>
      </c>
      <c r="K89" s="94" t="n">
        <v>1</v>
      </c>
      <c r="L89" s="95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종합채권형 지수(AA-이상)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IFERROR(INDEX($A$4:$A$253,MATCH(86,$X$4:$X$253,0)),"")</f>
        <v/>
      </c>
    </row>
    <row r="90">
      <c r="A90" s="93" t="inlineStr">
        <is>
          <t>KODEX 국고채3년</t>
        </is>
      </c>
      <c r="B90" s="93" t="inlineStr">
        <is>
          <t>114260</t>
        </is>
      </c>
      <c r="C90" s="93" t="inlineStr">
        <is>
          <t>삼성자산운용(ETF)</t>
        </is>
      </c>
      <c r="D90" s="94" t="n">
        <v>61645</v>
      </c>
      <c r="E90" s="94" t="n">
        <v>495625800000</v>
      </c>
      <c r="F90" s="94" t="n">
        <v>1448534477</v>
      </c>
      <c r="G90" s="74" t="n">
        <v>0.0015</v>
      </c>
      <c r="H90" s="74" t="n">
        <v>0.0258</v>
      </c>
      <c r="I90" s="74" t="n">
        <v>0.013</v>
      </c>
      <c r="J90" s="74" t="n">
        <v>0.013091</v>
      </c>
      <c r="K90" s="94" t="n">
        <v>1</v>
      </c>
      <c r="L90" s="95" t="inlineStr">
        <is>
          <t>20251212</t>
        </is>
      </c>
      <c r="M90" s="93" t="inlineStr">
        <is>
          <t>채택</t>
        </is>
      </c>
      <c r="N90" s="93" t="inlineStr"/>
      <c r="O90" s="93" t="inlineStr">
        <is>
          <t>MKF TB Index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IFERROR(INDEX($A$4:$A$253,MATCH(87,$X$4:$X$253,0)),"")</f>
        <v/>
      </c>
    </row>
    <row r="91">
      <c r="A91" s="93" t="inlineStr">
        <is>
          <t>ACE 머니마켓액티브</t>
        </is>
      </c>
      <c r="B91" s="93" t="inlineStr">
        <is>
          <t>487340</t>
        </is>
      </c>
      <c r="C91" s="93" t="inlineStr">
        <is>
          <t>한국투신운용(ETF)</t>
        </is>
      </c>
      <c r="D91" s="94" t="n">
        <v>106035</v>
      </c>
      <c r="E91" s="94" t="n">
        <v>947104620000</v>
      </c>
      <c r="F91" s="94" t="n">
        <v>1978968671</v>
      </c>
      <c r="G91" s="74" t="n">
        <v>0.0005</v>
      </c>
      <c r="H91" s="74" t="n">
        <v>0.0135</v>
      </c>
      <c r="I91" s="74" t="n">
        <v>0.0132</v>
      </c>
      <c r="J91" s="74" t="n">
        <v>0.012986</v>
      </c>
      <c r="K91" s="94" t="n">
        <v>1</v>
      </c>
      <c r="L91" s="95" t="inlineStr">
        <is>
          <t>20251127</t>
        </is>
      </c>
      <c r="M91" s="93" t="inlineStr">
        <is>
          <t>채택</t>
        </is>
      </c>
      <c r="N91" s="93" t="inlineStr"/>
      <c r="O91" s="93" t="inlineStr">
        <is>
          <t>MK-KAP 머니마켓 총수익 지수</t>
        </is>
      </c>
      <c r="P91" s="93" t="inlineStr">
        <is>
          <t>일반</t>
        </is>
      </c>
      <c r="Q91" s="93" t="inlineStr">
        <is>
          <t>단기자금(파킹형)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IFERROR(INDEX($A$4:$A$253,MATCH(88,$X$4:$X$253,0)),"")</f>
        <v/>
      </c>
    </row>
    <row r="92">
      <c r="A92" s="93" t="inlineStr">
        <is>
          <t>ACE 종합채권(AA-이상)액티브</t>
        </is>
      </c>
      <c r="B92" s="93" t="inlineStr">
        <is>
          <t>356540</t>
        </is>
      </c>
      <c r="C92" s="93" t="inlineStr">
        <is>
          <t>한국투신운용(ETF)</t>
        </is>
      </c>
      <c r="D92" s="94" t="n">
        <v>101225</v>
      </c>
      <c r="E92" s="94" t="n">
        <v>1138376350000</v>
      </c>
      <c r="F92" s="94" t="n">
        <v>757990029</v>
      </c>
      <c r="G92" s="74" t="n">
        <v>0.0002</v>
      </c>
      <c r="H92" s="74" t="n">
        <v>0.04190000000000001</v>
      </c>
      <c r="I92" s="74" t="n">
        <v>0.0122</v>
      </c>
      <c r="J92" s="74" t="n">
        <v>0.012862</v>
      </c>
      <c r="K92" s="94" t="n">
        <v>1</v>
      </c>
      <c r="L92" s="95" t="inlineStr">
        <is>
          <t>20251127</t>
        </is>
      </c>
      <c r="M92" s="93" t="inlineStr">
        <is>
          <t>채택</t>
        </is>
      </c>
      <c r="N92" s="93" t="inlineStr"/>
      <c r="O92" s="93" t="inlineStr">
        <is>
          <t>KIS 종합채권AA-이상</t>
        </is>
      </c>
      <c r="P92" s="93" t="inlineStr">
        <is>
          <t>일반</t>
        </is>
      </c>
      <c r="Q92" s="93" t="inlineStr">
        <is>
          <t>채권</t>
        </is>
      </c>
      <c r="R92" s="93" t="inlineStr">
        <is>
          <t>연배당</t>
        </is>
      </c>
      <c r="S92" s="94" t="n">
        <v>1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IFERROR(INDEX($A$4:$A$253,MATCH(89,$X$4:$X$253,0)),"")</f>
        <v/>
      </c>
    </row>
    <row r="93">
      <c r="A93" s="93" t="inlineStr">
        <is>
          <t>PLUS 머니마켓액티브</t>
        </is>
      </c>
      <c r="B93" s="93" t="inlineStr">
        <is>
          <t>477050</t>
        </is>
      </c>
      <c r="C93" s="93" t="inlineStr">
        <is>
          <t>한화자산운용</t>
        </is>
      </c>
      <c r="D93" s="94" t="n">
        <v>53590</v>
      </c>
      <c r="E93" s="94" t="n">
        <v>551548280000</v>
      </c>
      <c r="F93" s="94" t="n">
        <v>1185944556</v>
      </c>
      <c r="G93" s="74" t="n">
        <v>0.0005</v>
      </c>
      <c r="H93" s="74" t="n">
        <v>0.0133</v>
      </c>
      <c r="I93" s="74" t="n">
        <v>0.013</v>
      </c>
      <c r="J93" s="74" t="n">
        <v>0.012857</v>
      </c>
      <c r="K93" s="94" t="n">
        <v>1</v>
      </c>
      <c r="L93" s="95" t="inlineStr">
        <is>
          <t>20251212</t>
        </is>
      </c>
      <c r="M93" s="93" t="inlineStr">
        <is>
          <t>채택</t>
        </is>
      </c>
      <c r="N93" s="93" t="inlineStr"/>
      <c r="O93" s="93" t="inlineStr">
        <is>
          <t>KAP 시가평가 MMF 지수(총수익)</t>
        </is>
      </c>
      <c r="P93" s="93" t="inlineStr">
        <is>
          <t>일반</t>
        </is>
      </c>
      <c r="Q93" s="93" t="inlineStr">
        <is>
          <t>단기자금(파킹형)</t>
        </is>
      </c>
      <c r="R93" s="93" t="inlineStr">
        <is>
          <t>연배당</t>
        </is>
      </c>
      <c r="S93" s="94" t="n">
        <v>1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IFERROR(INDEX($A$4:$A$253,MATCH(90,$X$4:$X$253,0)),"")</f>
        <v/>
      </c>
    </row>
    <row r="94">
      <c r="A94" s="93" t="inlineStr">
        <is>
          <t>TIGER TDF2045 적격</t>
        </is>
      </c>
      <c r="B94" s="93" t="inlineStr">
        <is>
          <t>0025N0</t>
        </is>
      </c>
      <c r="C94" s="93" t="inlineStr">
        <is>
          <t>미래에셋자산운용</t>
        </is>
      </c>
      <c r="D94" s="94" t="n">
        <v>11950</v>
      </c>
      <c r="E94" s="94" t="n">
        <v>783322500000</v>
      </c>
      <c r="F94" s="94" t="n">
        <v>3786200703</v>
      </c>
      <c r="G94" s="74" t="n">
        <v>0.0019</v>
      </c>
      <c r="H94" s="74" t="n">
        <v>0.1187</v>
      </c>
      <c r="I94" s="74" t="n">
        <v>0.012</v>
      </c>
      <c r="J94" s="74" t="n">
        <v>0.011715</v>
      </c>
      <c r="K94" s="94" t="n">
        <v>1</v>
      </c>
      <c r="L94" s="95" t="inlineStr">
        <is>
          <t>20251229</t>
        </is>
      </c>
      <c r="M94" s="93" t="inlineStr">
        <is>
          <t>채택</t>
        </is>
      </c>
      <c r="N94" s="93" t="inlineStr"/>
      <c r="O94" s="93" t="inlineStr">
        <is>
          <t>S&amp;P Korea Target Date 2045 Global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연배당</t>
        </is>
      </c>
      <c r="S94" s="94" t="n">
        <v>1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IFERROR(INDEX($A$4:$A$253,MATCH(91,$X$4:$X$253,0)),"")</f>
        <v/>
      </c>
    </row>
    <row r="95">
      <c r="A95" s="93" t="inlineStr">
        <is>
          <t>TIGER 미국나스닥100채권혼합50</t>
        </is>
      </c>
      <c r="B95" s="93" t="inlineStr">
        <is>
          <t>435420</t>
        </is>
      </c>
      <c r="C95" s="93" t="inlineStr">
        <is>
          <t>미래에셋자산운용</t>
        </is>
      </c>
      <c r="D95" s="94" t="n">
        <v>14010</v>
      </c>
      <c r="E95" s="94" t="n">
        <v>505761000000</v>
      </c>
      <c r="F95" s="94" t="n">
        <v>3765770025</v>
      </c>
      <c r="G95" s="74" t="n">
        <v>0.0025</v>
      </c>
      <c r="H95" s="74" t="n">
        <v>0.0959</v>
      </c>
      <c r="I95" s="74" t="n">
        <v>0.003</v>
      </c>
      <c r="J95" s="74" t="n">
        <v>0.01142</v>
      </c>
      <c r="K95" s="94" t="n">
        <v>11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FnGuide 나스닥100채권혼합50 지수</t>
        </is>
      </c>
      <c r="P95" s="93" t="inlineStr">
        <is>
          <t>일반</t>
        </is>
      </c>
      <c r="Q95" s="93" t="inlineStr">
        <is>
          <t>멀티에셋</t>
        </is>
      </c>
      <c r="R95" s="93" t="inlineStr">
        <is>
          <t>분기배당</t>
        </is>
      </c>
      <c r="S95" s="94" t="n">
        <v>4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IFERROR(INDEX($A$4:$A$253,MATCH(92,$X$4:$X$253,0)),"")</f>
        <v/>
      </c>
    </row>
    <row r="96">
      <c r="A96" s="93" t="inlineStr">
        <is>
          <t>RISE 미국S&amp;P500</t>
        </is>
      </c>
      <c r="B96" s="93" t="inlineStr">
        <is>
          <t>379780</t>
        </is>
      </c>
      <c r="C96" s="93" t="inlineStr">
        <is>
          <t>KB자산운용</t>
        </is>
      </c>
      <c r="D96" s="94" t="n">
        <v>22890</v>
      </c>
      <c r="E96" s="94" t="n">
        <v>1497006000000</v>
      </c>
      <c r="F96" s="94" t="n">
        <v>5663902329</v>
      </c>
      <c r="G96" s="74" t="n">
        <v>4.7e-05</v>
      </c>
      <c r="H96" s="74" t="n">
        <v>0.146</v>
      </c>
      <c r="I96" s="74" t="n">
        <v>0.0027</v>
      </c>
      <c r="J96" s="74" t="n">
        <v>0.011271</v>
      </c>
      <c r="K96" s="94" t="n">
        <v>18</v>
      </c>
      <c r="L96" s="95" t="inlineStr">
        <is>
          <t>20260629</t>
        </is>
      </c>
      <c r="M96" s="93" t="inlineStr">
        <is>
          <t>채택</t>
        </is>
      </c>
      <c r="N96" s="93" t="inlineStr"/>
      <c r="O96" s="93" t="inlineStr">
        <is>
          <t>S&amp;P 500</t>
        </is>
      </c>
      <c r="P96" s="93" t="inlineStr">
        <is>
          <t>일반</t>
        </is>
      </c>
      <c r="Q96" s="93" t="inlineStr">
        <is>
          <t>주식</t>
        </is>
      </c>
      <c r="R96" s="93" t="inlineStr">
        <is>
          <t>분기배당</t>
        </is>
      </c>
      <c r="S96" s="94" t="n">
        <v>3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IFERROR(INDEX($A$4:$A$253,MATCH(93,$X$4:$X$253,0)),"")</f>
        <v/>
      </c>
    </row>
    <row r="97">
      <c r="A97" s="93" t="inlineStr">
        <is>
          <t>TIGER 차이나항셍테크</t>
        </is>
      </c>
      <c r="B97" s="93" t="inlineStr">
        <is>
          <t>371160</t>
        </is>
      </c>
      <c r="C97" s="93" t="inlineStr">
        <is>
          <t>미래에셋자산운용</t>
        </is>
      </c>
      <c r="D97" s="94" t="n">
        <v>6515</v>
      </c>
      <c r="E97" s="94" t="n">
        <v>531949750000</v>
      </c>
      <c r="F97" s="94" t="n">
        <v>4537697554</v>
      </c>
      <c r="G97" s="74" t="n">
        <v>0.0009</v>
      </c>
      <c r="H97" s="74" t="n">
        <v>0.297</v>
      </c>
      <c r="I97" s="74" t="n">
        <v>0.0033</v>
      </c>
      <c r="J97" s="74" t="n">
        <v>0.010744</v>
      </c>
      <c r="K97" s="94" t="n">
        <v>6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항셍 테크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분기배당</t>
        </is>
      </c>
      <c r="S97" s="94" t="n">
        <v>4</v>
      </c>
      <c r="T97" s="74" t="n">
        <v>0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IFERROR(INDEX($A$4:$A$253,MATCH(94,$X$4:$X$253,0)),"")</f>
        <v/>
      </c>
    </row>
    <row r="98">
      <c r="A98" s="93" t="inlineStr">
        <is>
          <t>KODEX 미국나스닥100</t>
        </is>
      </c>
      <c r="B98" s="93" t="inlineStr">
        <is>
          <t>379810</t>
        </is>
      </c>
      <c r="C98" s="93" t="inlineStr">
        <is>
          <t>삼성자산운용(ETF)</t>
        </is>
      </c>
      <c r="D98" s="94" t="n">
        <v>26880</v>
      </c>
      <c r="E98" s="94" t="n">
        <v>9356928000000</v>
      </c>
      <c r="F98" s="94" t="n">
        <v>385928554372</v>
      </c>
      <c r="G98" s="74" t="n">
        <v>6.2e-05</v>
      </c>
      <c r="H98" s="74" t="n">
        <v>0.2067</v>
      </c>
      <c r="I98" s="74" t="n">
        <v>0.0031</v>
      </c>
      <c r="J98" s="74" t="n">
        <v>0.010491</v>
      </c>
      <c r="K98" s="94" t="n">
        <v>6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나스닥 100</t>
        </is>
      </c>
      <c r="P98" s="93" t="inlineStr">
        <is>
          <t>일반</t>
        </is>
      </c>
      <c r="Q98" s="93" t="inlineStr">
        <is>
          <t>주식</t>
        </is>
      </c>
      <c r="R98" s="93" t="inlineStr">
        <is>
          <t>분기배당</t>
        </is>
      </c>
      <c r="S98" s="94" t="n">
        <v>4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IFERROR(INDEX($A$4:$A$253,MATCH(95,$X$4:$X$253,0)),"")</f>
        <v/>
      </c>
    </row>
    <row r="99">
      <c r="A99" s="93" t="inlineStr">
        <is>
          <t>TIGER 단기통안채</t>
        </is>
      </c>
      <c r="B99" s="93" t="inlineStr">
        <is>
          <t>157450</t>
        </is>
      </c>
      <c r="C99" s="93" t="inlineStr">
        <is>
          <t>미래에셋자산운용</t>
        </is>
      </c>
      <c r="D99" s="94" t="n">
        <v>112670</v>
      </c>
      <c r="E99" s="94" t="n">
        <v>1299986460000</v>
      </c>
      <c r="F99" s="94" t="n">
        <v>2408049800</v>
      </c>
      <c r="G99" s="74" t="n">
        <v>0.0009</v>
      </c>
      <c r="H99" s="74" t="n">
        <v>0.0104</v>
      </c>
      <c r="I99" s="74" t="n">
        <v>0.0101</v>
      </c>
      <c r="J99" s="74" t="n">
        <v>0.010038</v>
      </c>
      <c r="K99" s="94" t="n">
        <v>1</v>
      </c>
      <c r="L99" s="95" t="inlineStr">
        <is>
          <t>20251127</t>
        </is>
      </c>
      <c r="M99" s="93" t="inlineStr">
        <is>
          <t>채택</t>
        </is>
      </c>
      <c r="N99" s="93" t="inlineStr"/>
      <c r="O99" s="93" t="inlineStr">
        <is>
          <t>KIS 통안채 6개월 지수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IFERROR(INDEX($A$4:$A$253,MATCH(96,$X$4:$X$253,0)),"")</f>
        <v/>
      </c>
    </row>
    <row r="100">
      <c r="A100" s="93" t="inlineStr">
        <is>
          <t>TIGER 미국S&amp;P500</t>
        </is>
      </c>
      <c r="B100" s="93" t="inlineStr">
        <is>
          <t>360750</t>
        </is>
      </c>
      <c r="C100" s="93" t="inlineStr">
        <is>
          <t>미래에셋자산운용</t>
        </is>
      </c>
      <c r="D100" s="94" t="n">
        <v>26180</v>
      </c>
      <c r="E100" s="94" t="n">
        <v>20835353000000</v>
      </c>
      <c r="F100" s="94" t="n">
        <v>977474865045</v>
      </c>
      <c r="G100" s="74" t="n">
        <v>6.8e-05</v>
      </c>
      <c r="H100" s="74" t="n">
        <v>0.1463</v>
      </c>
      <c r="I100" s="74" t="n">
        <v>0.0025</v>
      </c>
      <c r="J100" s="74" t="n">
        <v>0.009664000000000001</v>
      </c>
      <c r="K100" s="94" t="n">
        <v>20</v>
      </c>
      <c r="L100" s="95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S&amp;P 500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IFERROR(INDEX($A$4:$A$253,MATCH(97,$X$4:$X$253,0)),"")</f>
        <v/>
      </c>
    </row>
    <row r="101">
      <c r="A101" s="93" t="inlineStr">
        <is>
          <t>ACE 미국S&amp;P500</t>
        </is>
      </c>
      <c r="B101" s="93" t="inlineStr">
        <is>
          <t>360200</t>
        </is>
      </c>
      <c r="C101" s="93" t="inlineStr">
        <is>
          <t>한국투신운용(ETF)</t>
        </is>
      </c>
      <c r="D101" s="94" t="n">
        <v>26460</v>
      </c>
      <c r="E101" s="94" t="n">
        <v>3990168000000</v>
      </c>
      <c r="F101" s="94" t="n">
        <v>20638295534</v>
      </c>
      <c r="G101" s="74" t="n">
        <v>4.7e-05</v>
      </c>
      <c r="H101" s="74" t="n">
        <v>0.1463</v>
      </c>
      <c r="I101" s="74" t="n">
        <v>0.0024</v>
      </c>
      <c r="J101" s="74" t="n">
        <v>0.009562000000000001</v>
      </c>
      <c r="K101" s="94" t="n">
        <v>20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S&amp;P 500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4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IFERROR(INDEX($A$4:$A$253,MATCH(98,$X$4:$X$253,0)),"")</f>
        <v/>
      </c>
    </row>
    <row r="102">
      <c r="A102" s="93" t="inlineStr">
        <is>
          <t>KODEX 미국S&amp;P500(H)</t>
        </is>
      </c>
      <c r="B102" s="93" t="inlineStr">
        <is>
          <t>449180</t>
        </is>
      </c>
      <c r="C102" s="93" t="inlineStr">
        <is>
          <t>삼성자산운용(ETF)</t>
        </is>
      </c>
      <c r="D102" s="94" t="n">
        <v>17045</v>
      </c>
      <c r="E102" s="94" t="n">
        <v>1033779250000</v>
      </c>
      <c r="F102" s="94" t="n">
        <v>7580021768</v>
      </c>
      <c r="G102" s="74" t="n">
        <v>9.900000000000001e-05</v>
      </c>
      <c r="H102" s="74" t="n">
        <v>0.1303</v>
      </c>
      <c r="I102" s="74" t="n">
        <v>0.0024</v>
      </c>
      <c r="J102" s="74" t="n">
        <v>0.009387</v>
      </c>
      <c r="K102" s="94" t="n">
        <v>14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S&amp;P 500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IFERROR(INDEX($A$4:$A$253,MATCH(99,$X$4:$X$253,0)),"")</f>
        <v/>
      </c>
    </row>
    <row r="103">
      <c r="A103" s="93" t="inlineStr">
        <is>
          <t>TIGER 미국S&amp;P500(H)</t>
        </is>
      </c>
      <c r="B103" s="93" t="inlineStr">
        <is>
          <t>448290</t>
        </is>
      </c>
      <c r="C103" s="93" t="inlineStr">
        <is>
          <t>미래에셋자산운용</t>
        </is>
      </c>
      <c r="D103" s="94" t="n">
        <v>17655</v>
      </c>
      <c r="E103" s="94" t="n">
        <v>483747000000</v>
      </c>
      <c r="F103" s="94" t="n">
        <v>2311184375</v>
      </c>
      <c r="G103" s="74" t="n">
        <v>0.0007000000000000001</v>
      </c>
      <c r="H103" s="74" t="n">
        <v>0.1302</v>
      </c>
      <c r="I103" s="74" t="n">
        <v>0.0024</v>
      </c>
      <c r="J103" s="74" t="n">
        <v>0.009233</v>
      </c>
      <c r="K103" s="94" t="n">
        <v>6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IFERROR(INDEX($A$4:$A$253,MATCH(100,$X$4:$X$253,0)),"")</f>
        <v/>
      </c>
    </row>
    <row r="104">
      <c r="A104" s="93" t="inlineStr">
        <is>
          <t>SOL 미국S&amp;P500</t>
        </is>
      </c>
      <c r="B104" s="93" t="inlineStr">
        <is>
          <t>433330</t>
        </is>
      </c>
      <c r="C104" s="93" t="inlineStr">
        <is>
          <t>신한자산운용</t>
        </is>
      </c>
      <c r="D104" s="94" t="n">
        <v>21860</v>
      </c>
      <c r="E104" s="94" t="n">
        <v>297296000000</v>
      </c>
      <c r="F104" s="94" t="n">
        <v>1985560754</v>
      </c>
      <c r="G104" s="74" t="n">
        <v>4.7e-05</v>
      </c>
      <c r="H104" s="74" t="n">
        <v>0.1457</v>
      </c>
      <c r="I104" s="74" t="n">
        <v>0.0009</v>
      </c>
      <c r="J104" s="74" t="n">
        <v>0.008966</v>
      </c>
      <c r="K104" s="94" t="n">
        <v>50</v>
      </c>
      <c r="L104" s="95" t="inlineStr">
        <is>
          <t>20260828</t>
        </is>
      </c>
      <c r="M104" s="93" t="inlineStr">
        <is>
          <t>채택</t>
        </is>
      </c>
      <c r="N104" s="93" t="inlineStr"/>
      <c r="O104" s="93" t="inlineStr">
        <is>
          <t>S&amp;P 500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월배당</t>
        </is>
      </c>
      <c r="S104" s="94" t="n">
        <v>11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IFERROR(INDEX($A$4:$A$253,MATCH(101,$X$4:$X$253,0)),"")</f>
        <v/>
      </c>
    </row>
    <row r="105">
      <c r="A105" s="93" t="inlineStr">
        <is>
          <t>1Q 머니마켓액티브</t>
        </is>
      </c>
      <c r="B105" s="93" t="inlineStr">
        <is>
          <t>479080</t>
        </is>
      </c>
      <c r="C105" s="93" t="inlineStr">
        <is>
          <t>하나자산운용</t>
        </is>
      </c>
      <c r="D105" s="94" t="n">
        <v>53855</v>
      </c>
      <c r="E105" s="94" t="n">
        <v>884299100000</v>
      </c>
      <c r="F105" s="94" t="n">
        <v>2790927622</v>
      </c>
      <c r="G105" s="74" t="n">
        <v>0.0005</v>
      </c>
      <c r="H105" s="74" t="n">
        <v>0.0089</v>
      </c>
      <c r="I105" s="74" t="n">
        <v>0.0086</v>
      </c>
      <c r="J105" s="74" t="n">
        <v>0.008449</v>
      </c>
      <c r="K105" s="94" t="n">
        <v>1</v>
      </c>
      <c r="L105" s="95" t="inlineStr">
        <is>
          <t>20251113</t>
        </is>
      </c>
      <c r="M105" s="93" t="inlineStr">
        <is>
          <t>채택</t>
        </is>
      </c>
      <c r="N105" s="93" t="inlineStr"/>
      <c r="O105" s="93" t="inlineStr">
        <is>
          <t>KIS-하나 MMF지수</t>
        </is>
      </c>
      <c r="P105" s="93" t="inlineStr">
        <is>
          <t>일반</t>
        </is>
      </c>
      <c r="Q105" s="93" t="inlineStr">
        <is>
          <t>단기자금(파킹형)</t>
        </is>
      </c>
      <c r="R105" s="93" t="inlineStr">
        <is>
          <t>연배당</t>
        </is>
      </c>
      <c r="S105" s="94" t="n">
        <v>1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IFERROR(INDEX($A$4:$A$253,MATCH(102,$X$4:$X$253,0)),"")</f>
        <v/>
      </c>
    </row>
    <row r="106">
      <c r="A106" s="93" t="inlineStr">
        <is>
          <t>TIGER 미국달러단기채권액티브</t>
        </is>
      </c>
      <c r="B106" s="93" t="inlineStr">
        <is>
          <t>329750</t>
        </is>
      </c>
      <c r="C106" s="93" t="inlineStr">
        <is>
          <t>미래에셋자산운용</t>
        </is>
      </c>
      <c r="D106" s="94" t="n">
        <v>13085</v>
      </c>
      <c r="E106" s="94" t="n">
        <v>703973000000</v>
      </c>
      <c r="F106" s="94" t="n">
        <v>5255308342</v>
      </c>
      <c r="G106" s="74" t="n">
        <v>0.003</v>
      </c>
      <c r="H106" s="74" t="n">
        <v>0.1042</v>
      </c>
      <c r="I106" s="74" t="n">
        <v>0.007800000000000001</v>
      </c>
      <c r="J106" s="74" t="n">
        <v>0.008101000000000001</v>
      </c>
      <c r="K106" s="94" t="n">
        <v>4</v>
      </c>
      <c r="L106" s="95" t="inlineStr">
        <is>
          <t>20251127</t>
        </is>
      </c>
      <c r="M106" s="93" t="inlineStr">
        <is>
          <t>채택</t>
        </is>
      </c>
      <c r="N106" s="93" t="inlineStr"/>
      <c r="O106" s="93" t="inlineStr">
        <is>
          <t>KIS U.S. TREASURY BOND 0-1Y</t>
        </is>
      </c>
      <c r="P106" s="93" t="inlineStr">
        <is>
          <t>일반</t>
        </is>
      </c>
      <c r="Q106" s="93" t="inlineStr">
        <is>
          <t>채권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IFERROR(INDEX($A$4:$A$253,MATCH(103,$X$4:$X$253,0)),"")</f>
        <v/>
      </c>
    </row>
    <row r="107">
      <c r="A107" s="93" t="inlineStr">
        <is>
          <t>TIGER 단기채권액티브</t>
        </is>
      </c>
      <c r="B107" s="93" t="inlineStr">
        <is>
          <t>272580</t>
        </is>
      </c>
      <c r="C107" s="93" t="inlineStr">
        <is>
          <t>미래에셋자산운용</t>
        </is>
      </c>
      <c r="D107" s="94" t="n">
        <v>57165</v>
      </c>
      <c r="E107" s="94" t="n">
        <v>788076690000</v>
      </c>
      <c r="F107" s="94" t="n">
        <v>3242878403</v>
      </c>
      <c r="G107" s="74" t="n">
        <v>0.0007000000000000001</v>
      </c>
      <c r="H107" s="74" t="n">
        <v>0.008</v>
      </c>
      <c r="I107" s="74" t="n">
        <v>0.007800000000000001</v>
      </c>
      <c r="J107" s="74" t="n">
        <v>0.007645</v>
      </c>
      <c r="K107" s="94" t="n">
        <v>1</v>
      </c>
      <c r="L107" s="95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KIS 통안채 6개월 플러스 지수</t>
        </is>
      </c>
      <c r="P107" s="93" t="inlineStr">
        <is>
          <t>일반</t>
        </is>
      </c>
      <c r="Q107" s="93" t="inlineStr">
        <is>
          <t>채권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IFERROR(INDEX($A$4:$A$253,MATCH(104,$X$4:$X$253,0)),"")</f>
        <v/>
      </c>
    </row>
    <row r="108">
      <c r="A108" s="93" t="inlineStr">
        <is>
          <t>TIGER 머니마켓액티브</t>
        </is>
      </c>
      <c r="B108" s="93" t="inlineStr">
        <is>
          <t>0043B0</t>
        </is>
      </c>
      <c r="C108" s="93" t="inlineStr">
        <is>
          <t>미래에셋자산운용</t>
        </is>
      </c>
      <c r="D108" s="94" t="n">
        <v>103700</v>
      </c>
      <c r="E108" s="94" t="n">
        <v>3031462100000</v>
      </c>
      <c r="F108" s="94" t="n">
        <v>14827918954</v>
      </c>
      <c r="G108" s="74" t="n">
        <v>0.0004</v>
      </c>
      <c r="H108" s="74" t="n">
        <v>0.0073</v>
      </c>
      <c r="I108" s="74" t="n">
        <v>0.0071</v>
      </c>
      <c r="J108" s="74" t="n">
        <v>0.006953</v>
      </c>
      <c r="K108" s="94" t="n">
        <v>1</v>
      </c>
      <c r="L108" s="95" t="inlineStr">
        <is>
          <t>20251127</t>
        </is>
      </c>
      <c r="M108" s="93" t="inlineStr">
        <is>
          <t>채택</t>
        </is>
      </c>
      <c r="N108" s="93" t="inlineStr"/>
      <c r="O108" s="93" t="inlineStr">
        <is>
          <t>KIS-미래에셋 MMF지수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IFERROR(INDEX($A$4:$A$253,MATCH(105,$X$4:$X$253,0)),"")</f>
        <v/>
      </c>
    </row>
    <row r="109">
      <c r="A109" s="93" t="inlineStr">
        <is>
          <t>TIGER 우량회사채액티브</t>
        </is>
      </c>
      <c r="B109" s="93" t="inlineStr">
        <is>
          <t>438330</t>
        </is>
      </c>
      <c r="C109" s="93" t="inlineStr">
        <is>
          <t>미래에셋자산운용</t>
        </is>
      </c>
      <c r="D109" s="94" t="n">
        <v>115365</v>
      </c>
      <c r="E109" s="94" t="n">
        <v>500107275000</v>
      </c>
      <c r="F109" s="94" t="n">
        <v>1106021214</v>
      </c>
      <c r="G109" s="74" t="n">
        <v>0.001</v>
      </c>
      <c r="H109" s="74" t="n">
        <v>0.0214</v>
      </c>
      <c r="I109" s="74" t="n">
        <v>0.002</v>
      </c>
      <c r="J109" s="74" t="n">
        <v>0.006085</v>
      </c>
      <c r="K109" s="94" t="n">
        <v>8</v>
      </c>
      <c r="L109" s="95" t="inlineStr">
        <is>
          <t>20251127</t>
        </is>
      </c>
      <c r="M109" s="93" t="inlineStr">
        <is>
          <t>채택</t>
        </is>
      </c>
      <c r="N109" s="93" t="inlineStr"/>
      <c r="O109" s="93" t="inlineStr">
        <is>
          <t>KIS 투자등급회사채 지수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2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IFERROR(INDEX($A$4:$A$253,MATCH(106,$X$4:$X$253,0)),"")</f>
        <v/>
      </c>
    </row>
    <row r="110">
      <c r="A110" s="93" t="inlineStr">
        <is>
          <t>TIGER KOFR금리액티브(합성)</t>
        </is>
      </c>
      <c r="B110" s="93" t="inlineStr">
        <is>
          <t>449170</t>
        </is>
      </c>
      <c r="C110" s="93" t="inlineStr">
        <is>
          <t>미래에셋자산운용</t>
        </is>
      </c>
      <c r="D110" s="94" t="n">
        <v>111917</v>
      </c>
      <c r="E110" s="94" t="n">
        <v>2386406191000</v>
      </c>
      <c r="F110" s="94" t="n">
        <v>8565007863</v>
      </c>
      <c r="G110" s="74" t="n">
        <v>0.0003</v>
      </c>
      <c r="H110" s="74" t="n">
        <v>0.0064</v>
      </c>
      <c r="I110" s="74" t="n">
        <v>0.0062</v>
      </c>
      <c r="J110" s="74" t="n">
        <v>0.006076000000000001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KOFR 인덱스</t>
        </is>
      </c>
      <c r="P110" s="93" t="inlineStr">
        <is>
          <t>일반</t>
        </is>
      </c>
      <c r="Q110" s="93" t="inlineStr">
        <is>
          <t>단기자금(파킹형)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IFERROR(INDEX($A$4:$A$253,MATCH(107,$X$4:$X$253,0)),"")</f>
        <v/>
      </c>
    </row>
    <row r="111">
      <c r="A111" s="93" t="inlineStr">
        <is>
          <t>RISE 미국나스닥100</t>
        </is>
      </c>
      <c r="B111" s="93" t="inlineStr">
        <is>
          <t>368590</t>
        </is>
      </c>
      <c r="C111" s="93" t="inlineStr">
        <is>
          <t>KB자산운용</t>
        </is>
      </c>
      <c r="D111" s="94" t="n">
        <v>29990</v>
      </c>
      <c r="E111" s="94" t="n">
        <v>1586471000000</v>
      </c>
      <c r="F111" s="94" t="n">
        <v>8135473063</v>
      </c>
      <c r="G111" s="74" t="n">
        <v>6.2e-05</v>
      </c>
      <c r="H111" s="74" t="n">
        <v>0.2061</v>
      </c>
      <c r="I111" s="74" t="n">
        <v>0.0015</v>
      </c>
      <c r="J111" s="74" t="n">
        <v>0.005835</v>
      </c>
      <c r="K111" s="94" t="n">
        <v>18</v>
      </c>
      <c r="L111" s="95" t="inlineStr">
        <is>
          <t>20260629</t>
        </is>
      </c>
      <c r="M111" s="93" t="inlineStr">
        <is>
          <t>채택</t>
        </is>
      </c>
      <c r="N111" s="93" t="inlineStr"/>
      <c r="O111" s="93" t="inlineStr">
        <is>
          <t>나스닥 100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분기배당</t>
        </is>
      </c>
      <c r="S111" s="94" t="n">
        <v>3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IFERROR(INDEX($A$4:$A$253,MATCH(108,$X$4:$X$253,0)),"")</f>
        <v/>
      </c>
    </row>
    <row r="112">
      <c r="A112" s="93" t="inlineStr">
        <is>
          <t>TIGER CD1년금리액티브(합성)</t>
        </is>
      </c>
      <c r="B112" s="93" t="inlineStr">
        <is>
          <t>475630</t>
        </is>
      </c>
      <c r="C112" s="93" t="inlineStr">
        <is>
          <t>미래에셋자산운용</t>
        </is>
      </c>
      <c r="D112" s="94" t="n">
        <v>1077725</v>
      </c>
      <c r="E112" s="94" t="n">
        <v>1679957730000</v>
      </c>
      <c r="F112" s="94" t="n">
        <v>50973988880</v>
      </c>
      <c r="G112" s="74" t="n">
        <v>9.8e-05</v>
      </c>
      <c r="H112" s="74" t="n">
        <v>0.006</v>
      </c>
      <c r="I112" s="74" t="n">
        <v>0.0058</v>
      </c>
      <c r="J112" s="74" t="n">
        <v>0.005691000000000001</v>
      </c>
      <c r="K112" s="94" t="n">
        <v>1</v>
      </c>
      <c r="L112" s="95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CD 1Y 총수익지수</t>
        </is>
      </c>
      <c r="P112" s="93" t="inlineStr">
        <is>
          <t>일반</t>
        </is>
      </c>
      <c r="Q112" s="93" t="inlineStr">
        <is>
          <t>단기자금(파킹형)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IFERROR(INDEX($A$4:$A$253,MATCH(109,$X$4:$X$253,0)),"")</f>
        <v/>
      </c>
    </row>
    <row r="113">
      <c r="A113" s="93" t="inlineStr">
        <is>
          <t>KODEX 미국나스닥100(H)</t>
        </is>
      </c>
      <c r="B113" s="93" t="inlineStr">
        <is>
          <t>449190</t>
        </is>
      </c>
      <c r="C113" s="93" t="inlineStr">
        <is>
          <t>삼성자산운용(ETF)</t>
        </is>
      </c>
      <c r="D113" s="94" t="n">
        <v>22105</v>
      </c>
      <c r="E113" s="94" t="n">
        <v>555940750000</v>
      </c>
      <c r="F113" s="94" t="n">
        <v>5675497803</v>
      </c>
      <c r="G113" s="74" t="n">
        <v>9.900000000000001e-05</v>
      </c>
      <c r="H113" s="74" t="n">
        <v>0.1996</v>
      </c>
      <c r="I113" s="74" t="n">
        <v>0.0016</v>
      </c>
      <c r="J113" s="74" t="n">
        <v>0.005338000000000001</v>
      </c>
      <c r="K113" s="94" t="n">
        <v>14</v>
      </c>
      <c r="L113" s="95" t="inlineStr">
        <is>
          <t>20260730</t>
        </is>
      </c>
      <c r="M113" s="93" t="inlineStr">
        <is>
          <t>채택</t>
        </is>
      </c>
      <c r="N113" s="93" t="inlineStr"/>
      <c r="O113" s="93" t="inlineStr">
        <is>
          <t>나스닥 100</t>
        </is>
      </c>
      <c r="P113" s="93" t="inlineStr">
        <is>
          <t>일반</t>
        </is>
      </c>
      <c r="Q113" s="93" t="inlineStr">
        <is>
          <t>주식</t>
        </is>
      </c>
      <c r="R113" s="93" t="inlineStr">
        <is>
          <t>분기배당</t>
        </is>
      </c>
      <c r="S113" s="94" t="n">
        <v>4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IFERROR(INDEX($A$4:$A$253,MATCH(110,$X$4:$X$253,0)),"")</f>
        <v/>
      </c>
    </row>
    <row r="114">
      <c r="A114" s="93" t="inlineStr">
        <is>
          <t>TIGER 미국나스닥100</t>
        </is>
      </c>
      <c r="B114" s="93" t="inlineStr">
        <is>
          <t>133690</t>
        </is>
      </c>
      <c r="C114" s="93" t="inlineStr">
        <is>
          <t>미래에셋자산운용</t>
        </is>
      </c>
      <c r="D114" s="94" t="n">
        <v>179800</v>
      </c>
      <c r="E114" s="94" t="n">
        <v>11764314000000</v>
      </c>
      <c r="F114" s="94" t="n">
        <v>515477985498</v>
      </c>
      <c r="G114" s="74" t="n">
        <v>6.8e-05</v>
      </c>
      <c r="H114" s="74" t="n">
        <v>0.2063</v>
      </c>
      <c r="I114" s="74" t="n">
        <v>0.0014</v>
      </c>
      <c r="J114" s="74" t="n">
        <v>0.005211</v>
      </c>
      <c r="K114" s="94" t="n">
        <v>20</v>
      </c>
      <c r="L114" s="95" t="inlineStr">
        <is>
          <t>20260730</t>
        </is>
      </c>
      <c r="M114" s="93" t="inlineStr">
        <is>
          <t>채택</t>
        </is>
      </c>
      <c r="N114" s="93" t="inlineStr"/>
      <c r="O114" s="93" t="inlineStr">
        <is>
          <t>나스닥 100</t>
        </is>
      </c>
      <c r="P114" s="93" t="inlineStr">
        <is>
          <t>일반</t>
        </is>
      </c>
      <c r="Q114" s="93" t="inlineStr">
        <is>
          <t>주식</t>
        </is>
      </c>
      <c r="R114" s="93" t="inlineStr">
        <is>
          <t>분기배당</t>
        </is>
      </c>
      <c r="S114" s="94" t="n">
        <v>4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IFERROR(INDEX($A$4:$A$253,MATCH(111,$X$4:$X$253,0)),"")</f>
        <v/>
      </c>
    </row>
    <row r="115">
      <c r="A115" s="93" t="inlineStr">
        <is>
          <t>ACE 미국나스닥100</t>
        </is>
      </c>
      <c r="B115" s="93" t="inlineStr">
        <is>
          <t>367380</t>
        </is>
      </c>
      <c r="C115" s="93" t="inlineStr">
        <is>
          <t>한국투신운용(ETF)</t>
        </is>
      </c>
      <c r="D115" s="94" t="n">
        <v>30915</v>
      </c>
      <c r="E115" s="94" t="n">
        <v>3499578000000</v>
      </c>
      <c r="F115" s="94" t="n">
        <v>21333970336</v>
      </c>
      <c r="G115" s="74" t="n">
        <v>6.2e-05</v>
      </c>
      <c r="H115" s="74" t="n">
        <v>0.2062</v>
      </c>
      <c r="I115" s="74" t="n">
        <v>0.0015</v>
      </c>
      <c r="J115" s="74" t="n">
        <v>0.005208000000000001</v>
      </c>
      <c r="K115" s="94" t="n">
        <v>20</v>
      </c>
      <c r="L115" s="95" t="inlineStr">
        <is>
          <t>20260730</t>
        </is>
      </c>
      <c r="M115" s="93" t="inlineStr">
        <is>
          <t>채택</t>
        </is>
      </c>
      <c r="N115" s="93" t="inlineStr"/>
      <c r="O115" s="93" t="inlineStr">
        <is>
          <t>나스닥 100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분기배당</t>
        </is>
      </c>
      <c r="S115" s="94" t="n">
        <v>4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IFERROR(INDEX($A$4:$A$253,MATCH(112,$X$4:$X$253,0)),"")</f>
        <v/>
      </c>
    </row>
    <row r="116">
      <c r="A116" s="93" t="inlineStr">
        <is>
          <t>KODEX 미국빅테크10(H)</t>
        </is>
      </c>
      <c r="B116" s="93" t="inlineStr">
        <is>
          <t>314250</t>
        </is>
      </c>
      <c r="C116" s="93" t="inlineStr">
        <is>
          <t>삼성자산운용(ETF)</t>
        </is>
      </c>
      <c r="D116" s="94" t="n">
        <v>62790</v>
      </c>
      <c r="E116" s="94" t="n">
        <v>656155500000</v>
      </c>
      <c r="F116" s="94" t="n">
        <v>3543887418</v>
      </c>
      <c r="G116" s="74" t="n">
        <v>0.004500000000000001</v>
      </c>
      <c r="H116" s="74" t="n">
        <v>0.2299</v>
      </c>
      <c r="I116" s="74" t="n">
        <v>0.0013</v>
      </c>
      <c r="J116" s="74" t="n">
        <v>0.004539</v>
      </c>
      <c r="K116" s="94" t="n">
        <v>4</v>
      </c>
      <c r="L116" s="95" t="inlineStr">
        <is>
          <t>20260730</t>
        </is>
      </c>
      <c r="M116" s="93" t="inlineStr">
        <is>
          <t>채택</t>
        </is>
      </c>
      <c r="N116" s="93" t="inlineStr"/>
      <c r="O116" s="93" t="inlineStr">
        <is>
          <t>NYSE FANG+TM Index</t>
        </is>
      </c>
      <c r="P116" s="93" t="inlineStr">
        <is>
          <t>일반</t>
        </is>
      </c>
      <c r="Q116" s="93" t="inlineStr">
        <is>
          <t>주식</t>
        </is>
      </c>
      <c r="R116" s="93" t="inlineStr">
        <is>
          <t>분기배당</t>
        </is>
      </c>
      <c r="S116" s="94" t="n">
        <v>4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IFERROR(INDEX($A$4:$A$253,MATCH(113,$X$4:$X$253,0)),"")</f>
        <v/>
      </c>
    </row>
    <row r="117">
      <c r="A117" s="93" t="inlineStr">
        <is>
          <t>TIGER 미국테크TOP10 INDXX</t>
        </is>
      </c>
      <c r="B117" s="93" t="inlineStr">
        <is>
          <t>381170</t>
        </is>
      </c>
      <c r="C117" s="93" t="inlineStr">
        <is>
          <t>미래에셋자산운용</t>
        </is>
      </c>
      <c r="D117" s="94" t="n">
        <v>31380</v>
      </c>
      <c r="E117" s="94" t="n">
        <v>3875430000000</v>
      </c>
      <c r="F117" s="94" t="n">
        <v>23883469977</v>
      </c>
      <c r="G117" s="74" t="n">
        <v>0.0049</v>
      </c>
      <c r="H117" s="74" t="n">
        <v>0.2105</v>
      </c>
      <c r="I117" s="74" t="n">
        <v>0.0025</v>
      </c>
      <c r="J117" s="74" t="n">
        <v>0.002454</v>
      </c>
      <c r="K117" s="94" t="n">
        <v>1</v>
      </c>
      <c r="L117" s="95" t="inlineStr">
        <is>
          <t>20251229</t>
        </is>
      </c>
      <c r="M117" s="93" t="inlineStr">
        <is>
          <t>채택</t>
        </is>
      </c>
      <c r="N117" s="93" t="inlineStr"/>
      <c r="O117" s="93" t="inlineStr">
        <is>
          <t>Indxx US Tech Top10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IFERROR(INDEX($A$4:$A$253,MATCH(114,$X$4:$X$253,0)),"")</f>
        <v/>
      </c>
    </row>
    <row r="118">
      <c r="A118" s="93" t="inlineStr">
        <is>
          <t>ACE 미국빅테크TOP7 Plus</t>
        </is>
      </c>
      <c r="B118" s="93" t="inlineStr">
        <is>
          <t>465580</t>
        </is>
      </c>
      <c r="C118" s="93" t="inlineStr">
        <is>
          <t>한국투신운용(ETF)</t>
        </is>
      </c>
      <c r="D118" s="94" t="n">
        <v>24545</v>
      </c>
      <c r="E118" s="94" t="n">
        <v>1093479750000</v>
      </c>
      <c r="F118" s="94" t="n">
        <v>15734996536</v>
      </c>
      <c r="G118" s="74" t="n">
        <v>0.003</v>
      </c>
      <c r="H118" s="74" t="n">
        <v>0.2142</v>
      </c>
      <c r="I118" s="74" t="n">
        <v>0.0024</v>
      </c>
      <c r="J118" s="74" t="n">
        <v>0.0022</v>
      </c>
      <c r="K118" s="94" t="n">
        <v>1</v>
      </c>
      <c r="L118" s="95" t="inlineStr">
        <is>
          <t>20251229</t>
        </is>
      </c>
      <c r="M118" s="93" t="inlineStr">
        <is>
          <t>채택</t>
        </is>
      </c>
      <c r="N118" s="93" t="inlineStr"/>
      <c r="O118" s="93" t="inlineStr">
        <is>
          <t>Solactive US Big Tech Top 7 Plus Index PR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연배당</t>
        </is>
      </c>
      <c r="S118" s="94" t="n">
        <v>1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IFERROR(INDEX($A$4:$A$253,MATCH(115,$X$4:$X$253,0)),"")</f>
        <v/>
      </c>
    </row>
    <row r="119">
      <c r="A119" s="93" t="inlineStr">
        <is>
          <t>TIME 미국나스닥100채권혼합50액티브</t>
        </is>
      </c>
      <c r="B119" s="93" t="inlineStr">
        <is>
          <t>0019K0</t>
        </is>
      </c>
      <c r="C119" s="93" t="inlineStr">
        <is>
          <t>타임폴리오자산운용</t>
        </is>
      </c>
      <c r="D119" s="94" t="n">
        <v>13275</v>
      </c>
      <c r="E119" s="94" t="n">
        <v>568170000000</v>
      </c>
      <c r="F119" s="94" t="n">
        <v>6542980793</v>
      </c>
      <c r="G119" s="74" t="n">
        <v>0.0025</v>
      </c>
      <c r="H119" s="74" t="n">
        <v>0.1882</v>
      </c>
      <c r="I119" s="74" t="n">
        <v>0.0018</v>
      </c>
      <c r="J119" s="74" t="n">
        <v>0.001582</v>
      </c>
      <c r="K119" s="94" t="n">
        <v>1</v>
      </c>
      <c r="L119" s="95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FnGuide 미국 나스닥100 단기채권혼합 지수</t>
        </is>
      </c>
      <c r="P119" s="93" t="inlineStr">
        <is>
          <t>일반</t>
        </is>
      </c>
      <c r="Q119" s="93" t="inlineStr">
        <is>
          <t>멀티에셋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IFERROR(INDEX($A$4:$A$253,MATCH(116,$X$4:$X$253,0)),"")</f>
        <v/>
      </c>
    </row>
    <row r="120">
      <c r="A120" s="93" t="inlineStr">
        <is>
          <t>TIGER CD금리투자KIS(합성)</t>
        </is>
      </c>
      <c r="B120" s="93" t="inlineStr">
        <is>
          <t>357870</t>
        </is>
      </c>
      <c r="C120" s="93" t="inlineStr">
        <is>
          <t>미래에셋자산운용</t>
        </is>
      </c>
      <c r="D120" s="94" t="n">
        <v>58085</v>
      </c>
      <c r="E120" s="94" t="n">
        <v>3379733810000</v>
      </c>
      <c r="F120" s="94" t="n">
        <v>13162065160</v>
      </c>
      <c r="G120" s="74" t="n">
        <v>0.0003</v>
      </c>
      <c r="H120" s="74" t="n">
        <v>0.0016</v>
      </c>
      <c r="I120" s="74" t="n">
        <v>0.0011</v>
      </c>
      <c r="J120" s="74" t="n">
        <v>0.001119</v>
      </c>
      <c r="K120" s="94" t="n">
        <v>1</v>
      </c>
      <c r="L120" s="95" t="inlineStr">
        <is>
          <t>20251127</t>
        </is>
      </c>
      <c r="M120" s="93" t="inlineStr">
        <is>
          <t>채택</t>
        </is>
      </c>
      <c r="N120" s="93" t="inlineStr"/>
      <c r="O120" s="93" t="inlineStr">
        <is>
          <t>KIS CD 금리투자</t>
        </is>
      </c>
      <c r="P120" s="93" t="inlineStr">
        <is>
          <t>일반</t>
        </is>
      </c>
      <c r="Q120" s="93" t="inlineStr">
        <is>
          <t>단기자금(파킹형)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IFERROR(INDEX($A$4:$A$253,MATCH(117,$X$4:$X$253,0)),"")</f>
        <v/>
      </c>
    </row>
    <row r="121">
      <c r="A121" s="93" t="inlineStr">
        <is>
          <t>TIGER 미국달러SOFR금리액티브(합성)</t>
        </is>
      </c>
      <c r="B121" s="93" t="inlineStr">
        <is>
          <t>456610</t>
        </is>
      </c>
      <c r="C121" s="93" t="inlineStr">
        <is>
          <t>미래에셋자산운용</t>
        </is>
      </c>
      <c r="D121" s="94" t="n">
        <v>60132</v>
      </c>
      <c r="E121" s="94" t="n">
        <v>729521424000</v>
      </c>
      <c r="F121" s="94" t="n">
        <v>2176210474</v>
      </c>
      <c r="G121" s="74" t="n">
        <v>0.0005</v>
      </c>
      <c r="H121" s="74" t="n">
        <v>0.1035</v>
      </c>
      <c r="I121" s="74" t="n">
        <v>0.0007000000000000001</v>
      </c>
      <c r="J121" s="74" t="n">
        <v>0.000682</v>
      </c>
      <c r="K121" s="94" t="n">
        <v>1</v>
      </c>
      <c r="L121" s="95" t="inlineStr">
        <is>
          <t>20251127</t>
        </is>
      </c>
      <c r="M121" s="93" t="inlineStr">
        <is>
          <t>채택</t>
        </is>
      </c>
      <c r="N121" s="93" t="inlineStr"/>
      <c r="O121" s="93" t="inlineStr">
        <is>
          <t>Solactive SOFR Daily Total Return Index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IFERROR(INDEX($A$4:$A$253,MATCH(118,$X$4:$X$253,0)),"")</f>
        <v/>
      </c>
    </row>
    <row r="122">
      <c r="A122" s="93" t="inlineStr">
        <is>
          <t>RISE CD금리액티브(합성)</t>
        </is>
      </c>
      <c r="B122" s="93" t="inlineStr">
        <is>
          <t>477080</t>
        </is>
      </c>
      <c r="C122" s="93" t="inlineStr">
        <is>
          <t>KB자산운용</t>
        </is>
      </c>
      <c r="D122" s="94" t="n">
        <v>107635</v>
      </c>
      <c r="E122" s="94" t="n">
        <v>1546176775000</v>
      </c>
      <c r="F122" s="94" t="n">
        <v>803765027</v>
      </c>
      <c r="G122" s="74" t="n">
        <v>0.0002</v>
      </c>
      <c r="H122" s="74" t="n">
        <v>0.001</v>
      </c>
      <c r="I122" s="74" t="n">
        <v>0.0002</v>
      </c>
      <c r="J122" s="74" t="n">
        <v>0.000149</v>
      </c>
      <c r="K122" s="94" t="n">
        <v>1</v>
      </c>
      <c r="L122" s="95" t="inlineStr">
        <is>
          <t>20251212</t>
        </is>
      </c>
      <c r="M122" s="93" t="inlineStr">
        <is>
          <t>채택</t>
        </is>
      </c>
      <c r="N122" s="93" t="inlineStr"/>
      <c r="O122" s="93" t="inlineStr">
        <is>
          <t>FnGuide CD금리투자 지수</t>
        </is>
      </c>
      <c r="P122" s="93" t="inlineStr">
        <is>
          <t>일반</t>
        </is>
      </c>
      <c r="Q122" s="93" t="inlineStr">
        <is>
          <t>단기자금(파킹형)</t>
        </is>
      </c>
      <c r="R122" s="93" t="inlineStr">
        <is>
          <t>연배당</t>
        </is>
      </c>
      <c r="S122" s="94" t="n">
        <v>1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IFERROR(INDEX($A$4:$A$253,MATCH(119,$X$4:$X$253,0)),"")</f>
        <v/>
      </c>
    </row>
    <row r="123">
      <c r="A123" s="93" t="inlineStr">
        <is>
          <t>TIGER KRX금현물</t>
        </is>
      </c>
      <c r="B123" s="93" t="inlineStr">
        <is>
          <t>0072R0</t>
        </is>
      </c>
      <c r="C123" s="93" t="inlineStr">
        <is>
          <t>미래에셋자산운용</t>
        </is>
      </c>
      <c r="D123" s="94" t="n">
        <v>12935</v>
      </c>
      <c r="E123" s="94" t="n">
        <v>1207482250000</v>
      </c>
      <c r="F123" s="94" t="n">
        <v>9620314648</v>
      </c>
      <c r="G123" s="74" t="n">
        <v>0.0015</v>
      </c>
      <c r="H123" s="74" t="n">
        <v>0.3192</v>
      </c>
      <c r="I123" s="74" t="n">
        <v>0.0001</v>
      </c>
      <c r="J123" s="74" t="n">
        <v>7.7e-05</v>
      </c>
      <c r="K123" s="94" t="n">
        <v>1</v>
      </c>
      <c r="L123" s="95" t="inlineStr">
        <is>
          <t>20251229</t>
        </is>
      </c>
      <c r="M123" s="93" t="inlineStr">
        <is>
          <t>채택</t>
        </is>
      </c>
      <c r="N123" s="93" t="inlineStr"/>
      <c r="O123" s="93" t="inlineStr">
        <is>
          <t>KRX 금현물지수</t>
        </is>
      </c>
      <c r="P123" s="93" t="inlineStr">
        <is>
          <t>일반</t>
        </is>
      </c>
      <c r="Q123" s="93" t="inlineStr">
        <is>
          <t>원자재</t>
        </is>
      </c>
      <c r="R123" s="93" t="inlineStr">
        <is>
          <t>연배당</t>
        </is>
      </c>
      <c r="S123" s="94" t="n">
        <v>1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IFERROR(INDEX($A$4:$A$253,MATCH(120,$X$4:$X$253,0)),"")</f>
        <v/>
      </c>
    </row>
    <row r="124">
      <c r="A124" s="93" t="inlineStr">
        <is>
          <t>ACE KRX금현물</t>
        </is>
      </c>
      <c r="B124" s="93" t="inlineStr">
        <is>
          <t>411060</t>
        </is>
      </c>
      <c r="C124" s="93" t="inlineStr">
        <is>
          <t>한국투자신탁운용</t>
        </is>
      </c>
      <c r="D124" s="94" t="n">
        <v>27100</v>
      </c>
      <c r="E124" s="94" t="n">
        <v>4054160000000</v>
      </c>
      <c r="F124" s="94" t="n">
        <v>24935992954</v>
      </c>
      <c r="G124" s="74" t="n">
        <v>0.0019</v>
      </c>
      <c r="H124" s="74" t="n">
        <v>0.3191</v>
      </c>
      <c r="I124" s="74" t="n">
        <v>0</v>
      </c>
      <c r="J124" s="74" t="n">
        <v>3.7e-05</v>
      </c>
      <c r="K124" s="94" t="n">
        <v>1</v>
      </c>
      <c r="L124" s="95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KRX 금현물지수</t>
        </is>
      </c>
      <c r="P124" s="93" t="inlineStr">
        <is>
          <t>일반</t>
        </is>
      </c>
      <c r="Q124" s="93" t="inlineStr">
        <is>
          <t>원자재</t>
        </is>
      </c>
      <c r="R124" s="93" t="inlineStr">
        <is>
          <t>연배당</t>
        </is>
      </c>
      <c r="S124" s="94" t="n">
        <v>1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IFERROR(INDEX($A$4:$A$253,MATCH(121,$X$4:$X$253,0)),"")</f>
        <v/>
      </c>
    </row>
    <row r="125">
      <c r="A125" s="96" t="inlineStr">
        <is>
          <t>ACE 미국반도체데일리타겟커버드콜(합성)</t>
        </is>
      </c>
      <c r="B125" s="96" t="inlineStr">
        <is>
          <t>480040</t>
        </is>
      </c>
      <c r="C125" s="96" t="inlineStr">
        <is>
          <t>한국투신운용(ETF)</t>
        </is>
      </c>
      <c r="D125" s="97" t="n">
        <v>14007</v>
      </c>
      <c r="E125" s="97" t="n">
        <v>190495200000</v>
      </c>
      <c r="F125" s="97" t="n">
        <v>3359327976</v>
      </c>
      <c r="G125" s="98" t="n">
        <v>0.004500000000000001</v>
      </c>
      <c r="H125" s="98" t="n">
        <v>0.4421</v>
      </c>
      <c r="I125" s="98" t="n">
        <v>0.0303</v>
      </c>
      <c r="J125" s="98" t="n">
        <v>0.24859</v>
      </c>
      <c r="K125" s="97" t="n">
        <v>29</v>
      </c>
      <c r="L125" s="99" t="inlineStr">
        <is>
          <t>20260914</t>
        </is>
      </c>
      <c r="M125" s="96" t="inlineStr">
        <is>
          <t>제외</t>
        </is>
      </c>
      <c r="N125" s="96" t="inlineStr">
        <is>
          <t>변동성 44.2%(1년 기준, 기준 35% 초과)</t>
        </is>
      </c>
      <c r="O125" s="96" t="inlineStr">
        <is>
          <t>Bloomberg US Listed Semiconductor Premium(QQQ) Decrement 15%</t>
        </is>
      </c>
      <c r="P125" s="96" t="inlineStr">
        <is>
          <t>커버드콜</t>
        </is>
      </c>
      <c r="Q125" s="96" t="inlineStr">
        <is>
          <t>주식</t>
        </is>
      </c>
      <c r="R125" s="96" t="inlineStr">
        <is>
          <t>월배당</t>
        </is>
      </c>
      <c r="S125" s="97" t="n">
        <v>12</v>
      </c>
      <c r="T125" s="98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IFERROR(INDEX($A$4:$A$253,MATCH(122,$X$4:$X$253,0)),"")</f>
        <v/>
      </c>
    </row>
    <row r="126">
      <c r="A126" s="96" t="inlineStr">
        <is>
          <t>RISE 코리아밸류업위클리고정커버드콜</t>
        </is>
      </c>
      <c r="B126" s="96" t="inlineStr">
        <is>
          <t>0094M0</t>
        </is>
      </c>
      <c r="C126" s="96" t="inlineStr">
        <is>
          <t>KB자산운용</t>
        </is>
      </c>
      <c r="D126" s="97" t="n">
        <v>17265</v>
      </c>
      <c r="E126" s="97" t="n">
        <v>347026500000</v>
      </c>
      <c r="F126" s="97" t="n">
        <v>9642948699</v>
      </c>
      <c r="G126" s="98" t="n">
        <v>0.003</v>
      </c>
      <c r="H126" s="98" t="n">
        <v>0.458</v>
      </c>
      <c r="I126" s="98" t="n">
        <v>0.0299</v>
      </c>
      <c r="J126" s="98" t="n">
        <v>0.243267</v>
      </c>
      <c r="K126" s="97" t="n">
        <v>12</v>
      </c>
      <c r="L126" s="99" t="inlineStr">
        <is>
          <t>20260914</t>
        </is>
      </c>
      <c r="M126" s="96" t="inlineStr">
        <is>
          <t>제외</t>
        </is>
      </c>
      <c r="N126" s="96" t="inlineStr">
        <is>
          <t>변동성 45.8%(1년 기준, 기준 35% 초과)</t>
        </is>
      </c>
      <c r="O126" s="96" t="inlineStr">
        <is>
          <t>코리아 밸류업 위클리 커버드콜 30% 지수</t>
        </is>
      </c>
      <c r="P126" s="96" t="inlineStr">
        <is>
          <t>커버드콜</t>
        </is>
      </c>
      <c r="Q126" s="96" t="inlineStr">
        <is>
          <t>주식</t>
        </is>
      </c>
      <c r="R126" s="96" t="inlineStr">
        <is>
          <t>월배당</t>
        </is>
      </c>
      <c r="S126" s="97" t="n">
        <v>12</v>
      </c>
      <c r="T126" s="98" t="n">
        <v>0.0445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IFERROR(INDEX($A$4:$A$253,MATCH(123,$X$4:$X$253,0)),"")</f>
        <v/>
      </c>
    </row>
    <row r="127">
      <c r="A127" s="96" t="inlineStr">
        <is>
          <t>TIGER 배당커버드콜액티브</t>
        </is>
      </c>
      <c r="B127" s="96" t="inlineStr">
        <is>
          <t>472150</t>
        </is>
      </c>
      <c r="C127" s="96" t="inlineStr">
        <is>
          <t>미래에셋자산운용</t>
        </is>
      </c>
      <c r="D127" s="97" t="n">
        <v>20440</v>
      </c>
      <c r="E127" s="97" t="n">
        <v>2562562800000</v>
      </c>
      <c r="F127" s="97" t="n">
        <v>97745585779</v>
      </c>
      <c r="G127" s="98" t="n">
        <v>0.005</v>
      </c>
      <c r="H127" s="98" t="n">
        <v>0.5735</v>
      </c>
      <c r="I127" s="98" t="n">
        <v>0.0197</v>
      </c>
      <c r="J127" s="98" t="n">
        <v>0.21453</v>
      </c>
      <c r="K127" s="97" t="n">
        <v>33</v>
      </c>
      <c r="L127" s="99" t="inlineStr">
        <is>
          <t>20260828</t>
        </is>
      </c>
      <c r="M127" s="96" t="inlineStr">
        <is>
          <t>제외</t>
        </is>
      </c>
      <c r="N127" s="96" t="inlineStr">
        <is>
          <t>변동성 57.3%(1년 기준, 기준 35% 초과)</t>
        </is>
      </c>
      <c r="O127" s="96" t="inlineStr">
        <is>
          <t>코스피 200 커버드콜 5% OTM</t>
        </is>
      </c>
      <c r="P127" s="96" t="inlineStr">
        <is>
          <t>커버드콜</t>
        </is>
      </c>
      <c r="Q127" s="96" t="inlineStr">
        <is>
          <t>주식</t>
        </is>
      </c>
      <c r="R127" s="96" t="inlineStr">
        <is>
          <t>월배당</t>
        </is>
      </c>
      <c r="S127" s="97" t="n">
        <v>11</v>
      </c>
      <c r="T127" s="98" t="n">
        <v>0.0315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IFERROR(INDEX($A$4:$A$253,MATCH(124,$X$4:$X$253,0)),"")</f>
        <v/>
      </c>
    </row>
    <row r="128">
      <c r="A128" s="96" t="inlineStr">
        <is>
          <t>RISE 200위클리커버드콜</t>
        </is>
      </c>
      <c r="B128" s="96" t="inlineStr">
        <is>
          <t>475720</t>
        </is>
      </c>
      <c r="C128" s="96" t="inlineStr">
        <is>
          <t>KB자산운용</t>
        </is>
      </c>
      <c r="D128" s="97" t="n">
        <v>12680</v>
      </c>
      <c r="E128" s="97" t="n">
        <v>844488000000</v>
      </c>
      <c r="F128" s="97" t="n">
        <v>12023526455</v>
      </c>
      <c r="G128" s="98" t="n">
        <v>0.003</v>
      </c>
      <c r="H128" s="98" t="n">
        <v>0.4328</v>
      </c>
      <c r="I128" s="98" t="n">
        <v>0.0185</v>
      </c>
      <c r="J128" s="98" t="n">
        <v>0.194795</v>
      </c>
      <c r="K128" s="97" t="n">
        <v>30</v>
      </c>
      <c r="L128" s="99" t="inlineStr">
        <is>
          <t>20260828</t>
        </is>
      </c>
      <c r="M128" s="96" t="inlineStr">
        <is>
          <t>제외</t>
        </is>
      </c>
      <c r="N128" s="96" t="inlineStr">
        <is>
          <t>변동성 43.3%(1년 기준, 기준 35% 초과)</t>
        </is>
      </c>
      <c r="O128" s="96" t="inlineStr">
        <is>
          <t>코스피 200 위클리 커버드콜 ATM 지수</t>
        </is>
      </c>
      <c r="P128" s="96" t="inlineStr">
        <is>
          <t>커버드콜</t>
        </is>
      </c>
      <c r="Q128" s="96" t="inlineStr">
        <is>
          <t>주식</t>
        </is>
      </c>
      <c r="R128" s="96" t="inlineStr">
        <is>
          <t>월배당</t>
        </is>
      </c>
      <c r="S128" s="97" t="n">
        <v>11</v>
      </c>
      <c r="T128" s="98" t="n">
        <v>0.0445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IFERROR(INDEX($A$4:$A$253,MATCH(125,$X$4:$X$253,0)),"")</f>
        <v/>
      </c>
    </row>
    <row r="129">
      <c r="A129" s="96" t="inlineStr">
        <is>
          <t>RISE 미국배당100데일리고정커버드콜</t>
        </is>
      </c>
      <c r="B129" s="96" t="inlineStr">
        <is>
          <t>490600</t>
        </is>
      </c>
      <c r="C129" s="96" t="inlineStr">
        <is>
          <t>KB자산운용</t>
        </is>
      </c>
      <c r="D129" s="97" t="n">
        <v>8840</v>
      </c>
      <c r="E129" s="97" t="n">
        <v>169286000000</v>
      </c>
      <c r="F129" s="97" t="n">
        <v>2313567290</v>
      </c>
      <c r="G129" s="98" t="n">
        <v>0.0025</v>
      </c>
      <c r="H129" s="98" t="n">
        <v>0.1458</v>
      </c>
      <c r="I129" s="98" t="n">
        <v>0.01</v>
      </c>
      <c r="J129" s="98" t="n">
        <v>0.178394</v>
      </c>
      <c r="K129" s="97" t="n">
        <v>24</v>
      </c>
      <c r="L129" s="99" t="inlineStr">
        <is>
          <t>20260914</t>
        </is>
      </c>
      <c r="M129" s="96" t="inlineStr">
        <is>
          <t>제외</t>
        </is>
      </c>
      <c r="N129" s="96" t="inlineStr">
        <is>
          <t>분배율 대조 불일치(연분배율 계산 17.8394% vs ETFCHECK 16.4819%)</t>
        </is>
      </c>
      <c r="O129" s="96" t="inlineStr">
        <is>
          <t>KEDI U.S. Dividend100 90% Participation + Daily Options Prem</t>
        </is>
      </c>
      <c r="P129" s="96" t="inlineStr">
        <is>
          <t>커버드콜</t>
        </is>
      </c>
      <c r="Q129" s="96" t="inlineStr">
        <is>
          <t>주식</t>
        </is>
      </c>
      <c r="R129" s="96" t="inlineStr">
        <is>
          <t>월배당</t>
        </is>
      </c>
      <c r="S129" s="97" t="n">
        <v>12</v>
      </c>
      <c r="T129" s="98" t="n">
        <v>0.6367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IFERROR(INDEX($A$4:$A$253,MATCH(126,$X$4:$X$253,0)),"")</f>
        <v/>
      </c>
    </row>
    <row r="130">
      <c r="A130" s="96" t="inlineStr">
        <is>
          <t>RISE 테슬라미국채타겟커버드콜혼합(합성)</t>
        </is>
      </c>
      <c r="B130" s="96" t="inlineStr">
        <is>
          <t>0013R0</t>
        </is>
      </c>
      <c r="C130" s="96" t="inlineStr">
        <is>
          <t>KB자산운용</t>
        </is>
      </c>
      <c r="D130" s="97" t="n">
        <v>7900</v>
      </c>
      <c r="E130" s="97" t="n">
        <v>28440000000</v>
      </c>
      <c r="F130" s="97" t="n">
        <v>153541462</v>
      </c>
      <c r="G130" s="98" t="n">
        <v>0.0025</v>
      </c>
      <c r="H130" s="98" t="n">
        <v>0.1865</v>
      </c>
      <c r="I130" s="98" t="n">
        <v>0.0129</v>
      </c>
      <c r="J130" s="98" t="n">
        <v>0.177215</v>
      </c>
      <c r="K130" s="97" t="n">
        <v>18</v>
      </c>
      <c r="L130" s="99" t="inlineStr">
        <is>
          <t>20260828</t>
        </is>
      </c>
      <c r="M130" s="96" t="inlineStr">
        <is>
          <t>제외</t>
        </is>
      </c>
      <c r="N130" s="96" t="inlineStr">
        <is>
          <t>순자산 284억(기준 300억 미만), 60일 거래대금 1.5억(기준 5억 미만)</t>
        </is>
      </c>
      <c r="O130" s="96" t="inlineStr">
        <is>
          <t>KEDI Tesla U.S. 30Y Treasury 15% Target Premium Balanced Ind</t>
        </is>
      </c>
      <c r="P130" s="96" t="inlineStr">
        <is>
          <t>커버드콜</t>
        </is>
      </c>
      <c r="Q130" s="96" t="inlineStr">
        <is>
          <t>멀티에셋</t>
        </is>
      </c>
      <c r="R130" s="96" t="inlineStr">
        <is>
          <t>월배당</t>
        </is>
      </c>
      <c r="S130" s="97" t="n">
        <v>11</v>
      </c>
      <c r="T130" s="98" t="n">
        <v>0.7736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IFERROR(INDEX($A$4:$A$253,MATCH(127,$X$4:$X$253,0)),"")</f>
        <v/>
      </c>
    </row>
    <row r="131">
      <c r="A131" s="96" t="inlineStr">
        <is>
          <t>KODEX 200타겟위클리커버드콜</t>
        </is>
      </c>
      <c r="B131" s="96" t="inlineStr">
        <is>
          <t>498400</t>
        </is>
      </c>
      <c r="C131" s="96" t="inlineStr">
        <is>
          <t>삼성자산운용(ETF)</t>
        </is>
      </c>
      <c r="D131" s="97" t="n">
        <v>20275</v>
      </c>
      <c r="E131" s="97" t="n">
        <v>5989235000000</v>
      </c>
      <c r="F131" s="97" t="n">
        <v>169439998636</v>
      </c>
      <c r="G131" s="98" t="n">
        <v>0.0039</v>
      </c>
      <c r="H131" s="98" t="n">
        <v>0.5659000000000001</v>
      </c>
      <c r="I131" s="98" t="n">
        <v>0.0145</v>
      </c>
      <c r="J131" s="98" t="n">
        <v>0.15418</v>
      </c>
      <c r="K131" s="97" t="n">
        <v>21</v>
      </c>
      <c r="L131" s="99" t="inlineStr">
        <is>
          <t>20260914</t>
        </is>
      </c>
      <c r="M131" s="96" t="inlineStr">
        <is>
          <t>제외</t>
        </is>
      </c>
      <c r="N131" s="96" t="inlineStr">
        <is>
          <t>변동성 56.6%(1년 기준, 기준 35% 초과)</t>
        </is>
      </c>
      <c r="O131" s="96" t="inlineStr">
        <is>
          <t>코스피 200 타겟 15% 위클리 커버드콜 지수</t>
        </is>
      </c>
      <c r="P131" s="96" t="inlineStr">
        <is>
          <t>커버드콜</t>
        </is>
      </c>
      <c r="Q131" s="96" t="inlineStr">
        <is>
          <t>주식</t>
        </is>
      </c>
      <c r="R131" s="96" t="inlineStr">
        <is>
          <t>월배당</t>
        </is>
      </c>
      <c r="S131" s="97" t="n">
        <v>12</v>
      </c>
      <c r="T131" s="98" t="n">
        <v>0.0384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IFERROR(INDEX($A$4:$A$253,MATCH(128,$X$4:$X$253,0)),"")</f>
        <v/>
      </c>
    </row>
    <row r="132">
      <c r="A132" s="96" t="inlineStr">
        <is>
          <t>RISE 차이나테크TOP10위클리타겟커버드콜</t>
        </is>
      </c>
      <c r="B132" s="96" t="inlineStr">
        <is>
          <t>0094L0</t>
        </is>
      </c>
      <c r="C132" s="96" t="inlineStr">
        <is>
          <t>KB자산운용</t>
        </is>
      </c>
      <c r="D132" s="97" t="n">
        <v>7070</v>
      </c>
      <c r="E132" s="97" t="n">
        <v>9898000000</v>
      </c>
      <c r="F132" s="97" t="n">
        <v>58835397</v>
      </c>
      <c r="G132" s="98" t="n">
        <v>0.003</v>
      </c>
      <c r="H132" s="98" t="n">
        <v>0.2782</v>
      </c>
      <c r="I132" s="98" t="n">
        <v>0.0097</v>
      </c>
      <c r="J132" s="98" t="n">
        <v>0.154173</v>
      </c>
      <c r="K132" s="97" t="n">
        <v>12</v>
      </c>
      <c r="L132" s="99" t="inlineStr">
        <is>
          <t>20260828</t>
        </is>
      </c>
      <c r="M132" s="96" t="inlineStr">
        <is>
          <t>제외</t>
        </is>
      </c>
      <c r="N132" s="96" t="inlineStr">
        <is>
          <t>순자산 99억(기준 300억 미만), 60일 거래대금 0.6억(기준 5억 미만)</t>
        </is>
      </c>
      <c r="O132" s="96" t="inlineStr">
        <is>
          <t>Bloomberg China Tech Select Top 10 + 12% Target Premium Week</t>
        </is>
      </c>
      <c r="P132" s="96" t="inlineStr">
        <is>
          <t>커버드콜</t>
        </is>
      </c>
      <c r="Q132" s="96" t="inlineStr">
        <is>
          <t>주식</t>
        </is>
      </c>
      <c r="R132" s="96" t="inlineStr">
        <is>
          <t>월배당</t>
        </is>
      </c>
      <c r="S132" s="97" t="n">
        <v>11</v>
      </c>
      <c r="T132" s="98" t="n">
        <v>0.367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IFERROR(INDEX($A$4:$A$253,MATCH(129,$X$4:$X$253,0)),"")</f>
        <v/>
      </c>
    </row>
    <row r="133">
      <c r="A133" s="96" t="inlineStr">
        <is>
          <t>PLUS 미국배당증가성장주데일리커버드콜</t>
        </is>
      </c>
      <c r="B133" s="96" t="inlineStr">
        <is>
          <t>494420</t>
        </is>
      </c>
      <c r="C133" s="96" t="inlineStr">
        <is>
          <t>한화자산운용</t>
        </is>
      </c>
      <c r="D133" s="97" t="n">
        <v>8740</v>
      </c>
      <c r="E133" s="97" t="n">
        <v>15732000000</v>
      </c>
      <c r="F133" s="97" t="n">
        <v>113423922</v>
      </c>
      <c r="G133" s="98" t="n">
        <v>0.0039</v>
      </c>
      <c r="H133" s="98" t="n">
        <v>0.144</v>
      </c>
      <c r="I133" s="98" t="n">
        <v>0.0119</v>
      </c>
      <c r="J133" s="98" t="n">
        <v>0.148055</v>
      </c>
      <c r="K133" s="97" t="n">
        <v>23</v>
      </c>
      <c r="L133" s="99" t="inlineStr">
        <is>
          <t>20260914</t>
        </is>
      </c>
      <c r="M133" s="96" t="inlineStr">
        <is>
          <t>제외</t>
        </is>
      </c>
      <c r="N133" s="96" t="inlineStr">
        <is>
          <t>순자산 157억(기준 300억 미만), 60일 거래대금 1.1억(기준 5억 미만)</t>
        </is>
      </c>
      <c r="O133" s="96" t="inlineStr">
        <is>
          <t>Bloomberg U.S. Dividend Growth Partial Covered Call Index</t>
        </is>
      </c>
      <c r="P133" s="96" t="inlineStr">
        <is>
          <t>커버드콜</t>
        </is>
      </c>
      <c r="Q133" s="96" t="inlineStr">
        <is>
          <t>주식</t>
        </is>
      </c>
      <c r="R133" s="96" t="inlineStr">
        <is>
          <t>월배당</t>
        </is>
      </c>
      <c r="S133" s="97" t="n">
        <v>12</v>
      </c>
      <c r="T133" s="98" t="n">
        <v>0.9196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IFERROR(INDEX($A$4:$A$253,MATCH(130,$X$4:$X$253,0)),"")</f>
        <v/>
      </c>
    </row>
    <row r="134">
      <c r="A134" s="96" t="inlineStr">
        <is>
          <t>FOCUS 알리바바미국채커버드콜혼합</t>
        </is>
      </c>
      <c r="B134" s="96" t="inlineStr">
        <is>
          <t>0073X0</t>
        </is>
      </c>
      <c r="C134" s="96" t="inlineStr">
        <is>
          <t>브이아이자산운용</t>
        </is>
      </c>
      <c r="D134" s="97" t="n">
        <v>8800</v>
      </c>
      <c r="E134" s="97" t="n">
        <v>4840000000</v>
      </c>
      <c r="F134" s="97" t="n">
        <v>30172718</v>
      </c>
      <c r="G134" s="98" t="n">
        <v>0.0036</v>
      </c>
      <c r="H134" s="98" t="n">
        <v>0.1645</v>
      </c>
      <c r="I134" s="98" t="n">
        <v>0.0091</v>
      </c>
      <c r="J134" s="98" t="n">
        <v>0.146023</v>
      </c>
      <c r="K134" s="97" t="n">
        <v>14</v>
      </c>
      <c r="L134" s="99" t="inlineStr">
        <is>
          <t>20260828</t>
        </is>
      </c>
      <c r="M134" s="96" t="inlineStr">
        <is>
          <t>제외</t>
        </is>
      </c>
      <c r="N134" s="96" t="inlineStr">
        <is>
          <t>순자산 48억(기준 300억 미만), 60일 거래대금 0.3억(기준 5억 미만)</t>
        </is>
      </c>
      <c r="O134" s="96" t="inlineStr">
        <is>
          <t>KEDI 알리바바 미국채커버드콜혼합지수(TR)</t>
        </is>
      </c>
      <c r="P134" s="96" t="inlineStr">
        <is>
          <t>커버드콜</t>
        </is>
      </c>
      <c r="Q134" s="96" t="inlineStr">
        <is>
          <t>멀티에셋</t>
        </is>
      </c>
      <c r="R134" s="96" t="inlineStr">
        <is>
          <t>월배당</t>
        </is>
      </c>
      <c r="S134" s="97" t="n">
        <v>11</v>
      </c>
      <c r="T134" s="98" t="n">
        <v>0.8615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IFERROR(INDEX($A$4:$A$253,MATCH(131,$X$4:$X$253,0)),"")</f>
        <v/>
      </c>
    </row>
    <row r="135">
      <c r="A135" s="96" t="inlineStr">
        <is>
          <t>TIGER 엔비디아미국채커버드콜밸런스(합성)</t>
        </is>
      </c>
      <c r="B135" s="96" t="inlineStr">
        <is>
          <t>0000D0</t>
        </is>
      </c>
      <c r="C135" s="96" t="inlineStr">
        <is>
          <t>미래에셋자산운용</t>
        </is>
      </c>
      <c r="D135" s="97" t="n">
        <v>9010</v>
      </c>
      <c r="E135" s="97" t="n">
        <v>62169000000</v>
      </c>
      <c r="F135" s="97" t="n">
        <v>347016407</v>
      </c>
      <c r="G135" s="98" t="n">
        <v>0.0039</v>
      </c>
      <c r="H135" s="98" t="n">
        <v>0.1692</v>
      </c>
      <c r="I135" s="98" t="n">
        <v>0.009899999999999999</v>
      </c>
      <c r="J135" s="98" t="n">
        <v>0.133518</v>
      </c>
      <c r="K135" s="97" t="n">
        <v>21</v>
      </c>
      <c r="L135" s="99" t="inlineStr">
        <is>
          <t>20260828</t>
        </is>
      </c>
      <c r="M135" s="96" t="inlineStr">
        <is>
          <t>제외</t>
        </is>
      </c>
      <c r="N135" s="96" t="inlineStr">
        <is>
          <t>60일 거래대금 3.5억(기준 5억 미만)</t>
        </is>
      </c>
      <c r="O135" s="96" t="inlineStr">
        <is>
          <t>KEDI Nvidia U.S. 30Y Treasury Target Covered Call Balanced I</t>
        </is>
      </c>
      <c r="P135" s="96" t="inlineStr">
        <is>
          <t>커버드콜</t>
        </is>
      </c>
      <c r="Q135" s="96" t="inlineStr">
        <is>
          <t>멀티에셋</t>
        </is>
      </c>
      <c r="R135" s="96" t="inlineStr">
        <is>
          <t>월배당</t>
        </is>
      </c>
      <c r="S135" s="97" t="n">
        <v>11</v>
      </c>
      <c r="T135" s="98" t="n">
        <v>0.8454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IFERROR(INDEX($A$4:$A$253,MATCH(132,$X$4:$X$253,0)),"")</f>
        <v/>
      </c>
    </row>
    <row r="136">
      <c r="A136" s="96" t="inlineStr">
        <is>
          <t>SOL 미국500타겟데일리커버드콜액티브</t>
        </is>
      </c>
      <c r="B136" s="96" t="inlineStr">
        <is>
          <t>494210</t>
        </is>
      </c>
      <c r="C136" s="96" t="inlineStr">
        <is>
          <t>신한자산운용</t>
        </is>
      </c>
      <c r="D136" s="97" t="n">
        <v>10810</v>
      </c>
      <c r="E136" s="97" t="n">
        <v>7567000000</v>
      </c>
      <c r="F136" s="97" t="n">
        <v>67275011</v>
      </c>
      <c r="G136" s="98" t="n">
        <v>0.0035</v>
      </c>
      <c r="H136" s="98" t="n">
        <v>0.1578</v>
      </c>
      <c r="I136" s="98" t="n">
        <v>0.01</v>
      </c>
      <c r="J136" s="98" t="n">
        <v>0.124237</v>
      </c>
      <c r="K136" s="97" t="n">
        <v>22</v>
      </c>
      <c r="L136" s="99" t="inlineStr">
        <is>
          <t>20260828</t>
        </is>
      </c>
      <c r="M136" s="96" t="inlineStr">
        <is>
          <t>제외</t>
        </is>
      </c>
      <c r="N136" s="96" t="inlineStr">
        <is>
          <t>순자산 76억(기준 300억 미만), 60일 거래대금 0.7억(기준 5억 미만)</t>
        </is>
      </c>
      <c r="O136" s="96" t="inlineStr">
        <is>
          <t>KEDI U.S. Quality500 + Monthly 1% Premium Index NTR</t>
        </is>
      </c>
      <c r="P136" s="96" t="inlineStr">
        <is>
          <t>커버드콜</t>
        </is>
      </c>
      <c r="Q136" s="96" t="inlineStr">
        <is>
          <t>주식</t>
        </is>
      </c>
      <c r="R136" s="96" t="inlineStr">
        <is>
          <t>월배당</t>
        </is>
      </c>
      <c r="S136" s="97" t="n">
        <v>11</v>
      </c>
      <c r="T136" s="98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IFERROR(INDEX($A$4:$A$253,MATCH(133,$X$4:$X$253,0)),"")</f>
        <v/>
      </c>
    </row>
    <row r="137">
      <c r="A137" s="96" t="inlineStr">
        <is>
          <t>TIGER 미국S&amp;P500타겟데일리커버드콜</t>
        </is>
      </c>
      <c r="B137" s="96" t="inlineStr">
        <is>
          <t>482730</t>
        </is>
      </c>
      <c r="C137" s="96" t="inlineStr">
        <is>
          <t>미래에셋자산운용</t>
        </is>
      </c>
      <c r="D137" s="97" t="n">
        <v>11625</v>
      </c>
      <c r="E137" s="97" t="n">
        <v>668437500000</v>
      </c>
      <c r="F137" s="97" t="n">
        <v>4836916759</v>
      </c>
      <c r="G137" s="98" t="n">
        <v>0.0025</v>
      </c>
      <c r="H137" s="98" t="n">
        <v>0.1486</v>
      </c>
      <c r="I137" s="98" t="n">
        <v>0.01</v>
      </c>
      <c r="J137" s="98" t="n">
        <v>0.113548</v>
      </c>
      <c r="K137" s="97" t="n">
        <v>28</v>
      </c>
      <c r="L137" s="99" t="inlineStr">
        <is>
          <t>20260914</t>
        </is>
      </c>
      <c r="M137" s="96" t="inlineStr">
        <is>
          <t>제외</t>
        </is>
      </c>
      <c r="N137" s="96" t="inlineStr">
        <is>
          <t>분배율 대조 불일치(연분배율 계산 11.3548% vs ETFCHECK 10.5331%)</t>
        </is>
      </c>
      <c r="O137" s="96" t="inlineStr">
        <is>
          <t>S&amp;P 500 10% Daily Premium Covered Call Index (USD) PR</t>
        </is>
      </c>
      <c r="P137" s="96" t="inlineStr">
        <is>
          <t>커버드콜</t>
        </is>
      </c>
      <c r="Q137" s="96" t="inlineStr">
        <is>
          <t>주식</t>
        </is>
      </c>
      <c r="R137" s="96" t="inlineStr">
        <is>
          <t>월배당</t>
        </is>
      </c>
      <c r="S137" s="97" t="n">
        <v>12</v>
      </c>
      <c r="T137" s="98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IFERROR(INDEX($A$4:$A$253,MATCH(134,$X$4:$X$253,0)),"")</f>
        <v/>
      </c>
    </row>
    <row r="138">
      <c r="A138" s="96" t="inlineStr">
        <is>
          <t>RISE 미국30년국채커버드콜(합성)</t>
        </is>
      </c>
      <c r="B138" s="96" t="inlineStr">
        <is>
          <t>472830</t>
        </is>
      </c>
      <c r="C138" s="96" t="inlineStr">
        <is>
          <t>KB자산운용</t>
        </is>
      </c>
      <c r="D138" s="97" t="n">
        <v>7880</v>
      </c>
      <c r="E138" s="97" t="n">
        <v>43734000000</v>
      </c>
      <c r="F138" s="97" t="n">
        <v>280434337</v>
      </c>
      <c r="G138" s="98" t="n">
        <v>0.0025</v>
      </c>
      <c r="H138" s="98" t="n">
        <v>0.142</v>
      </c>
      <c r="I138" s="98" t="n">
        <v>0.0067</v>
      </c>
      <c r="J138" s="98" t="n">
        <v>0.112437</v>
      </c>
      <c r="K138" s="97" t="n">
        <v>32</v>
      </c>
      <c r="L138" s="99" t="inlineStr">
        <is>
          <t>20260828</t>
        </is>
      </c>
      <c r="M138" s="96" t="inlineStr">
        <is>
          <t>제외</t>
        </is>
      </c>
      <c r="N138" s="96" t="inlineStr">
        <is>
          <t>60일 거래대금 2.8억(기준 5억 미만)</t>
        </is>
      </c>
      <c r="O138" s="96" t="inlineStr">
        <is>
          <t>Bloomberg U.S. Treasury 20+ Year(TLT) 2% OTM Covered Call In</t>
        </is>
      </c>
      <c r="P138" s="96" t="inlineStr">
        <is>
          <t>커버드콜</t>
        </is>
      </c>
      <c r="Q138" s="96" t="inlineStr">
        <is>
          <t>채권</t>
        </is>
      </c>
      <c r="R138" s="96" t="inlineStr">
        <is>
          <t>월배당</t>
        </is>
      </c>
      <c r="S138" s="97" t="n">
        <v>11</v>
      </c>
      <c r="T138" s="98" t="n">
        <v>0.7765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IFERROR(INDEX($A$4:$A$253,MATCH(135,$X$4:$X$253,0)),"")</f>
        <v/>
      </c>
    </row>
    <row r="139">
      <c r="A139" s="96" t="inlineStr">
        <is>
          <t>RISE 200고배당커버드콜ATM</t>
        </is>
      </c>
      <c r="B139" s="96" t="inlineStr">
        <is>
          <t>290080</t>
        </is>
      </c>
      <c r="C139" s="96" t="inlineStr">
        <is>
          <t>KB자산운용</t>
        </is>
      </c>
      <c r="D139" s="97" t="n">
        <v>7405</v>
      </c>
      <c r="E139" s="97" t="n">
        <v>12588500000</v>
      </c>
      <c r="F139" s="97" t="n">
        <v>169419586</v>
      </c>
      <c r="G139" s="98" t="n">
        <v>0.004</v>
      </c>
      <c r="H139" s="98" t="n">
        <v>0.3097</v>
      </c>
      <c r="I139" s="98" t="n">
        <v>0.008100000000000001</v>
      </c>
      <c r="J139" s="98" t="n">
        <v>0.106955</v>
      </c>
      <c r="K139" s="97" t="n">
        <v>49</v>
      </c>
      <c r="L139" s="99" t="inlineStr">
        <is>
          <t>20260828</t>
        </is>
      </c>
      <c r="M139" s="96" t="inlineStr">
        <is>
          <t>제외</t>
        </is>
      </c>
      <c r="N139" s="96" t="inlineStr">
        <is>
          <t>순자산 126억(기준 300억 미만), 60일 거래대금 1.7억(기준 5억 미만)</t>
        </is>
      </c>
      <c r="O139" s="96" t="inlineStr">
        <is>
          <t>코스피 200 고배당 커버드콜 ATM</t>
        </is>
      </c>
      <c r="P139" s="96" t="inlineStr">
        <is>
          <t>커버드콜</t>
        </is>
      </c>
      <c r="Q139" s="96" t="inlineStr">
        <is>
          <t>주식</t>
        </is>
      </c>
      <c r="R139" s="96" t="inlineStr">
        <is>
          <t>월배당</t>
        </is>
      </c>
      <c r="S139" s="97" t="n">
        <v>11</v>
      </c>
      <c r="T139" s="98" t="n">
        <v>0.3674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IFERROR(INDEX($A$4:$A$253,MATCH(136,$X$4:$X$253,0)),"")</f>
        <v/>
      </c>
    </row>
    <row r="140">
      <c r="A140" s="96" t="inlineStr">
        <is>
          <t>ACE 미국배당퀄리티+커버드콜액티브</t>
        </is>
      </c>
      <c r="B140" s="96" t="inlineStr">
        <is>
          <t>0049M0</t>
        </is>
      </c>
      <c r="C140" s="96" t="inlineStr">
        <is>
          <t>한국투신운용(ETF)</t>
        </is>
      </c>
      <c r="D140" s="97" t="n">
        <v>11185</v>
      </c>
      <c r="E140" s="97" t="n">
        <v>78854250000</v>
      </c>
      <c r="F140" s="97" t="n">
        <v>365439875</v>
      </c>
      <c r="G140" s="98" t="n">
        <v>0.0015</v>
      </c>
      <c r="H140" s="98" t="n">
        <v>0.1292</v>
      </c>
      <c r="I140" s="98" t="n">
        <v>0.006</v>
      </c>
      <c r="J140" s="98" t="n">
        <v>0.074475</v>
      </c>
      <c r="K140" s="97" t="n">
        <v>15</v>
      </c>
      <c r="L140" s="99" t="inlineStr">
        <is>
          <t>20260828</t>
        </is>
      </c>
      <c r="M140" s="96" t="inlineStr">
        <is>
          <t>제외</t>
        </is>
      </c>
      <c r="N140" s="96" t="inlineStr">
        <is>
          <t>60일 거래대금 3.7억(기준 5억 미만)</t>
        </is>
      </c>
      <c r="O140" s="96" t="inlineStr">
        <is>
          <t>Bloomberg WisdomTree U.S. Quality Dividend &amp; B500 Premium De</t>
        </is>
      </c>
      <c r="P140" s="96" t="inlineStr">
        <is>
          <t>커버드콜</t>
        </is>
      </c>
      <c r="Q140" s="96" t="inlineStr">
        <is>
          <t>주식</t>
        </is>
      </c>
      <c r="R140" s="96" t="inlineStr">
        <is>
          <t>월배당</t>
        </is>
      </c>
      <c r="S140" s="97" t="n">
        <v>11</v>
      </c>
      <c r="T140" s="98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IFERROR(INDEX($A$4:$A$253,MATCH(137,$X$4:$X$253,0)),"")</f>
        <v/>
      </c>
    </row>
    <row r="141">
      <c r="A141" s="96" t="inlineStr">
        <is>
          <t>TIME Korea플러스배당액티브</t>
        </is>
      </c>
      <c r="B141" s="96" t="inlineStr">
        <is>
          <t>441800</t>
        </is>
      </c>
      <c r="C141" s="96" t="inlineStr">
        <is>
          <t>타임폴리오자산운용</t>
        </is>
      </c>
      <c r="D141" s="97" t="n">
        <v>28690</v>
      </c>
      <c r="E141" s="97" t="n">
        <v>786679800000</v>
      </c>
      <c r="F141" s="97" t="n">
        <v>11022021819</v>
      </c>
      <c r="G141" s="98" t="n">
        <v>0.008</v>
      </c>
      <c r="H141" s="98" t="n">
        <v>0.4891</v>
      </c>
      <c r="I141" s="98" t="n">
        <v>0.005</v>
      </c>
      <c r="J141" s="98" t="n">
        <v>0.07249900000000001</v>
      </c>
      <c r="K141" s="97" t="n">
        <v>47</v>
      </c>
      <c r="L141" s="99" t="inlineStr">
        <is>
          <t>20260828</t>
        </is>
      </c>
      <c r="M141" s="96" t="inlineStr">
        <is>
          <t>제외</t>
        </is>
      </c>
      <c r="N141" s="96" t="inlineStr">
        <is>
          <t>변동성 48.9%(1년 기준, 기준 35% 초과)</t>
        </is>
      </c>
      <c r="O141" s="96" t="inlineStr">
        <is>
          <t>KOSPI 200</t>
        </is>
      </c>
      <c r="P141" s="96" t="inlineStr">
        <is>
          <t>일반</t>
        </is>
      </c>
      <c r="Q141" s="96" t="inlineStr">
        <is>
          <t>주식</t>
        </is>
      </c>
      <c r="R141" s="96" t="inlineStr">
        <is>
          <t>월배당</t>
        </is>
      </c>
      <c r="S141" s="97" t="n">
        <v>11</v>
      </c>
      <c r="T141" s="98" t="n">
        <v>0.1534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IFERROR(INDEX($A$4:$A$253,MATCH(138,$X$4:$X$253,0)),"")</f>
        <v/>
      </c>
    </row>
    <row r="142">
      <c r="A142" s="96" t="inlineStr">
        <is>
          <t>TIGER 리츠부동산인프라TOP10액티브</t>
        </is>
      </c>
      <c r="B142" s="96" t="inlineStr">
        <is>
          <t>0086B0</t>
        </is>
      </c>
      <c r="C142" s="96" t="inlineStr">
        <is>
          <t>미래에셋자산운용</t>
        </is>
      </c>
      <c r="D142" s="97" t="n">
        <v>9380</v>
      </c>
      <c r="E142" s="97" t="n">
        <v>45962000000</v>
      </c>
      <c r="F142" s="97" t="n">
        <v>219243998</v>
      </c>
      <c r="G142" s="98" t="n">
        <v>0.0005999999999999999</v>
      </c>
      <c r="H142" s="98" t="n">
        <v>0.1717</v>
      </c>
      <c r="I142" s="98" t="n">
        <v>0.005699999999999999</v>
      </c>
      <c r="J142" s="98" t="n">
        <v>0.06908299999999999</v>
      </c>
      <c r="K142" s="97" t="n">
        <v>13</v>
      </c>
      <c r="L142" s="99" t="inlineStr">
        <is>
          <t>20260914</t>
        </is>
      </c>
      <c r="M142" s="96" t="inlineStr">
        <is>
          <t>제외</t>
        </is>
      </c>
      <c r="N142" s="96" t="inlineStr">
        <is>
          <t>60일 거래대금 2.2억(기준 5억 미만)</t>
        </is>
      </c>
      <c r="O142" s="96" t="inlineStr">
        <is>
          <t>KEDI 리츠부동산인프라TOP10 지수</t>
        </is>
      </c>
      <c r="P142" s="96" t="inlineStr">
        <is>
          <t>일반</t>
        </is>
      </c>
      <c r="Q142" s="96" t="inlineStr">
        <is>
          <t>부동산</t>
        </is>
      </c>
      <c r="R142" s="96" t="inlineStr">
        <is>
          <t>월배당</t>
        </is>
      </c>
      <c r="S142" s="97" t="n">
        <v>12</v>
      </c>
      <c r="T142" s="98" t="n">
        <v>0.8889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IFERROR(INDEX($A$4:$A$253,MATCH(139,$X$4:$X$253,0)),"")</f>
        <v/>
      </c>
    </row>
    <row r="143">
      <c r="A143" s="96" t="inlineStr">
        <is>
          <t>TIGER 200커버드콜</t>
        </is>
      </c>
      <c r="B143" s="96" t="inlineStr">
        <is>
          <t>289480</t>
        </is>
      </c>
      <c r="C143" s="96" t="inlineStr">
        <is>
          <t>미래에셋자산운용</t>
        </is>
      </c>
      <c r="D143" s="97" t="n">
        <v>12955</v>
      </c>
      <c r="E143" s="97" t="n">
        <v>27205500000</v>
      </c>
      <c r="F143" s="97" t="n">
        <v>431927731</v>
      </c>
      <c r="G143" s="98" t="n">
        <v>0.0038</v>
      </c>
      <c r="H143" s="98" t="n">
        <v>0.3836</v>
      </c>
      <c r="I143" s="98" t="n">
        <v>0.0069</v>
      </c>
      <c r="J143" s="98" t="n">
        <v>0.068854</v>
      </c>
      <c r="K143" s="97" t="n">
        <v>51</v>
      </c>
      <c r="L143" s="99" t="inlineStr">
        <is>
          <t>20260828</t>
        </is>
      </c>
      <c r="M143" s="96" t="inlineStr">
        <is>
          <t>제외</t>
        </is>
      </c>
      <c r="N143" s="96" t="inlineStr">
        <is>
          <t>순자산 272억(기준 300억 미만), 60일 거래대금 4.3억(기준 5억 미만), 변동성 38.4%(1년 기준, 기준 35% 초과)</t>
        </is>
      </c>
      <c r="O143" s="96" t="inlineStr">
        <is>
          <t>코스피 200 커버드콜 ATM</t>
        </is>
      </c>
      <c r="P143" s="96" t="inlineStr">
        <is>
          <t>커버드콜</t>
        </is>
      </c>
      <c r="Q143" s="96" t="inlineStr">
        <is>
          <t>주식</t>
        </is>
      </c>
      <c r="R143" s="96" t="inlineStr">
        <is>
          <t>월배당</t>
        </is>
      </c>
      <c r="S143" s="97" t="n">
        <v>11</v>
      </c>
      <c r="T143" s="98" t="n">
        <v>0.1054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IFERROR(INDEX($A$4:$A$253,MATCH(140,$X$4:$X$253,0)),"")</f>
        <v/>
      </c>
    </row>
    <row r="144">
      <c r="A144" s="96" t="inlineStr">
        <is>
          <t>ACE 미국하이일드액티브(H)</t>
        </is>
      </c>
      <c r="B144" s="96" t="inlineStr">
        <is>
          <t>455660</t>
        </is>
      </c>
      <c r="C144" s="96" t="inlineStr">
        <is>
          <t>한국투자신탁운용</t>
        </is>
      </c>
      <c r="D144" s="97" t="n">
        <v>9370</v>
      </c>
      <c r="E144" s="97" t="n">
        <v>61842000000</v>
      </c>
      <c r="F144" s="97" t="n">
        <v>203928531</v>
      </c>
      <c r="G144" s="98" t="n">
        <v>0.0024</v>
      </c>
      <c r="H144" s="98" t="n">
        <v>0.0395</v>
      </c>
      <c r="I144" s="98" t="n">
        <v>0.005500000000000001</v>
      </c>
      <c r="J144" s="98" t="n">
        <v>0.06851699999999999</v>
      </c>
      <c r="K144" s="97" t="n">
        <v>40</v>
      </c>
      <c r="L144" s="99" t="inlineStr">
        <is>
          <t>20260828</t>
        </is>
      </c>
      <c r="M144" s="96" t="inlineStr">
        <is>
          <t>제외</t>
        </is>
      </c>
      <c r="N144" s="96" t="inlineStr">
        <is>
          <t>60일 거래대금 2.0억(기준 5억 미만)</t>
        </is>
      </c>
      <c r="O144" s="96" t="inlineStr">
        <is>
          <t>iBoxx USD Liquid High Yield Total Return Index</t>
        </is>
      </c>
      <c r="P144" s="96" t="inlineStr">
        <is>
          <t>일반</t>
        </is>
      </c>
      <c r="Q144" s="96" t="inlineStr">
        <is>
          <t>채권</t>
        </is>
      </c>
      <c r="R144" s="96" t="inlineStr">
        <is>
          <t>월배당</t>
        </is>
      </c>
      <c r="S144" s="97" t="n">
        <v>11</v>
      </c>
      <c r="T144" s="98" t="n">
        <v>0.5343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IFERROR(INDEX($A$4:$A$253,MATCH(141,$X$4:$X$253,0)),"")</f>
        <v/>
      </c>
    </row>
    <row r="145">
      <c r="A145" s="96" t="inlineStr">
        <is>
          <t>KoAct 배당성장액티브</t>
        </is>
      </c>
      <c r="B145" s="96" t="inlineStr">
        <is>
          <t>476850</t>
        </is>
      </c>
      <c r="C145" s="96" t="inlineStr">
        <is>
          <t>삼성액티브자산(ETF)</t>
        </is>
      </c>
      <c r="D145" s="97" t="n">
        <v>21730</v>
      </c>
      <c r="E145" s="97" t="n">
        <v>104304000000</v>
      </c>
      <c r="F145" s="97" t="n">
        <v>2107954135</v>
      </c>
      <c r="G145" s="98" t="n">
        <v>0.005</v>
      </c>
      <c r="H145" s="98" t="n">
        <v>0.5002</v>
      </c>
      <c r="I145" s="98" t="n">
        <v>0.005</v>
      </c>
      <c r="J145" s="98" t="n">
        <v>0.068385</v>
      </c>
      <c r="K145" s="97" t="n">
        <v>15</v>
      </c>
      <c r="L145" s="99" t="inlineStr">
        <is>
          <t>20260828</t>
        </is>
      </c>
      <c r="M145" s="96" t="inlineStr">
        <is>
          <t>제외</t>
        </is>
      </c>
      <c r="N145" s="96" t="inlineStr">
        <is>
          <t>변동성 50.0%(1년 기준, 기준 35% 초과)</t>
        </is>
      </c>
      <c r="O145" s="96" t="inlineStr">
        <is>
          <t>코스피</t>
        </is>
      </c>
      <c r="P145" s="96" t="inlineStr">
        <is>
          <t>일반</t>
        </is>
      </c>
      <c r="Q145" s="96" t="inlineStr">
        <is>
          <t>주식</t>
        </is>
      </c>
      <c r="R145" s="96" t="inlineStr">
        <is>
          <t>비정기</t>
        </is>
      </c>
      <c r="S145" s="97" t="n">
        <v>8</v>
      </c>
      <c r="T145" s="98" t="n">
        <v>0.1073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IFERROR(INDEX($A$4:$A$253,MATCH(142,$X$4:$X$253,0)),"")</f>
        <v/>
      </c>
    </row>
    <row r="146">
      <c r="A146" s="96" t="inlineStr">
        <is>
          <t>WON 한국부동산TOP3플러스</t>
        </is>
      </c>
      <c r="B146" s="96" t="inlineStr">
        <is>
          <t>480460</t>
        </is>
      </c>
      <c r="C146" s="96" t="inlineStr">
        <is>
          <t>우리자산운용</t>
        </is>
      </c>
      <c r="D146" s="97" t="n">
        <v>9115</v>
      </c>
      <c r="E146" s="97" t="n">
        <v>7747750000</v>
      </c>
      <c r="F146" s="97" t="n">
        <v>26163055</v>
      </c>
      <c r="G146" s="98" t="n">
        <v>0.0025</v>
      </c>
      <c r="H146" s="98" t="n">
        <v>0.17</v>
      </c>
      <c r="I146" s="98" t="n">
        <v>0.0053</v>
      </c>
      <c r="J146" s="98" t="n">
        <v>0.065826</v>
      </c>
      <c r="K146" s="97" t="n">
        <v>27</v>
      </c>
      <c r="L146" s="99" t="inlineStr">
        <is>
          <t>20260828</t>
        </is>
      </c>
      <c r="M146" s="96" t="inlineStr">
        <is>
          <t>제외</t>
        </is>
      </c>
      <c r="N146" s="96" t="inlineStr">
        <is>
          <t>순자산 77억(기준 300억 미만), 60일 거래대금 0.3억(기준 5억 미만)</t>
        </is>
      </c>
      <c r="O146" s="96" t="inlineStr">
        <is>
          <t>DeepSearch 한국부동산 Top3 플러스 지수</t>
        </is>
      </c>
      <c r="P146" s="96" t="inlineStr">
        <is>
          <t>일반</t>
        </is>
      </c>
      <c r="Q146" s="96" t="inlineStr">
        <is>
          <t>부동산</t>
        </is>
      </c>
      <c r="R146" s="96" t="inlineStr">
        <is>
          <t>월배당</t>
        </is>
      </c>
      <c r="S146" s="97" t="n">
        <v>11</v>
      </c>
      <c r="T146" s="98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IFERROR(INDEX($A$4:$A$253,MATCH(143,$X$4:$X$253,0)),"")</f>
        <v/>
      </c>
    </row>
    <row r="147">
      <c r="A147" s="96" t="inlineStr">
        <is>
          <t>TIGER 리츠부동산인프라채권</t>
        </is>
      </c>
      <c r="B147" s="96" t="inlineStr">
        <is>
          <t>341850</t>
        </is>
      </c>
      <c r="C147" s="96" t="inlineStr">
        <is>
          <t>미래에셋자산운용</t>
        </is>
      </c>
      <c r="D147" s="97" t="n">
        <v>4575</v>
      </c>
      <c r="E147" s="97" t="n">
        <v>9150000000</v>
      </c>
      <c r="F147" s="97" t="n">
        <v>33465619</v>
      </c>
      <c r="G147" s="98" t="n">
        <v>0.0022</v>
      </c>
      <c r="H147" s="98" t="n">
        <v>0.1326</v>
      </c>
      <c r="I147" s="98" t="n">
        <v>0.0052</v>
      </c>
      <c r="J147" s="98" t="n">
        <v>0.06295099999999999</v>
      </c>
      <c r="K147" s="97" t="n">
        <v>51</v>
      </c>
      <c r="L147" s="99" t="inlineStr">
        <is>
          <t>20260828</t>
        </is>
      </c>
      <c r="M147" s="96" t="inlineStr">
        <is>
          <t>제외</t>
        </is>
      </c>
      <c r="N147" s="96" t="inlineStr">
        <is>
          <t>순자산 92억(기준 300억 미만), 60일 거래대금 0.3억(기준 5억 미만)</t>
        </is>
      </c>
      <c r="O147" s="96" t="inlineStr">
        <is>
          <t>KIS 리츠부동산인프라채권 지수</t>
        </is>
      </c>
      <c r="P147" s="96" t="inlineStr">
        <is>
          <t>일반</t>
        </is>
      </c>
      <c r="Q147" s="96" t="inlineStr">
        <is>
          <t>멀티에셋</t>
        </is>
      </c>
      <c r="R147" s="96" t="inlineStr">
        <is>
          <t>월배당</t>
        </is>
      </c>
      <c r="S147" s="97" t="n">
        <v>11</v>
      </c>
      <c r="T147" s="98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IFERROR(INDEX($A$4:$A$253,MATCH(144,$X$4:$X$253,0)),"")</f>
        <v/>
      </c>
    </row>
    <row r="148">
      <c r="A148" s="96" t="inlineStr">
        <is>
          <t>ACE 싱가포르리츠</t>
        </is>
      </c>
      <c r="B148" s="96" t="inlineStr">
        <is>
          <t>316300</t>
        </is>
      </c>
      <c r="C148" s="96" t="inlineStr">
        <is>
          <t>한국투신운용(ETF)</t>
        </is>
      </c>
      <c r="D148" s="97" t="n">
        <v>12482</v>
      </c>
      <c r="E148" s="97" t="n">
        <v>6241000000</v>
      </c>
      <c r="F148" s="97" t="n">
        <v>13131648</v>
      </c>
      <c r="G148" s="98" t="n">
        <v>0.004</v>
      </c>
      <c r="H148" s="98" t="n">
        <v>0.1327</v>
      </c>
      <c r="I148" s="98" t="n">
        <v>0.004</v>
      </c>
      <c r="J148" s="98" t="n">
        <v>0.061448</v>
      </c>
      <c r="K148" s="97" t="n">
        <v>25</v>
      </c>
      <c r="L148" s="99" t="inlineStr">
        <is>
          <t>20260828</t>
        </is>
      </c>
      <c r="M148" s="96" t="inlineStr">
        <is>
          <t>제외</t>
        </is>
      </c>
      <c r="N148" s="96" t="inlineStr">
        <is>
          <t>순자산 62억(기준 300억 미만), 60일 거래대금 0.1억(기준 5억 미만)</t>
        </is>
      </c>
      <c r="O148" s="96" t="inlineStr">
        <is>
          <t>Morningstar Singapore REIT Yield Focus Index</t>
        </is>
      </c>
      <c r="P148" s="96" t="inlineStr">
        <is>
          <t>일반</t>
        </is>
      </c>
      <c r="Q148" s="96" t="inlineStr">
        <is>
          <t>부동산</t>
        </is>
      </c>
      <c r="R148" s="96" t="inlineStr">
        <is>
          <t>월배당</t>
        </is>
      </c>
      <c r="S148" s="97" t="n">
        <v>11</v>
      </c>
      <c r="T148" s="98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IFERROR(INDEX($A$4:$A$253,MATCH(145,$X$4:$X$253,0)),"")</f>
        <v/>
      </c>
    </row>
    <row r="149">
      <c r="A149" s="96" t="inlineStr">
        <is>
          <t>TIGER 미국배당다우존스타겟커버드콜1호</t>
        </is>
      </c>
      <c r="B149" s="96" t="inlineStr">
        <is>
          <t>458750</t>
        </is>
      </c>
      <c r="C149" s="96" t="inlineStr">
        <is>
          <t>미래에셋자산운용</t>
        </is>
      </c>
      <c r="D149" s="97" t="n">
        <v>12805</v>
      </c>
      <c r="E149" s="97" t="n">
        <v>66586000000</v>
      </c>
      <c r="F149" s="97" t="n">
        <v>404842183</v>
      </c>
      <c r="G149" s="98" t="n">
        <v>0.0039</v>
      </c>
      <c r="H149" s="98" t="n">
        <v>0.1446</v>
      </c>
      <c r="I149" s="98" t="n">
        <v>0.0052</v>
      </c>
      <c r="J149" s="98" t="n">
        <v>0.059898</v>
      </c>
      <c r="K149" s="97" t="n">
        <v>39</v>
      </c>
      <c r="L149" s="99" t="inlineStr">
        <is>
          <t>20260914</t>
        </is>
      </c>
      <c r="M149" s="96" t="inlineStr">
        <is>
          <t>제외</t>
        </is>
      </c>
      <c r="N149" s="96" t="inlineStr">
        <is>
          <t>60일 거래대금 4.0억(기준 5억 미만)</t>
        </is>
      </c>
      <c r="O149" s="96" t="inlineStr">
        <is>
          <t>Dow Jones U.S. Dividend 100 3% Premium Covered Call Index</t>
        </is>
      </c>
      <c r="P149" s="96" t="inlineStr">
        <is>
          <t>커버드콜</t>
        </is>
      </c>
      <c r="Q149" s="96" t="inlineStr">
        <is>
          <t>주식</t>
        </is>
      </c>
      <c r="R149" s="96" t="inlineStr">
        <is>
          <t>월배당</t>
        </is>
      </c>
      <c r="S149" s="97" t="n">
        <v>12</v>
      </c>
      <c r="T149" s="98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IFERROR(INDEX($A$4:$A$253,MATCH(146,$X$4:$X$253,0)),"")</f>
        <v/>
      </c>
    </row>
    <row r="150">
      <c r="A150" s="96" t="inlineStr">
        <is>
          <t>RISE 미국30년국채액티브</t>
        </is>
      </c>
      <c r="B150" s="96" t="inlineStr">
        <is>
          <t>481340</t>
        </is>
      </c>
      <c r="C150" s="96" t="inlineStr">
        <is>
          <t>KB자산운용</t>
        </is>
      </c>
      <c r="D150" s="97" t="n">
        <v>8540</v>
      </c>
      <c r="E150" s="97" t="n">
        <v>25193000000</v>
      </c>
      <c r="F150" s="97" t="n">
        <v>346714839</v>
      </c>
      <c r="G150" s="98" t="n">
        <v>0.0005</v>
      </c>
      <c r="H150" s="98" t="n">
        <v>0.1318</v>
      </c>
      <c r="I150" s="98" t="n">
        <v>0.0036</v>
      </c>
      <c r="J150" s="98" t="n">
        <v>0.050351</v>
      </c>
      <c r="K150" s="97" t="n">
        <v>27</v>
      </c>
      <c r="L150" s="99" t="inlineStr">
        <is>
          <t>20260828</t>
        </is>
      </c>
      <c r="M150" s="96" t="inlineStr">
        <is>
          <t>제외</t>
        </is>
      </c>
      <c r="N150" s="96" t="inlineStr">
        <is>
          <t>순자산 252억(기준 300억 미만), 60일 거래대금 3.5억(기준 5억 미만)</t>
        </is>
      </c>
      <c r="O150" s="96" t="inlineStr">
        <is>
          <t>Bloomberg US Treasury 20+ Year Total Return Index</t>
        </is>
      </c>
      <c r="P150" s="96" t="inlineStr">
        <is>
          <t>일반</t>
        </is>
      </c>
      <c r="Q150" s="96" t="inlineStr">
        <is>
          <t>채권</t>
        </is>
      </c>
      <c r="R150" s="96" t="inlineStr">
        <is>
          <t>월배당</t>
        </is>
      </c>
      <c r="S150" s="97" t="n">
        <v>11</v>
      </c>
      <c r="T150" s="98" t="n">
        <v>0.5209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IFERROR(INDEX($A$4:$A$253,MATCH(147,$X$4:$X$253,0)),"")</f>
        <v/>
      </c>
    </row>
    <row r="151">
      <c r="A151" s="96" t="inlineStr">
        <is>
          <t>KODEX 아시아달러채권ESG플러스액티브</t>
        </is>
      </c>
      <c r="B151" s="96" t="inlineStr">
        <is>
          <t>437070</t>
        </is>
      </c>
      <c r="C151" s="96" t="inlineStr">
        <is>
          <t>삼성자산운용(ETF)</t>
        </is>
      </c>
      <c r="D151" s="97" t="n">
        <v>58620</v>
      </c>
      <c r="E151" s="97" t="n">
        <v>20282520000</v>
      </c>
      <c r="F151" s="97" t="n">
        <v>55948476</v>
      </c>
      <c r="G151" s="98" t="n">
        <v>0.0018</v>
      </c>
      <c r="H151" s="98" t="n">
        <v>0.1033</v>
      </c>
      <c r="I151" s="98" t="n">
        <v>0.0042</v>
      </c>
      <c r="J151" s="98" t="n">
        <v>0.049659</v>
      </c>
      <c r="K151" s="97" t="n">
        <v>14</v>
      </c>
      <c r="L151" s="99" t="inlineStr">
        <is>
          <t>20260828</t>
        </is>
      </c>
      <c r="M151" s="96" t="inlineStr">
        <is>
          <t>제외</t>
        </is>
      </c>
      <c r="N151" s="96" t="inlineStr">
        <is>
          <t>순자산 203억(기준 300억 미만), 60일 거래대금 0.6억(기준 5억 미만)</t>
        </is>
      </c>
      <c r="O151" s="96" t="inlineStr">
        <is>
          <t>Bloomberg MSCI EM Asia Investment Grade Credit SRI Index TR</t>
        </is>
      </c>
      <c r="P151" s="96" t="inlineStr">
        <is>
          <t>일반</t>
        </is>
      </c>
      <c r="Q151" s="96" t="inlineStr">
        <is>
          <t>채권</t>
        </is>
      </c>
      <c r="R151" s="96" t="inlineStr">
        <is>
          <t>월배당</t>
        </is>
      </c>
      <c r="S151" s="97" t="n">
        <v>11</v>
      </c>
      <c r="T151" s="98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IFERROR(INDEX($A$4:$A$253,MATCH(148,$X$4:$X$253,0)),"")</f>
        <v/>
      </c>
    </row>
    <row r="152">
      <c r="A152" s="96" t="inlineStr">
        <is>
          <t>TIGER 미국투자등급회사채액티브(H)</t>
        </is>
      </c>
      <c r="B152" s="96" t="inlineStr">
        <is>
          <t>458260</t>
        </is>
      </c>
      <c r="C152" s="96" t="inlineStr">
        <is>
          <t>미래에셋자산운용</t>
        </is>
      </c>
      <c r="D152" s="97" t="n">
        <v>45960</v>
      </c>
      <c r="E152" s="97" t="n">
        <v>220608000000</v>
      </c>
      <c r="F152" s="97" t="n">
        <v>399730197</v>
      </c>
      <c r="G152" s="98" t="n">
        <v>0.0014</v>
      </c>
      <c r="H152" s="98" t="n">
        <v>0.0532</v>
      </c>
      <c r="I152" s="98" t="n">
        <v>0.0037</v>
      </c>
      <c r="J152" s="98" t="n">
        <v>0.04963</v>
      </c>
      <c r="K152" s="97" t="n">
        <v>39</v>
      </c>
      <c r="L152" s="99" t="inlineStr">
        <is>
          <t>20260828</t>
        </is>
      </c>
      <c r="M152" s="96" t="inlineStr">
        <is>
          <t>제외</t>
        </is>
      </c>
      <c r="N152" s="96" t="inlineStr">
        <is>
          <t>60일 거래대금 4.0억(기준 5억 미만)</t>
        </is>
      </c>
      <c r="O152" s="96" t="inlineStr">
        <is>
          <t>iBoxx USD Liquid Investment Grade PR Index</t>
        </is>
      </c>
      <c r="P152" s="96" t="inlineStr">
        <is>
          <t>일반</t>
        </is>
      </c>
      <c r="Q152" s="96" t="inlineStr">
        <is>
          <t>채권</t>
        </is>
      </c>
      <c r="R152" s="96" t="inlineStr">
        <is>
          <t>월배당</t>
        </is>
      </c>
      <c r="S152" s="97" t="n">
        <v>11</v>
      </c>
      <c r="T152" s="98" t="n">
        <v>0.6107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IFERROR(INDEX($A$4:$A$253,MATCH(149,$X$4:$X$253,0)),"")</f>
        <v/>
      </c>
    </row>
    <row r="153">
      <c r="A153" s="96" t="inlineStr">
        <is>
          <t>KoAct 미국천연가스인프라액티브</t>
        </is>
      </c>
      <c r="B153" s="96" t="inlineStr">
        <is>
          <t>497780</t>
        </is>
      </c>
      <c r="C153" s="96" t="inlineStr">
        <is>
          <t>삼성액티브자산(ETF)</t>
        </is>
      </c>
      <c r="D153" s="97" t="n">
        <v>10475</v>
      </c>
      <c r="E153" s="97" t="n">
        <v>19378750000</v>
      </c>
      <c r="F153" s="97" t="n">
        <v>197410783</v>
      </c>
      <c r="G153" s="98" t="n">
        <v>0.005</v>
      </c>
      <c r="H153" s="98" t="n">
        <v>0.1791</v>
      </c>
      <c r="I153" s="98" t="n">
        <v>0.0039</v>
      </c>
      <c r="J153" s="98" t="n">
        <v>0.048974</v>
      </c>
      <c r="K153" s="97" t="n">
        <v>20</v>
      </c>
      <c r="L153" s="99" t="inlineStr">
        <is>
          <t>20260828</t>
        </is>
      </c>
      <c r="M153" s="96" t="inlineStr">
        <is>
          <t>제외</t>
        </is>
      </c>
      <c r="N153" s="96" t="inlineStr">
        <is>
          <t>순자산 194억(기준 300억 미만), 60일 거래대금 2.0억(기준 5억 미만)</t>
        </is>
      </c>
      <c r="O153" s="96" t="inlineStr">
        <is>
          <t>Solactive US Natural Gas Infrastructure Index PR</t>
        </is>
      </c>
      <c r="P153" s="96" t="inlineStr">
        <is>
          <t>일반</t>
        </is>
      </c>
      <c r="Q153" s="96" t="inlineStr">
        <is>
          <t>주식</t>
        </is>
      </c>
      <c r="R153" s="96" t="inlineStr">
        <is>
          <t>월배당</t>
        </is>
      </c>
      <c r="S153" s="97" t="n">
        <v>11</v>
      </c>
      <c r="T153" s="98" t="n">
        <v>0.7758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IFERROR(INDEX($A$4:$A$253,MATCH(150,$X$4:$X$253,0)),"")</f>
        <v/>
      </c>
    </row>
    <row r="154">
      <c r="A154" s="96" t="inlineStr">
        <is>
          <t>KIWOOM 코리아고배당</t>
        </is>
      </c>
      <c r="B154" s="96" t="inlineStr">
        <is>
          <t>104530</t>
        </is>
      </c>
      <c r="C154" s="96" t="inlineStr">
        <is>
          <t>키움투자자산운용</t>
        </is>
      </c>
      <c r="D154" s="97" t="n">
        <v>17245</v>
      </c>
      <c r="E154" s="97" t="n">
        <v>35352250000</v>
      </c>
      <c r="F154" s="97" t="n">
        <v>184071872</v>
      </c>
      <c r="G154" s="98" t="n">
        <v>0.0019</v>
      </c>
      <c r="H154" s="98" t="n">
        <v>0.3074</v>
      </c>
      <c r="I154" s="98" t="n">
        <v>0.004500000000000001</v>
      </c>
      <c r="J154" s="98" t="n">
        <v>0.04726</v>
      </c>
      <c r="K154" s="97" t="n">
        <v>30</v>
      </c>
      <c r="L154" s="99" t="inlineStr">
        <is>
          <t>20260914</t>
        </is>
      </c>
      <c r="M154" s="96" t="inlineStr">
        <is>
          <t>제외</t>
        </is>
      </c>
      <c r="N154" s="96" t="inlineStr">
        <is>
          <t>60일 거래대금 1.8억(기준 5억 미만)</t>
        </is>
      </c>
      <c r="O154" s="96" t="inlineStr">
        <is>
          <t>FnGuide Wealth 고배당20</t>
        </is>
      </c>
      <c r="P154" s="96" t="inlineStr">
        <is>
          <t>일반</t>
        </is>
      </c>
      <c r="Q154" s="96" t="inlineStr">
        <is>
          <t>주식</t>
        </is>
      </c>
      <c r="R154" s="96" t="inlineStr">
        <is>
          <t>월배당</t>
        </is>
      </c>
      <c r="S154" s="97" t="n">
        <v>12</v>
      </c>
      <c r="T154" s="98" t="n">
        <v>0.8908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IFERROR(INDEX($A$4:$A$253,MATCH(151,$X$4:$X$253,0)),"")</f>
        <v/>
      </c>
    </row>
    <row r="155">
      <c r="A155" s="96" t="inlineStr">
        <is>
          <t>PLUS 미국장기우량회사채</t>
        </is>
      </c>
      <c r="B155" s="96" t="inlineStr">
        <is>
          <t>332620</t>
        </is>
      </c>
      <c r="C155" s="96" t="inlineStr">
        <is>
          <t>한화자산운용</t>
        </is>
      </c>
      <c r="D155" s="97" t="n">
        <v>88180</v>
      </c>
      <c r="E155" s="97" t="n">
        <v>16489660000</v>
      </c>
      <c r="F155" s="97" t="n">
        <v>56941105</v>
      </c>
      <c r="G155" s="98" t="n">
        <v>0.00315</v>
      </c>
      <c r="H155" s="98" t="n">
        <v>0.12</v>
      </c>
      <c r="I155" s="98" t="n">
        <v>0.0035</v>
      </c>
      <c r="J155" s="98" t="n">
        <v>0.047131</v>
      </c>
      <c r="K155" s="97" t="n">
        <v>18</v>
      </c>
      <c r="L155" s="99" t="inlineStr">
        <is>
          <t>20260828</t>
        </is>
      </c>
      <c r="M155" s="96" t="inlineStr">
        <is>
          <t>제외</t>
        </is>
      </c>
      <c r="N155" s="96" t="inlineStr">
        <is>
          <t>순자산 165억(기준 300억 미만), 60일 거래대금 0.6억(기준 5억 미만)</t>
        </is>
      </c>
      <c r="O155" s="96" t="inlineStr">
        <is>
          <t>ICE BOFAML 15+ YEAR AAA-A US CORPORATE INDEX</t>
        </is>
      </c>
      <c r="P155" s="96" t="inlineStr">
        <is>
          <t>일반</t>
        </is>
      </c>
      <c r="Q155" s="96" t="inlineStr">
        <is>
          <t>채권</t>
        </is>
      </c>
      <c r="R155" s="96" t="inlineStr">
        <is>
          <t>월배당</t>
        </is>
      </c>
      <c r="S155" s="97" t="n">
        <v>11</v>
      </c>
      <c r="T155" s="98" t="n">
        <v>0.6735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IFERROR(INDEX($A$4:$A$253,MATCH(152,$X$4:$X$253,0)),"")</f>
        <v/>
      </c>
    </row>
    <row r="156">
      <c r="A156" s="96" t="inlineStr">
        <is>
          <t>KODEX iShares미국투자등급회사채액티브</t>
        </is>
      </c>
      <c r="B156" s="96" t="inlineStr">
        <is>
          <t>468630</t>
        </is>
      </c>
      <c r="C156" s="96" t="inlineStr">
        <is>
          <t>삼성자산운용(ETF)</t>
        </is>
      </c>
      <c r="D156" s="97" t="n">
        <v>10790</v>
      </c>
      <c r="E156" s="97" t="n">
        <v>30319900000</v>
      </c>
      <c r="F156" s="97" t="n">
        <v>460625885</v>
      </c>
      <c r="G156" s="98" t="n">
        <v>0.001</v>
      </c>
      <c r="H156" s="98" t="n">
        <v>0.1094</v>
      </c>
      <c r="I156" s="98" t="n">
        <v>0.004</v>
      </c>
      <c r="J156" s="98" t="n">
        <v>0.046154</v>
      </c>
      <c r="K156" s="97" t="n">
        <v>34</v>
      </c>
      <c r="L156" s="99" t="inlineStr">
        <is>
          <t>20260828</t>
        </is>
      </c>
      <c r="M156" s="96" t="inlineStr">
        <is>
          <t>제외</t>
        </is>
      </c>
      <c r="N156" s="96" t="inlineStr">
        <is>
          <t>60일 거래대금 4.6억(기준 5억 미만)</t>
        </is>
      </c>
      <c r="O156" s="96" t="inlineStr">
        <is>
          <t>iBoxx USD Liquid IG Index</t>
        </is>
      </c>
      <c r="P156" s="96" t="inlineStr">
        <is>
          <t>일반</t>
        </is>
      </c>
      <c r="Q156" s="96" t="inlineStr">
        <is>
          <t>채권</t>
        </is>
      </c>
      <c r="R156" s="96" t="inlineStr">
        <is>
          <t>월배당</t>
        </is>
      </c>
      <c r="S156" s="97" t="n">
        <v>11</v>
      </c>
      <c r="T156" s="98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IFERROR(INDEX($A$4:$A$253,MATCH(153,$X$4:$X$253,0)),"")</f>
        <v/>
      </c>
    </row>
    <row r="157">
      <c r="A157" s="96" t="inlineStr">
        <is>
          <t>TIGER 글로벌멀티에셋TIF액티브</t>
        </is>
      </c>
      <c r="B157" s="96" t="inlineStr">
        <is>
          <t>440340</t>
        </is>
      </c>
      <c r="C157" s="96" t="inlineStr">
        <is>
          <t>미래에셋자산운용</t>
        </is>
      </c>
      <c r="D157" s="97" t="n">
        <v>11840</v>
      </c>
      <c r="E157" s="97" t="n">
        <v>26640000000</v>
      </c>
      <c r="F157" s="97" t="n">
        <v>142730942</v>
      </c>
      <c r="G157" s="98" t="n">
        <v>0.005500000000000001</v>
      </c>
      <c r="H157" s="98" t="n">
        <v>0.1065</v>
      </c>
      <c r="I157" s="98" t="n">
        <v>0.0038</v>
      </c>
      <c r="J157" s="98" t="n">
        <v>0.04037200000000001</v>
      </c>
      <c r="K157" s="97" t="n">
        <v>48</v>
      </c>
      <c r="L157" s="99" t="inlineStr">
        <is>
          <t>20260828</t>
        </is>
      </c>
      <c r="M157" s="96" t="inlineStr">
        <is>
          <t>제외</t>
        </is>
      </c>
      <c r="N157" s="96" t="inlineStr">
        <is>
          <t>순자산 266억(기준 300억 미만), 60일 거래대금 1.4억(기준 5억 미만)</t>
        </is>
      </c>
      <c r="O157" s="96" t="inlineStr">
        <is>
          <t>Indxx Multi Asset Income Index</t>
        </is>
      </c>
      <c r="P157" s="96" t="inlineStr">
        <is>
          <t>일반</t>
        </is>
      </c>
      <c r="Q157" s="96" t="inlineStr">
        <is>
          <t>멀티에셋</t>
        </is>
      </c>
      <c r="R157" s="96" t="inlineStr">
        <is>
          <t>월배당</t>
        </is>
      </c>
      <c r="S157" s="97" t="n">
        <v>11</v>
      </c>
      <c r="T157" s="98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IFERROR(INDEX($A$4:$A$253,MATCH(154,$X$4:$X$253,0)),"")</f>
        <v/>
      </c>
    </row>
    <row r="158">
      <c r="A158" s="96" t="inlineStr">
        <is>
          <t>RISE 글로벌리얼티인컴</t>
        </is>
      </c>
      <c r="B158" s="96" t="inlineStr">
        <is>
          <t>475380</t>
        </is>
      </c>
      <c r="C158" s="96" t="inlineStr">
        <is>
          <t>KB자산운용</t>
        </is>
      </c>
      <c r="D158" s="97" t="n">
        <v>10090</v>
      </c>
      <c r="E158" s="97" t="n">
        <v>26738500000</v>
      </c>
      <c r="F158" s="97" t="n">
        <v>76440254</v>
      </c>
      <c r="G158" s="98" t="n">
        <v>0.0001</v>
      </c>
      <c r="H158" s="98" t="n">
        <v>0.1419</v>
      </c>
      <c r="I158" s="98" t="n">
        <v>0.003</v>
      </c>
      <c r="J158" s="98" t="n">
        <v>0.039643</v>
      </c>
      <c r="K158" s="97" t="n">
        <v>30</v>
      </c>
      <c r="L158" s="99" t="inlineStr">
        <is>
          <t>20260828</t>
        </is>
      </c>
      <c r="M158" s="96" t="inlineStr">
        <is>
          <t>제외</t>
        </is>
      </c>
      <c r="N158" s="96" t="inlineStr">
        <is>
          <t>순자산 267억(기준 300억 미만), 60일 거래대금 0.8억(기준 5억 미만)</t>
        </is>
      </c>
      <c r="O158" s="96" t="inlineStr">
        <is>
          <t>Solactive Global Realty Income Index PR</t>
        </is>
      </c>
      <c r="P158" s="96" t="inlineStr">
        <is>
          <t>일반</t>
        </is>
      </c>
      <c r="Q158" s="96" t="inlineStr">
        <is>
          <t>부동산</t>
        </is>
      </c>
      <c r="R158" s="96" t="inlineStr">
        <is>
          <t>월배당</t>
        </is>
      </c>
      <c r="S158" s="97" t="n">
        <v>11</v>
      </c>
      <c r="T158" s="98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IFERROR(INDEX($A$4:$A$253,MATCH(155,$X$4:$X$253,0)),"")</f>
        <v/>
      </c>
    </row>
    <row r="159">
      <c r="A159" s="96" t="inlineStr">
        <is>
          <t>TIGER 200커버드콜OTM</t>
        </is>
      </c>
      <c r="B159" s="96" t="inlineStr">
        <is>
          <t>166400</t>
        </is>
      </c>
      <c r="C159" s="96" t="inlineStr">
        <is>
          <t>미래에셋자산운용</t>
        </is>
      </c>
      <c r="D159" s="97" t="n">
        <v>24560</v>
      </c>
      <c r="E159" s="97" t="n">
        <v>12280000000</v>
      </c>
      <c r="F159" s="97" t="n">
        <v>46464648</v>
      </c>
      <c r="G159" s="98" t="n">
        <v>0.0038</v>
      </c>
      <c r="H159" s="98" t="n">
        <v>0.4264</v>
      </c>
      <c r="I159" s="98" t="n">
        <v>0.0039</v>
      </c>
      <c r="J159" s="98" t="n">
        <v>0.038721</v>
      </c>
      <c r="K159" s="97" t="n">
        <v>51</v>
      </c>
      <c r="L159" s="99" t="inlineStr">
        <is>
          <t>20260828</t>
        </is>
      </c>
      <c r="M159" s="96" t="inlineStr">
        <is>
          <t>제외</t>
        </is>
      </c>
      <c r="N159" s="96" t="inlineStr">
        <is>
          <t>순자산 123억(기준 300억 미만), 60일 거래대금 0.5억(기준 5억 미만), 변동성 42.6%(1년 기준, 기준 35% 초과)</t>
        </is>
      </c>
      <c r="O159" s="96" t="inlineStr">
        <is>
          <t>코스피 200 커버드콜 5% OTM</t>
        </is>
      </c>
      <c r="P159" s="96" t="inlineStr">
        <is>
          <t>커버드콜</t>
        </is>
      </c>
      <c r="Q159" s="96" t="inlineStr">
        <is>
          <t>주식</t>
        </is>
      </c>
      <c r="R159" s="96" t="inlineStr">
        <is>
          <t>월배당</t>
        </is>
      </c>
      <c r="S159" s="97" t="n">
        <v>11</v>
      </c>
      <c r="T159" s="98" t="n">
        <v>0.9758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IFERROR(INDEX($A$4:$A$253,MATCH(156,$X$4:$X$253,0)),"")</f>
        <v/>
      </c>
    </row>
    <row r="160">
      <c r="A160" s="96" t="inlineStr">
        <is>
          <t>KIWOOM 한국고배당&amp;미국AI테크</t>
        </is>
      </c>
      <c r="B160" s="96" t="inlineStr">
        <is>
          <t>0097L0</t>
        </is>
      </c>
      <c r="C160" s="96" t="inlineStr">
        <is>
          <t>키움투자자산운용</t>
        </is>
      </c>
      <c r="D160" s="97" t="n">
        <v>12470</v>
      </c>
      <c r="E160" s="97" t="n">
        <v>24316500000</v>
      </c>
      <c r="F160" s="97" t="n">
        <v>110179665</v>
      </c>
      <c r="G160" s="98" t="n">
        <v>0.004500000000000001</v>
      </c>
      <c r="H160" s="98" t="n">
        <v>0.2603</v>
      </c>
      <c r="I160" s="98" t="n">
        <v>0.0043</v>
      </c>
      <c r="J160" s="98" t="n">
        <v>0.038091</v>
      </c>
      <c r="K160" s="97" t="n">
        <v>12</v>
      </c>
      <c r="L160" s="99" t="inlineStr">
        <is>
          <t>20260828</t>
        </is>
      </c>
      <c r="M160" s="96" t="inlineStr">
        <is>
          <t>제외</t>
        </is>
      </c>
      <c r="N160" s="96" t="inlineStr">
        <is>
          <t>순자산 243억(기준 300억 미만), 60일 거래대금 1.1억(기준 5억 미만)</t>
        </is>
      </c>
      <c r="O160" s="96" t="inlineStr">
        <is>
          <t>Akros 미국AI테크Top10&amp;한국고배당 3070 지수</t>
        </is>
      </c>
      <c r="P160" s="96" t="inlineStr">
        <is>
          <t>일반</t>
        </is>
      </c>
      <c r="Q160" s="96" t="inlineStr">
        <is>
          <t>주식</t>
        </is>
      </c>
      <c r="R160" s="96" t="inlineStr">
        <is>
          <t>월배당</t>
        </is>
      </c>
      <c r="S160" s="97" t="n">
        <v>11</v>
      </c>
      <c r="T160" s="98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IFERROR(INDEX($A$4:$A$253,MATCH(157,$X$4:$X$253,0)),"")</f>
        <v/>
      </c>
    </row>
    <row r="161">
      <c r="A161" s="96" t="inlineStr">
        <is>
          <t>ACE 미국10년국채액티브(H)</t>
        </is>
      </c>
      <c r="B161" s="96" t="inlineStr">
        <is>
          <t>0085N0</t>
        </is>
      </c>
      <c r="C161" s="96" t="inlineStr">
        <is>
          <t>한국투신운용(ETF)</t>
        </is>
      </c>
      <c r="D161" s="97" t="n">
        <v>9640</v>
      </c>
      <c r="E161" s="97" t="n">
        <v>34704000000</v>
      </c>
      <c r="F161" s="97" t="n">
        <v>286535215</v>
      </c>
      <c r="G161" s="98" t="n">
        <v>0.0015</v>
      </c>
      <c r="H161" s="98" t="n">
        <v>0.0441</v>
      </c>
      <c r="I161" s="98" t="n">
        <v>0.0033</v>
      </c>
      <c r="J161" s="98" t="n">
        <v>0.037967</v>
      </c>
      <c r="K161" s="97" t="n">
        <v>13</v>
      </c>
      <c r="L161" s="99" t="inlineStr">
        <is>
          <t>20260828</t>
        </is>
      </c>
      <c r="M161" s="96" t="inlineStr">
        <is>
          <t>제외</t>
        </is>
      </c>
      <c r="N161" s="96" t="inlineStr">
        <is>
          <t>60일 거래대금 2.9억(기준 5억 미만)</t>
        </is>
      </c>
      <c r="O161" s="96" t="inlineStr">
        <is>
          <t>ICE U.S.Treasury 7-10 Year Bond Index</t>
        </is>
      </c>
      <c r="P161" s="96" t="inlineStr">
        <is>
          <t>일반</t>
        </is>
      </c>
      <c r="Q161" s="96" t="inlineStr">
        <is>
          <t>채권</t>
        </is>
      </c>
      <c r="R161" s="96" t="inlineStr">
        <is>
          <t>월배당</t>
        </is>
      </c>
      <c r="S161" s="97" t="n">
        <v>11</v>
      </c>
      <c r="T161" s="98" t="n">
        <v>0.6667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IFERROR(INDEX($A$4:$A$253,MATCH(158,$X$4:$X$253,0)),"")</f>
        <v/>
      </c>
    </row>
    <row r="162">
      <c r="A162" s="96" t="inlineStr">
        <is>
          <t>PLUS 미국단기회사채(AAA~A)</t>
        </is>
      </c>
      <c r="B162" s="96" t="inlineStr">
        <is>
          <t>332610</t>
        </is>
      </c>
      <c r="C162" s="96" t="inlineStr">
        <is>
          <t>한화자산운용</t>
        </is>
      </c>
      <c r="D162" s="97" t="n">
        <v>125640</v>
      </c>
      <c r="E162" s="97" t="n">
        <v>12061440000</v>
      </c>
      <c r="F162" s="97" t="n">
        <v>3951660390</v>
      </c>
      <c r="G162" s="98" t="n">
        <v>0.00315</v>
      </c>
      <c r="H162" s="98" t="n">
        <v>0.1039</v>
      </c>
      <c r="I162" s="98" t="n">
        <v>0.003</v>
      </c>
      <c r="J162" s="98" t="n">
        <v>0.037806</v>
      </c>
      <c r="K162" s="97" t="n">
        <v>18</v>
      </c>
      <c r="L162" s="99" t="inlineStr">
        <is>
          <t>20260828</t>
        </is>
      </c>
      <c r="M162" s="96" t="inlineStr">
        <is>
          <t>제외</t>
        </is>
      </c>
      <c r="N162" s="96" t="inlineStr">
        <is>
          <t>순자산 121억(기준 300억 미만)</t>
        </is>
      </c>
      <c r="O162" s="96" t="inlineStr">
        <is>
          <t>ICE BOFAML 1-3 YEAR AAA-A US CORPORATE INDEX</t>
        </is>
      </c>
      <c r="P162" s="96" t="inlineStr">
        <is>
          <t>일반</t>
        </is>
      </c>
      <c r="Q162" s="96" t="inlineStr">
        <is>
          <t>채권</t>
        </is>
      </c>
      <c r="R162" s="96" t="inlineStr">
        <is>
          <t>월배당</t>
        </is>
      </c>
      <c r="S162" s="97" t="n">
        <v>11</v>
      </c>
      <c r="T162" s="98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IFERROR(INDEX($A$4:$A$253,MATCH(159,$X$4:$X$253,0)),"")</f>
        <v/>
      </c>
    </row>
    <row r="163">
      <c r="A163" s="96" t="inlineStr">
        <is>
          <t>RISE 코리아금융고배당</t>
        </is>
      </c>
      <c r="B163" s="96" t="inlineStr">
        <is>
          <t>498860</t>
        </is>
      </c>
      <c r="C163" s="96" t="inlineStr">
        <is>
          <t>KB자산운용</t>
        </is>
      </c>
      <c r="D163" s="97" t="n">
        <v>16465</v>
      </c>
      <c r="E163" s="97" t="n">
        <v>32930000000</v>
      </c>
      <c r="F163" s="97" t="n">
        <v>426406815</v>
      </c>
      <c r="G163" s="98" t="n">
        <v>0.001</v>
      </c>
      <c r="H163" s="98" t="n">
        <v>0.4189</v>
      </c>
      <c r="I163" s="98" t="n">
        <v>0.0024</v>
      </c>
      <c r="J163" s="98" t="n">
        <v>0.036077</v>
      </c>
      <c r="K163" s="97" t="n">
        <v>21</v>
      </c>
      <c r="L163" s="99" t="inlineStr">
        <is>
          <t>20260914</t>
        </is>
      </c>
      <c r="M163" s="96" t="inlineStr">
        <is>
          <t>제외</t>
        </is>
      </c>
      <c r="N163" s="96" t="inlineStr">
        <is>
          <t>60일 거래대금 4.3억(기준 5억 미만), 변동성 41.9%(1년 기준, 기준 35% 초과)</t>
        </is>
      </c>
      <c r="O163" s="96" t="inlineStr">
        <is>
          <t>iSelect 코리아 금융 고배당 지수</t>
        </is>
      </c>
      <c r="P163" s="96" t="inlineStr">
        <is>
          <t>일반</t>
        </is>
      </c>
      <c r="Q163" s="96" t="inlineStr">
        <is>
          <t>주식</t>
        </is>
      </c>
      <c r="R163" s="96" t="inlineStr">
        <is>
          <t>월배당</t>
        </is>
      </c>
      <c r="S163" s="97" t="n">
        <v>12</v>
      </c>
      <c r="T163" s="98" t="n">
        <v>0.9764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IFERROR(INDEX($A$4:$A$253,MATCH(160,$X$4:$X$253,0)),"")</f>
        <v/>
      </c>
    </row>
    <row r="164">
      <c r="A164" s="96" t="inlineStr">
        <is>
          <t>1Q 미국배당TOP30</t>
        </is>
      </c>
      <c r="B164" s="96" t="inlineStr">
        <is>
          <t>0004G0</t>
        </is>
      </c>
      <c r="C164" s="96" t="inlineStr">
        <is>
          <t>하나자산운용</t>
        </is>
      </c>
      <c r="D164" s="97" t="n">
        <v>8790</v>
      </c>
      <c r="E164" s="97" t="n">
        <v>13185000000</v>
      </c>
      <c r="F164" s="97" t="n">
        <v>90632482</v>
      </c>
      <c r="G164" s="98" t="n">
        <v>0.001</v>
      </c>
      <c r="H164" s="98" t="n">
        <v>0.1575</v>
      </c>
      <c r="I164" s="98" t="n">
        <v>0.0028</v>
      </c>
      <c r="J164" s="98" t="n">
        <v>0.03504</v>
      </c>
      <c r="K164" s="97" t="n">
        <v>18</v>
      </c>
      <c r="L164" s="99" t="inlineStr">
        <is>
          <t>20260828</t>
        </is>
      </c>
      <c r="M164" s="96" t="inlineStr">
        <is>
          <t>제외</t>
        </is>
      </c>
      <c r="N164" s="96" t="inlineStr">
        <is>
          <t>순자산 132억(기준 300억 미만), 60일 거래대금 0.9억(기준 5억 미만)</t>
        </is>
      </c>
      <c r="O164" s="96" t="inlineStr">
        <is>
          <t>Solactive U.S. Dividend 30 Index PR</t>
        </is>
      </c>
      <c r="P164" s="96" t="inlineStr">
        <is>
          <t>일반</t>
        </is>
      </c>
      <c r="Q164" s="96" t="inlineStr">
        <is>
          <t>주식</t>
        </is>
      </c>
      <c r="R164" s="96" t="inlineStr">
        <is>
          <t>월배당</t>
        </is>
      </c>
      <c r="S164" s="97" t="n">
        <v>11</v>
      </c>
      <c r="T164" s="98" t="n">
        <v>0.0844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IFERROR(INDEX($A$4:$A$253,MATCH(161,$X$4:$X$253,0)),"")</f>
        <v/>
      </c>
    </row>
    <row r="165">
      <c r="A165" s="96" t="inlineStr">
        <is>
          <t>SOL 금융지주플러스고배당</t>
        </is>
      </c>
      <c r="B165" s="96" t="inlineStr">
        <is>
          <t>484880</t>
        </is>
      </c>
      <c r="C165" s="96" t="inlineStr">
        <is>
          <t>신한자산운용</t>
        </is>
      </c>
      <c r="D165" s="97" t="n">
        <v>23170</v>
      </c>
      <c r="E165" s="97" t="n">
        <v>386939000000</v>
      </c>
      <c r="F165" s="97" t="n">
        <v>15626070088</v>
      </c>
      <c r="G165" s="98" t="n">
        <v>0.003</v>
      </c>
      <c r="H165" s="98" t="n">
        <v>0.3584000000000001</v>
      </c>
      <c r="I165" s="98" t="n">
        <v>0.0038</v>
      </c>
      <c r="J165" s="98" t="n">
        <v>0.034916</v>
      </c>
      <c r="K165" s="97" t="n">
        <v>26</v>
      </c>
      <c r="L165" s="99" t="inlineStr">
        <is>
          <t>20260828</t>
        </is>
      </c>
      <c r="M165" s="96" t="inlineStr">
        <is>
          <t>제외</t>
        </is>
      </c>
      <c r="N165" s="96" t="inlineStr">
        <is>
          <t>변동성 35.8%(1년 기준, 기준 35% 초과)</t>
        </is>
      </c>
      <c r="O165" s="96" t="inlineStr">
        <is>
          <t>FnGuide 금융지주플러스고배당 지수</t>
        </is>
      </c>
      <c r="P165" s="96" t="inlineStr">
        <is>
          <t>일반</t>
        </is>
      </c>
      <c r="Q165" s="96" t="inlineStr">
        <is>
          <t>주식</t>
        </is>
      </c>
      <c r="R165" s="96" t="inlineStr">
        <is>
          <t>월배당</t>
        </is>
      </c>
      <c r="S165" s="97" t="n">
        <v>11</v>
      </c>
      <c r="T165" s="98" t="n">
        <v>0.8146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IFERROR(INDEX($A$4:$A$253,MATCH(162,$X$4:$X$253,0)),"")</f>
        <v/>
      </c>
    </row>
    <row r="166">
      <c r="A166" s="96" t="inlineStr">
        <is>
          <t>ACE 미국부동산리츠(합성 H)</t>
        </is>
      </c>
      <c r="B166" s="96" t="inlineStr">
        <is>
          <t>181480</t>
        </is>
      </c>
      <c r="C166" s="96" t="inlineStr">
        <is>
          <t>한국투신운용(ETF)</t>
        </is>
      </c>
      <c r="D166" s="97" t="n">
        <v>82150</v>
      </c>
      <c r="E166" s="97" t="n">
        <v>9858000000</v>
      </c>
      <c r="F166" s="97" t="n">
        <v>85507078</v>
      </c>
      <c r="G166" s="98" t="n">
        <v>0.003</v>
      </c>
      <c r="H166" s="98" t="n">
        <v>0.1411</v>
      </c>
      <c r="I166" s="98" t="n">
        <v>0.0025</v>
      </c>
      <c r="J166" s="98" t="n">
        <v>0.03479</v>
      </c>
      <c r="K166" s="97" t="n">
        <v>25</v>
      </c>
      <c r="L166" s="99" t="inlineStr">
        <is>
          <t>20260828</t>
        </is>
      </c>
      <c r="M166" s="96" t="inlineStr">
        <is>
          <t>제외</t>
        </is>
      </c>
      <c r="N166" s="96" t="inlineStr">
        <is>
          <t>순자산 99억(기준 300억 미만), 60일 거래대금 0.9억(기준 5억 미만)</t>
        </is>
      </c>
      <c r="O166" s="96" t="inlineStr">
        <is>
          <t>DowJones US Real Estate Index</t>
        </is>
      </c>
      <c r="P166" s="96" t="inlineStr">
        <is>
          <t>일반</t>
        </is>
      </c>
      <c r="Q166" s="96" t="inlineStr">
        <is>
          <t>부동산</t>
        </is>
      </c>
      <c r="R166" s="96" t="inlineStr">
        <is>
          <t>월배당</t>
        </is>
      </c>
      <c r="S166" s="97" t="n">
        <v>11</v>
      </c>
      <c r="T166" s="98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IFERROR(INDEX($A$4:$A$253,MATCH(163,$X$4:$X$253,0)),"")</f>
        <v/>
      </c>
    </row>
    <row r="167">
      <c r="A167" s="96" t="inlineStr">
        <is>
          <t>KODEX 미국부동산리츠(H)</t>
        </is>
      </c>
      <c r="B167" s="96" t="inlineStr">
        <is>
          <t>352560</t>
        </is>
      </c>
      <c r="C167" s="96" t="inlineStr">
        <is>
          <t>삼성자산운용(ETF)</t>
        </is>
      </c>
      <c r="D167" s="97" t="n">
        <v>11810</v>
      </c>
      <c r="E167" s="97" t="n">
        <v>31296500000</v>
      </c>
      <c r="F167" s="97" t="n">
        <v>426978149</v>
      </c>
      <c r="G167" s="98" t="n">
        <v>0.0009</v>
      </c>
      <c r="H167" s="98" t="n">
        <v>0.1371</v>
      </c>
      <c r="I167" s="98" t="n">
        <v>0.0021</v>
      </c>
      <c r="J167" s="98" t="n">
        <v>0.034547</v>
      </c>
      <c r="K167" s="97" t="n">
        <v>47</v>
      </c>
      <c r="L167" s="99" t="inlineStr">
        <is>
          <t>20260828</t>
        </is>
      </c>
      <c r="M167" s="96" t="inlineStr">
        <is>
          <t>제외</t>
        </is>
      </c>
      <c r="N167" s="96" t="inlineStr">
        <is>
          <t>60일 거래대금 4.3억(기준 5억 미만)</t>
        </is>
      </c>
      <c r="O167" s="96" t="inlineStr">
        <is>
          <t>Dow Jones U.S. Real Estate Index</t>
        </is>
      </c>
      <c r="P167" s="96" t="inlineStr">
        <is>
          <t>일반</t>
        </is>
      </c>
      <c r="Q167" s="96" t="inlineStr">
        <is>
          <t>부동산</t>
        </is>
      </c>
      <c r="R167" s="96" t="inlineStr">
        <is>
          <t>월배당</t>
        </is>
      </c>
      <c r="S167" s="97" t="n">
        <v>10</v>
      </c>
      <c r="T167" s="98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IFERROR(INDEX($A$4:$A$253,MATCH(164,$X$4:$X$253,0)),"")</f>
        <v/>
      </c>
    </row>
    <row r="168">
      <c r="A168" s="96" t="inlineStr">
        <is>
          <t>TIGER 리츠부동산인프라10채권혼합액티브</t>
        </is>
      </c>
      <c r="B168" s="96" t="inlineStr">
        <is>
          <t>0086C0</t>
        </is>
      </c>
      <c r="C168" s="96" t="inlineStr">
        <is>
          <t>미래에셋자산운용</t>
        </is>
      </c>
      <c r="D168" s="97" t="n">
        <v>9745</v>
      </c>
      <c r="E168" s="97" t="n">
        <v>17053750000</v>
      </c>
      <c r="F168" s="97" t="n">
        <v>93029826</v>
      </c>
      <c r="G168" s="98" t="n">
        <v>0.0015</v>
      </c>
      <c r="H168" s="98" t="n">
        <v>0.0764</v>
      </c>
      <c r="I168" s="98" t="n">
        <v>0.0029</v>
      </c>
      <c r="J168" s="98" t="n">
        <v>0.034479</v>
      </c>
      <c r="K168" s="97" t="n">
        <v>13</v>
      </c>
      <c r="L168" s="99" t="inlineStr">
        <is>
          <t>20260914</t>
        </is>
      </c>
      <c r="M168" s="96" t="inlineStr">
        <is>
          <t>제외</t>
        </is>
      </c>
      <c r="N168" s="96" t="inlineStr">
        <is>
          <t>순자산 171억(기준 300억 미만), 60일 거래대금 0.9억(기준 5억 미만)</t>
        </is>
      </c>
      <c r="O168" s="96" t="inlineStr">
        <is>
          <t>KEDI 리츠부동산인프라TOP10 채권혼합 지수</t>
        </is>
      </c>
      <c r="P168" s="96" t="inlineStr">
        <is>
          <t>일반</t>
        </is>
      </c>
      <c r="Q168" s="96" t="inlineStr">
        <is>
          <t>멀티에셋</t>
        </is>
      </c>
      <c r="R168" s="96" t="inlineStr">
        <is>
          <t>월배당</t>
        </is>
      </c>
      <c r="S168" s="97" t="n">
        <v>12</v>
      </c>
      <c r="T168" s="98" t="n">
        <v>0.9048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IFERROR(INDEX($A$4:$A$253,MATCH(165,$X$4:$X$253,0)),"")</f>
        <v/>
      </c>
    </row>
    <row r="169">
      <c r="A169" s="96" t="inlineStr">
        <is>
          <t>TIGER 미국MSCI리츠(합성 H)</t>
        </is>
      </c>
      <c r="B169" s="96" t="inlineStr">
        <is>
          <t>182480</t>
        </is>
      </c>
      <c r="C169" s="96" t="inlineStr">
        <is>
          <t>미래에셋자산운용</t>
        </is>
      </c>
      <c r="D169" s="97" t="n">
        <v>13205</v>
      </c>
      <c r="E169" s="97" t="n">
        <v>116204000000</v>
      </c>
      <c r="F169" s="97" t="n">
        <v>249024515</v>
      </c>
      <c r="G169" s="98" t="n">
        <v>0.0024</v>
      </c>
      <c r="H169" s="98" t="n">
        <v>0.1396</v>
      </c>
      <c r="I169" s="98" t="n">
        <v>0.0014</v>
      </c>
      <c r="J169" s="98" t="n">
        <v>0.033624</v>
      </c>
      <c r="K169" s="97" t="n">
        <v>53</v>
      </c>
      <c r="L169" s="99" t="inlineStr">
        <is>
          <t>20260828</t>
        </is>
      </c>
      <c r="M169" s="96" t="inlineStr">
        <is>
          <t>제외</t>
        </is>
      </c>
      <c r="N169" s="96" t="inlineStr">
        <is>
          <t>60일 거래대금 2.5억(기준 5억 미만)</t>
        </is>
      </c>
      <c r="O169" s="96" t="inlineStr">
        <is>
          <t>MSCI US REIT Index</t>
        </is>
      </c>
      <c r="P169" s="96" t="inlineStr">
        <is>
          <t>일반</t>
        </is>
      </c>
      <c r="Q169" s="96" t="inlineStr">
        <is>
          <t>부동산</t>
        </is>
      </c>
      <c r="R169" s="96" t="inlineStr">
        <is>
          <t>월배당</t>
        </is>
      </c>
      <c r="S169" s="97" t="n">
        <v>11</v>
      </c>
      <c r="T169" s="98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IFERROR(INDEX($A$4:$A$253,MATCH(166,$X$4:$X$253,0)),"")</f>
        <v/>
      </c>
    </row>
    <row r="170">
      <c r="A170" s="96" t="inlineStr">
        <is>
          <t>RISE 금융채액티브</t>
        </is>
      </c>
      <c r="B170" s="96" t="inlineStr">
        <is>
          <t>336160</t>
        </is>
      </c>
      <c r="C170" s="96" t="inlineStr">
        <is>
          <t>KB자산운용</t>
        </is>
      </c>
      <c r="D170" s="97" t="n">
        <v>99995</v>
      </c>
      <c r="E170" s="97" t="n">
        <v>46897655000</v>
      </c>
      <c r="F170" s="97" t="n">
        <v>27896188</v>
      </c>
      <c r="G170" s="98" t="n">
        <v>0.0007000000000000001</v>
      </c>
      <c r="H170" s="98" t="n">
        <v>0.0203</v>
      </c>
      <c r="I170" s="98" t="n">
        <v>0.002</v>
      </c>
      <c r="J170" s="98" t="n">
        <v>0.032342</v>
      </c>
      <c r="K170" s="97" t="n">
        <v>44</v>
      </c>
      <c r="L170" s="99" t="inlineStr">
        <is>
          <t>20260828</t>
        </is>
      </c>
      <c r="M170" s="96" t="inlineStr">
        <is>
          <t>제외</t>
        </is>
      </c>
      <c r="N170" s="96" t="inlineStr">
        <is>
          <t>60일 거래대금 0.3억(기준 5억 미만)</t>
        </is>
      </c>
      <c r="O170" s="96" t="inlineStr">
        <is>
          <t>KIS 종합채권 금융채 2.5-3Y</t>
        </is>
      </c>
      <c r="P170" s="96" t="inlineStr">
        <is>
          <t>일반</t>
        </is>
      </c>
      <c r="Q170" s="96" t="inlineStr">
        <is>
          <t>채권</t>
        </is>
      </c>
      <c r="R170" s="96" t="inlineStr">
        <is>
          <t>월배당</t>
        </is>
      </c>
      <c r="S170" s="97" t="n">
        <v>11</v>
      </c>
      <c r="T170" s="98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IFERROR(INDEX($A$4:$A$253,MATCH(167,$X$4:$X$253,0)),"")</f>
        <v/>
      </c>
    </row>
    <row r="171">
      <c r="A171" s="96" t="inlineStr">
        <is>
          <t>KIWOOM 국고채30년액티브</t>
        </is>
      </c>
      <c r="B171" s="96" t="inlineStr">
        <is>
          <t>471460</t>
        </is>
      </c>
      <c r="C171" s="96" t="inlineStr">
        <is>
          <t>키움투자자산운용</t>
        </is>
      </c>
      <c r="D171" s="97" t="n">
        <v>45540</v>
      </c>
      <c r="E171" s="97" t="n">
        <v>20948400000</v>
      </c>
      <c r="F171" s="97" t="n">
        <v>80502815</v>
      </c>
      <c r="G171" s="98" t="n">
        <v>0.0003500000000000001</v>
      </c>
      <c r="H171" s="98" t="n">
        <v>0.1409</v>
      </c>
      <c r="I171" s="98" t="n">
        <v>0.0028</v>
      </c>
      <c r="J171" s="98" t="n">
        <v>0.031094</v>
      </c>
      <c r="K171" s="97" t="n">
        <v>25</v>
      </c>
      <c r="L171" s="99" t="inlineStr">
        <is>
          <t>20260828</t>
        </is>
      </c>
      <c r="M171" s="96" t="inlineStr">
        <is>
          <t>제외</t>
        </is>
      </c>
      <c r="N171" s="96" t="inlineStr">
        <is>
          <t>순자산 209억(기준 300억 미만), 60일 거래대금 0.8억(기준 5억 미만)</t>
        </is>
      </c>
      <c r="O171" s="96" t="inlineStr">
        <is>
          <t>KIS-키움 국고채30년 지수</t>
        </is>
      </c>
      <c r="P171" s="96" t="inlineStr">
        <is>
          <t>일반</t>
        </is>
      </c>
      <c r="Q171" s="96" t="inlineStr">
        <is>
          <t>채권</t>
        </is>
      </c>
      <c r="R171" s="96" t="inlineStr">
        <is>
          <t>월배당</t>
        </is>
      </c>
      <c r="S171" s="97" t="n">
        <v>11</v>
      </c>
      <c r="T171" s="98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IFERROR(INDEX($A$4:$A$253,MATCH(168,$X$4:$X$253,0)),"")</f>
        <v/>
      </c>
    </row>
    <row r="172">
      <c r="A172" s="96" t="inlineStr">
        <is>
          <t>RISE 미국S&amp;P배당킹</t>
        </is>
      </c>
      <c r="B172" s="96" t="inlineStr">
        <is>
          <t>460660</t>
        </is>
      </c>
      <c r="C172" s="96" t="inlineStr">
        <is>
          <t>KB자산운용</t>
        </is>
      </c>
      <c r="D172" s="97" t="n">
        <v>11580</v>
      </c>
      <c r="E172" s="97" t="n">
        <v>17370000000</v>
      </c>
      <c r="F172" s="97" t="n">
        <v>94868595</v>
      </c>
      <c r="G172" s="98" t="n">
        <v>0.0001</v>
      </c>
      <c r="H172" s="98" t="n">
        <v>0.1558</v>
      </c>
      <c r="I172" s="98" t="n">
        <v>0.0024</v>
      </c>
      <c r="J172" s="98" t="n">
        <v>0.029879</v>
      </c>
      <c r="K172" s="97" t="n">
        <v>38</v>
      </c>
      <c r="L172" s="99" t="inlineStr">
        <is>
          <t>20260828</t>
        </is>
      </c>
      <c r="M172" s="96" t="inlineStr">
        <is>
          <t>제외</t>
        </is>
      </c>
      <c r="N172" s="96" t="inlineStr">
        <is>
          <t>순자산 174억(기준 300억 미만), 60일 거래대금 0.9억(기준 5억 미만)</t>
        </is>
      </c>
      <c r="O172" s="96" t="inlineStr">
        <is>
          <t>S&amp;P Dividend Monarchs Index (USD)</t>
        </is>
      </c>
      <c r="P172" s="96" t="inlineStr">
        <is>
          <t>일반</t>
        </is>
      </c>
      <c r="Q172" s="96" t="inlineStr">
        <is>
          <t>주식</t>
        </is>
      </c>
      <c r="R172" s="96" t="inlineStr">
        <is>
          <t>월배당</t>
        </is>
      </c>
      <c r="S172" s="97" t="n">
        <v>11</v>
      </c>
      <c r="T172" s="98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IFERROR(INDEX($A$4:$A$253,MATCH(169,$X$4:$X$253,0)),"")</f>
        <v/>
      </c>
    </row>
    <row r="173">
      <c r="A173" s="96" t="inlineStr">
        <is>
          <t>SOL 미국배당다우존스2호</t>
        </is>
      </c>
      <c r="B173" s="96" t="inlineStr">
        <is>
          <t>493420</t>
        </is>
      </c>
      <c r="C173" s="96" t="inlineStr">
        <is>
          <t>신한자산운용</t>
        </is>
      </c>
      <c r="D173" s="97" t="n">
        <v>12545</v>
      </c>
      <c r="E173" s="97" t="n">
        <v>26344500000</v>
      </c>
      <c r="F173" s="97" t="n">
        <v>137350523</v>
      </c>
      <c r="G173" s="98" t="n">
        <v>0.0001</v>
      </c>
      <c r="H173" s="98" t="n">
        <v>0.1407</v>
      </c>
      <c r="I173" s="98" t="n">
        <v>0.0037</v>
      </c>
      <c r="J173" s="98" t="n">
        <v>0.029653</v>
      </c>
      <c r="K173" s="97" t="n">
        <v>16</v>
      </c>
      <c r="L173" s="99" t="inlineStr">
        <is>
          <t>20260914</t>
        </is>
      </c>
      <c r="M173" s="96" t="inlineStr">
        <is>
          <t>제외</t>
        </is>
      </c>
      <c r="N173" s="96" t="inlineStr">
        <is>
          <t>순자산 263억(기준 300억 미만), 60일 거래대금 1.4억(기준 5억 미만)</t>
        </is>
      </c>
      <c r="O173" s="96" t="inlineStr">
        <is>
          <t>Dow Jones U.S. Dividend 100 Total Return Index</t>
        </is>
      </c>
      <c r="P173" s="96" t="inlineStr">
        <is>
          <t>일반</t>
        </is>
      </c>
      <c r="Q173" s="96" t="inlineStr">
        <is>
          <t>주식</t>
        </is>
      </c>
      <c r="R173" s="96" t="inlineStr">
        <is>
          <t>월배당</t>
        </is>
      </c>
      <c r="S173" s="97" t="n">
        <v>12</v>
      </c>
      <c r="T173" s="98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IFERROR(INDEX($A$4:$A$253,MATCH(170,$X$4:$X$253,0)),"")</f>
        <v/>
      </c>
    </row>
    <row r="174">
      <c r="A174" s="96" t="inlineStr">
        <is>
          <t>KODEX 증권</t>
        </is>
      </c>
      <c r="B174" s="96" t="inlineStr">
        <is>
          <t>102970</t>
        </is>
      </c>
      <c r="C174" s="96" t="inlineStr">
        <is>
          <t>삼성자산운용(ETF)</t>
        </is>
      </c>
      <c r="D174" s="97" t="n">
        <v>17555</v>
      </c>
      <c r="E174" s="97" t="n">
        <v>656557000000</v>
      </c>
      <c r="F174" s="97" t="n">
        <v>21570730136</v>
      </c>
      <c r="G174" s="98" t="n">
        <v>0.004500000000000001</v>
      </c>
      <c r="H174" s="98" t="n">
        <v>0.6304</v>
      </c>
      <c r="I174" s="98" t="n">
        <v>0.008699999999999999</v>
      </c>
      <c r="J174" s="98" t="n">
        <v>0.027855</v>
      </c>
      <c r="K174" s="97" t="n">
        <v>6</v>
      </c>
      <c r="L174" s="99" t="inlineStr">
        <is>
          <t>20260730</t>
        </is>
      </c>
      <c r="M174" s="96" t="inlineStr">
        <is>
          <t>제외</t>
        </is>
      </c>
      <c r="N174" s="96" t="inlineStr">
        <is>
          <t>변동성 63.0%(1년 기준, 기준 35% 초과)</t>
        </is>
      </c>
      <c r="O174" s="96" t="inlineStr">
        <is>
          <t>KRX 증권</t>
        </is>
      </c>
      <c r="P174" s="96" t="inlineStr">
        <is>
          <t>일반</t>
        </is>
      </c>
      <c r="Q174" s="96" t="inlineStr">
        <is>
          <t>주식</t>
        </is>
      </c>
      <c r="R174" s="96" t="inlineStr">
        <is>
          <t>연배당</t>
        </is>
      </c>
      <c r="S174" s="97" t="n">
        <v>2</v>
      </c>
      <c r="T174" s="98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IFERROR(INDEX($A$4:$A$253,MATCH(171,$X$4:$X$253,0)),"")</f>
        <v/>
      </c>
    </row>
    <row r="175">
      <c r="A175" s="96" t="inlineStr">
        <is>
          <t>KIWOOM 엔비디아미국30년국채혼합액티브(H)</t>
        </is>
      </c>
      <c r="B175" s="96" t="inlineStr">
        <is>
          <t>0015E0</t>
        </is>
      </c>
      <c r="C175" s="96" t="inlineStr">
        <is>
          <t>키움투자자산운용</t>
        </is>
      </c>
      <c r="D175" s="97" t="n">
        <v>10440</v>
      </c>
      <c r="E175" s="97" t="n">
        <v>5220000000</v>
      </c>
      <c r="F175" s="97" t="n">
        <v>32110146</v>
      </c>
      <c r="G175" s="98" t="n">
        <v>0.0019</v>
      </c>
      <c r="H175" s="98" t="n">
        <v>0.1083</v>
      </c>
      <c r="I175" s="98" t="n">
        <v>0.0019</v>
      </c>
      <c r="J175" s="98" t="n">
        <v>0.022989</v>
      </c>
      <c r="K175" s="97" t="n">
        <v>18</v>
      </c>
      <c r="L175" s="99" t="inlineStr">
        <is>
          <t>20260828</t>
        </is>
      </c>
      <c r="M175" s="96" t="inlineStr">
        <is>
          <t>제외</t>
        </is>
      </c>
      <c r="N175" s="96" t="inlineStr">
        <is>
          <t>순자산 52억(기준 300억 미만), 60일 거래대금 0.3억(기준 5억 미만)</t>
        </is>
      </c>
      <c r="O175" s="96" t="inlineStr">
        <is>
          <t>Bloomberg BlendedNVDIAand USLong Treasury Bond Index</t>
        </is>
      </c>
      <c r="P175" s="96" t="inlineStr">
        <is>
          <t>일반</t>
        </is>
      </c>
      <c r="Q175" s="96" t="inlineStr">
        <is>
          <t>멀티에셋</t>
        </is>
      </c>
      <c r="R175" s="96" t="inlineStr">
        <is>
          <t>월배당</t>
        </is>
      </c>
      <c r="S175" s="97" t="n">
        <v>11</v>
      </c>
      <c r="T175" s="98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IFERROR(INDEX($A$4:$A$253,MATCH(172,$X$4:$X$253,0)),"")</f>
        <v/>
      </c>
    </row>
    <row r="176">
      <c r="A176" s="96" t="inlineStr">
        <is>
          <t>KIWOOM 팔란티어미국30년국채혼합액티브(H)</t>
        </is>
      </c>
      <c r="B176" s="96" t="inlineStr">
        <is>
          <t>0015F0</t>
        </is>
      </c>
      <c r="C176" s="96" t="inlineStr">
        <is>
          <t>키움투자자산운용</t>
        </is>
      </c>
      <c r="D176" s="97" t="n">
        <v>10490</v>
      </c>
      <c r="E176" s="97" t="n">
        <v>12588000000</v>
      </c>
      <c r="F176" s="97" t="n">
        <v>86857806</v>
      </c>
      <c r="G176" s="98" t="n">
        <v>0.0019</v>
      </c>
      <c r="H176" s="98" t="n">
        <v>0.1565</v>
      </c>
      <c r="I176" s="98" t="n">
        <v>0.0019</v>
      </c>
      <c r="J176" s="98" t="n">
        <v>0.022879</v>
      </c>
      <c r="K176" s="97" t="n">
        <v>18</v>
      </c>
      <c r="L176" s="99" t="inlineStr">
        <is>
          <t>20260828</t>
        </is>
      </c>
      <c r="M176" s="96" t="inlineStr">
        <is>
          <t>제외</t>
        </is>
      </c>
      <c r="N176" s="96" t="inlineStr">
        <is>
          <t>순자산 126억(기준 300억 미만), 60일 거래대금 0.9억(기준 5억 미만)</t>
        </is>
      </c>
      <c r="O176" s="96" t="inlineStr">
        <is>
          <t>Bloomberg Blended PALANTIR and USLong Treasury Bond Index</t>
        </is>
      </c>
      <c r="P176" s="96" t="inlineStr">
        <is>
          <t>일반</t>
        </is>
      </c>
      <c r="Q176" s="96" t="inlineStr">
        <is>
          <t>멀티에셋</t>
        </is>
      </c>
      <c r="R176" s="96" t="inlineStr">
        <is>
          <t>월배당</t>
        </is>
      </c>
      <c r="S176" s="97" t="n">
        <v>11</v>
      </c>
      <c r="T176" s="98" t="n">
        <v>0.8333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IFERROR(INDEX($A$4:$A$253,MATCH(173,$X$4:$X$253,0)),"")</f>
        <v/>
      </c>
    </row>
    <row r="177">
      <c r="A177" s="96" t="inlineStr">
        <is>
          <t>TIGER 현대차그룹플러스</t>
        </is>
      </c>
      <c r="B177" s="96" t="inlineStr">
        <is>
          <t>138540</t>
        </is>
      </c>
      <c r="C177" s="96" t="inlineStr">
        <is>
          <t>미래에셋자산운용</t>
        </is>
      </c>
      <c r="D177" s="97" t="n">
        <v>49090</v>
      </c>
      <c r="E177" s="97" t="n">
        <v>638170000000</v>
      </c>
      <c r="F177" s="97" t="n">
        <v>15347236306</v>
      </c>
      <c r="G177" s="98" t="n">
        <v>0.0015</v>
      </c>
      <c r="H177" s="98" t="n">
        <v>0.5296</v>
      </c>
      <c r="I177" s="98" t="n">
        <v>0.0148</v>
      </c>
      <c r="J177" s="98" t="n">
        <v>0.022204</v>
      </c>
      <c r="K177" s="97" t="n">
        <v>9</v>
      </c>
      <c r="L177" s="99" t="inlineStr">
        <is>
          <t>20260429</t>
        </is>
      </c>
      <c r="M177" s="96" t="inlineStr">
        <is>
          <t>제외</t>
        </is>
      </c>
      <c r="N177" s="96" t="inlineStr">
        <is>
          <t>변동성 53.0%(1년 기준, 기준 35% 초과)</t>
        </is>
      </c>
      <c r="O177" s="96" t="inlineStr">
        <is>
          <t>FnGuide 현대차그룹+ FW</t>
        </is>
      </c>
      <c r="P177" s="96" t="inlineStr">
        <is>
          <t>일반</t>
        </is>
      </c>
      <c r="Q177" s="96" t="inlineStr">
        <is>
          <t>주식</t>
        </is>
      </c>
      <c r="R177" s="96" t="inlineStr">
        <is>
          <t>반기배당</t>
        </is>
      </c>
      <c r="S177" s="97" t="n">
        <v>2</v>
      </c>
      <c r="T177" s="98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IFERROR(INDEX($A$4:$A$253,MATCH(174,$X$4:$X$253,0)),"")</f>
        <v/>
      </c>
    </row>
    <row r="178">
      <c r="A178" s="96" t="inlineStr">
        <is>
          <t>KODEX 미국S&amp;P500변동성확대시커버드콜</t>
        </is>
      </c>
      <c r="B178" s="96" t="inlineStr">
        <is>
          <t>0089C0</t>
        </is>
      </c>
      <c r="C178" s="96" t="inlineStr">
        <is>
          <t>삼성자산운용(ETF)</t>
        </is>
      </c>
      <c r="D178" s="97" t="n">
        <v>11390</v>
      </c>
      <c r="E178" s="97" t="n">
        <v>43282000000</v>
      </c>
      <c r="F178" s="97" t="n">
        <v>368575913</v>
      </c>
      <c r="G178" s="98" t="n">
        <v>0.0039</v>
      </c>
      <c r="H178" s="98" t="n">
        <v>0.1404</v>
      </c>
      <c r="I178" s="98" t="n">
        <v>0.0009</v>
      </c>
      <c r="J178" s="98" t="n">
        <v>0.021861</v>
      </c>
      <c r="K178" s="97" t="n">
        <v>12</v>
      </c>
      <c r="L178" s="99" t="inlineStr">
        <is>
          <t>20260828</t>
        </is>
      </c>
      <c r="M178" s="96" t="inlineStr">
        <is>
          <t>제외</t>
        </is>
      </c>
      <c r="N178" s="96" t="inlineStr">
        <is>
          <t>60일 거래대금 3.7억(기준 5억 미만)</t>
        </is>
      </c>
      <c r="O178" s="96" t="inlineStr">
        <is>
          <t>Cboe S&amp;P 500 Volatility Contingent Daily Covered Call Index</t>
        </is>
      </c>
      <c r="P178" s="96" t="inlineStr">
        <is>
          <t>커버드콜</t>
        </is>
      </c>
      <c r="Q178" s="96" t="inlineStr">
        <is>
          <t>주식</t>
        </is>
      </c>
      <c r="R178" s="96" t="inlineStr">
        <is>
          <t>월배당</t>
        </is>
      </c>
      <c r="S178" s="97" t="n">
        <v>11</v>
      </c>
      <c r="T178" s="98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IFERROR(INDEX($A$4:$A$253,MATCH(175,$X$4:$X$253,0)),"")</f>
        <v/>
      </c>
    </row>
    <row r="179">
      <c r="A179" s="96" t="inlineStr">
        <is>
          <t>ACE 미국배당퀄리티채권혼합50</t>
        </is>
      </c>
      <c r="B179" s="96" t="inlineStr">
        <is>
          <t>0049K0</t>
        </is>
      </c>
      <c r="C179" s="96" t="inlineStr">
        <is>
          <t>한국투신운용(ETF)</t>
        </is>
      </c>
      <c r="D179" s="97" t="n">
        <v>11040</v>
      </c>
      <c r="E179" s="97" t="n">
        <v>27048000000</v>
      </c>
      <c r="F179" s="97" t="n">
        <v>176438060</v>
      </c>
      <c r="G179" s="98" t="n">
        <v>0.0015</v>
      </c>
      <c r="H179" s="98" t="n">
        <v>0.0669</v>
      </c>
      <c r="I179" s="98" t="n">
        <v>0.0018</v>
      </c>
      <c r="J179" s="98" t="n">
        <v>0.02183</v>
      </c>
      <c r="K179" s="97" t="n">
        <v>15</v>
      </c>
      <c r="L179" s="99" t="inlineStr">
        <is>
          <t>20260828</t>
        </is>
      </c>
      <c r="M179" s="96" t="inlineStr">
        <is>
          <t>제외</t>
        </is>
      </c>
      <c r="N179" s="96" t="inlineStr">
        <is>
          <t>순자산 270억(기준 300억 미만), 60일 거래대금 1.8억(기준 5억 미만)</t>
        </is>
      </c>
      <c r="O179" s="96" t="inlineStr">
        <is>
          <t>Bloomberg WisdomTree U.S. Quality Dividend &amp; Short Term KRW</t>
        </is>
      </c>
      <c r="P179" s="96" t="inlineStr">
        <is>
          <t>일반</t>
        </is>
      </c>
      <c r="Q179" s="96" t="inlineStr">
        <is>
          <t>멀티에셋</t>
        </is>
      </c>
      <c r="R179" s="96" t="inlineStr">
        <is>
          <t>월배당</t>
        </is>
      </c>
      <c r="S179" s="97" t="n">
        <v>11</v>
      </c>
      <c r="T179" s="98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IFERROR(INDEX($A$4:$A$253,MATCH(176,$X$4:$X$253,0)),"")</f>
        <v/>
      </c>
    </row>
    <row r="180">
      <c r="A180" s="96" t="inlineStr">
        <is>
          <t>KODEX TRF5050</t>
        </is>
      </c>
      <c r="B180" s="96" t="inlineStr">
        <is>
          <t>329660</t>
        </is>
      </c>
      <c r="C180" s="96" t="inlineStr">
        <is>
          <t>삼성자산운용(ETF)</t>
        </is>
      </c>
      <c r="D180" s="97" t="n">
        <v>17740</v>
      </c>
      <c r="E180" s="97" t="n">
        <v>83378000000</v>
      </c>
      <c r="F180" s="97" t="n">
        <v>280416445</v>
      </c>
      <c r="G180" s="98" t="n">
        <v>0.0017</v>
      </c>
      <c r="H180" s="98" t="n">
        <v>0.073</v>
      </c>
      <c r="I180" s="98" t="n">
        <v>0.0018</v>
      </c>
      <c r="J180" s="98" t="n">
        <v>0.021421</v>
      </c>
      <c r="K180" s="97" t="n">
        <v>14</v>
      </c>
      <c r="L180" s="99" t="inlineStr">
        <is>
          <t>20260914</t>
        </is>
      </c>
      <c r="M180" s="96" t="inlineStr">
        <is>
          <t>제외</t>
        </is>
      </c>
      <c r="N180" s="96" t="inlineStr">
        <is>
          <t>60일 거래대금 2.8억(기준 5억 미만)</t>
        </is>
      </c>
      <c r="O180" s="96" t="inlineStr">
        <is>
          <t>FnGuide TRF 5050 지수</t>
        </is>
      </c>
      <c r="P180" s="96" t="inlineStr">
        <is>
          <t>일반</t>
        </is>
      </c>
      <c r="Q180" s="96" t="inlineStr">
        <is>
          <t>멀티에셋</t>
        </is>
      </c>
      <c r="R180" s="96" t="inlineStr">
        <is>
          <t>월배당</t>
        </is>
      </c>
      <c r="S180" s="97" t="n">
        <v>12</v>
      </c>
      <c r="T180" s="98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IFERROR(INDEX($A$4:$A$253,MATCH(177,$X$4:$X$253,0)),"")</f>
        <v/>
      </c>
    </row>
    <row r="181">
      <c r="A181" s="96" t="inlineStr">
        <is>
          <t>ACE 테슬라밸류체인액티브</t>
        </is>
      </c>
      <c r="B181" s="96" t="inlineStr">
        <is>
          <t>457480</t>
        </is>
      </c>
      <c r="C181" s="96" t="inlineStr">
        <is>
          <t>한국투자신탁운용</t>
        </is>
      </c>
      <c r="D181" s="97" t="n">
        <v>18430</v>
      </c>
      <c r="E181" s="97" t="n">
        <v>763002000000</v>
      </c>
      <c r="F181" s="97" t="n">
        <v>10704790351</v>
      </c>
      <c r="G181" s="98" t="n">
        <v>0.0029</v>
      </c>
      <c r="H181" s="98" t="n">
        <v>0.3855</v>
      </c>
      <c r="I181" s="98" t="n">
        <v>0.0157</v>
      </c>
      <c r="J181" s="98" t="n">
        <v>0.019805</v>
      </c>
      <c r="K181" s="97" t="n">
        <v>1</v>
      </c>
      <c r="L181" s="99" t="inlineStr">
        <is>
          <t>20251229</t>
        </is>
      </c>
      <c r="M181" s="96" t="inlineStr">
        <is>
          <t>제외</t>
        </is>
      </c>
      <c r="N181" s="96" t="inlineStr">
        <is>
          <t>변동성 38.6%(1년 기준, 기준 35% 초과)</t>
        </is>
      </c>
      <c r="O181" s="96" t="inlineStr">
        <is>
          <t>Bloomberg EV Supporters Plus Tesla Index</t>
        </is>
      </c>
      <c r="P181" s="96" t="inlineStr">
        <is>
          <t>일반</t>
        </is>
      </c>
      <c r="Q181" s="96" t="inlineStr">
        <is>
          <t>주식</t>
        </is>
      </c>
      <c r="R181" s="96" t="inlineStr">
        <is>
          <t>연배당</t>
        </is>
      </c>
      <c r="S181" s="97" t="n">
        <v>1</v>
      </c>
      <c r="T181" s="98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IFERROR(INDEX($A$4:$A$253,MATCH(178,$X$4:$X$253,0)),"")</f>
        <v/>
      </c>
    </row>
    <row r="182">
      <c r="A182" s="96" t="inlineStr">
        <is>
          <t>KIWOOM 미국방어배당성장나스닥</t>
        </is>
      </c>
      <c r="B182" s="96" t="inlineStr">
        <is>
          <t>373790</t>
        </is>
      </c>
      <c r="C182" s="96" t="inlineStr">
        <is>
          <t>키움투자자산운용</t>
        </is>
      </c>
      <c r="D182" s="97" t="n">
        <v>15400</v>
      </c>
      <c r="E182" s="97" t="n">
        <v>4312000000</v>
      </c>
      <c r="F182" s="97" t="n">
        <v>10819554</v>
      </c>
      <c r="G182" s="98" t="n">
        <v>0.004</v>
      </c>
      <c r="H182" s="98" t="n">
        <v>0.1427</v>
      </c>
      <c r="I182" s="98" t="n">
        <v>0.0019</v>
      </c>
      <c r="J182" s="98" t="n">
        <v>0.01961</v>
      </c>
      <c r="K182" s="97" t="n">
        <v>33</v>
      </c>
      <c r="L182" s="99" t="inlineStr">
        <is>
          <t>20260828</t>
        </is>
      </c>
      <c r="M182" s="96" t="inlineStr">
        <is>
          <t>제외</t>
        </is>
      </c>
      <c r="N182" s="96" t="inlineStr">
        <is>
          <t>순자산 43억(기준 300억 미만), 60일 거래대금 0.1억(기준 5억 미만)</t>
        </is>
      </c>
      <c r="O182" s="96" t="inlineStr">
        <is>
          <t>Nasdaq US Low Volatility Dividend Achievers Index</t>
        </is>
      </c>
      <c r="P182" s="96" t="inlineStr">
        <is>
          <t>일반</t>
        </is>
      </c>
      <c r="Q182" s="96" t="inlineStr">
        <is>
          <t>주식</t>
        </is>
      </c>
      <c r="R182" s="96" t="inlineStr">
        <is>
          <t>월배당</t>
        </is>
      </c>
      <c r="S182" s="97" t="n">
        <v>11</v>
      </c>
      <c r="T182" s="98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IFERROR(INDEX($A$4:$A$253,MATCH(179,$X$4:$X$253,0)),"")</f>
        <v/>
      </c>
    </row>
    <row r="183">
      <c r="A183" s="96" t="inlineStr">
        <is>
          <t>RISE 미국은행TOP10</t>
        </is>
      </c>
      <c r="B183" s="96" t="inlineStr">
        <is>
          <t>0013P0</t>
        </is>
      </c>
      <c r="C183" s="96" t="inlineStr">
        <is>
          <t>KB자산운용</t>
        </is>
      </c>
      <c r="D183" s="97" t="n">
        <v>12430</v>
      </c>
      <c r="E183" s="97" t="n">
        <v>13673000000</v>
      </c>
      <c r="F183" s="97" t="n">
        <v>285989654</v>
      </c>
      <c r="G183" s="98" t="n">
        <v>0.002</v>
      </c>
      <c r="H183" s="98" t="n">
        <v>0.2222</v>
      </c>
      <c r="I183" s="98" t="n">
        <v>0.0018</v>
      </c>
      <c r="J183" s="98" t="n">
        <v>0.019469</v>
      </c>
      <c r="K183" s="97" t="n">
        <v>17</v>
      </c>
      <c r="L183" s="99" t="inlineStr">
        <is>
          <t>20260828</t>
        </is>
      </c>
      <c r="M183" s="96" t="inlineStr">
        <is>
          <t>제외</t>
        </is>
      </c>
      <c r="N183" s="96" t="inlineStr">
        <is>
          <t>순자산 137억(기준 300억 미만), 60일 거래대금 2.9억(기준 5억 미만)</t>
        </is>
      </c>
      <c r="O183" s="96" t="inlineStr">
        <is>
          <t>KEDI U.S. Bank TOP10 Index (Price Return)</t>
        </is>
      </c>
      <c r="P183" s="96" t="inlineStr">
        <is>
          <t>일반</t>
        </is>
      </c>
      <c r="Q183" s="96" t="inlineStr">
        <is>
          <t>주식</t>
        </is>
      </c>
      <c r="R183" s="96" t="inlineStr">
        <is>
          <t>월배당</t>
        </is>
      </c>
      <c r="S183" s="97" t="n">
        <v>11</v>
      </c>
      <c r="T183" s="98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IFERROR(INDEX($A$4:$A$253,MATCH(180,$X$4:$X$253,0)),"")</f>
        <v/>
      </c>
    </row>
    <row r="184">
      <c r="A184" s="96" t="inlineStr">
        <is>
          <t>KoAct 코리아밸류업액티브</t>
        </is>
      </c>
      <c r="B184" s="96" t="inlineStr">
        <is>
          <t>495230</t>
        </is>
      </c>
      <c r="C184" s="96" t="inlineStr">
        <is>
          <t>삼성액티브자산(ETF)</t>
        </is>
      </c>
      <c r="D184" s="97" t="n">
        <v>31185</v>
      </c>
      <c r="E184" s="97" t="n">
        <v>246361500000</v>
      </c>
      <c r="F184" s="97" t="n">
        <v>3347580937</v>
      </c>
      <c r="G184" s="98" t="n">
        <v>0.005</v>
      </c>
      <c r="H184" s="98" t="n">
        <v>0.5503</v>
      </c>
      <c r="I184" s="98" t="n">
        <v>0.002</v>
      </c>
      <c r="J184" s="98" t="n">
        <v>0.019368</v>
      </c>
      <c r="K184" s="97" t="n">
        <v>21</v>
      </c>
      <c r="L184" s="99" t="inlineStr">
        <is>
          <t>20260828</t>
        </is>
      </c>
      <c r="M184" s="96" t="inlineStr">
        <is>
          <t>제외</t>
        </is>
      </c>
      <c r="N184" s="96" t="inlineStr">
        <is>
          <t>변동성 55.0%(1년 기준, 기준 35% 초과)</t>
        </is>
      </c>
      <c r="O184" s="96" t="inlineStr">
        <is>
          <t>코리아 밸류업 지수</t>
        </is>
      </c>
      <c r="P184" s="96" t="inlineStr">
        <is>
          <t>일반</t>
        </is>
      </c>
      <c r="Q184" s="96" t="inlineStr">
        <is>
          <t>주식</t>
        </is>
      </c>
      <c r="R184" s="96" t="inlineStr">
        <is>
          <t>월배당</t>
        </is>
      </c>
      <c r="S184" s="97" t="n">
        <v>11</v>
      </c>
      <c r="T184" s="98" t="n">
        <v>0.4106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IFERROR(INDEX($A$4:$A$253,MATCH(181,$X$4:$X$253,0)),"")</f>
        <v/>
      </c>
    </row>
    <row r="185">
      <c r="A185" s="96" t="inlineStr">
        <is>
          <t>KODEX TRF7030</t>
        </is>
      </c>
      <c r="B185" s="96" t="inlineStr">
        <is>
          <t>329670</t>
        </is>
      </c>
      <c r="C185" s="96" t="inlineStr">
        <is>
          <t>삼성자산운용(ETF)</t>
        </is>
      </c>
      <c r="D185" s="97" t="n">
        <v>21850</v>
      </c>
      <c r="E185" s="97" t="n">
        <v>87400000000</v>
      </c>
      <c r="F185" s="97" t="n">
        <v>338397731</v>
      </c>
      <c r="G185" s="98" t="n">
        <v>0.001</v>
      </c>
      <c r="H185" s="98" t="n">
        <v>0.1028</v>
      </c>
      <c r="I185" s="98" t="n">
        <v>0.0015</v>
      </c>
      <c r="J185" s="98" t="n">
        <v>0.018444</v>
      </c>
      <c r="K185" s="97" t="n">
        <v>14</v>
      </c>
      <c r="L185" s="99" t="inlineStr">
        <is>
          <t>20260914</t>
        </is>
      </c>
      <c r="M185" s="96" t="inlineStr">
        <is>
          <t>제외</t>
        </is>
      </c>
      <c r="N185" s="96" t="inlineStr">
        <is>
          <t>60일 거래대금 3.4억(기준 5억 미만)</t>
        </is>
      </c>
      <c r="O185" s="96" t="inlineStr">
        <is>
          <t>FnGuide TRF 7030 지수</t>
        </is>
      </c>
      <c r="P185" s="96" t="inlineStr">
        <is>
          <t>일반</t>
        </is>
      </c>
      <c r="Q185" s="96" t="inlineStr">
        <is>
          <t>멀티에셋</t>
        </is>
      </c>
      <c r="R185" s="96" t="inlineStr">
        <is>
          <t>월배당</t>
        </is>
      </c>
      <c r="S185" s="97" t="n">
        <v>12</v>
      </c>
      <c r="T185" s="98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IFERROR(INDEX($A$4:$A$253,MATCH(182,$X$4:$X$253,0)),"")</f>
        <v/>
      </c>
    </row>
    <row r="186">
      <c r="A186" s="96" t="inlineStr">
        <is>
          <t>TIGER 글로벌비만치료제TOP2Plus</t>
        </is>
      </c>
      <c r="B186" s="96" t="inlineStr">
        <is>
          <t>476690</t>
        </is>
      </c>
      <c r="C186" s="96" t="inlineStr">
        <is>
          <t>미래에셋자산운용</t>
        </is>
      </c>
      <c r="D186" s="97" t="n">
        <v>10400</v>
      </c>
      <c r="E186" s="97" t="n">
        <v>31200000000</v>
      </c>
      <c r="F186" s="97" t="n">
        <v>217083448</v>
      </c>
      <c r="G186" s="98" t="n">
        <v>0.004500000000000001</v>
      </c>
      <c r="H186" s="98" t="n">
        <v>0.2433</v>
      </c>
      <c r="I186" s="98" t="n">
        <v>0.001</v>
      </c>
      <c r="J186" s="98" t="n">
        <v>0.015769</v>
      </c>
      <c r="K186" s="97" t="n">
        <v>30</v>
      </c>
      <c r="L186" s="99" t="inlineStr">
        <is>
          <t>20260828</t>
        </is>
      </c>
      <c r="M186" s="96" t="inlineStr">
        <is>
          <t>제외</t>
        </is>
      </c>
      <c r="N186" s="96" t="inlineStr">
        <is>
          <t>60일 거래대금 2.2억(기준 5억 미만)</t>
        </is>
      </c>
      <c r="O186" s="96" t="inlineStr">
        <is>
          <t>Indxx Global Obesity Treatment Top 2 Plus Index</t>
        </is>
      </c>
      <c r="P186" s="96" t="inlineStr">
        <is>
          <t>일반</t>
        </is>
      </c>
      <c r="Q186" s="96" t="inlineStr">
        <is>
          <t>주식</t>
        </is>
      </c>
      <c r="R186" s="96" t="inlineStr">
        <is>
          <t>월배당</t>
        </is>
      </c>
      <c r="S186" s="97" t="n">
        <v>11</v>
      </c>
      <c r="T186" s="98" t="n">
        <v>0.7927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IFERROR(INDEX($A$4:$A$253,MATCH(183,$X$4:$X$253,0)),"")</f>
        <v/>
      </c>
    </row>
    <row r="187">
      <c r="A187" s="96" t="inlineStr">
        <is>
          <t>KODEX 27-12 회사채(AA-이상)액티브</t>
        </is>
      </c>
      <c r="B187" s="96" t="inlineStr">
        <is>
          <t>0007F0</t>
        </is>
      </c>
      <c r="C187" s="96" t="inlineStr">
        <is>
          <t>삼성자산운용(ETF)</t>
        </is>
      </c>
      <c r="D187" s="97" t="n">
        <v>10195</v>
      </c>
      <c r="E187" s="97" t="n">
        <v>650950750000</v>
      </c>
      <c r="F187" s="97" t="n">
        <v>378390760</v>
      </c>
      <c r="G187" s="98" t="n">
        <v>0.0009</v>
      </c>
      <c r="H187" s="98" t="n">
        <v>0.0188</v>
      </c>
      <c r="I187" s="98" t="n">
        <v>0.0154</v>
      </c>
      <c r="J187" s="98" t="n">
        <v>0.0154</v>
      </c>
      <c r="K187" s="97" t="n">
        <v>1</v>
      </c>
      <c r="L187" s="99" t="inlineStr">
        <is>
          <t>20251212</t>
        </is>
      </c>
      <c r="M187" s="96" t="inlineStr">
        <is>
          <t>제외</t>
        </is>
      </c>
      <c r="N187" s="96" t="inlineStr">
        <is>
          <t>60일 거래대금 3.8억(기준 5억 미만)</t>
        </is>
      </c>
      <c r="O187" s="96" t="inlineStr">
        <is>
          <t>KAP 27-12 회사채 총수익 지수(AA-이상)</t>
        </is>
      </c>
      <c r="P187" s="96" t="inlineStr">
        <is>
          <t>일반</t>
        </is>
      </c>
      <c r="Q187" s="96" t="inlineStr">
        <is>
          <t>채권</t>
        </is>
      </c>
      <c r="R187" s="96" t="inlineStr">
        <is>
          <t>연배당</t>
        </is>
      </c>
      <c r="S187" s="97" t="n">
        <v>1</v>
      </c>
      <c r="T187" s="98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IFERROR(INDEX($A$4:$A$253,MATCH(184,$X$4:$X$253,0)),"")</f>
        <v/>
      </c>
    </row>
    <row r="188">
      <c r="A188" s="96" t="inlineStr">
        <is>
          <t>TIGER 미국캐시카우100</t>
        </is>
      </c>
      <c r="B188" s="96" t="inlineStr">
        <is>
          <t>465670</t>
        </is>
      </c>
      <c r="C188" s="96" t="inlineStr">
        <is>
          <t>미래에셋자산운용</t>
        </is>
      </c>
      <c r="D188" s="97" t="n">
        <v>16635</v>
      </c>
      <c r="E188" s="97" t="n">
        <v>22457250000</v>
      </c>
      <c r="F188" s="97" t="n">
        <v>312867508</v>
      </c>
      <c r="G188" s="98" t="n">
        <v>0.0025</v>
      </c>
      <c r="H188" s="98" t="n">
        <v>0.1718</v>
      </c>
      <c r="I188" s="98" t="n">
        <v>0.001</v>
      </c>
      <c r="J188" s="98" t="n">
        <v>0.014908</v>
      </c>
      <c r="K188" s="97" t="n">
        <v>35</v>
      </c>
      <c r="L188" s="99" t="inlineStr">
        <is>
          <t>20260828</t>
        </is>
      </c>
      <c r="M188" s="96" t="inlineStr">
        <is>
          <t>제외</t>
        </is>
      </c>
      <c r="N188" s="96" t="inlineStr">
        <is>
          <t>순자산 225억(기준 300억 미만), 60일 거래대금 3.1억(기준 5억 미만)</t>
        </is>
      </c>
      <c r="O188" s="96" t="inlineStr">
        <is>
          <t>Global X U.S. Cash Flow Kings 100 Index PR</t>
        </is>
      </c>
      <c r="P188" s="96" t="inlineStr">
        <is>
          <t>일반</t>
        </is>
      </c>
      <c r="Q188" s="96" t="inlineStr">
        <is>
          <t>주식</t>
        </is>
      </c>
      <c r="R188" s="96" t="inlineStr">
        <is>
          <t>월배당</t>
        </is>
      </c>
      <c r="S188" s="97" t="n">
        <v>11</v>
      </c>
      <c r="T188" s="98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IFERROR(INDEX($A$4:$A$253,MATCH(185,$X$4:$X$253,0)),"")</f>
        <v/>
      </c>
    </row>
    <row r="189">
      <c r="A189" s="96" t="inlineStr">
        <is>
          <t>ACE 미국배당퀄리티</t>
        </is>
      </c>
      <c r="B189" s="96" t="inlineStr">
        <is>
          <t>0046Y0</t>
        </is>
      </c>
      <c r="C189" s="96" t="inlineStr">
        <is>
          <t>한국투신운용(ETF)</t>
        </is>
      </c>
      <c r="D189" s="97" t="n">
        <v>12450</v>
      </c>
      <c r="E189" s="97" t="n">
        <v>53535000000</v>
      </c>
      <c r="F189" s="97" t="n">
        <v>181535421</v>
      </c>
      <c r="G189" s="98" t="n">
        <v>0.0015</v>
      </c>
      <c r="H189" s="98" t="n">
        <v>0.1298</v>
      </c>
      <c r="I189" s="98" t="n">
        <v>0.001</v>
      </c>
      <c r="J189" s="98" t="n">
        <v>0.014056</v>
      </c>
      <c r="K189" s="97" t="n">
        <v>15</v>
      </c>
      <c r="L189" s="99" t="inlineStr">
        <is>
          <t>20260828</t>
        </is>
      </c>
      <c r="M189" s="96" t="inlineStr">
        <is>
          <t>제외</t>
        </is>
      </c>
      <c r="N189" s="96" t="inlineStr">
        <is>
          <t>60일 거래대금 1.8억(기준 5억 미만)</t>
        </is>
      </c>
      <c r="O189" s="96" t="inlineStr">
        <is>
          <t>Wisdom Tree U.S. Quality Dividend Growth Index</t>
        </is>
      </c>
      <c r="P189" s="96" t="inlineStr">
        <is>
          <t>일반</t>
        </is>
      </c>
      <c r="Q189" s="96" t="inlineStr">
        <is>
          <t>주식</t>
        </is>
      </c>
      <c r="R189" s="96" t="inlineStr">
        <is>
          <t>월배당</t>
        </is>
      </c>
      <c r="S189" s="97" t="n">
        <v>11</v>
      </c>
      <c r="T189" s="98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IFERROR(INDEX($A$4:$A$253,MATCH(186,$X$4:$X$253,0)),"")</f>
        <v/>
      </c>
    </row>
    <row r="190">
      <c r="A190" s="96" t="inlineStr">
        <is>
          <t>KIWOOM 미국테크100월간목표헤지액티브</t>
        </is>
      </c>
      <c r="B190" s="96" t="inlineStr">
        <is>
          <t>0084D0</t>
        </is>
      </c>
      <c r="C190" s="96" t="inlineStr">
        <is>
          <t>키움투자자산운용</t>
        </is>
      </c>
      <c r="D190" s="97" t="n">
        <v>11280</v>
      </c>
      <c r="E190" s="97" t="n">
        <v>9024000000</v>
      </c>
      <c r="F190" s="97" t="n">
        <v>56856300</v>
      </c>
      <c r="G190" s="98" t="n">
        <v>0.0049</v>
      </c>
      <c r="H190" s="98" t="n">
        <v>0.1356</v>
      </c>
      <c r="I190" s="98" t="n">
        <v>0.0012</v>
      </c>
      <c r="J190" s="98" t="n">
        <v>0.014007</v>
      </c>
      <c r="K190" s="97" t="n">
        <v>13</v>
      </c>
      <c r="L190" s="99" t="inlineStr">
        <is>
          <t>20260828</t>
        </is>
      </c>
      <c r="M190" s="96" t="inlineStr">
        <is>
          <t>제외</t>
        </is>
      </c>
      <c r="N190" s="96" t="inlineStr">
        <is>
          <t>순자산 90억(기준 300억 미만), 60일 거래대금 0.6억(기준 5억 미만)</t>
        </is>
      </c>
      <c r="O190" s="96" t="inlineStr">
        <is>
          <t>Akros U.S. Tech 100 Protective Allocation Monthly Index TR</t>
        </is>
      </c>
      <c r="P190" s="96" t="inlineStr">
        <is>
          <t>일반</t>
        </is>
      </c>
      <c r="Q190" s="96" t="inlineStr">
        <is>
          <t>멀티에셋</t>
        </is>
      </c>
      <c r="R190" s="96" t="inlineStr">
        <is>
          <t>월배당</t>
        </is>
      </c>
      <c r="S190" s="97" t="n">
        <v>11</v>
      </c>
      <c r="T190" s="98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IFERROR(INDEX($A$4:$A$253,MATCH(187,$X$4:$X$253,0)),"")</f>
        <v/>
      </c>
    </row>
    <row r="191">
      <c r="A191" s="96" t="inlineStr">
        <is>
          <t>WON 전단채플러스액티브</t>
        </is>
      </c>
      <c r="B191" s="96" t="inlineStr">
        <is>
          <t>496020</t>
        </is>
      </c>
      <c r="C191" s="96" t="inlineStr">
        <is>
          <t>우리자산운용</t>
        </is>
      </c>
      <c r="D191" s="97" t="n">
        <v>52545</v>
      </c>
      <c r="E191" s="97" t="n">
        <v>506008350000</v>
      </c>
      <c r="F191" s="97" t="n">
        <v>225210211</v>
      </c>
      <c r="G191" s="98" t="n">
        <v>0.0005</v>
      </c>
      <c r="H191" s="98" t="n">
        <v>0.0143</v>
      </c>
      <c r="I191" s="98" t="n">
        <v>0.0142</v>
      </c>
      <c r="J191" s="98" t="n">
        <v>0.014007</v>
      </c>
      <c r="K191" s="97" t="n">
        <v>1</v>
      </c>
      <c r="L191" s="99" t="inlineStr">
        <is>
          <t>20251229</t>
        </is>
      </c>
      <c r="M191" s="96" t="inlineStr">
        <is>
          <t>제외</t>
        </is>
      </c>
      <c r="N191" s="96" t="inlineStr">
        <is>
          <t>60일 거래대금 2.3억(기준 5억 미만)</t>
        </is>
      </c>
      <c r="O191" s="96" t="inlineStr">
        <is>
          <t>KIS 전단채플러스 TR 지수</t>
        </is>
      </c>
      <c r="P191" s="96" t="inlineStr">
        <is>
          <t>일반</t>
        </is>
      </c>
      <c r="Q191" s="96" t="inlineStr">
        <is>
          <t>단기자금(파킹형)</t>
        </is>
      </c>
      <c r="R191" s="96" t="inlineStr">
        <is>
          <t>연배당</t>
        </is>
      </c>
      <c r="S191" s="97" t="n">
        <v>1</v>
      </c>
      <c r="T191" s="98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IFERROR(INDEX($A$4:$A$253,MATCH(188,$X$4:$X$253,0)),"")</f>
        <v/>
      </c>
    </row>
    <row r="192">
      <c r="A192" s="96" t="inlineStr">
        <is>
          <t>PLUS 종합채권(AA-이상)액티브</t>
        </is>
      </c>
      <c r="B192" s="96" t="inlineStr">
        <is>
          <t>451000</t>
        </is>
      </c>
      <c r="C192" s="96" t="inlineStr">
        <is>
          <t>한화자산운용</t>
        </is>
      </c>
      <c r="D192" s="97" t="n">
        <v>107270</v>
      </c>
      <c r="E192" s="97" t="n">
        <v>558125810000</v>
      </c>
      <c r="F192" s="97" t="n">
        <v>37535282</v>
      </c>
      <c r="G192" s="98" t="n">
        <v>0.00045</v>
      </c>
      <c r="H192" s="98" t="n">
        <v>0.043</v>
      </c>
      <c r="I192" s="98" t="n">
        <v>0.013</v>
      </c>
      <c r="J192" s="98" t="n">
        <v>0.013657</v>
      </c>
      <c r="K192" s="97" t="n">
        <v>1</v>
      </c>
      <c r="L192" s="99" t="inlineStr">
        <is>
          <t>20251212</t>
        </is>
      </c>
      <c r="M192" s="96" t="inlineStr">
        <is>
          <t>제외</t>
        </is>
      </c>
      <c r="N192" s="96" t="inlineStr">
        <is>
          <t>60일 거래대금 0.4억(기준 5억 미만)</t>
        </is>
      </c>
      <c r="O192" s="96" t="inlineStr">
        <is>
          <t>KAP 종합채권지수(AA-이상, 총수익)</t>
        </is>
      </c>
      <c r="P192" s="96" t="inlineStr">
        <is>
          <t>일반</t>
        </is>
      </c>
      <c r="Q192" s="96" t="inlineStr">
        <is>
          <t>채권</t>
        </is>
      </c>
      <c r="R192" s="96" t="inlineStr">
        <is>
          <t>연배당</t>
        </is>
      </c>
      <c r="S192" s="97" t="n">
        <v>1</v>
      </c>
      <c r="T192" s="98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IFERROR(INDEX($A$4:$A$253,MATCH(189,$X$4:$X$253,0)),"")</f>
        <v/>
      </c>
    </row>
    <row r="193">
      <c r="A193" s="96" t="inlineStr">
        <is>
          <t>RISE 단기특수은행채액티브</t>
        </is>
      </c>
      <c r="B193" s="96" t="inlineStr">
        <is>
          <t>0061Z0</t>
        </is>
      </c>
      <c r="C193" s="96" t="inlineStr">
        <is>
          <t>KB자산운용</t>
        </is>
      </c>
      <c r="D193" s="97" t="n">
        <v>51070</v>
      </c>
      <c r="E193" s="97" t="n">
        <v>723355480000</v>
      </c>
      <c r="F193" s="97" t="n">
        <v>356182870</v>
      </c>
      <c r="G193" s="98" t="n">
        <v>0.0001</v>
      </c>
      <c r="H193" s="98" t="n">
        <v>0.0123</v>
      </c>
      <c r="I193" s="98" t="n">
        <v>0.0121</v>
      </c>
      <c r="J193" s="98" t="n">
        <v>0.011984</v>
      </c>
      <c r="K193" s="97" t="n">
        <v>1</v>
      </c>
      <c r="L193" s="99" t="inlineStr">
        <is>
          <t>20251212</t>
        </is>
      </c>
      <c r="M193" s="96" t="inlineStr">
        <is>
          <t>제외</t>
        </is>
      </c>
      <c r="N193" s="96" t="inlineStr">
        <is>
          <t>60일 거래대금 3.6억(기준 5억 미만)</t>
        </is>
      </c>
      <c r="O193" s="96" t="inlineStr">
        <is>
          <t>KAP 단기 특수은행채 지수</t>
        </is>
      </c>
      <c r="P193" s="96" t="inlineStr">
        <is>
          <t>일반</t>
        </is>
      </c>
      <c r="Q193" s="96" t="inlineStr">
        <is>
          <t>단기자금(파킹형)</t>
        </is>
      </c>
      <c r="R193" s="96" t="inlineStr">
        <is>
          <t>연배당</t>
        </is>
      </c>
      <c r="S193" s="97" t="n">
        <v>1</v>
      </c>
      <c r="T193" s="98" t="n">
        <v>0.9477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IFERROR(INDEX($A$4:$A$253,MATCH(190,$X$4:$X$253,0)),"")</f>
        <v/>
      </c>
    </row>
    <row r="194">
      <c r="A194" s="96" t="inlineStr">
        <is>
          <t>KODEX 코리아밸류업</t>
        </is>
      </c>
      <c r="B194" s="96" t="inlineStr">
        <is>
          <t>495850</t>
        </is>
      </c>
      <c r="C194" s="96" t="inlineStr">
        <is>
          <t>삼성자산운용(ETF)</t>
        </is>
      </c>
      <c r="D194" s="97" t="n">
        <v>32090</v>
      </c>
      <c r="E194" s="97" t="n">
        <v>665867500000</v>
      </c>
      <c r="F194" s="97" t="n">
        <v>10007784689</v>
      </c>
      <c r="G194" s="98" t="n">
        <v>8.000000000000001e-05</v>
      </c>
      <c r="H194" s="98" t="n">
        <v>0.5244</v>
      </c>
      <c r="I194" s="98" t="n">
        <v>0.0012</v>
      </c>
      <c r="J194" s="98" t="n">
        <v>0.011343</v>
      </c>
      <c r="K194" s="97" t="n">
        <v>21</v>
      </c>
      <c r="L194" s="99" t="inlineStr">
        <is>
          <t>20260828</t>
        </is>
      </c>
      <c r="M194" s="96" t="inlineStr">
        <is>
          <t>제외</t>
        </is>
      </c>
      <c r="N194" s="96" t="inlineStr">
        <is>
          <t>변동성 52.4%(1년 기준, 기준 35% 초과)</t>
        </is>
      </c>
      <c r="O194" s="96" t="inlineStr">
        <is>
          <t>코리아 밸류업 지수</t>
        </is>
      </c>
      <c r="P194" s="96" t="inlineStr">
        <is>
          <t>일반</t>
        </is>
      </c>
      <c r="Q194" s="96" t="inlineStr">
        <is>
          <t>주식</t>
        </is>
      </c>
      <c r="R194" s="96" t="inlineStr">
        <is>
          <t>월배당</t>
        </is>
      </c>
      <c r="S194" s="97" t="n">
        <v>11</v>
      </c>
      <c r="T194" s="98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IFERROR(INDEX($A$4:$A$253,MATCH(191,$X$4:$X$253,0)),"")</f>
        <v/>
      </c>
    </row>
    <row r="195">
      <c r="A195" s="96" t="inlineStr">
        <is>
          <t>RISE 종합채권(A-이상)액티브</t>
        </is>
      </c>
      <c r="B195" s="96" t="inlineStr">
        <is>
          <t>385540</t>
        </is>
      </c>
      <c r="C195" s="96" t="inlineStr">
        <is>
          <t>KB자산운용</t>
        </is>
      </c>
      <c r="D195" s="97" t="n">
        <v>102940</v>
      </c>
      <c r="E195" s="97" t="n">
        <v>2183254460000</v>
      </c>
      <c r="F195" s="97" t="n">
        <v>462261777</v>
      </c>
      <c r="G195" s="98" t="n">
        <v>0.00012</v>
      </c>
      <c r="H195" s="98" t="n">
        <v>0.04190000000000001</v>
      </c>
      <c r="I195" s="98" t="n">
        <v>0.0106</v>
      </c>
      <c r="J195" s="98" t="n">
        <v>0.011142</v>
      </c>
      <c r="K195" s="97" t="n">
        <v>1</v>
      </c>
      <c r="L195" s="99" t="inlineStr">
        <is>
          <t>20251212</t>
        </is>
      </c>
      <c r="M195" s="96" t="inlineStr">
        <is>
          <t>제외</t>
        </is>
      </c>
      <c r="N195" s="96" t="inlineStr">
        <is>
          <t>60일 거래대금 4.6억(기준 5억 미만)</t>
        </is>
      </c>
      <c r="O195" s="96" t="inlineStr">
        <is>
          <t>KIS 종합채권 지수(A-이상)</t>
        </is>
      </c>
      <c r="P195" s="96" t="inlineStr">
        <is>
          <t>일반</t>
        </is>
      </c>
      <c r="Q195" s="96" t="inlineStr">
        <is>
          <t>채권</t>
        </is>
      </c>
      <c r="R195" s="96" t="inlineStr">
        <is>
          <t>연배당</t>
        </is>
      </c>
      <c r="S195" s="97" t="n">
        <v>1</v>
      </c>
      <c r="T195" s="98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IFERROR(INDEX($A$4:$A$253,MATCH(192,$X$4:$X$253,0)),"")</f>
        <v/>
      </c>
    </row>
    <row r="196">
      <c r="A196" s="96" t="inlineStr">
        <is>
          <t>1Q 코리아밸류업</t>
        </is>
      </c>
      <c r="B196" s="96" t="inlineStr">
        <is>
          <t>495330</t>
        </is>
      </c>
      <c r="C196" s="96" t="inlineStr">
        <is>
          <t>하나자산운용</t>
        </is>
      </c>
      <c r="D196" s="97" t="n">
        <v>31970</v>
      </c>
      <c r="E196" s="97" t="n">
        <v>137471000000</v>
      </c>
      <c r="F196" s="97" t="n">
        <v>482477732</v>
      </c>
      <c r="G196" s="98" t="n">
        <v>0.0002</v>
      </c>
      <c r="H196" s="98" t="n">
        <v>0.5246999999999999</v>
      </c>
      <c r="I196" s="98" t="n">
        <v>0.0012</v>
      </c>
      <c r="J196" s="98" t="n">
        <v>0.011042</v>
      </c>
      <c r="K196" s="97" t="n">
        <v>20</v>
      </c>
      <c r="L196" s="99" t="inlineStr">
        <is>
          <t>20260828</t>
        </is>
      </c>
      <c r="M196" s="96" t="inlineStr">
        <is>
          <t>제외</t>
        </is>
      </c>
      <c r="N196" s="96" t="inlineStr">
        <is>
          <t>60일 거래대금 4.8억(기준 5억 미만), 변동성 52.5%(1년 기준, 기준 35% 초과)</t>
        </is>
      </c>
      <c r="O196" s="96" t="inlineStr">
        <is>
          <t>코리아 밸류업 지수</t>
        </is>
      </c>
      <c r="P196" s="96" t="inlineStr">
        <is>
          <t>일반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10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IFERROR(INDEX($A$4:$A$253,MATCH(193,$X$4:$X$253,0)),"")</f>
        <v/>
      </c>
    </row>
    <row r="197">
      <c r="A197" s="96" t="inlineStr">
        <is>
          <t>RISE 코리아밸류업</t>
        </is>
      </c>
      <c r="B197" s="96" t="inlineStr">
        <is>
          <t>495050</t>
        </is>
      </c>
      <c r="C197" s="96" t="inlineStr">
        <is>
          <t>KB자산운용</t>
        </is>
      </c>
      <c r="D197" s="97" t="n">
        <v>32310</v>
      </c>
      <c r="E197" s="97" t="n">
        <v>954760500000</v>
      </c>
      <c r="F197" s="97" t="n">
        <v>13639079209</v>
      </c>
      <c r="G197" s="98" t="n">
        <v>8.000000000000001e-05</v>
      </c>
      <c r="H197" s="98" t="n">
        <v>0.5247999999999999</v>
      </c>
      <c r="I197" s="98" t="n">
        <v>0.0011</v>
      </c>
      <c r="J197" s="98" t="n">
        <v>0.010771</v>
      </c>
      <c r="K197" s="97" t="n">
        <v>19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52.5%(1년 기준, 기준 35% 초과)</t>
        </is>
      </c>
      <c r="O197" s="96" t="inlineStr">
        <is>
          <t>코리아 밸류업 지수</t>
        </is>
      </c>
      <c r="P197" s="96" t="inlineStr">
        <is>
          <t>일반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11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IFERROR(INDEX($A$4:$A$253,MATCH(194,$X$4:$X$253,0)),"")</f>
        <v/>
      </c>
    </row>
    <row r="198">
      <c r="A198" s="96" t="inlineStr">
        <is>
          <t>PLUS 미국나스닥100미국채혼합50</t>
        </is>
      </c>
      <c r="B198" s="96" t="inlineStr">
        <is>
          <t>0089B0</t>
        </is>
      </c>
      <c r="C198" s="96" t="inlineStr">
        <is>
          <t>한화자산운용</t>
        </is>
      </c>
      <c r="D198" s="97" t="n">
        <v>11215</v>
      </c>
      <c r="E198" s="97" t="n">
        <v>33645000000</v>
      </c>
      <c r="F198" s="97" t="n">
        <v>431300155</v>
      </c>
      <c r="G198" s="98" t="n">
        <v>0.0015</v>
      </c>
      <c r="H198" s="98" t="n">
        <v>0.1302</v>
      </c>
      <c r="I198" s="98" t="n">
        <v>0.0009</v>
      </c>
      <c r="J198" s="98" t="n">
        <v>0.010522</v>
      </c>
      <c r="K198" s="97" t="n">
        <v>9</v>
      </c>
      <c r="L198" s="99" t="inlineStr">
        <is>
          <t>20260828</t>
        </is>
      </c>
      <c r="M198" s="96" t="inlineStr">
        <is>
          <t>제외</t>
        </is>
      </c>
      <c r="N198" s="96" t="inlineStr">
        <is>
          <t>60일 거래대금 4.3억(기준 5억 미만)</t>
        </is>
      </c>
      <c r="O198" s="96" t="inlineStr">
        <is>
          <t>Nasdaq-100 US T-Bills 1-3 Month 50/50 Index</t>
        </is>
      </c>
      <c r="P198" s="96" t="inlineStr">
        <is>
          <t>일반</t>
        </is>
      </c>
      <c r="Q198" s="96" t="inlineStr">
        <is>
          <t>멀티에셋</t>
        </is>
      </c>
      <c r="R198" s="96" t="inlineStr">
        <is>
          <t>비정기</t>
        </is>
      </c>
      <c r="S198" s="97" t="n">
        <v>9</v>
      </c>
      <c r="T198" s="98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IFERROR(INDEX($A$4:$A$253,MATCH(195,$X$4:$X$253,0)),"")</f>
        <v/>
      </c>
    </row>
    <row r="199">
      <c r="A199" s="96" t="inlineStr">
        <is>
          <t>RISE 미국S&amp;P500(H)</t>
        </is>
      </c>
      <c r="B199" s="96" t="inlineStr">
        <is>
          <t>453330</t>
        </is>
      </c>
      <c r="C199" s="96" t="inlineStr">
        <is>
          <t>KB자산운용</t>
        </is>
      </c>
      <c r="D199" s="97" t="n">
        <v>18050</v>
      </c>
      <c r="E199" s="97" t="n">
        <v>83030000000</v>
      </c>
      <c r="F199" s="97" t="n">
        <v>463618921</v>
      </c>
      <c r="G199" s="98" t="n">
        <v>4.7e-05</v>
      </c>
      <c r="H199" s="98" t="n">
        <v>0.1309</v>
      </c>
      <c r="I199" s="98" t="n">
        <v>0.0008</v>
      </c>
      <c r="J199" s="98" t="n">
        <v>0.010139</v>
      </c>
      <c r="K199" s="97" t="n">
        <v>41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60일 거래대금 4.6억(기준 5억 미만)</t>
        </is>
      </c>
      <c r="O199" s="96" t="inlineStr">
        <is>
          <t>S&amp;P 500</t>
        </is>
      </c>
      <c r="P199" s="96" t="inlineStr">
        <is>
          <t>일반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1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IFERROR(INDEX($A$4:$A$253,MATCH(196,$X$4:$X$253,0)),"")</f>
        <v/>
      </c>
    </row>
    <row r="200">
      <c r="A200" s="96" t="inlineStr">
        <is>
          <t>PLUS 코리아밸류업</t>
        </is>
      </c>
      <c r="B200" s="96" t="inlineStr">
        <is>
          <t>495040</t>
        </is>
      </c>
      <c r="C200" s="96" t="inlineStr">
        <is>
          <t>한화자산운용</t>
        </is>
      </c>
      <c r="D200" s="97" t="n">
        <v>31865</v>
      </c>
      <c r="E200" s="97" t="n">
        <v>86035500000</v>
      </c>
      <c r="F200" s="97" t="n">
        <v>182422781</v>
      </c>
      <c r="G200" s="98" t="n">
        <v>8.999999999999999e-05</v>
      </c>
      <c r="H200" s="98" t="n">
        <v>0.5233</v>
      </c>
      <c r="I200" s="98" t="n">
        <v>0.0014</v>
      </c>
      <c r="J200" s="98" t="n">
        <v>0.009885</v>
      </c>
      <c r="K200" s="97" t="n">
        <v>21</v>
      </c>
      <c r="L200" s="99" t="inlineStr">
        <is>
          <t>20260914</t>
        </is>
      </c>
      <c r="M200" s="96" t="inlineStr">
        <is>
          <t>제외</t>
        </is>
      </c>
      <c r="N200" s="96" t="inlineStr">
        <is>
          <t>60일 거래대금 1.8억(기준 5억 미만), 변동성 52.3%(1년 기준, 기준 35% 초과)</t>
        </is>
      </c>
      <c r="O200" s="96" t="inlineStr">
        <is>
          <t>코리아 밸류업 지수</t>
        </is>
      </c>
      <c r="P200" s="96" t="inlineStr">
        <is>
          <t>일반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12</v>
      </c>
      <c r="T200" s="98" t="n">
        <v>0.9143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IFERROR(INDEX($A$4:$A$253,MATCH(197,$X$4:$X$253,0)),"")</f>
        <v/>
      </c>
    </row>
    <row r="201">
      <c r="A201" s="96" t="inlineStr">
        <is>
          <t>KIWOOM 200</t>
        </is>
      </c>
      <c r="B201" s="96" t="inlineStr">
        <is>
          <t>069660</t>
        </is>
      </c>
      <c r="C201" s="96" t="inlineStr">
        <is>
          <t>키움투자자산운용</t>
        </is>
      </c>
      <c r="D201" s="97" t="n">
        <v>108915</v>
      </c>
      <c r="E201" s="97" t="n">
        <v>751513500000</v>
      </c>
      <c r="F201" s="97" t="n">
        <v>19408945225</v>
      </c>
      <c r="G201" s="98" t="n">
        <v>0.0005</v>
      </c>
      <c r="H201" s="98" t="n">
        <v>0.5832999999999999</v>
      </c>
      <c r="I201" s="98" t="n">
        <v>0.0015</v>
      </c>
      <c r="J201" s="98" t="n">
        <v>0.009824000000000001</v>
      </c>
      <c r="K201" s="97" t="n">
        <v>12</v>
      </c>
      <c r="L201" s="99" t="inlineStr">
        <is>
          <t>20260730</t>
        </is>
      </c>
      <c r="M201" s="96" t="inlineStr">
        <is>
          <t>제외</t>
        </is>
      </c>
      <c r="N201" s="96" t="inlineStr">
        <is>
          <t>변동성 58.3%(1년 기준, 기준 35% 초과)</t>
        </is>
      </c>
      <c r="O201" s="96" t="inlineStr">
        <is>
          <t>KOSPI 200</t>
        </is>
      </c>
      <c r="P201" s="96" t="inlineStr">
        <is>
          <t>일반</t>
        </is>
      </c>
      <c r="Q201" s="96" t="inlineStr">
        <is>
          <t>주식</t>
        </is>
      </c>
      <c r="R201" s="96" t="inlineStr">
        <is>
          <t>분기배당</t>
        </is>
      </c>
      <c r="S201" s="97" t="n">
        <v>4</v>
      </c>
      <c r="T201" s="98" t="n">
        <v>0.9748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IFERROR(INDEX($A$4:$A$253,MATCH(198,$X$4:$X$253,0)),"")</f>
        <v/>
      </c>
    </row>
    <row r="202">
      <c r="A202" s="96" t="inlineStr">
        <is>
          <t>TIGER 미국나스닥100레버리지(합성)</t>
        </is>
      </c>
      <c r="B202" s="96" t="inlineStr">
        <is>
          <t>418660</t>
        </is>
      </c>
      <c r="C202" s="96" t="inlineStr">
        <is>
          <t>미래에셋자산운용</t>
        </is>
      </c>
      <c r="D202" s="97" t="n">
        <v>39660</v>
      </c>
      <c r="E202" s="97" t="n">
        <v>701982000000</v>
      </c>
      <c r="F202" s="97" t="n">
        <v>12611115028</v>
      </c>
      <c r="G202" s="98" t="n">
        <v>0.0025</v>
      </c>
      <c r="H202" s="98" t="n">
        <v>0.4135</v>
      </c>
      <c r="I202" s="98" t="n">
        <v>0.0107</v>
      </c>
      <c r="J202" s="98" t="n">
        <v>0.009580999999999999</v>
      </c>
      <c r="K202" s="97" t="n">
        <v>1</v>
      </c>
      <c r="L202" s="99" t="inlineStr">
        <is>
          <t>20251229</t>
        </is>
      </c>
      <c r="M202" s="96" t="inlineStr">
        <is>
          <t>제외</t>
        </is>
      </c>
      <c r="N202" s="96" t="inlineStr">
        <is>
          <t>변동성 41.3%(1년 기준, 기준 35% 초과)</t>
        </is>
      </c>
      <c r="O202" s="96" t="inlineStr">
        <is>
          <t>나스닥 100</t>
        </is>
      </c>
      <c r="P202" s="96" t="inlineStr">
        <is>
          <t>일반</t>
        </is>
      </c>
      <c r="Q202" s="96" t="inlineStr">
        <is>
          <t>주식</t>
        </is>
      </c>
      <c r="R202" s="96" t="inlineStr">
        <is>
          <t>연배당</t>
        </is>
      </c>
      <c r="S202" s="97" t="n">
        <v>1</v>
      </c>
      <c r="T202" s="98" t="n">
        <v>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IFERROR(INDEX($A$4:$A$253,MATCH(199,$X$4:$X$253,0)),"")</f>
        <v/>
      </c>
    </row>
    <row r="203">
      <c r="A203" s="96" t="inlineStr">
        <is>
          <t>TIGER 코리아밸류업</t>
        </is>
      </c>
      <c r="B203" s="96" t="inlineStr">
        <is>
          <t>496080</t>
        </is>
      </c>
      <c r="C203" s="96" t="inlineStr">
        <is>
          <t>미래에셋자산운용</t>
        </is>
      </c>
      <c r="D203" s="97" t="n">
        <v>32160</v>
      </c>
      <c r="E203" s="97" t="n">
        <v>503304000000</v>
      </c>
      <c r="F203" s="97" t="n">
        <v>11933689215</v>
      </c>
      <c r="G203" s="98" t="n">
        <v>8.000000000000001e-05</v>
      </c>
      <c r="H203" s="98" t="n">
        <v>0.5224</v>
      </c>
      <c r="I203" s="98" t="n">
        <v>0.0009</v>
      </c>
      <c r="J203" s="98" t="n">
        <v>0.009327999999999999</v>
      </c>
      <c r="K203" s="97" t="n">
        <v>20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변동성 52.2%(1년 기준, 기준 35% 초과)</t>
        </is>
      </c>
      <c r="O203" s="96" t="inlineStr">
        <is>
          <t>코리아 밸류업 지수</t>
        </is>
      </c>
      <c r="P203" s="96" t="inlineStr">
        <is>
          <t>일반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1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IFERROR(INDEX($A$4:$A$253,MATCH(200,$X$4:$X$253,0)),"")</f>
        <v/>
      </c>
    </row>
    <row r="204">
      <c r="A204" s="96" t="inlineStr">
        <is>
          <t>RISE 200</t>
        </is>
      </c>
      <c r="B204" s="96" t="inlineStr">
        <is>
          <t>148020</t>
        </is>
      </c>
      <c r="C204" s="96" t="inlineStr">
        <is>
          <t>KB자산운용</t>
        </is>
      </c>
      <c r="D204" s="97" t="n">
        <v>109740</v>
      </c>
      <c r="E204" s="97" t="n">
        <v>4449957000000</v>
      </c>
      <c r="F204" s="97" t="n">
        <v>134074784456</v>
      </c>
      <c r="G204" s="98" t="n">
        <v>0.00017</v>
      </c>
      <c r="H204" s="98" t="n">
        <v>0.5845</v>
      </c>
      <c r="I204" s="98" t="n">
        <v>0.0013</v>
      </c>
      <c r="J204" s="98" t="n">
        <v>0.009204</v>
      </c>
      <c r="K204" s="97" t="n">
        <v>20</v>
      </c>
      <c r="L204" s="99" t="inlineStr">
        <is>
          <t>20260730</t>
        </is>
      </c>
      <c r="M204" s="96" t="inlineStr">
        <is>
          <t>제외</t>
        </is>
      </c>
      <c r="N204" s="96" t="inlineStr">
        <is>
          <t>변동성 58.5%(1년 기준, 기준 35% 초과)</t>
        </is>
      </c>
      <c r="O204" s="96" t="inlineStr">
        <is>
          <t>KOSPI 200</t>
        </is>
      </c>
      <c r="P204" s="96" t="inlineStr">
        <is>
          <t>일반</t>
        </is>
      </c>
      <c r="Q204" s="96" t="inlineStr">
        <is>
          <t>주식</t>
        </is>
      </c>
      <c r="R204" s="96" t="inlineStr">
        <is>
          <t>분기배당</t>
        </is>
      </c>
      <c r="S204" s="97" t="n">
        <v>4</v>
      </c>
      <c r="T204" s="98" t="n">
        <v>1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IFERROR(INDEX($A$4:$A$253,MATCH(201,$X$4:$X$253,0)),"")</f>
        <v/>
      </c>
    </row>
    <row r="205">
      <c r="A205" s="96" t="inlineStr">
        <is>
          <t>ACE 200</t>
        </is>
      </c>
      <c r="B205" s="96" t="inlineStr">
        <is>
          <t>105190</t>
        </is>
      </c>
      <c r="C205" s="96" t="inlineStr">
        <is>
          <t>한국투신운용(ETF)</t>
        </is>
      </c>
      <c r="D205" s="97" t="n">
        <v>109185</v>
      </c>
      <c r="E205" s="97" t="n">
        <v>1681449000000</v>
      </c>
      <c r="F205" s="97" t="n">
        <v>41054665299</v>
      </c>
      <c r="G205" s="98" t="n">
        <v>0.00017</v>
      </c>
      <c r="H205" s="98" t="n">
        <v>0.585</v>
      </c>
      <c r="I205" s="98" t="n">
        <v>0.0017</v>
      </c>
      <c r="J205" s="98" t="n">
        <v>0.008884</v>
      </c>
      <c r="K205" s="97" t="n">
        <v>9</v>
      </c>
      <c r="L205" s="99" t="inlineStr">
        <is>
          <t>20260730</t>
        </is>
      </c>
      <c r="M205" s="96" t="inlineStr">
        <is>
          <t>제외</t>
        </is>
      </c>
      <c r="N205" s="96" t="inlineStr">
        <is>
          <t>변동성 58.5%(1년 기준, 기준 35% 초과)</t>
        </is>
      </c>
      <c r="O205" s="96" t="inlineStr">
        <is>
          <t>KOSPI 200</t>
        </is>
      </c>
      <c r="P205" s="96" t="inlineStr">
        <is>
          <t>일반</t>
        </is>
      </c>
      <c r="Q205" s="96" t="inlineStr">
        <is>
          <t>주식</t>
        </is>
      </c>
      <c r="R205" s="96" t="inlineStr">
        <is>
          <t>분기배당</t>
        </is>
      </c>
      <c r="S205" s="97" t="n">
        <v>4</v>
      </c>
      <c r="T205" s="98" t="n">
        <v>1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IFERROR(INDEX($A$4:$A$253,MATCH(202,$X$4:$X$253,0)),"")</f>
        <v/>
      </c>
    </row>
    <row r="206">
      <c r="A206" s="96" t="inlineStr">
        <is>
          <t>PLUS 200</t>
        </is>
      </c>
      <c r="B206" s="96" t="inlineStr">
        <is>
          <t>152100</t>
        </is>
      </c>
      <c r="C206" s="96" t="inlineStr">
        <is>
          <t>한화자산운용</t>
        </is>
      </c>
      <c r="D206" s="97" t="n">
        <v>110570</v>
      </c>
      <c r="E206" s="97" t="n">
        <v>1487166500000</v>
      </c>
      <c r="F206" s="97" t="n">
        <v>41094240803</v>
      </c>
      <c r="G206" s="98" t="n">
        <v>0.00017</v>
      </c>
      <c r="H206" s="98" t="n">
        <v>0.585</v>
      </c>
      <c r="I206" s="98" t="n">
        <v>0.0017</v>
      </c>
      <c r="J206" s="98" t="n">
        <v>0.008773</v>
      </c>
      <c r="K206" s="97" t="n">
        <v>14</v>
      </c>
      <c r="L206" s="99" t="inlineStr">
        <is>
          <t>20260730</t>
        </is>
      </c>
      <c r="M206" s="96" t="inlineStr">
        <is>
          <t>제외</t>
        </is>
      </c>
      <c r="N206" s="96" t="inlineStr">
        <is>
          <t>변동성 58.5%(1년 기준, 기준 35% 초과)</t>
        </is>
      </c>
      <c r="O206" s="96" t="inlineStr">
        <is>
          <t>KOSPI 200</t>
        </is>
      </c>
      <c r="P206" s="96" t="inlineStr">
        <is>
          <t>일반</t>
        </is>
      </c>
      <c r="Q206" s="96" t="inlineStr">
        <is>
          <t>주식</t>
        </is>
      </c>
      <c r="R206" s="96" t="inlineStr">
        <is>
          <t>분기배당</t>
        </is>
      </c>
      <c r="S206" s="97" t="n">
        <v>4</v>
      </c>
      <c r="T206" s="98" t="n">
        <v>1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IFERROR(INDEX($A$4:$A$253,MATCH(203,$X$4:$X$253,0)),"")</f>
        <v/>
      </c>
    </row>
    <row r="207">
      <c r="A207" s="96" t="inlineStr">
        <is>
          <t>TIGER 200</t>
        </is>
      </c>
      <c r="B207" s="96" t="inlineStr">
        <is>
          <t>102110</t>
        </is>
      </c>
      <c r="C207" s="96" t="inlineStr">
        <is>
          <t>미래에셋자산운용</t>
        </is>
      </c>
      <c r="D207" s="97" t="n">
        <v>109160</v>
      </c>
      <c r="E207" s="97" t="n">
        <v>10075468000000</v>
      </c>
      <c r="F207" s="97" t="n">
        <v>842702897176</v>
      </c>
      <c r="G207" s="98" t="n">
        <v>0.0005</v>
      </c>
      <c r="H207" s="98" t="n">
        <v>0.5853</v>
      </c>
      <c r="I207" s="98" t="n">
        <v>0.0015</v>
      </c>
      <c r="J207" s="98" t="n">
        <v>0.008501</v>
      </c>
      <c r="K207" s="97" t="n">
        <v>20</v>
      </c>
      <c r="L207" s="99" t="inlineStr">
        <is>
          <t>20260730</t>
        </is>
      </c>
      <c r="M207" s="96" t="inlineStr">
        <is>
          <t>제외</t>
        </is>
      </c>
      <c r="N207" s="96" t="inlineStr">
        <is>
          <t>변동성 58.5%(1년 기준, 기준 35% 초과)</t>
        </is>
      </c>
      <c r="O207" s="96" t="inlineStr">
        <is>
          <t>KOSPI 200</t>
        </is>
      </c>
      <c r="P207" s="96" t="inlineStr">
        <is>
          <t>일반</t>
        </is>
      </c>
      <c r="Q207" s="96" t="inlineStr">
        <is>
          <t>주식</t>
        </is>
      </c>
      <c r="R207" s="96" t="inlineStr">
        <is>
          <t>분기배당</t>
        </is>
      </c>
      <c r="S207" s="97" t="n">
        <v>4</v>
      </c>
      <c r="T207" s="98" t="n">
        <v>0.9623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IFERROR(INDEX($A$4:$A$253,MATCH(204,$X$4:$X$253,0)),"")</f>
        <v/>
      </c>
    </row>
    <row r="208">
      <c r="A208" s="96" t="inlineStr">
        <is>
          <t>TIGER 코리아TOP10</t>
        </is>
      </c>
      <c r="B208" s="96" t="inlineStr">
        <is>
          <t>292150</t>
        </is>
      </c>
      <c r="C208" s="96" t="inlineStr">
        <is>
          <t>미래에셋자산운용</t>
        </is>
      </c>
      <c r="D208" s="97" t="n">
        <v>38440</v>
      </c>
      <c r="E208" s="97" t="n">
        <v>1923922000000</v>
      </c>
      <c r="F208" s="97" t="n">
        <v>47254071158</v>
      </c>
      <c r="G208" s="98" t="n">
        <v>0.0015</v>
      </c>
      <c r="H208" s="98" t="n">
        <v>0.5932999999999999</v>
      </c>
      <c r="I208" s="98" t="n">
        <v>0.0027</v>
      </c>
      <c r="J208" s="98" t="n">
        <v>0.008377000000000001</v>
      </c>
      <c r="K208" s="97" t="n">
        <v>16</v>
      </c>
      <c r="L208" s="99" t="inlineStr">
        <is>
          <t>20260730</t>
        </is>
      </c>
      <c r="M208" s="96" t="inlineStr">
        <is>
          <t>제외</t>
        </is>
      </c>
      <c r="N208" s="96" t="inlineStr">
        <is>
          <t>변동성 59.3%(1년 기준, 기준 35% 초과)</t>
        </is>
      </c>
      <c r="O208" s="96" t="inlineStr">
        <is>
          <t>FnGuide TOP10 지수</t>
        </is>
      </c>
      <c r="P208" s="96" t="inlineStr">
        <is>
          <t>일반</t>
        </is>
      </c>
      <c r="Q208" s="96" t="inlineStr">
        <is>
          <t>주식</t>
        </is>
      </c>
      <c r="R208" s="96" t="inlineStr">
        <is>
          <t>분기배당</t>
        </is>
      </c>
      <c r="S208" s="97" t="n">
        <v>4</v>
      </c>
      <c r="T208" s="98" t="n">
        <v>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IFERROR(INDEX($A$4:$A$253,MATCH(205,$X$4:$X$253,0)),"")</f>
        <v/>
      </c>
    </row>
    <row r="209">
      <c r="A209" s="96" t="inlineStr">
        <is>
          <t>TIGER 조선TOP10</t>
        </is>
      </c>
      <c r="B209" s="96" t="inlineStr">
        <is>
          <t>494670</t>
        </is>
      </c>
      <c r="C209" s="96" t="inlineStr">
        <is>
          <t>미래에셋자산운용</t>
        </is>
      </c>
      <c r="D209" s="97" t="n">
        <v>22165</v>
      </c>
      <c r="E209" s="97" t="n">
        <v>565207500000</v>
      </c>
      <c r="F209" s="97" t="n">
        <v>19208177578</v>
      </c>
      <c r="G209" s="98" t="n">
        <v>0.0035</v>
      </c>
      <c r="H209" s="98" t="n">
        <v>0.5433</v>
      </c>
      <c r="I209" s="98" t="n">
        <v>0.004</v>
      </c>
      <c r="J209" s="98" t="n">
        <v>0.008345999999999999</v>
      </c>
      <c r="K209" s="97" t="n">
        <v>3</v>
      </c>
      <c r="L209" s="99" t="inlineStr">
        <is>
          <t>20260429</t>
        </is>
      </c>
      <c r="M209" s="96" t="inlineStr">
        <is>
          <t>제외</t>
        </is>
      </c>
      <c r="N209" s="96" t="inlineStr">
        <is>
          <t>변동성 54.3%(1년 기준, 기준 35% 초과)</t>
        </is>
      </c>
      <c r="O209" s="96" t="inlineStr">
        <is>
          <t>iSelect 조선 TOP10 지수</t>
        </is>
      </c>
      <c r="P209" s="96" t="inlineStr">
        <is>
          <t>일반</t>
        </is>
      </c>
      <c r="Q209" s="96" t="inlineStr">
        <is>
          <t>주식</t>
        </is>
      </c>
      <c r="R209" s="96" t="inlineStr">
        <is>
          <t>반기배당</t>
        </is>
      </c>
      <c r="S209" s="97" t="n">
        <v>2</v>
      </c>
      <c r="T209" s="98" t="n">
        <v>0.3297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IFERROR(INDEX($A$4:$A$253,MATCH(206,$X$4:$X$253,0)),"")</f>
        <v/>
      </c>
    </row>
    <row r="210">
      <c r="A210" s="96" t="inlineStr">
        <is>
          <t>KODEX 200액티브</t>
        </is>
      </c>
      <c r="B210" s="96" t="inlineStr">
        <is>
          <t>494890</t>
        </is>
      </c>
      <c r="C210" s="96" t="inlineStr">
        <is>
          <t>삼성자산운용(ETF)</t>
        </is>
      </c>
      <c r="D210" s="97" t="n">
        <v>31380</v>
      </c>
      <c r="E210" s="97" t="n">
        <v>1057506000000</v>
      </c>
      <c r="F210" s="97" t="n">
        <v>17499590036</v>
      </c>
      <c r="G210" s="98" t="n">
        <v>0.0015</v>
      </c>
      <c r="H210" s="98" t="n">
        <v>0.589</v>
      </c>
      <c r="I210" s="98" t="n">
        <v>0.0021</v>
      </c>
      <c r="J210" s="98" t="n">
        <v>0.008222</v>
      </c>
      <c r="K210" s="97" t="n">
        <v>6</v>
      </c>
      <c r="L210" s="99" t="inlineStr">
        <is>
          <t>20260730</t>
        </is>
      </c>
      <c r="M210" s="96" t="inlineStr">
        <is>
          <t>제외</t>
        </is>
      </c>
      <c r="N210" s="96" t="inlineStr">
        <is>
          <t>변동성 58.9%(1년 기준, 기준 35% 초과)</t>
        </is>
      </c>
      <c r="O210" s="96" t="inlineStr">
        <is>
          <t>KOSPI 200</t>
        </is>
      </c>
      <c r="P210" s="96" t="inlineStr">
        <is>
          <t>일반</t>
        </is>
      </c>
      <c r="Q210" s="96" t="inlineStr">
        <is>
          <t>주식</t>
        </is>
      </c>
      <c r="R210" s="96" t="inlineStr">
        <is>
          <t>분기배당</t>
        </is>
      </c>
      <c r="S210" s="97" t="n">
        <v>4</v>
      </c>
      <c r="T210" s="98" t="n">
        <v>0.9883999999999999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IFERROR(INDEX($A$4:$A$253,MATCH(207,$X$4:$X$253,0)),"")</f>
        <v/>
      </c>
    </row>
    <row r="211">
      <c r="A211" s="96" t="inlineStr">
        <is>
          <t>KODEX 코스피100</t>
        </is>
      </c>
      <c r="B211" s="96" t="inlineStr">
        <is>
          <t>237350</t>
        </is>
      </c>
      <c r="C211" s="96" t="inlineStr">
        <is>
          <t>삼성자산운용(ETF)</t>
        </is>
      </c>
      <c r="D211" s="97" t="n">
        <v>86950</v>
      </c>
      <c r="E211" s="97" t="n">
        <v>943407500000</v>
      </c>
      <c r="F211" s="97" t="n">
        <v>34564734236</v>
      </c>
      <c r="G211" s="98" t="n">
        <v>0.0015</v>
      </c>
      <c r="H211" s="98" t="n">
        <v>0.5943000000000001</v>
      </c>
      <c r="I211" s="98" t="n">
        <v>0.0019</v>
      </c>
      <c r="J211" s="98" t="n">
        <v>0.008074</v>
      </c>
      <c r="K211" s="97" t="n">
        <v>6</v>
      </c>
      <c r="L211" s="99" t="inlineStr">
        <is>
          <t>20260730</t>
        </is>
      </c>
      <c r="M211" s="96" t="inlineStr">
        <is>
          <t>제외</t>
        </is>
      </c>
      <c r="N211" s="96" t="inlineStr">
        <is>
          <t>변동성 59.4%(1년 기준, 기준 35% 초과)</t>
        </is>
      </c>
      <c r="O211" s="96" t="inlineStr">
        <is>
          <t>KOSPI 100</t>
        </is>
      </c>
      <c r="P211" s="96" t="inlineStr">
        <is>
          <t>일반</t>
        </is>
      </c>
      <c r="Q211" s="96" t="inlineStr">
        <is>
          <t>주식</t>
        </is>
      </c>
      <c r="R211" s="96" t="inlineStr">
        <is>
          <t>연배당</t>
        </is>
      </c>
      <c r="S211" s="97" t="n">
        <v>2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IFERROR(INDEX($A$4:$A$253,MATCH(208,$X$4:$X$253,0)),"")</f>
        <v/>
      </c>
    </row>
    <row r="212">
      <c r="A212" s="96" t="inlineStr">
        <is>
          <t>KODEX 200</t>
        </is>
      </c>
      <c r="B212" s="96" t="inlineStr">
        <is>
          <t>069500</t>
        </is>
      </c>
      <c r="C212" s="96" t="inlineStr">
        <is>
          <t>삼성자산운용(ETF)</t>
        </is>
      </c>
      <c r="D212" s="97" t="n">
        <v>108890</v>
      </c>
      <c r="E212" s="97" t="n">
        <v>25224368500000</v>
      </c>
      <c r="F212" s="97" t="n">
        <v>2453332826197</v>
      </c>
      <c r="G212" s="98" t="n">
        <v>0.0015</v>
      </c>
      <c r="H212" s="98" t="n">
        <v>0.5845</v>
      </c>
      <c r="I212" s="98" t="n">
        <v>0.002</v>
      </c>
      <c r="J212" s="98" t="n">
        <v>0.007796999999999999</v>
      </c>
      <c r="K212" s="97" t="n">
        <v>20</v>
      </c>
      <c r="L212" s="99" t="inlineStr">
        <is>
          <t>20260730</t>
        </is>
      </c>
      <c r="M212" s="96" t="inlineStr">
        <is>
          <t>제외</t>
        </is>
      </c>
      <c r="N212" s="96" t="inlineStr">
        <is>
          <t>변동성 58.4%(1년 기준, 기준 35% 초과)</t>
        </is>
      </c>
      <c r="O212" s="96" t="inlineStr">
        <is>
          <t>KOSPI 200</t>
        </is>
      </c>
      <c r="P212" s="96" t="inlineStr">
        <is>
          <t>일반</t>
        </is>
      </c>
      <c r="Q212" s="96" t="inlineStr">
        <is>
          <t>주식</t>
        </is>
      </c>
      <c r="R212" s="96" t="inlineStr">
        <is>
          <t>분기배당</t>
        </is>
      </c>
      <c r="S212" s="97" t="n">
        <v>4</v>
      </c>
      <c r="T212" s="98" t="n">
        <v>0.9611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IFERROR(INDEX($A$4:$A$253,MATCH(209,$X$4:$X$253,0)),"")</f>
        <v/>
      </c>
    </row>
    <row r="213">
      <c r="A213" s="96" t="inlineStr">
        <is>
          <t>TIGER 코스피</t>
        </is>
      </c>
      <c r="B213" s="96" t="inlineStr">
        <is>
          <t>277630</t>
        </is>
      </c>
      <c r="C213" s="96" t="inlineStr">
        <is>
          <t>미래에셋자산운용</t>
        </is>
      </c>
      <c r="D213" s="97" t="n">
        <v>71435</v>
      </c>
      <c r="E213" s="97" t="n">
        <v>589338750000</v>
      </c>
      <c r="F213" s="97" t="n">
        <v>9781792745</v>
      </c>
      <c r="G213" s="98" t="n">
        <v>0.0015</v>
      </c>
      <c r="H213" s="98" t="n">
        <v>0.5379</v>
      </c>
      <c r="I213" s="98" t="n">
        <v>0.001</v>
      </c>
      <c r="J213" s="98" t="n">
        <v>0.007489</v>
      </c>
      <c r="K213" s="97" t="n">
        <v>15</v>
      </c>
      <c r="L213" s="99" t="inlineStr">
        <is>
          <t>20260730</t>
        </is>
      </c>
      <c r="M213" s="96" t="inlineStr">
        <is>
          <t>제외</t>
        </is>
      </c>
      <c r="N213" s="96" t="inlineStr">
        <is>
          <t>변동성 53.8%(1년 기준, 기준 35% 초과)</t>
        </is>
      </c>
      <c r="O213" s="96" t="inlineStr">
        <is>
          <t>코스피</t>
        </is>
      </c>
      <c r="P213" s="96" t="inlineStr">
        <is>
          <t>일반</t>
        </is>
      </c>
      <c r="Q213" s="96" t="inlineStr">
        <is>
          <t>주식</t>
        </is>
      </c>
      <c r="R213" s="96" t="inlineStr">
        <is>
          <t>분기배당</t>
        </is>
      </c>
      <c r="S213" s="97" t="n">
        <v>4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IFERROR(INDEX($A$4:$A$253,MATCH(210,$X$4:$X$253,0)),"")</f>
        <v/>
      </c>
    </row>
    <row r="214">
      <c r="A214" s="96" t="inlineStr">
        <is>
          <t>HANARO 미국S&amp;P500</t>
        </is>
      </c>
      <c r="B214" s="96" t="inlineStr">
        <is>
          <t>432840</t>
        </is>
      </c>
      <c r="C214" s="96" t="inlineStr">
        <is>
          <t>NH-Amundi자산운용</t>
        </is>
      </c>
      <c r="D214" s="97" t="n">
        <v>19690</v>
      </c>
      <c r="E214" s="97" t="n">
        <v>15752000000</v>
      </c>
      <c r="F214" s="97" t="n">
        <v>61363053</v>
      </c>
      <c r="G214" s="98" t="n">
        <v>0.00045</v>
      </c>
      <c r="H214" s="98" t="n">
        <v>0.1454</v>
      </c>
      <c r="I214" s="98" t="n">
        <v>0.0005</v>
      </c>
      <c r="J214" s="98" t="n">
        <v>0.007058999999999999</v>
      </c>
      <c r="K214" s="97" t="n">
        <v>40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순자산 158억(기준 300억 미만), 60일 거래대금 0.6억(기준 5억 미만)</t>
        </is>
      </c>
      <c r="O214" s="96" t="inlineStr">
        <is>
          <t>S&amp;P 500</t>
        </is>
      </c>
      <c r="P214" s="96" t="inlineStr">
        <is>
          <t>일반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IFERROR(INDEX($A$4:$A$253,MATCH(211,$X$4:$X$253,0)),"")</f>
        <v/>
      </c>
    </row>
    <row r="215">
      <c r="A215" s="96" t="inlineStr">
        <is>
          <t>WON 200</t>
        </is>
      </c>
      <c r="B215" s="96" t="inlineStr">
        <is>
          <t>448100</t>
        </is>
      </c>
      <c r="C215" s="96" t="inlineStr">
        <is>
          <t>우리자산운용</t>
        </is>
      </c>
      <c r="D215" s="97" t="n">
        <v>111865</v>
      </c>
      <c r="E215" s="97" t="n">
        <v>123051500000</v>
      </c>
      <c r="F215" s="97" t="n">
        <v>3457483573</v>
      </c>
      <c r="G215" s="98" t="n">
        <v>0.0005</v>
      </c>
      <c r="H215" s="98" t="n">
        <v>0.586</v>
      </c>
      <c r="I215" s="98" t="n">
        <v>0.0005999999999999999</v>
      </c>
      <c r="J215" s="98" t="n">
        <v>0.006526</v>
      </c>
      <c r="K215" s="97" t="n">
        <v>40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변동성 58.6%(1년 기준, 기준 35% 초과)</t>
        </is>
      </c>
      <c r="O215" s="96" t="inlineStr">
        <is>
          <t>KOSPI 200</t>
        </is>
      </c>
      <c r="P215" s="96" t="inlineStr">
        <is>
          <t>일반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IFERROR(INDEX($A$4:$A$253,MATCH(212,$X$4:$X$253,0)),"")</f>
        <v/>
      </c>
    </row>
    <row r="216">
      <c r="A216" s="96" t="inlineStr">
        <is>
          <t>ACE 글로벌반도체TOP4 Plus</t>
        </is>
      </c>
      <c r="B216" s="96" t="inlineStr">
        <is>
          <t>446770</t>
        </is>
      </c>
      <c r="C216" s="96" t="inlineStr">
        <is>
          <t>한국투신운용(ETF)</t>
        </is>
      </c>
      <c r="D216" s="97" t="n">
        <v>77390</v>
      </c>
      <c r="E216" s="97" t="n">
        <v>1563278000000</v>
      </c>
      <c r="F216" s="97" t="n">
        <v>18997062226</v>
      </c>
      <c r="G216" s="98" t="n">
        <v>0.004500000000000001</v>
      </c>
      <c r="H216" s="98" t="n">
        <v>0.4124</v>
      </c>
      <c r="I216" s="98" t="n">
        <v>0.0018</v>
      </c>
      <c r="J216" s="98" t="n">
        <v>0.005504999999999999</v>
      </c>
      <c r="K216" s="97" t="n">
        <v>14</v>
      </c>
      <c r="L216" s="99" t="inlineStr">
        <is>
          <t>20260730</t>
        </is>
      </c>
      <c r="M216" s="96" t="inlineStr">
        <is>
          <t>제외</t>
        </is>
      </c>
      <c r="N216" s="96" t="inlineStr">
        <is>
          <t>변동성 41.2%(1년 기준, 기준 35% 초과)</t>
        </is>
      </c>
      <c r="O216" s="96" t="inlineStr">
        <is>
          <t>Solactive Global Semiconductor Top 4 Plus Index (PR) USD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분기배당</t>
        </is>
      </c>
      <c r="S216" s="97" t="n">
        <v>4</v>
      </c>
      <c r="T216" s="98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IFERROR(INDEX($A$4:$A$253,MATCH(213,$X$4:$X$253,0)),"")</f>
        <v/>
      </c>
    </row>
    <row r="217">
      <c r="A217" s="96" t="inlineStr">
        <is>
          <t>RISE KOFR금리액티브(합성)</t>
        </is>
      </c>
      <c r="B217" s="96" t="inlineStr">
        <is>
          <t>479520</t>
        </is>
      </c>
      <c r="C217" s="96" t="inlineStr">
        <is>
          <t>KB자산운용</t>
        </is>
      </c>
      <c r="D217" s="97" t="n">
        <v>106530</v>
      </c>
      <c r="E217" s="97" t="n">
        <v>1034086710000</v>
      </c>
      <c r="F217" s="97" t="n">
        <v>380975009</v>
      </c>
      <c r="G217" s="98" t="n">
        <v>0.0002</v>
      </c>
      <c r="H217" s="98" t="n">
        <v>0.005699999999999999</v>
      </c>
      <c r="I217" s="98" t="n">
        <v>0.005600000000000001</v>
      </c>
      <c r="J217" s="98" t="n">
        <v>0.005501000000000001</v>
      </c>
      <c r="K217" s="97" t="n">
        <v>1</v>
      </c>
      <c r="L217" s="99" t="inlineStr">
        <is>
          <t>20251212</t>
        </is>
      </c>
      <c r="M217" s="96" t="inlineStr">
        <is>
          <t>제외</t>
        </is>
      </c>
      <c r="N217" s="96" t="inlineStr">
        <is>
          <t>60일 거래대금 3.8억(기준 5억 미만)</t>
        </is>
      </c>
      <c r="O217" s="96" t="inlineStr">
        <is>
          <t>KOFR 인덱스</t>
        </is>
      </c>
      <c r="P217" s="96" t="inlineStr">
        <is>
          <t>일반</t>
        </is>
      </c>
      <c r="Q217" s="96" t="inlineStr">
        <is>
          <t>단기자금(파킹형)</t>
        </is>
      </c>
      <c r="R217" s="96" t="inlineStr">
        <is>
          <t>연배당</t>
        </is>
      </c>
      <c r="S217" s="97" t="n">
        <v>1</v>
      </c>
      <c r="T217" s="98" t="n">
        <v>1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IFERROR(INDEX($A$4:$A$253,MATCH(214,$X$4:$X$253,0)),"")</f>
        <v/>
      </c>
    </row>
    <row r="218">
      <c r="A218" s="96" t="inlineStr">
        <is>
          <t>KODEX 삼성그룹</t>
        </is>
      </c>
      <c r="B218" s="96" t="inlineStr">
        <is>
          <t>102780</t>
        </is>
      </c>
      <c r="C218" s="96" t="inlineStr">
        <is>
          <t>삼성자산운용(ETF)</t>
        </is>
      </c>
      <c r="D218" s="97" t="n">
        <v>25805</v>
      </c>
      <c r="E218" s="97" t="n">
        <v>3303040000000</v>
      </c>
      <c r="F218" s="97" t="n">
        <v>24700440359</v>
      </c>
      <c r="G218" s="98" t="n">
        <v>0.0025</v>
      </c>
      <c r="H218" s="98" t="n">
        <v>0.537</v>
      </c>
      <c r="I218" s="98" t="n">
        <v>0.006</v>
      </c>
      <c r="J218" s="98" t="n">
        <v>0.005348</v>
      </c>
      <c r="K218" s="97" t="n">
        <v>5</v>
      </c>
      <c r="L218" s="99" t="inlineStr">
        <is>
          <t>20260429</t>
        </is>
      </c>
      <c r="M218" s="96" t="inlineStr">
        <is>
          <t>제외</t>
        </is>
      </c>
      <c r="N218" s="96" t="inlineStr">
        <is>
          <t>변동성 53.7%(1년 기준, 기준 35% 초과)</t>
        </is>
      </c>
      <c r="O218" s="96" t="inlineStr">
        <is>
          <t>FnGuide 삼성그룹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연배당</t>
        </is>
      </c>
      <c r="S218" s="97" t="n">
        <v>1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IFERROR(INDEX($A$4:$A$253,MATCH(215,$X$4:$X$253,0)),"")</f>
        <v/>
      </c>
    </row>
    <row r="219">
      <c r="A219" s="96" t="inlineStr">
        <is>
          <t>TIGER 미국필라델피아반도체레버리지(합성)</t>
        </is>
      </c>
      <c r="B219" s="96" t="inlineStr">
        <is>
          <t>423920</t>
        </is>
      </c>
      <c r="C219" s="96" t="inlineStr">
        <is>
          <t>미래에셋자산운용</t>
        </is>
      </c>
      <c r="D219" s="97" t="n">
        <v>78300</v>
      </c>
      <c r="E219" s="97" t="n">
        <v>530874000000</v>
      </c>
      <c r="F219" s="97" t="n">
        <v>12804968056</v>
      </c>
      <c r="G219" s="98" t="n">
        <v>0.0058</v>
      </c>
      <c r="H219" s="98" t="n">
        <v>0.9279000000000001</v>
      </c>
      <c r="I219" s="98" t="n">
        <v>0.0019</v>
      </c>
      <c r="J219" s="98" t="n">
        <v>0.004547</v>
      </c>
      <c r="K219" s="97" t="n">
        <v>9</v>
      </c>
      <c r="L219" s="99" t="inlineStr">
        <is>
          <t>20260730</t>
        </is>
      </c>
      <c r="M219" s="96" t="inlineStr">
        <is>
          <t>제외</t>
        </is>
      </c>
      <c r="N219" s="96" t="inlineStr">
        <is>
          <t>변동성 92.8%(1년 기준, 기준 35% 초과)</t>
        </is>
      </c>
      <c r="O219" s="96" t="inlineStr">
        <is>
          <t>PHLX Semiconductor Sector Index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분기배당</t>
        </is>
      </c>
      <c r="S219" s="97" t="n">
        <v>4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IFERROR(INDEX($A$4:$A$253,MATCH(216,$X$4:$X$253,0)),"")</f>
        <v/>
      </c>
    </row>
    <row r="220">
      <c r="A220" s="96" t="inlineStr">
        <is>
          <t>HANARO 원자력iSelect</t>
        </is>
      </c>
      <c r="B220" s="96" t="inlineStr">
        <is>
          <t>434730</t>
        </is>
      </c>
      <c r="C220" s="96" t="inlineStr">
        <is>
          <t>NH-Amundi자산운용</t>
        </is>
      </c>
      <c r="D220" s="97" t="n">
        <v>60385</v>
      </c>
      <c r="E220" s="97" t="n">
        <v>709523750000</v>
      </c>
      <c r="F220" s="97" t="n">
        <v>16205316976</v>
      </c>
      <c r="G220" s="98" t="n">
        <v>0.004500000000000001</v>
      </c>
      <c r="H220" s="98" t="n">
        <v>0.6045</v>
      </c>
      <c r="I220" s="98" t="n">
        <v>0.003</v>
      </c>
      <c r="J220" s="98" t="n">
        <v>0.004389000000000001</v>
      </c>
      <c r="K220" s="97" t="n">
        <v>4</v>
      </c>
      <c r="L220" s="99" t="inlineStr">
        <is>
          <t>20260429</t>
        </is>
      </c>
      <c r="M220" s="96" t="inlineStr">
        <is>
          <t>제외</t>
        </is>
      </c>
      <c r="N220" s="96" t="inlineStr">
        <is>
          <t>변동성 60.4%(1년 기준, 기준 35% 초과)</t>
        </is>
      </c>
      <c r="O220" s="96" t="inlineStr">
        <is>
          <t>iSelect 원자력 지수</t>
        </is>
      </c>
      <c r="P220" s="96" t="inlineStr">
        <is>
          <t>일반</t>
        </is>
      </c>
      <c r="Q220" s="96" t="inlineStr">
        <is>
          <t>주식</t>
        </is>
      </c>
      <c r="R220" s="96" t="inlineStr">
        <is>
          <t>연배당</t>
        </is>
      </c>
      <c r="S220" s="97" t="n">
        <v>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IFERROR(INDEX($A$4:$A$253,MATCH(217,$X$4:$X$253,0)),"")</f>
        <v/>
      </c>
    </row>
    <row r="221">
      <c r="A221" s="96" t="inlineStr">
        <is>
          <t>KODEX 미국반도체</t>
        </is>
      </c>
      <c r="B221" s="96" t="inlineStr">
        <is>
          <t>390390</t>
        </is>
      </c>
      <c r="C221" s="96" t="inlineStr">
        <is>
          <t>삼성자산운용(ETF)</t>
        </is>
      </c>
      <c r="D221" s="97" t="n">
        <v>52480</v>
      </c>
      <c r="E221" s="97" t="n">
        <v>1259520000000</v>
      </c>
      <c r="F221" s="97" t="n">
        <v>42944589579</v>
      </c>
      <c r="G221" s="98" t="n">
        <v>0.0009</v>
      </c>
      <c r="H221" s="98" t="n">
        <v>0.4042</v>
      </c>
      <c r="I221" s="98" t="n">
        <v>0.0011</v>
      </c>
      <c r="J221" s="98" t="n">
        <v>0.004306</v>
      </c>
      <c r="K221" s="97" t="n">
        <v>14</v>
      </c>
      <c r="L221" s="99" t="inlineStr">
        <is>
          <t>20260730</t>
        </is>
      </c>
      <c r="M221" s="96" t="inlineStr">
        <is>
          <t>제외</t>
        </is>
      </c>
      <c r="N221" s="96" t="inlineStr">
        <is>
          <t>변동성 40.4%(1년 기준, 기준 35% 초과)</t>
        </is>
      </c>
      <c r="O221" s="96" t="inlineStr">
        <is>
          <t>MVIS US Listed Semiconductor 25 Index</t>
        </is>
      </c>
      <c r="P221" s="96" t="inlineStr">
        <is>
          <t>일반</t>
        </is>
      </c>
      <c r="Q221" s="96" t="inlineStr">
        <is>
          <t>주식</t>
        </is>
      </c>
      <c r="R221" s="96" t="inlineStr">
        <is>
          <t>분기배당</t>
        </is>
      </c>
      <c r="S221" s="97" t="n">
        <v>4</v>
      </c>
      <c r="T221" s="98" t="n">
        <v>1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IFERROR(INDEX($A$4:$A$253,MATCH(218,$X$4:$X$253,0)),"")</f>
        <v/>
      </c>
    </row>
    <row r="222">
      <c r="A222" s="96" t="inlineStr">
        <is>
          <t>TIGER 미국필라델피아반도체나스닥</t>
        </is>
      </c>
      <c r="B222" s="96" t="inlineStr">
        <is>
          <t>381180</t>
        </is>
      </c>
      <c r="C222" s="96" t="inlineStr">
        <is>
          <t>미래에셋자산운용</t>
        </is>
      </c>
      <c r="D222" s="97" t="n">
        <v>41565</v>
      </c>
      <c r="E222" s="97" t="n">
        <v>5646605250000</v>
      </c>
      <c r="F222" s="97" t="n">
        <v>107901864532</v>
      </c>
      <c r="G222" s="98" t="n">
        <v>0.0049</v>
      </c>
      <c r="H222" s="98" t="n">
        <v>0.4533</v>
      </c>
      <c r="I222" s="98" t="n">
        <v>0.0012</v>
      </c>
      <c r="J222" s="98" t="n">
        <v>0.004066</v>
      </c>
      <c r="K222" s="97" t="n">
        <v>18</v>
      </c>
      <c r="L222" s="99" t="inlineStr">
        <is>
          <t>20260730</t>
        </is>
      </c>
      <c r="M222" s="96" t="inlineStr">
        <is>
          <t>제외</t>
        </is>
      </c>
      <c r="N222" s="96" t="inlineStr">
        <is>
          <t>변동성 45.3%(1년 기준, 기준 35% 초과)</t>
        </is>
      </c>
      <c r="O222" s="96" t="inlineStr">
        <is>
          <t>PHLX Semiconductor Sector Index</t>
        </is>
      </c>
      <c r="P222" s="96" t="inlineStr">
        <is>
          <t>일반</t>
        </is>
      </c>
      <c r="Q222" s="96" t="inlineStr">
        <is>
          <t>주식</t>
        </is>
      </c>
      <c r="R222" s="96" t="inlineStr">
        <is>
          <t>분기배당</t>
        </is>
      </c>
      <c r="S222" s="97" t="n">
        <v>4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IFERROR(INDEX($A$4:$A$253,MATCH(219,$X$4:$X$253,0)),"")</f>
        <v/>
      </c>
    </row>
    <row r="223">
      <c r="A223" s="96" t="inlineStr">
        <is>
          <t>KODEX 은선물(H)</t>
        </is>
      </c>
      <c r="B223" s="96" t="inlineStr">
        <is>
          <t>144600</t>
        </is>
      </c>
      <c r="C223" s="96" t="inlineStr">
        <is>
          <t>삼성자산운용(ETF)</t>
        </is>
      </c>
      <c r="D223" s="97" t="n">
        <v>10645</v>
      </c>
      <c r="E223" s="97" t="n">
        <v>779214000000</v>
      </c>
      <c r="F223" s="97" t="n">
        <v>6811529844</v>
      </c>
      <c r="G223" s="98" t="n">
        <v>0.0068</v>
      </c>
      <c r="H223" s="98" t="n">
        <v>0.6709999999999999</v>
      </c>
      <c r="I223" s="98" t="n">
        <v>0.0031</v>
      </c>
      <c r="J223" s="98" t="n">
        <v>0.003758</v>
      </c>
      <c r="K223" s="97" t="n">
        <v>1</v>
      </c>
      <c r="L223" s="99" t="inlineStr">
        <is>
          <t>20251229</t>
        </is>
      </c>
      <c r="M223" s="96" t="inlineStr">
        <is>
          <t>제외</t>
        </is>
      </c>
      <c r="N223" s="96" t="inlineStr">
        <is>
          <t>변동성 67.1%(1년 기준, 기준 35% 초과)</t>
        </is>
      </c>
      <c r="O223" s="96" t="inlineStr">
        <is>
          <t>S&amp;P GSCI Silver</t>
        </is>
      </c>
      <c r="P223" s="96" t="inlineStr">
        <is>
          <t>일반</t>
        </is>
      </c>
      <c r="Q223" s="96" t="inlineStr">
        <is>
          <t>원자재</t>
        </is>
      </c>
      <c r="R223" s="96" t="inlineStr">
        <is>
          <t>연배당</t>
        </is>
      </c>
      <c r="S223" s="97" t="n">
        <v>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IFERROR(INDEX($A$4:$A$253,MATCH(220,$X$4:$X$253,0)),"")</f>
        <v/>
      </c>
    </row>
    <row r="224">
      <c r="A224" s="96" t="inlineStr">
        <is>
          <t>TIGER 반도체</t>
        </is>
      </c>
      <c r="B224" s="96" t="inlineStr">
        <is>
          <t>091230</t>
        </is>
      </c>
      <c r="C224" s="96" t="inlineStr">
        <is>
          <t>미래에셋자산운용</t>
        </is>
      </c>
      <c r="D224" s="97" t="n">
        <v>137755</v>
      </c>
      <c r="E224" s="97" t="n">
        <v>1361019400000</v>
      </c>
      <c r="F224" s="97" t="n">
        <v>58947284105</v>
      </c>
      <c r="G224" s="98" t="n">
        <v>0.0046</v>
      </c>
      <c r="H224" s="98" t="n">
        <v>0.7212000000000001</v>
      </c>
      <c r="I224" s="98" t="n">
        <v>0.0017</v>
      </c>
      <c r="J224" s="98" t="n">
        <v>0.003622</v>
      </c>
      <c r="K224" s="97" t="n">
        <v>11</v>
      </c>
      <c r="L224" s="99" t="inlineStr">
        <is>
          <t>20260730</t>
        </is>
      </c>
      <c r="M224" s="96" t="inlineStr">
        <is>
          <t>제외</t>
        </is>
      </c>
      <c r="N224" s="96" t="inlineStr">
        <is>
          <t>변동성 72.1%(1년 기준, 기준 35% 초과)</t>
        </is>
      </c>
      <c r="O224" s="96" t="inlineStr">
        <is>
          <t>KRX 반도체</t>
        </is>
      </c>
      <c r="P224" s="96" t="inlineStr">
        <is>
          <t>일반</t>
        </is>
      </c>
      <c r="Q224" s="96" t="inlineStr">
        <is>
          <t>주식</t>
        </is>
      </c>
      <c r="R224" s="96" t="inlineStr">
        <is>
          <t>분기배당</t>
        </is>
      </c>
      <c r="S224" s="97" t="n">
        <v>4</v>
      </c>
      <c r="T224" s="98" t="n">
        <v>0.3948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IFERROR(INDEX($A$4:$A$253,MATCH(221,$X$4:$X$253,0)),"")</f>
        <v/>
      </c>
    </row>
    <row r="225">
      <c r="A225" s="96" t="inlineStr">
        <is>
          <t>RISE ESG사회책임투자</t>
        </is>
      </c>
      <c r="B225" s="96" t="inlineStr">
        <is>
          <t>290130</t>
        </is>
      </c>
      <c r="C225" s="96" t="inlineStr">
        <is>
          <t>KB자산운용</t>
        </is>
      </c>
      <c r="D225" s="97" t="n">
        <v>47550</v>
      </c>
      <c r="E225" s="97" t="n">
        <v>675210000000</v>
      </c>
      <c r="F225" s="97" t="n">
        <v>20094856635</v>
      </c>
      <c r="G225" s="98" t="n">
        <v>0.003</v>
      </c>
      <c r="H225" s="98" t="n">
        <v>0.6229</v>
      </c>
      <c r="I225" s="98" t="n">
        <v>0.004099999999999999</v>
      </c>
      <c r="J225" s="98" t="n">
        <v>0.003575</v>
      </c>
      <c r="K225" s="97" t="n">
        <v>6</v>
      </c>
      <c r="L225" s="99" t="inlineStr">
        <is>
          <t>20260429</t>
        </is>
      </c>
      <c r="M225" s="96" t="inlineStr">
        <is>
          <t>제외</t>
        </is>
      </c>
      <c r="N225" s="96" t="inlineStr">
        <is>
          <t>변동성 62.3%(1년 기준, 기준 35% 초과)</t>
        </is>
      </c>
      <c r="O225" s="96" t="inlineStr">
        <is>
          <t>KRX 사회책임경영지수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연배당</t>
        </is>
      </c>
      <c r="S225" s="97" t="n">
        <v>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IFERROR(INDEX($A$4:$A$253,MATCH(222,$X$4:$X$253,0)),"")</f>
        <v/>
      </c>
    </row>
    <row r="226">
      <c r="A226" s="96" t="inlineStr">
        <is>
          <t>TIGER 미국필라델피아AI반도체나스닥</t>
        </is>
      </c>
      <c r="B226" s="96" t="inlineStr">
        <is>
          <t>497570</t>
        </is>
      </c>
      <c r="C226" s="96" t="inlineStr">
        <is>
          <t>미래에셋자산운용</t>
        </is>
      </c>
      <c r="D226" s="97" t="n">
        <v>21150</v>
      </c>
      <c r="E226" s="97" t="n">
        <v>1055385000000</v>
      </c>
      <c r="F226" s="97" t="n">
        <v>18347222536</v>
      </c>
      <c r="G226" s="98" t="n">
        <v>0.0049</v>
      </c>
      <c r="H226" s="98" t="n">
        <v>0.4052</v>
      </c>
      <c r="I226" s="98" t="n">
        <v>0.0011</v>
      </c>
      <c r="J226" s="98" t="n">
        <v>0.003546</v>
      </c>
      <c r="K226" s="97" t="n">
        <v>7</v>
      </c>
      <c r="L226" s="99" t="inlineStr">
        <is>
          <t>20260730</t>
        </is>
      </c>
      <c r="M226" s="96" t="inlineStr">
        <is>
          <t>제외</t>
        </is>
      </c>
      <c r="N226" s="96" t="inlineStr">
        <is>
          <t>변동성 40.5%(1년 기준, 기준 35% 초과)</t>
        </is>
      </c>
      <c r="O226" s="96" t="inlineStr">
        <is>
          <t>PHLX US AI Semiconductor Index (Price Return)</t>
        </is>
      </c>
      <c r="P226" s="96" t="inlineStr">
        <is>
          <t>일반</t>
        </is>
      </c>
      <c r="Q226" s="96" t="inlineStr">
        <is>
          <t>주식</t>
        </is>
      </c>
      <c r="R226" s="96" t="inlineStr">
        <is>
          <t>분기배당</t>
        </is>
      </c>
      <c r="S226" s="97" t="n">
        <v>4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IFERROR(INDEX($A$4:$A$253,MATCH(223,$X$4:$X$253,0)),"")</f>
        <v/>
      </c>
    </row>
    <row r="227">
      <c r="A227" s="96" t="inlineStr">
        <is>
          <t>KODEX 미국AI전력핵심인프라</t>
        </is>
      </c>
      <c r="B227" s="96" t="inlineStr">
        <is>
          <t>487230</t>
        </is>
      </c>
      <c r="C227" s="96" t="inlineStr">
        <is>
          <t>삼성자산운용(ETF)</t>
        </is>
      </c>
      <c r="D227" s="97" t="n">
        <v>19575</v>
      </c>
      <c r="E227" s="97" t="n">
        <v>1470082500000</v>
      </c>
      <c r="F227" s="97" t="n">
        <v>16693296021</v>
      </c>
      <c r="G227" s="98" t="n">
        <v>0.004500000000000001</v>
      </c>
      <c r="H227" s="98" t="n">
        <v>0.5056</v>
      </c>
      <c r="I227" s="98" t="n">
        <v>0.0008</v>
      </c>
      <c r="J227" s="98" t="n">
        <v>0.003065</v>
      </c>
      <c r="K227" s="97" t="n">
        <v>7</v>
      </c>
      <c r="L227" s="99" t="inlineStr">
        <is>
          <t>20260730</t>
        </is>
      </c>
      <c r="M227" s="96" t="inlineStr">
        <is>
          <t>제외</t>
        </is>
      </c>
      <c r="N227" s="96" t="inlineStr">
        <is>
          <t>변동성 50.6%(1년 기준, 기준 35% 초과)</t>
        </is>
      </c>
      <c r="O227" s="96" t="inlineStr">
        <is>
          <t>iSelect U.S. AI Electric Core Infrastructure Index</t>
        </is>
      </c>
      <c r="P227" s="96" t="inlineStr">
        <is>
          <t>일반</t>
        </is>
      </c>
      <c r="Q227" s="96" t="inlineStr">
        <is>
          <t>주식</t>
        </is>
      </c>
      <c r="R227" s="96" t="inlineStr">
        <is>
          <t>분기배당</t>
        </is>
      </c>
      <c r="S227" s="97" t="n">
        <v>4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IFERROR(INDEX($A$4:$A$253,MATCH(224,$X$4:$X$253,0)),"")</f>
        <v/>
      </c>
    </row>
    <row r="228">
      <c r="A228" s="96" t="inlineStr">
        <is>
          <t>TIGER 2차전지테마</t>
        </is>
      </c>
      <c r="B228" s="96" t="inlineStr">
        <is>
          <t>305540</t>
        </is>
      </c>
      <c r="C228" s="96" t="inlineStr">
        <is>
          <t>미래에셋자산운용</t>
        </is>
      </c>
      <c r="D228" s="97" t="n">
        <v>18690</v>
      </c>
      <c r="E228" s="97" t="n">
        <v>932631000000</v>
      </c>
      <c r="F228" s="97" t="n">
        <v>10437797002</v>
      </c>
      <c r="G228" s="98" t="n">
        <v>0.005</v>
      </c>
      <c r="H228" s="98" t="n">
        <v>0.5931999999999999</v>
      </c>
      <c r="I228" s="98" t="n">
        <v>0.0021</v>
      </c>
      <c r="J228" s="98" t="n">
        <v>0.002943</v>
      </c>
      <c r="K228" s="97" t="n">
        <v>5</v>
      </c>
      <c r="L228" s="99" t="inlineStr">
        <is>
          <t>20260429</t>
        </is>
      </c>
      <c r="M228" s="96" t="inlineStr">
        <is>
          <t>제외</t>
        </is>
      </c>
      <c r="N228" s="96" t="inlineStr">
        <is>
          <t>변동성 59.3%(1년 기준, 기준 35% 초과)</t>
        </is>
      </c>
      <c r="O228" s="96" t="inlineStr">
        <is>
          <t>WISE 2차전지 테마 지수</t>
        </is>
      </c>
      <c r="P228" s="96" t="inlineStr">
        <is>
          <t>일반</t>
        </is>
      </c>
      <c r="Q228" s="96" t="inlineStr">
        <is>
          <t>주식</t>
        </is>
      </c>
      <c r="R228" s="96" t="inlineStr">
        <is>
          <t>연배당</t>
        </is>
      </c>
      <c r="S228" s="97" t="n">
        <v>1</v>
      </c>
      <c r="T228" s="98" t="n">
        <v>0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IFERROR(INDEX($A$4:$A$253,MATCH(225,$X$4:$X$253,0)),"")</f>
        <v/>
      </c>
    </row>
    <row r="229">
      <c r="A229" s="96" t="inlineStr">
        <is>
          <t>TIGER 코스닥150</t>
        </is>
      </c>
      <c r="B229" s="96" t="inlineStr">
        <is>
          <t>232080</t>
        </is>
      </c>
      <c r="C229" s="96" t="inlineStr">
        <is>
          <t>미래에셋자산운용</t>
        </is>
      </c>
      <c r="D229" s="97" t="n">
        <v>14120</v>
      </c>
      <c r="E229" s="97" t="n">
        <v>1377829600000</v>
      </c>
      <c r="F229" s="97" t="n">
        <v>88931266327</v>
      </c>
      <c r="G229" s="98" t="n">
        <v>0.0019</v>
      </c>
      <c r="H229" s="98" t="n">
        <v>0.5477000000000001</v>
      </c>
      <c r="I229" s="98" t="n">
        <v>0.0019</v>
      </c>
      <c r="J229" s="98" t="n">
        <v>0.002833</v>
      </c>
      <c r="K229" s="97" t="n">
        <v>5</v>
      </c>
      <c r="L229" s="99" t="inlineStr">
        <is>
          <t>20260429</t>
        </is>
      </c>
      <c r="M229" s="96" t="inlineStr">
        <is>
          <t>제외</t>
        </is>
      </c>
      <c r="N229" s="96" t="inlineStr">
        <is>
          <t>변동성 54.8%(1년 기준, 기준 35% 초과)</t>
        </is>
      </c>
      <c r="O229" s="96" t="inlineStr">
        <is>
          <t>KOSDAQ 150</t>
        </is>
      </c>
      <c r="P229" s="96" t="inlineStr">
        <is>
          <t>일반</t>
        </is>
      </c>
      <c r="Q229" s="96" t="inlineStr">
        <is>
          <t>주식</t>
        </is>
      </c>
      <c r="R229" s="96" t="inlineStr">
        <is>
          <t>연배당</t>
        </is>
      </c>
      <c r="S229" s="97" t="n">
        <v>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IFERROR(INDEX($A$4:$A$253,MATCH(226,$X$4:$X$253,0)),"")</f>
        <v/>
      </c>
    </row>
    <row r="230">
      <c r="A230" s="96" t="inlineStr">
        <is>
          <t>SOL 코리아메가테크액티브</t>
        </is>
      </c>
      <c r="B230" s="96" t="inlineStr">
        <is>
          <t>444200</t>
        </is>
      </c>
      <c r="C230" s="96" t="inlineStr">
        <is>
          <t>신한자산운용</t>
        </is>
      </c>
      <c r="D230" s="97" t="n">
        <v>45175</v>
      </c>
      <c r="E230" s="97" t="n">
        <v>501442500000</v>
      </c>
      <c r="F230" s="97" t="n">
        <v>11274720303</v>
      </c>
      <c r="G230" s="98" t="n">
        <v>0.005500000000000001</v>
      </c>
      <c r="H230" s="98" t="n">
        <v>0.5386</v>
      </c>
      <c r="I230" s="98" t="n">
        <v>0.0025</v>
      </c>
      <c r="J230" s="98" t="n">
        <v>0.002833</v>
      </c>
      <c r="K230" s="97" t="n">
        <v>4</v>
      </c>
      <c r="L230" s="99" t="inlineStr">
        <is>
          <t>20260429</t>
        </is>
      </c>
      <c r="M230" s="96" t="inlineStr">
        <is>
          <t>제외</t>
        </is>
      </c>
      <c r="N230" s="96" t="inlineStr">
        <is>
          <t>변동성 53.9%(1년 기준, 기준 35% 초과)</t>
        </is>
      </c>
      <c r="O230" s="96" t="inlineStr">
        <is>
          <t>KEDI 메가테크 지수</t>
        </is>
      </c>
      <c r="P230" s="96" t="inlineStr">
        <is>
          <t>일반</t>
        </is>
      </c>
      <c r="Q230" s="96" t="inlineStr">
        <is>
          <t>주식</t>
        </is>
      </c>
      <c r="R230" s="96" t="inlineStr">
        <is>
          <t>연배당</t>
        </is>
      </c>
      <c r="S230" s="97" t="n">
        <v>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IFERROR(INDEX($A$4:$A$253,MATCH(227,$X$4:$X$253,0)),"")</f>
        <v/>
      </c>
    </row>
    <row r="231">
      <c r="A231" s="96" t="inlineStr">
        <is>
          <t>KODEX 로봇액티브</t>
        </is>
      </c>
      <c r="B231" s="96" t="inlineStr">
        <is>
          <t>445290</t>
        </is>
      </c>
      <c r="C231" s="96" t="inlineStr">
        <is>
          <t>삼성자산운용(ETF)</t>
        </is>
      </c>
      <c r="D231" s="97" t="n">
        <v>30550</v>
      </c>
      <c r="E231" s="97" t="n">
        <v>1060085000000</v>
      </c>
      <c r="F231" s="97" t="n">
        <v>19249909237</v>
      </c>
      <c r="G231" s="98" t="n">
        <v>0.005</v>
      </c>
      <c r="H231" s="98" t="n">
        <v>0.584</v>
      </c>
      <c r="I231" s="98" t="n">
        <v>0.0005</v>
      </c>
      <c r="J231" s="98" t="n">
        <v>0.002357</v>
      </c>
      <c r="K231" s="97" t="n">
        <v>5</v>
      </c>
      <c r="L231" s="99" t="inlineStr">
        <is>
          <t>20260730</t>
        </is>
      </c>
      <c r="M231" s="96" t="inlineStr">
        <is>
          <t>제외</t>
        </is>
      </c>
      <c r="N231" s="96" t="inlineStr">
        <is>
          <t>변동성 58.4%(1년 기준, 기준 35% 초과)</t>
        </is>
      </c>
      <c r="O231" s="96" t="inlineStr">
        <is>
          <t>iSelect K-Robotics Index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연배당</t>
        </is>
      </c>
      <c r="S231" s="97" t="n">
        <v>2</v>
      </c>
      <c r="T231" s="98" t="n">
        <v>1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IFERROR(INDEX($A$4:$A$253,MATCH(228,$X$4:$X$253,0)),"")</f>
        <v/>
      </c>
    </row>
    <row r="232">
      <c r="A232" s="96" t="inlineStr">
        <is>
          <t>TIGER 2차전지소재Fn</t>
        </is>
      </c>
      <c r="B232" s="96" t="inlineStr">
        <is>
          <t>462010</t>
        </is>
      </c>
      <c r="C232" s="96" t="inlineStr">
        <is>
          <t>미래에셋자산운용</t>
        </is>
      </c>
      <c r="D232" s="97" t="n">
        <v>4790</v>
      </c>
      <c r="E232" s="97" t="n">
        <v>523307500000</v>
      </c>
      <c r="F232" s="97" t="n">
        <v>16208481044</v>
      </c>
      <c r="G232" s="98" t="n">
        <v>0.0039</v>
      </c>
      <c r="H232" s="98" t="n">
        <v>0.6716</v>
      </c>
      <c r="I232" s="98" t="n">
        <v>0.0013</v>
      </c>
      <c r="J232" s="98" t="n">
        <v>0.002088</v>
      </c>
      <c r="K232" s="97" t="n">
        <v>3</v>
      </c>
      <c r="L232" s="99" t="inlineStr">
        <is>
          <t>20260429</t>
        </is>
      </c>
      <c r="M232" s="96" t="inlineStr">
        <is>
          <t>제외</t>
        </is>
      </c>
      <c r="N232" s="96" t="inlineStr">
        <is>
          <t>변동성 67.2%(1년 기준, 기준 35% 초과)</t>
        </is>
      </c>
      <c r="O232" s="96" t="inlineStr">
        <is>
          <t>FnGuide 2차전지소재 지수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연배당</t>
        </is>
      </c>
      <c r="S232" s="97" t="n">
        <v>1</v>
      </c>
      <c r="T232" s="98" t="n">
        <v>1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IFERROR(INDEX($A$4:$A$253,MATCH(229,$X$4:$X$253,0)),"")</f>
        <v/>
      </c>
    </row>
    <row r="233">
      <c r="A233" s="96" t="inlineStr">
        <is>
          <t>TIGER 반도체TOP10</t>
        </is>
      </c>
      <c r="B233" s="96" t="inlineStr">
        <is>
          <t>396500</t>
        </is>
      </c>
      <c r="C233" s="96" t="inlineStr">
        <is>
          <t>미래에셋자산운용</t>
        </is>
      </c>
      <c r="D233" s="97" t="n">
        <v>36575</v>
      </c>
      <c r="E233" s="97" t="n">
        <v>9714320000000</v>
      </c>
      <c r="F233" s="97" t="n">
        <v>469647550204</v>
      </c>
      <c r="G233" s="98" t="n">
        <v>0.004500000000000001</v>
      </c>
      <c r="H233" s="98" t="n">
        <v>0.7572</v>
      </c>
      <c r="I233" s="98" t="n">
        <v>0.0015</v>
      </c>
      <c r="J233" s="98" t="n">
        <v>0.002051</v>
      </c>
      <c r="K233" s="97" t="n">
        <v>9</v>
      </c>
      <c r="L233" s="99" t="inlineStr">
        <is>
          <t>20260429</t>
        </is>
      </c>
      <c r="M233" s="96" t="inlineStr">
        <is>
          <t>제외</t>
        </is>
      </c>
      <c r="N233" s="96" t="inlineStr">
        <is>
          <t>변동성 75.7%(1년 기준, 기준 35% 초과)</t>
        </is>
      </c>
      <c r="O233" s="96" t="inlineStr">
        <is>
          <t>FnGuide 반도체 TOP10 지수</t>
        </is>
      </c>
      <c r="P233" s="96" t="inlineStr">
        <is>
          <t>일반</t>
        </is>
      </c>
      <c r="Q233" s="96" t="inlineStr">
        <is>
          <t>주식</t>
        </is>
      </c>
      <c r="R233" s="96" t="inlineStr">
        <is>
          <t>반기배당</t>
        </is>
      </c>
      <c r="S233" s="97" t="n">
        <v>2</v>
      </c>
      <c r="T233" s="98" t="n">
        <v>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IFERROR(INDEX($A$4:$A$253,MATCH(230,$X$4:$X$253,0)),"")</f>
        <v/>
      </c>
    </row>
    <row r="234">
      <c r="A234" s="96" t="inlineStr">
        <is>
          <t>KODEX 코스닥150</t>
        </is>
      </c>
      <c r="B234" s="96" t="inlineStr">
        <is>
          <t>229200</t>
        </is>
      </c>
      <c r="C234" s="96" t="inlineStr">
        <is>
          <t>삼성자산운용(ETF)</t>
        </is>
      </c>
      <c r="D234" s="97" t="n">
        <v>13885</v>
      </c>
      <c r="E234" s="97" t="n">
        <v>4643838250000</v>
      </c>
      <c r="F234" s="97" t="n">
        <v>497252614255</v>
      </c>
      <c r="G234" s="98" t="n">
        <v>0.0025</v>
      </c>
      <c r="H234" s="98" t="n">
        <v>0.5478999999999999</v>
      </c>
      <c r="I234" s="98" t="n">
        <v>0.0014</v>
      </c>
      <c r="J234" s="98" t="n">
        <v>0.002017</v>
      </c>
      <c r="K234" s="97" t="n">
        <v>5</v>
      </c>
      <c r="L234" s="99" t="inlineStr">
        <is>
          <t>20260429</t>
        </is>
      </c>
      <c r="M234" s="96" t="inlineStr">
        <is>
          <t>제외</t>
        </is>
      </c>
      <c r="N234" s="96" t="inlineStr">
        <is>
          <t>변동성 54.8%(1년 기준, 기준 35% 초과)</t>
        </is>
      </c>
      <c r="O234" s="96" t="inlineStr">
        <is>
          <t>KOSDAQ 150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연배당</t>
        </is>
      </c>
      <c r="S234" s="97" t="n">
        <v>1</v>
      </c>
      <c r="T234" s="98" t="n">
        <v>0.9643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IFERROR(INDEX($A$4:$A$253,MATCH(231,$X$4:$X$253,0)),"")</f>
        <v/>
      </c>
    </row>
    <row r="235">
      <c r="A235" s="96" t="inlineStr">
        <is>
          <t>ACE AI반도체TOP3+</t>
        </is>
      </c>
      <c r="B235" s="96" t="inlineStr">
        <is>
          <t>469150</t>
        </is>
      </c>
      <c r="C235" s="96" t="inlineStr">
        <is>
          <t>한국투신운용(ETF)</t>
        </is>
      </c>
      <c r="D235" s="97" t="n">
        <v>59555</v>
      </c>
      <c r="E235" s="97" t="n">
        <v>1098789750000</v>
      </c>
      <c r="F235" s="97" t="n">
        <v>53766950619</v>
      </c>
      <c r="G235" s="98" t="n">
        <v>0.003</v>
      </c>
      <c r="H235" s="98" t="n">
        <v>0.7515000000000001</v>
      </c>
      <c r="I235" s="98" t="n">
        <v>0.002</v>
      </c>
      <c r="J235" s="98" t="n">
        <v>0.002015</v>
      </c>
      <c r="K235" s="97" t="n">
        <v>3</v>
      </c>
      <c r="L235" s="99" t="inlineStr">
        <is>
          <t>20260429</t>
        </is>
      </c>
      <c r="M235" s="96" t="inlineStr">
        <is>
          <t>제외</t>
        </is>
      </c>
      <c r="N235" s="96" t="inlineStr">
        <is>
          <t>변동성 75.2%(1년 기준, 기준 35% 초과)</t>
        </is>
      </c>
      <c r="O235" s="96" t="inlineStr">
        <is>
          <t>FnGuide AI 반도체 TOP3+ 지수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연배당</t>
        </is>
      </c>
      <c r="S235" s="97" t="n">
        <v>1</v>
      </c>
      <c r="T235" s="98" t="n">
        <v>0.9833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IFERROR(INDEX($A$4:$A$253,MATCH(232,$X$4:$X$253,0)),"")</f>
        <v/>
      </c>
    </row>
    <row r="236">
      <c r="A236" s="96" t="inlineStr">
        <is>
          <t>TIGER 코리아원자력</t>
        </is>
      </c>
      <c r="B236" s="96" t="inlineStr">
        <is>
          <t>0091P0</t>
        </is>
      </c>
      <c r="C236" s="96" t="inlineStr">
        <is>
          <t>미래에셋자산운용</t>
        </is>
      </c>
      <c r="D236" s="97" t="n">
        <v>18455</v>
      </c>
      <c r="E236" s="97" t="n">
        <v>657920750000</v>
      </c>
      <c r="F236" s="97" t="n">
        <v>34963100154</v>
      </c>
      <c r="G236" s="98" t="n">
        <v>0.005</v>
      </c>
      <c r="H236" s="98" t="n">
        <v>0.6826000000000001</v>
      </c>
      <c r="I236" s="98" t="n">
        <v>0.0013</v>
      </c>
      <c r="J236" s="98" t="n">
        <v>0.001897</v>
      </c>
      <c r="K236" s="97" t="n">
        <v>1</v>
      </c>
      <c r="L236" s="99" t="inlineStr">
        <is>
          <t>20260429</t>
        </is>
      </c>
      <c r="M236" s="96" t="inlineStr">
        <is>
          <t>제외</t>
        </is>
      </c>
      <c r="N236" s="96" t="inlineStr">
        <is>
          <t>변동성 68.3%(1년 기준, 기준 35% 초과)</t>
        </is>
      </c>
      <c r="O236" s="96" t="inlineStr">
        <is>
          <t>iSelect 코리아 원자력 지수</t>
        </is>
      </c>
      <c r="P236" s="96" t="inlineStr">
        <is>
          <t>일반</t>
        </is>
      </c>
      <c r="Q236" s="96" t="inlineStr">
        <is>
          <t>주식</t>
        </is>
      </c>
      <c r="R236" s="96" t="inlineStr">
        <is>
          <t>연배당</t>
        </is>
      </c>
      <c r="S236" s="97" t="n">
        <v>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IFERROR(INDEX($A$4:$A$253,MATCH(233,$X$4:$X$253,0)),"")</f>
        <v/>
      </c>
    </row>
    <row r="237">
      <c r="A237" s="96" t="inlineStr">
        <is>
          <t>TIGER 차이나반도체FACTSET</t>
        </is>
      </c>
      <c r="B237" s="96" t="inlineStr">
        <is>
          <t>396520</t>
        </is>
      </c>
      <c r="C237" s="96" t="inlineStr">
        <is>
          <t>미래에셋자산운용</t>
        </is>
      </c>
      <c r="D237" s="97" t="n">
        <v>13285</v>
      </c>
      <c r="E237" s="97" t="n">
        <v>545216400000</v>
      </c>
      <c r="F237" s="97" t="n">
        <v>18604721539</v>
      </c>
      <c r="G237" s="98" t="n">
        <v>0.0049</v>
      </c>
      <c r="H237" s="98" t="n">
        <v>0.523</v>
      </c>
      <c r="I237" s="98" t="n">
        <v>0.0025</v>
      </c>
      <c r="J237" s="98" t="n">
        <v>0.001882</v>
      </c>
      <c r="K237" s="97" t="n">
        <v>1</v>
      </c>
      <c r="L237" s="99" t="inlineStr">
        <is>
          <t>20251229</t>
        </is>
      </c>
      <c r="M237" s="96" t="inlineStr">
        <is>
          <t>제외</t>
        </is>
      </c>
      <c r="N237" s="96" t="inlineStr">
        <is>
          <t>변동성 52.3%(1년 기준, 기준 35% 초과)</t>
        </is>
      </c>
      <c r="O237" s="96" t="inlineStr">
        <is>
          <t>FactSet China Semiconductor Index PR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연배당</t>
        </is>
      </c>
      <c r="S237" s="97" t="n">
        <v>1</v>
      </c>
      <c r="T237" s="98" t="n">
        <v>0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IFERROR(INDEX($A$4:$A$253,MATCH(234,$X$4:$X$253,0)),"")</f>
        <v/>
      </c>
    </row>
    <row r="238">
      <c r="A238" s="96" t="inlineStr">
        <is>
          <t>SOL 조선TOP3플러스</t>
        </is>
      </c>
      <c r="B238" s="96" t="inlineStr">
        <is>
          <t>466920</t>
        </is>
      </c>
      <c r="C238" s="96" t="inlineStr">
        <is>
          <t>신한자산운용</t>
        </is>
      </c>
      <c r="D238" s="97" t="n">
        <v>27930</v>
      </c>
      <c r="E238" s="97" t="n">
        <v>1477497000000</v>
      </c>
      <c r="F238" s="97" t="n">
        <v>51148016984</v>
      </c>
      <c r="G238" s="98" t="n">
        <v>0.004500000000000001</v>
      </c>
      <c r="H238" s="98" t="n">
        <v>0.5474</v>
      </c>
      <c r="I238" s="98" t="n">
        <v>0.0012</v>
      </c>
      <c r="J238" s="98" t="n">
        <v>0.001862</v>
      </c>
      <c r="K238" s="97" t="n">
        <v>2</v>
      </c>
      <c r="L238" s="99" t="inlineStr">
        <is>
          <t>20260429</t>
        </is>
      </c>
      <c r="M238" s="96" t="inlineStr">
        <is>
          <t>제외</t>
        </is>
      </c>
      <c r="N238" s="96" t="inlineStr">
        <is>
          <t>변동성 54.7%(1년 기준, 기준 35% 초과)</t>
        </is>
      </c>
      <c r="O238" s="96" t="inlineStr">
        <is>
          <t>FnGuide 조선 TOP3 플러스 지수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연배당</t>
        </is>
      </c>
      <c r="S238" s="97" t="n">
        <v>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IFERROR(INDEX($A$4:$A$253,MATCH(235,$X$4:$X$253,0)),"")</f>
        <v/>
      </c>
    </row>
    <row r="239">
      <c r="A239" s="96" t="inlineStr">
        <is>
          <t>TIGER 글로벌AI액티브</t>
        </is>
      </c>
      <c r="B239" s="96" t="inlineStr">
        <is>
          <t>466950</t>
        </is>
      </c>
      <c r="C239" s="96" t="inlineStr">
        <is>
          <t>미래에셋자산운용</t>
        </is>
      </c>
      <c r="D239" s="97" t="n">
        <v>30210</v>
      </c>
      <c r="E239" s="97" t="n">
        <v>564624900000</v>
      </c>
      <c r="F239" s="97" t="n">
        <v>9324641044</v>
      </c>
      <c r="G239" s="98" t="n">
        <v>0.007900000000000001</v>
      </c>
      <c r="H239" s="98" t="n">
        <v>0.454</v>
      </c>
      <c r="I239" s="98" t="n">
        <v>0.0022</v>
      </c>
      <c r="J239" s="98" t="n">
        <v>0.001655</v>
      </c>
      <c r="K239" s="97" t="n">
        <v>1</v>
      </c>
      <c r="L239" s="99" t="inlineStr">
        <is>
          <t>20251229</t>
        </is>
      </c>
      <c r="M239" s="96" t="inlineStr">
        <is>
          <t>제외</t>
        </is>
      </c>
      <c r="N239" s="96" t="inlineStr">
        <is>
          <t>변동성 45.4%(1년 기준, 기준 35% 초과)</t>
        </is>
      </c>
      <c r="O239" s="96" t="inlineStr">
        <is>
          <t>Indxx Artificial Intelligence and Big Data Index PR</t>
        </is>
      </c>
      <c r="P239" s="96" t="inlineStr">
        <is>
          <t>일반</t>
        </is>
      </c>
      <c r="Q239" s="96" t="inlineStr">
        <is>
          <t>주식</t>
        </is>
      </c>
      <c r="R239" s="96" t="inlineStr">
        <is>
          <t>연배당</t>
        </is>
      </c>
      <c r="S239" s="97" t="n">
        <v>1</v>
      </c>
      <c r="T239" s="98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IFERROR(INDEX($A$4:$A$253,MATCH(236,$X$4:$X$253,0)),"")</f>
        <v/>
      </c>
    </row>
    <row r="240">
      <c r="A240" s="96" t="inlineStr">
        <is>
          <t>TIGER K방산&amp;우주</t>
        </is>
      </c>
      <c r="B240" s="96" t="inlineStr">
        <is>
          <t>463250</t>
        </is>
      </c>
      <c r="C240" s="96" t="inlineStr">
        <is>
          <t>미래에셋자산운용</t>
        </is>
      </c>
      <c r="D240" s="97" t="n">
        <v>34585</v>
      </c>
      <c r="E240" s="97" t="n">
        <v>518775000000</v>
      </c>
      <c r="F240" s="97" t="n">
        <v>21346463225</v>
      </c>
      <c r="G240" s="98" t="n">
        <v>0.004500000000000001</v>
      </c>
      <c r="H240" s="98" t="n">
        <v>0.6241</v>
      </c>
      <c r="I240" s="98" t="n">
        <v>0.0011</v>
      </c>
      <c r="J240" s="98" t="n">
        <v>0.00159</v>
      </c>
      <c r="K240" s="97" t="n">
        <v>3</v>
      </c>
      <c r="L240" s="99" t="inlineStr">
        <is>
          <t>20260429</t>
        </is>
      </c>
      <c r="M240" s="96" t="inlineStr">
        <is>
          <t>제외</t>
        </is>
      </c>
      <c r="N240" s="96" t="inlineStr">
        <is>
          <t>변동성 62.4%(1년 기준, 기준 35% 초과)</t>
        </is>
      </c>
      <c r="O240" s="96" t="inlineStr">
        <is>
          <t>iSelect K방산&amp;우주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연배당</t>
        </is>
      </c>
      <c r="S240" s="97" t="n">
        <v>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IFERROR(INDEX($A$4:$A$253,MATCH(237,$X$4:$X$253,0)),"")</f>
        <v/>
      </c>
    </row>
    <row r="241">
      <c r="A241" s="96" t="inlineStr">
        <is>
          <t>PLUS K방산</t>
        </is>
      </c>
      <c r="B241" s="96" t="inlineStr">
        <is>
          <t>449450</t>
        </is>
      </c>
      <c r="C241" s="96" t="inlineStr">
        <is>
          <t>한화자산운용</t>
        </is>
      </c>
      <c r="D241" s="97" t="n">
        <v>52995</v>
      </c>
      <c r="E241" s="97" t="n">
        <v>1026513150000</v>
      </c>
      <c r="F241" s="97" t="n">
        <v>23096736144</v>
      </c>
      <c r="G241" s="98" t="n">
        <v>0.004500000000000001</v>
      </c>
      <c r="H241" s="98" t="n">
        <v>0.5993999999999999</v>
      </c>
      <c r="I241" s="98" t="n">
        <v>0.001</v>
      </c>
      <c r="J241" s="98" t="n">
        <v>0.001415</v>
      </c>
      <c r="K241" s="97" t="n">
        <v>3</v>
      </c>
      <c r="L241" s="99" t="inlineStr">
        <is>
          <t>20260429</t>
        </is>
      </c>
      <c r="M241" s="96" t="inlineStr">
        <is>
          <t>제외</t>
        </is>
      </c>
      <c r="N241" s="96" t="inlineStr">
        <is>
          <t>변동성 59.9%(1년 기준, 기준 35% 초과)</t>
        </is>
      </c>
      <c r="O241" s="96" t="inlineStr">
        <is>
          <t>FnGuide K-방위산업 지수</t>
        </is>
      </c>
      <c r="P241" s="96" t="inlineStr">
        <is>
          <t>일반</t>
        </is>
      </c>
      <c r="Q241" s="96" t="inlineStr">
        <is>
          <t>주식</t>
        </is>
      </c>
      <c r="R241" s="96" t="inlineStr">
        <is>
          <t>연배당</t>
        </is>
      </c>
      <c r="S241" s="97" t="n">
        <v>1</v>
      </c>
      <c r="T241" s="98" t="n">
        <v>0.6933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IFERROR(INDEX($A$4:$A$253,MATCH(238,$X$4:$X$253,0)),"")</f>
        <v/>
      </c>
    </row>
    <row r="242">
      <c r="A242" s="96" t="inlineStr">
        <is>
          <t>HANARO Fn K-반도체</t>
        </is>
      </c>
      <c r="B242" s="96" t="inlineStr">
        <is>
          <t>395270</t>
        </is>
      </c>
      <c r="C242" s="96" t="inlineStr">
        <is>
          <t>NH-Amundi자산운용</t>
        </is>
      </c>
      <c r="D242" s="97" t="n">
        <v>56785</v>
      </c>
      <c r="E242" s="97" t="n">
        <v>3563258750000</v>
      </c>
      <c r="F242" s="97" t="n">
        <v>146210511178</v>
      </c>
      <c r="G242" s="98" t="n">
        <v>0.004500000000000001</v>
      </c>
      <c r="H242" s="98" t="n">
        <v>0.7432</v>
      </c>
      <c r="I242" s="98" t="n">
        <v>0.0016</v>
      </c>
      <c r="J242" s="98" t="n">
        <v>0.001321</v>
      </c>
      <c r="K242" s="97" t="n">
        <v>9</v>
      </c>
      <c r="L242" s="99" t="inlineStr">
        <is>
          <t>20260429</t>
        </is>
      </c>
      <c r="M242" s="96" t="inlineStr">
        <is>
          <t>제외</t>
        </is>
      </c>
      <c r="N242" s="96" t="inlineStr">
        <is>
          <t>변동성 74.3%(1년 기준, 기준 35% 초과)</t>
        </is>
      </c>
      <c r="O242" s="96" t="inlineStr">
        <is>
          <t>FnGuide K-반도체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연배당</t>
        </is>
      </c>
      <c r="S242" s="97" t="n">
        <v>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IFERROR(INDEX($A$4:$A$253,MATCH(239,$X$4:$X$253,0)),"")</f>
        <v/>
      </c>
    </row>
    <row r="243">
      <c r="A243" s="96" t="inlineStr">
        <is>
          <t>KODEX 2차전지산업</t>
        </is>
      </c>
      <c r="B243" s="96" t="inlineStr">
        <is>
          <t>305720</t>
        </is>
      </c>
      <c r="C243" s="96" t="inlineStr">
        <is>
          <t>삼성자산운용(ETF)</t>
        </is>
      </c>
      <c r="D243" s="97" t="n">
        <v>14720</v>
      </c>
      <c r="E243" s="97" t="n">
        <v>1736960000000</v>
      </c>
      <c r="F243" s="97" t="n">
        <v>54576784956</v>
      </c>
      <c r="G243" s="98" t="n">
        <v>0.004500000000000001</v>
      </c>
      <c r="H243" s="98" t="n">
        <v>0.6061</v>
      </c>
      <c r="I243" s="98" t="n">
        <v>0.0008</v>
      </c>
      <c r="J243" s="98" t="n">
        <v>0.001223</v>
      </c>
      <c r="K243" s="97" t="n">
        <v>5</v>
      </c>
      <c r="L243" s="99" t="inlineStr">
        <is>
          <t>20260429</t>
        </is>
      </c>
      <c r="M243" s="96" t="inlineStr">
        <is>
          <t>제외</t>
        </is>
      </c>
      <c r="N243" s="96" t="inlineStr">
        <is>
          <t>변동성 60.6%(1년 기준, 기준 35% 초과)</t>
        </is>
      </c>
      <c r="O243" s="96" t="inlineStr">
        <is>
          <t>FnGuide 2차전지 산업 지수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연배당</t>
        </is>
      </c>
      <c r="S243" s="97" t="n">
        <v>1</v>
      </c>
      <c r="T243" s="98" t="n">
        <v>0.9444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IFERROR(INDEX($A$4:$A$253,MATCH(240,$X$4:$X$253,0)),"")</f>
        <v/>
      </c>
    </row>
    <row r="244">
      <c r="A244" s="96" t="inlineStr">
        <is>
          <t>KODEX AI전력핵심설비</t>
        </is>
      </c>
      <c r="B244" s="96" t="inlineStr">
        <is>
          <t>487240</t>
        </is>
      </c>
      <c r="C244" s="96" t="inlineStr">
        <is>
          <t>삼성자산운용(ETF)</t>
        </is>
      </c>
      <c r="D244" s="97" t="n">
        <v>37580</v>
      </c>
      <c r="E244" s="97" t="n">
        <v>3295766000000</v>
      </c>
      <c r="F244" s="97" t="n">
        <v>130925155684</v>
      </c>
      <c r="G244" s="98" t="n">
        <v>0.0039</v>
      </c>
      <c r="H244" s="98" t="n">
        <v>0.7073999999999999</v>
      </c>
      <c r="I244" s="98" t="n">
        <v>0.0002</v>
      </c>
      <c r="J244" s="98" t="n">
        <v>0.001171</v>
      </c>
      <c r="K244" s="97" t="n">
        <v>3</v>
      </c>
      <c r="L244" s="99" t="inlineStr">
        <is>
          <t>20260730</t>
        </is>
      </c>
      <c r="M244" s="96" t="inlineStr">
        <is>
          <t>제외</t>
        </is>
      </c>
      <c r="N244" s="96" t="inlineStr">
        <is>
          <t>변동성 70.7%(1년 기준, 기준 35% 초과)</t>
        </is>
      </c>
      <c r="O244" s="96" t="inlineStr">
        <is>
          <t>iSelect AI전력핵심설비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연배당</t>
        </is>
      </c>
      <c r="S244" s="97" t="n">
        <v>2</v>
      </c>
      <c r="T244" s="98" t="n">
        <v>0.8864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IFERROR(INDEX($A$4:$A$253,MATCH(241,$X$4:$X$253,0)),"")</f>
        <v/>
      </c>
    </row>
    <row r="245">
      <c r="A245" s="96" t="inlineStr">
        <is>
          <t>PLUS 글로벌HBM반도체</t>
        </is>
      </c>
      <c r="B245" s="96" t="inlineStr">
        <is>
          <t>442580</t>
        </is>
      </c>
      <c r="C245" s="96" t="inlineStr">
        <is>
          <t>한화자산운용</t>
        </is>
      </c>
      <c r="D245" s="97" t="n">
        <v>100005</v>
      </c>
      <c r="E245" s="97" t="n">
        <v>1691084550000</v>
      </c>
      <c r="F245" s="97" t="n">
        <v>110304344278</v>
      </c>
      <c r="G245" s="98" t="n">
        <v>0.005</v>
      </c>
      <c r="H245" s="98" t="n">
        <v>0.6257</v>
      </c>
      <c r="I245" s="98" t="n">
        <v>0.0013</v>
      </c>
      <c r="J245" s="98" t="n">
        <v>0.001</v>
      </c>
      <c r="K245" s="97" t="n">
        <v>3</v>
      </c>
      <c r="L245" s="99" t="inlineStr">
        <is>
          <t>20260429</t>
        </is>
      </c>
      <c r="M245" s="96" t="inlineStr">
        <is>
          <t>제외</t>
        </is>
      </c>
      <c r="N245" s="96" t="inlineStr">
        <is>
          <t>변동성 62.6%(1년 기준, 기준 35% 초과)</t>
        </is>
      </c>
      <c r="O245" s="96" t="inlineStr">
        <is>
          <t>iSelect Global HBM Semiconductor Index</t>
        </is>
      </c>
      <c r="P245" s="96" t="inlineStr">
        <is>
          <t>일반</t>
        </is>
      </c>
      <c r="Q245" s="96" t="inlineStr">
        <is>
          <t>주식</t>
        </is>
      </c>
      <c r="R245" s="96" t="inlineStr">
        <is>
          <t>연배당</t>
        </is>
      </c>
      <c r="S245" s="97" t="n">
        <v>1</v>
      </c>
      <c r="T245" s="98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IFERROR(INDEX($A$4:$A$253,MATCH(242,$X$4:$X$253,0)),"")</f>
        <v/>
      </c>
    </row>
    <row r="246">
      <c r="A246" s="96" t="inlineStr">
        <is>
          <t>RISE 네트워크인프라</t>
        </is>
      </c>
      <c r="B246" s="96" t="inlineStr">
        <is>
          <t>367760</t>
        </is>
      </c>
      <c r="C246" s="96" t="inlineStr">
        <is>
          <t>KB자산운용</t>
        </is>
      </c>
      <c r="D246" s="97" t="n">
        <v>58555</v>
      </c>
      <c r="E246" s="97" t="n">
        <v>679238000000</v>
      </c>
      <c r="F246" s="97" t="n">
        <v>24542176351</v>
      </c>
      <c r="G246" s="98" t="n">
        <v>0.004500000000000001</v>
      </c>
      <c r="H246" s="98" t="n">
        <v>0.7077</v>
      </c>
      <c r="I246" s="98" t="n">
        <v>0.0011</v>
      </c>
      <c r="J246" s="98" t="n">
        <v>0.000956</v>
      </c>
      <c r="K246" s="97" t="n">
        <v>5</v>
      </c>
      <c r="L246" s="99" t="inlineStr">
        <is>
          <t>20260429</t>
        </is>
      </c>
      <c r="M246" s="96" t="inlineStr">
        <is>
          <t>제외</t>
        </is>
      </c>
      <c r="N246" s="96" t="inlineStr">
        <is>
          <t>변동성 70.8%(1년 기준, 기준 35% 초과)</t>
        </is>
      </c>
      <c r="O246" s="96" t="inlineStr">
        <is>
          <t>FnGuide 네트워크 인프라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연배당</t>
        </is>
      </c>
      <c r="S246" s="97" t="n">
        <v>1</v>
      </c>
      <c r="T246" s="98" t="n">
        <v>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IFERROR(INDEX($A$4:$A$253,MATCH(243,$X$4:$X$253,0)),"")</f>
        <v/>
      </c>
    </row>
    <row r="247">
      <c r="A247" s="96" t="inlineStr">
        <is>
          <t>KODEX 반도체</t>
        </is>
      </c>
      <c r="B247" s="96" t="inlineStr">
        <is>
          <t>091160</t>
        </is>
      </c>
      <c r="C247" s="96" t="inlineStr">
        <is>
          <t>삼성자산운용(ETF)</t>
        </is>
      </c>
      <c r="D247" s="97" t="n">
        <v>130210</v>
      </c>
      <c r="E247" s="97" t="n">
        <v>5670645500000</v>
      </c>
      <c r="F247" s="97" t="n">
        <v>274643572076</v>
      </c>
      <c r="G247" s="98" t="n">
        <v>0.004500000000000001</v>
      </c>
      <c r="H247" s="98" t="n">
        <v>0.7227</v>
      </c>
      <c r="I247" s="98" t="n">
        <v>0.0009</v>
      </c>
      <c r="J247" s="98" t="n">
        <v>0.000883</v>
      </c>
      <c r="K247" s="97" t="n">
        <v>5</v>
      </c>
      <c r="L247" s="99" t="inlineStr">
        <is>
          <t>20260429</t>
        </is>
      </c>
      <c r="M247" s="96" t="inlineStr">
        <is>
          <t>제외</t>
        </is>
      </c>
      <c r="N247" s="96" t="inlineStr">
        <is>
          <t>변동성 72.3%(1년 기준, 기준 35% 초과)</t>
        </is>
      </c>
      <c r="O247" s="96" t="inlineStr">
        <is>
          <t>KRX 반도체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연배당</t>
        </is>
      </c>
      <c r="S247" s="97" t="n">
        <v>1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IFERROR(INDEX($A$4:$A$253,MATCH(244,$X$4:$X$253,0)),"")</f>
        <v/>
      </c>
    </row>
    <row r="248">
      <c r="A248" s="96" t="inlineStr">
        <is>
          <t>KODEX AI반도체TOP2플러스</t>
        </is>
      </c>
      <c r="B248" s="96" t="inlineStr">
        <is>
          <t>395160</t>
        </is>
      </c>
      <c r="C248" s="96" t="inlineStr">
        <is>
          <t>삼성자산운용(ETF)</t>
        </is>
      </c>
      <c r="D248" s="97" t="n">
        <v>39800</v>
      </c>
      <c r="E248" s="97" t="n">
        <v>3991940000000</v>
      </c>
      <c r="F248" s="97" t="n">
        <v>277091164142</v>
      </c>
      <c r="G248" s="98" t="n">
        <v>0.004500000000000001</v>
      </c>
      <c r="H248" s="98" t="n">
        <v>0.7552</v>
      </c>
      <c r="I248" s="98" t="n">
        <v>0.001</v>
      </c>
      <c r="J248" s="98" t="n">
        <v>0.000879</v>
      </c>
      <c r="K248" s="97" t="n">
        <v>5</v>
      </c>
      <c r="L248" s="99" t="inlineStr">
        <is>
          <t>20260429</t>
        </is>
      </c>
      <c r="M248" s="96" t="inlineStr">
        <is>
          <t>제외</t>
        </is>
      </c>
      <c r="N248" s="96" t="inlineStr">
        <is>
          <t>변동성 75.5%(1년 기준, 기준 35% 초과)</t>
        </is>
      </c>
      <c r="O248" s="96" t="inlineStr">
        <is>
          <t>FnGuide AI반도체 TOP2+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연배당</t>
        </is>
      </c>
      <c r="S248" s="97" t="n">
        <v>1</v>
      </c>
      <c r="T248" s="98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IFERROR(INDEX($A$4:$A$253,MATCH(245,$X$4:$X$253,0)),"")</f>
        <v/>
      </c>
    </row>
    <row r="249">
      <c r="A249" s="96" t="inlineStr">
        <is>
          <t>TIGER 글로벌AI전력인프라액티브</t>
        </is>
      </c>
      <c r="B249" s="96" t="inlineStr">
        <is>
          <t>491010</t>
        </is>
      </c>
      <c r="C249" s="96" t="inlineStr">
        <is>
          <t>미래에셋자산운용</t>
        </is>
      </c>
      <c r="D249" s="97" t="n">
        <v>24575</v>
      </c>
      <c r="E249" s="97" t="n">
        <v>621010250000</v>
      </c>
      <c r="F249" s="97" t="n">
        <v>4487532009</v>
      </c>
      <c r="G249" s="98" t="n">
        <v>0.0049</v>
      </c>
      <c r="H249" s="98" t="n">
        <v>0.4962</v>
      </c>
      <c r="I249" s="98" t="n">
        <v>0.0011</v>
      </c>
      <c r="J249" s="98" t="n">
        <v>0.0008140000000000001</v>
      </c>
      <c r="K249" s="97" t="n">
        <v>1</v>
      </c>
      <c r="L249" s="99" t="inlineStr">
        <is>
          <t>20251229</t>
        </is>
      </c>
      <c r="M249" s="96" t="inlineStr">
        <is>
          <t>제외</t>
        </is>
      </c>
      <c r="N249" s="96" t="inlineStr">
        <is>
          <t>변동성 49.6%(1년 기준, 기준 35% 초과)</t>
        </is>
      </c>
      <c r="O249" s="96" t="inlineStr">
        <is>
          <t>Mirae Asset AI Infrastructure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연배당</t>
        </is>
      </c>
      <c r="S249" s="97" t="n">
        <v>1</v>
      </c>
      <c r="T249" s="98" t="n">
        <v>1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IFERROR(INDEX($A$4:$A$253,MATCH(246,$X$4:$X$253,0)),"")</f>
        <v/>
      </c>
    </row>
    <row r="250">
      <c r="A250" s="96" t="inlineStr">
        <is>
          <t>TIME 미국나스닥100액티브</t>
        </is>
      </c>
      <c r="B250" s="96" t="inlineStr">
        <is>
          <t>426030</t>
        </is>
      </c>
      <c r="C250" s="96" t="inlineStr">
        <is>
          <t>타임폴리오자산운용</t>
        </is>
      </c>
      <c r="D250" s="97" t="n">
        <v>46295</v>
      </c>
      <c r="E250" s="97" t="n">
        <v>2538817800000</v>
      </c>
      <c r="F250" s="97" t="n">
        <v>61806360201</v>
      </c>
      <c r="G250" s="98" t="n">
        <v>0.008</v>
      </c>
      <c r="H250" s="98" t="n">
        <v>0.4363</v>
      </c>
      <c r="I250" s="98" t="n">
        <v>0.0009</v>
      </c>
      <c r="J250" s="98" t="n">
        <v>0.0006479999999999999</v>
      </c>
      <c r="K250" s="97" t="n">
        <v>1</v>
      </c>
      <c r="L250" s="99" t="inlineStr">
        <is>
          <t>20251229</t>
        </is>
      </c>
      <c r="M250" s="96" t="inlineStr">
        <is>
          <t>제외</t>
        </is>
      </c>
      <c r="N250" s="96" t="inlineStr">
        <is>
          <t>변동성 43.6%(1년 기준, 기준 35% 초과)</t>
        </is>
      </c>
      <c r="O250" s="96" t="inlineStr">
        <is>
          <t>나스닥 100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연배당</t>
        </is>
      </c>
      <c r="S250" s="97" t="n">
        <v>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IFERROR(INDEX($A$4:$A$253,MATCH(247,$X$4:$X$253,0)),"")</f>
        <v/>
      </c>
    </row>
    <row r="251">
      <c r="A251" s="96" t="inlineStr">
        <is>
          <t>SOL AI반도체소부장</t>
        </is>
      </c>
      <c r="B251" s="96" t="inlineStr">
        <is>
          <t>455850</t>
        </is>
      </c>
      <c r="C251" s="96" t="inlineStr">
        <is>
          <t>신한자산운용</t>
        </is>
      </c>
      <c r="D251" s="97" t="n">
        <v>25145</v>
      </c>
      <c r="E251" s="97" t="n">
        <v>1049803750000</v>
      </c>
      <c r="F251" s="97" t="n">
        <v>58162046777</v>
      </c>
      <c r="G251" s="98" t="n">
        <v>0.004500000000000001</v>
      </c>
      <c r="H251" s="98" t="n">
        <v>0.7312000000000001</v>
      </c>
      <c r="I251" s="98" t="n">
        <v>0.0004</v>
      </c>
      <c r="J251" s="98" t="n">
        <v>0.000477</v>
      </c>
      <c r="K251" s="97" t="n">
        <v>3</v>
      </c>
      <c r="L251" s="99" t="inlineStr">
        <is>
          <t>20260429</t>
        </is>
      </c>
      <c r="M251" s="96" t="inlineStr">
        <is>
          <t>제외</t>
        </is>
      </c>
      <c r="N251" s="96" t="inlineStr">
        <is>
          <t>변동성 73.1%(1년 기준, 기준 35% 초과)</t>
        </is>
      </c>
      <c r="O251" s="96" t="inlineStr">
        <is>
          <t>FnGuide AI 반도체 소부장 지수</t>
        </is>
      </c>
      <c r="P251" s="96" t="inlineStr">
        <is>
          <t>일반</t>
        </is>
      </c>
      <c r="Q251" s="96" t="inlineStr">
        <is>
          <t>주식</t>
        </is>
      </c>
      <c r="R251" s="96" t="inlineStr">
        <is>
          <t>연배당</t>
        </is>
      </c>
      <c r="S251" s="97" t="n">
        <v>1</v>
      </c>
      <c r="T251" s="98" t="n">
        <v>0.8333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IFERROR(INDEX($A$4:$A$253,MATCH(248,$X$4:$X$253,0)),"")</f>
        <v/>
      </c>
    </row>
    <row r="252">
      <c r="A252" s="96" t="inlineStr">
        <is>
          <t>TIME 글로벌AI인공지능액티브</t>
        </is>
      </c>
      <c r="B252" s="96" t="inlineStr">
        <is>
          <t>456600</t>
        </is>
      </c>
      <c r="C252" s="96" t="inlineStr">
        <is>
          <t>타임폴리오자산운용</t>
        </is>
      </c>
      <c r="D252" s="97" t="n">
        <v>57895</v>
      </c>
      <c r="E252" s="97" t="n">
        <v>2081904200000</v>
      </c>
      <c r="F252" s="97" t="n">
        <v>22536209730</v>
      </c>
      <c r="G252" s="98" t="n">
        <v>0.008</v>
      </c>
      <c r="H252" s="98" t="n">
        <v>0.4096</v>
      </c>
      <c r="I252" s="98" t="n">
        <v>0.0008</v>
      </c>
      <c r="J252" s="98" t="n">
        <v>0.0004660000000000001</v>
      </c>
      <c r="K252" s="97" t="n">
        <v>1</v>
      </c>
      <c r="L252" s="99" t="inlineStr">
        <is>
          <t>20251229</t>
        </is>
      </c>
      <c r="M252" s="96" t="inlineStr">
        <is>
          <t>제외</t>
        </is>
      </c>
      <c r="N252" s="96" t="inlineStr">
        <is>
          <t>변동성 41.0%(1년 기준, 기준 35% 초과)</t>
        </is>
      </c>
      <c r="O252" s="96" t="inlineStr">
        <is>
          <t>Solactive Global Artificial Intelligence Index PR</t>
        </is>
      </c>
      <c r="P252" s="96" t="inlineStr">
        <is>
          <t>일반</t>
        </is>
      </c>
      <c r="Q252" s="96" t="inlineStr">
        <is>
          <t>주식</t>
        </is>
      </c>
      <c r="R252" s="96" t="inlineStr">
        <is>
          <t>연배당</t>
        </is>
      </c>
      <c r="S252" s="97" t="n">
        <v>1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IFERROR(INDEX($A$4:$A$253,MATCH(249,$X$4:$X$253,0)),"")</f>
        <v/>
      </c>
    </row>
    <row r="253">
      <c r="A253" s="96" t="inlineStr">
        <is>
          <t>TIGER 반도체TOP10레버리지</t>
        </is>
      </c>
      <c r="B253" s="96" t="inlineStr">
        <is>
          <t>488080</t>
        </is>
      </c>
      <c r="C253" s="96" t="inlineStr">
        <is>
          <t>미래에셋자산운용</t>
        </is>
      </c>
      <c r="D253" s="97" t="n">
        <v>34460</v>
      </c>
      <c r="E253" s="97" t="n">
        <v>618557000000</v>
      </c>
      <c r="F253" s="97" t="n">
        <v>126871996217</v>
      </c>
      <c r="G253" s="98" t="n">
        <v>0.0049</v>
      </c>
      <c r="H253" s="98" t="n">
        <v>1.4706</v>
      </c>
      <c r="I253" s="98" t="n">
        <v>0.0004</v>
      </c>
      <c r="J253" s="98" t="n">
        <v>0.000174</v>
      </c>
      <c r="K253" s="97" t="n">
        <v>1</v>
      </c>
      <c r="L253" s="99" t="inlineStr">
        <is>
          <t>20251229</t>
        </is>
      </c>
      <c r="M253" s="96" t="inlineStr">
        <is>
          <t>제외</t>
        </is>
      </c>
      <c r="N253" s="96" t="inlineStr">
        <is>
          <t>변동성 147.1%(1년 기준, 기준 35% 초과)</t>
        </is>
      </c>
      <c r="O253" s="96" t="inlineStr">
        <is>
          <t>FnGuide 반도체 TOP10 지수</t>
        </is>
      </c>
      <c r="P253" s="96" t="inlineStr">
        <is>
          <t>일반</t>
        </is>
      </c>
      <c r="Q253" s="96" t="inlineStr">
        <is>
          <t>주식</t>
        </is>
      </c>
      <c r="R253" s="96" t="inlineStr">
        <is>
          <t>연배당</t>
        </is>
      </c>
      <c r="S253" s="97" t="n">
        <v>1</v>
      </c>
      <c r="T253" s="98" t="n">
        <v>0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IFERROR(INDEX($A$4:$A$253,MATCH(250,$X$4:$X$253,0)),"")</f>
        <v/>
      </c>
    </row>
    <row r="254">
      <c r="A254" s="96" t="inlineStr">
        <is>
          <t>KODEX 삼성전자SK하이닉스채권혼합50</t>
        </is>
      </c>
      <c r="B254" s="96" t="inlineStr">
        <is>
          <t>0177N0</t>
        </is>
      </c>
      <c r="C254" s="96" t="inlineStr">
        <is>
          <t>삼성자산운용(ETF)</t>
        </is>
      </c>
      <c r="D254" s="97" t="n">
        <v>14350</v>
      </c>
      <c r="E254" s="97" t="n">
        <v>1548365000000</v>
      </c>
      <c r="F254" s="97" t="n">
        <v>81162656630</v>
      </c>
      <c r="G254" s="98" t="n">
        <v>0.0007000000000000001</v>
      </c>
      <c r="H254" s="98" t="n">
        <v>0.4829</v>
      </c>
      <c r="I254" s="98" t="n">
        <v>0.0016</v>
      </c>
      <c r="J254" s="98" t="n"/>
      <c r="K254" s="97" t="n">
        <v>5</v>
      </c>
      <c r="L254" s="99" t="inlineStr">
        <is>
          <t>20260914</t>
        </is>
      </c>
      <c r="M254" s="96" t="inlineStr">
        <is>
          <t>제외</t>
        </is>
      </c>
      <c r="N254" s="96" t="inlineStr">
        <is>
          <t>변동성 48.3%(113거래일 기준, 기준 35% 초과), 상장 5개월(기준 12개월 미만), 연 분배율 산출 불가(상장 1년 미만 — 12개월 창이 안 채워짐)</t>
        </is>
      </c>
      <c r="O254" s="96" t="inlineStr">
        <is>
          <t>Wise 삼성전자 SK하이닉스 채권혼합 지수</t>
        </is>
      </c>
      <c r="P254" s="96" t="inlineStr">
        <is>
          <t>일반</t>
        </is>
      </c>
      <c r="Q254" s="96" t="inlineStr">
        <is>
          <t>멀티에셋</t>
        </is>
      </c>
      <c r="R254" s="96" t="inlineStr">
        <is>
          <t>판정 불가</t>
        </is>
      </c>
      <c r="S254" s="97" t="n">
        <v>5</v>
      </c>
      <c r="T254" s="98" t="n"/>
    </row>
    <row r="255">
      <c r="A255" s="96" t="inlineStr">
        <is>
          <t>TIGER 반도체TOP10커버드콜액티브</t>
        </is>
      </c>
      <c r="B255" s="96" t="inlineStr">
        <is>
          <t>0177R0</t>
        </is>
      </c>
      <c r="C255" s="96" t="inlineStr">
        <is>
          <t>미래에셋자산운용</t>
        </is>
      </c>
      <c r="D255" s="97" t="n">
        <v>11245</v>
      </c>
      <c r="E255" s="97" t="n">
        <v>838877000000</v>
      </c>
      <c r="F255" s="97" t="n">
        <v>30318751527</v>
      </c>
      <c r="G255" s="98" t="n">
        <v>0.004500000000000001</v>
      </c>
      <c r="H255" s="98" t="n">
        <v>0.9062</v>
      </c>
      <c r="I255" s="98" t="n">
        <v>0.0155</v>
      </c>
      <c r="J255" s="98" t="n"/>
      <c r="K255" s="97" t="n">
        <v>5</v>
      </c>
      <c r="L255" s="99" t="inlineStr">
        <is>
          <t>20260914</t>
        </is>
      </c>
      <c r="M255" s="96" t="inlineStr">
        <is>
          <t>제외</t>
        </is>
      </c>
      <c r="N255" s="96" t="inlineStr">
        <is>
          <t>변동성 90.6%(103거래일 기준, 기준 35% 초과), 상장 5개월(기준 12개월 미만), 연 분배율 산출 불가(상장 1년 미만 — 12개월 창이 안 채워짐)</t>
        </is>
      </c>
      <c r="O255" s="96" t="inlineStr">
        <is>
          <t>FnGuide 반도체 TOP10 Capped 지수</t>
        </is>
      </c>
      <c r="P255" s="96" t="inlineStr">
        <is>
          <t>커버드콜</t>
        </is>
      </c>
      <c r="Q255" s="96" t="inlineStr">
        <is>
          <t>주식</t>
        </is>
      </c>
      <c r="R255" s="96" t="inlineStr">
        <is>
          <t>판정 불가</t>
        </is>
      </c>
      <c r="S255" s="97" t="n">
        <v>5</v>
      </c>
      <c r="T255" s="98" t="n"/>
    </row>
    <row r="256">
      <c r="A256" s="96" t="inlineStr">
        <is>
          <t>KODEX 200커버드콜액티브</t>
        </is>
      </c>
      <c r="B256" s="96" t="inlineStr">
        <is>
          <t>0219E0</t>
        </is>
      </c>
      <c r="C256" s="96" t="inlineStr">
        <is>
          <t>삼성자산운용(ETF)</t>
        </is>
      </c>
      <c r="D256" s="97" t="n">
        <v>8405</v>
      </c>
      <c r="E256" s="97" t="n">
        <v>803518000000</v>
      </c>
      <c r="F256" s="97" t="n">
        <v>45822690062</v>
      </c>
      <c r="G256" s="98" t="n">
        <v>0.005</v>
      </c>
      <c r="H256" s="98" t="n"/>
      <c r="I256" s="98" t="n">
        <v>0.0193</v>
      </c>
      <c r="J256" s="98" t="n"/>
      <c r="K256" s="97" t="n">
        <v>2</v>
      </c>
      <c r="L256" s="99" t="inlineStr">
        <is>
          <t>20260828</t>
        </is>
      </c>
      <c r="M256" s="96" t="inlineStr">
        <is>
          <t>제외</t>
        </is>
      </c>
      <c r="N256" s="96" t="inlineStr">
        <is>
          <t>변동성 산출 불가(시세 47일치뿐), 상장 2개월(기준 12개월 미만), 연 분배율 산출 불가(상장 1년 미만 — 12개월 창이 안 채워짐)</t>
        </is>
      </c>
      <c r="O256" s="96" t="inlineStr">
        <is>
          <t>코스피 200 커버드콜 5% OTM</t>
        </is>
      </c>
      <c r="P256" s="96" t="inlineStr">
        <is>
          <t>커버드콜</t>
        </is>
      </c>
      <c r="Q256" s="96" t="inlineStr">
        <is>
          <t>주식</t>
        </is>
      </c>
      <c r="R256" s="96" t="inlineStr">
        <is>
          <t>판정 불가</t>
        </is>
      </c>
      <c r="S256" s="97" t="n">
        <v>2</v>
      </c>
      <c r="T256" s="98" t="n"/>
    </row>
    <row r="257">
      <c r="A257" s="96" t="inlineStr">
        <is>
          <t>SOL 200타겟위클리커버드콜</t>
        </is>
      </c>
      <c r="B257" s="96" t="inlineStr">
        <is>
          <t>0167B0</t>
        </is>
      </c>
      <c r="C257" s="96" t="inlineStr">
        <is>
          <t>신한자산운용</t>
        </is>
      </c>
      <c r="D257" s="97" t="n">
        <v>11795</v>
      </c>
      <c r="E257" s="97" t="n">
        <v>649904500000</v>
      </c>
      <c r="F257" s="97" t="n">
        <v>19491327911</v>
      </c>
      <c r="G257" s="98" t="n">
        <v>0.003</v>
      </c>
      <c r="H257" s="98" t="n">
        <v>0.6897</v>
      </c>
      <c r="I257" s="98" t="n">
        <v>0.0139</v>
      </c>
      <c r="J257" s="98" t="n"/>
      <c r="K257" s="97" t="n">
        <v>5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변동성 69.0%(128거래일 기준, 기준 35% 초과), 상장 6개월(기준 12개월 미만), 연 분배율 산출 불가(상장 1년 미만 — 12개월 창이 안 채워짐)</t>
        </is>
      </c>
      <c r="O257" s="96" t="inlineStr">
        <is>
          <t>코스피 200 타겟 15% 위클리 커버드콜 지수</t>
        </is>
      </c>
      <c r="P257" s="96" t="inlineStr">
        <is>
          <t>커버드콜</t>
        </is>
      </c>
      <c r="Q257" s="96" t="inlineStr">
        <is>
          <t>주식</t>
        </is>
      </c>
      <c r="R257" s="96" t="inlineStr">
        <is>
          <t>판정 불가</t>
        </is>
      </c>
      <c r="S257" s="97" t="n">
        <v>5</v>
      </c>
      <c r="T257" s="98" t="n"/>
    </row>
    <row r="258">
      <c r="A258" s="96" t="inlineStr">
        <is>
          <t>SOL 코리아고배당</t>
        </is>
      </c>
      <c r="B258" s="96" t="inlineStr">
        <is>
          <t>0105E0</t>
        </is>
      </c>
      <c r="C258" s="96" t="inlineStr">
        <is>
          <t>신한자산운용</t>
        </is>
      </c>
      <c r="D258" s="97" t="n">
        <v>12865</v>
      </c>
      <c r="E258" s="97" t="n">
        <v>531324500000</v>
      </c>
      <c r="F258" s="97" t="n">
        <v>6614519623</v>
      </c>
      <c r="G258" s="98" t="n">
        <v>0.0015</v>
      </c>
      <c r="H258" s="98" t="n">
        <v>0.3049</v>
      </c>
      <c r="I258" s="98" t="n">
        <v>0.0046</v>
      </c>
      <c r="J258" s="98" t="n"/>
      <c r="K258" s="97" t="n">
        <v>11</v>
      </c>
      <c r="L258" s="99" t="inlineStr">
        <is>
          <t>20260914</t>
        </is>
      </c>
      <c r="M258" s="96" t="inlineStr">
        <is>
          <t>제외</t>
        </is>
      </c>
      <c r="N258" s="96" t="inlineStr">
        <is>
          <t>연 분배율 산출 불가(상장 1년 미만 — 12개월 창이 안 채워짐)</t>
        </is>
      </c>
      <c r="O258" s="96" t="inlineStr">
        <is>
          <t>FnGuide 코리아 고배당 지수</t>
        </is>
      </c>
      <c r="P258" s="96" t="inlineStr">
        <is>
          <t>일반</t>
        </is>
      </c>
      <c r="Q258" s="96" t="inlineStr">
        <is>
          <t>주식</t>
        </is>
      </c>
      <c r="R258" s="96" t="inlineStr">
        <is>
          <t>월배당</t>
        </is>
      </c>
      <c r="S258" s="97" t="n">
        <v>11</v>
      </c>
      <c r="T258" s="98" t="n"/>
    </row>
    <row r="259">
      <c r="A259" s="96" t="inlineStr">
        <is>
          <t>KODEX 미국성장커버드콜액티브</t>
        </is>
      </c>
      <c r="B259" s="96" t="inlineStr">
        <is>
          <t>0144L0</t>
        </is>
      </c>
      <c r="C259" s="96" t="inlineStr">
        <is>
          <t>삼성자산운용(ETF)</t>
        </is>
      </c>
      <c r="D259" s="97" t="n">
        <v>9535</v>
      </c>
      <c r="E259" s="97" t="n">
        <v>348027500000</v>
      </c>
      <c r="F259" s="97" t="n">
        <v>2369211347</v>
      </c>
      <c r="G259" s="98" t="n">
        <v>0.0049</v>
      </c>
      <c r="H259" s="98" t="n">
        <v>0.1821</v>
      </c>
      <c r="I259" s="98" t="n">
        <v>0.009899999999999999</v>
      </c>
      <c r="J259" s="98" t="n"/>
      <c r="K259" s="97" t="n">
        <v>8</v>
      </c>
      <c r="L259" s="99" t="inlineStr">
        <is>
          <t>20260828</t>
        </is>
      </c>
      <c r="M259" s="96" t="inlineStr">
        <is>
          <t>제외</t>
        </is>
      </c>
      <c r="N259" s="96" t="inlineStr">
        <is>
          <t>상장 9개월(기준 12개월 미만), 연 분배율 산출 불가(상장 1년 미만 — 12개월 창이 안 채워짐)</t>
        </is>
      </c>
      <c r="O259" s="96" t="inlineStr">
        <is>
          <t>나스닥 100</t>
        </is>
      </c>
      <c r="P259" s="96" t="inlineStr">
        <is>
          <t>커버드콜</t>
        </is>
      </c>
      <c r="Q259" s="96" t="inlineStr">
        <is>
          <t>주식</t>
        </is>
      </c>
      <c r="R259" s="96" t="inlineStr">
        <is>
          <t>판정 불가</t>
        </is>
      </c>
      <c r="S259" s="97" t="n">
        <v>8</v>
      </c>
      <c r="T259" s="98" t="n"/>
    </row>
    <row r="260">
      <c r="A260" s="96" t="inlineStr">
        <is>
          <t>KIWOOM 삼성전자&amp;SK하이닉스채권혼합50</t>
        </is>
      </c>
      <c r="B260" s="96" t="inlineStr">
        <is>
          <t>0183V0</t>
        </is>
      </c>
      <c r="C260" s="96" t="inlineStr">
        <is>
          <t>키움투자자산운용</t>
        </is>
      </c>
      <c r="D260" s="97" t="n">
        <v>11810</v>
      </c>
      <c r="E260" s="97" t="n">
        <v>265725000000</v>
      </c>
      <c r="F260" s="97" t="n">
        <v>12498614977</v>
      </c>
      <c r="G260" s="98" t="n">
        <v>0.0007000000000000001</v>
      </c>
      <c r="H260" s="98" t="n">
        <v>0.4991</v>
      </c>
      <c r="I260" s="98" t="n">
        <v>0.0126</v>
      </c>
      <c r="J260" s="98" t="n"/>
      <c r="K260" s="97" t="n">
        <v>5</v>
      </c>
      <c r="L260" s="99" t="inlineStr">
        <is>
          <t>20260914</t>
        </is>
      </c>
      <c r="M260" s="96" t="inlineStr">
        <is>
          <t>제외</t>
        </is>
      </c>
      <c r="N260" s="96" t="inlineStr">
        <is>
          <t>변동성 49.9%(103거래일 기준, 기준 35% 초과), 상장 5개월(기준 12개월 미만), 연 분배율 산출 불가(상장 1년 미만 — 12개월 창이 안 채워짐)</t>
        </is>
      </c>
      <c r="O260" s="96" t="inlineStr">
        <is>
          <t>FnGuide 삼성전자 &amp; SK하이닉스 채권혼합 지수</t>
        </is>
      </c>
      <c r="P260" s="96" t="inlineStr">
        <is>
          <t>일반</t>
        </is>
      </c>
      <c r="Q260" s="96" t="inlineStr">
        <is>
          <t>멀티에셋</t>
        </is>
      </c>
      <c r="R260" s="96" t="inlineStr">
        <is>
          <t>판정 불가</t>
        </is>
      </c>
      <c r="S260" s="97" t="n">
        <v>5</v>
      </c>
      <c r="T260" s="98" t="n"/>
    </row>
    <row r="261">
      <c r="A261" s="96" t="inlineStr">
        <is>
          <t>TIGER 200타겟위클리커버드콜</t>
        </is>
      </c>
      <c r="B261" s="96" t="inlineStr">
        <is>
          <t>0104N0</t>
        </is>
      </c>
      <c r="C261" s="96" t="inlineStr">
        <is>
          <t>미래에셋자산운용</t>
        </is>
      </c>
      <c r="D261" s="97" t="n">
        <v>20900</v>
      </c>
      <c r="E261" s="97" t="n">
        <v>215270000000</v>
      </c>
      <c r="F261" s="97" t="n">
        <v>3051690313</v>
      </c>
      <c r="G261" s="98" t="n">
        <v>0.0025</v>
      </c>
      <c r="H261" s="98" t="n">
        <v>0.5893</v>
      </c>
      <c r="I261" s="98" t="n">
        <v>0.0059</v>
      </c>
      <c r="J261" s="98" t="n"/>
      <c r="K261" s="97" t="n">
        <v>12</v>
      </c>
      <c r="L261" s="99" t="inlineStr">
        <is>
          <t>20260914</t>
        </is>
      </c>
      <c r="M261" s="96" t="inlineStr">
        <is>
          <t>제외</t>
        </is>
      </c>
      <c r="N261" s="96" t="inlineStr">
        <is>
          <t>변동성 58.9%(1년 기준, 기준 35% 초과), 연 분배율 산출 불가(상장 1년 미만 — 12개월 창이 안 채워짐)</t>
        </is>
      </c>
      <c r="O261" s="96" t="inlineStr">
        <is>
          <t>코스피 200 타겟 7% 위클리 커버드콜 지수</t>
        </is>
      </c>
      <c r="P261" s="96" t="inlineStr">
        <is>
          <t>커버드콜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12</v>
      </c>
      <c r="T261" s="98" t="n"/>
    </row>
    <row r="262">
      <c r="A262" s="96" t="inlineStr">
        <is>
          <t>KODEX 반도체타겟위클리커버드콜</t>
        </is>
      </c>
      <c r="B262" s="96" t="inlineStr">
        <is>
          <t>0190G0</t>
        </is>
      </c>
      <c r="C262" s="96" t="inlineStr">
        <is>
          <t>삼성자산운용(ETF)</t>
        </is>
      </c>
      <c r="D262" s="97" t="n">
        <v>9030</v>
      </c>
      <c r="E262" s="97" t="n">
        <v>172473000000</v>
      </c>
      <c r="F262" s="97" t="n">
        <v>8060743784</v>
      </c>
      <c r="G262" s="98" t="n">
        <v>0.004500000000000001</v>
      </c>
      <c r="H262" s="98" t="n">
        <v>0.85</v>
      </c>
      <c r="I262" s="98" t="n">
        <v>0.0074</v>
      </c>
      <c r="J262" s="98" t="n"/>
      <c r="K262" s="97" t="n">
        <v>4</v>
      </c>
      <c r="L262" s="99" t="inlineStr">
        <is>
          <t>20260828</t>
        </is>
      </c>
      <c r="M262" s="96" t="inlineStr">
        <is>
          <t>제외</t>
        </is>
      </c>
      <c r="N262" s="96" t="inlineStr">
        <is>
          <t>변동성 85.0%(90거래일 기준, 기준 35% 초과), 상장 4개월(기준 12개월 미만), 연 분배율 산출 불가(상장 1년 미만 — 12개월 창이 안 채워짐)</t>
        </is>
      </c>
      <c r="O262" s="96" t="inlineStr">
        <is>
          <t>KRX 반도체 타겟 9% 분배 위클리 커버드콜 지수</t>
        </is>
      </c>
      <c r="P262" s="96" t="inlineStr">
        <is>
          <t>커버드콜</t>
        </is>
      </c>
      <c r="Q262" s="96" t="inlineStr">
        <is>
          <t>주식</t>
        </is>
      </c>
      <c r="R262" s="96" t="inlineStr">
        <is>
          <t>판정 불가</t>
        </is>
      </c>
      <c r="S262" s="97" t="n">
        <v>4</v>
      </c>
      <c r="T262" s="98" t="n"/>
    </row>
    <row r="263">
      <c r="A263" s="96" t="inlineStr">
        <is>
          <t>KODEX 주주환원고배당주</t>
        </is>
      </c>
      <c r="B263" s="96" t="inlineStr">
        <is>
          <t>0153K0</t>
        </is>
      </c>
      <c r="C263" s="96" t="inlineStr">
        <is>
          <t>삼성자산운용(ETF)</t>
        </is>
      </c>
      <c r="D263" s="97" t="n">
        <v>12195</v>
      </c>
      <c r="E263" s="97" t="n">
        <v>146340000000</v>
      </c>
      <c r="F263" s="97" t="n">
        <v>2383333263</v>
      </c>
      <c r="G263" s="98" t="n">
        <v>0.0033</v>
      </c>
      <c r="H263" s="98" t="n">
        <v>0.3532</v>
      </c>
      <c r="I263" s="98" t="n">
        <v>0.0038</v>
      </c>
      <c r="J263" s="98" t="n"/>
      <c r="K263" s="97" t="n">
        <v>7</v>
      </c>
      <c r="L263" s="99" t="inlineStr">
        <is>
          <t>20260914</t>
        </is>
      </c>
      <c r="M263" s="96" t="inlineStr">
        <is>
          <t>제외</t>
        </is>
      </c>
      <c r="N263" s="96" t="inlineStr">
        <is>
          <t>변동성 35.3%(164거래일 기준, 기준 35% 초과), 상장 8개월(기준 12개월 미만), 연 분배율 산출 불가(상장 1년 미만 — 12개월 창이 안 채워짐)</t>
        </is>
      </c>
      <c r="O263" s="96" t="inlineStr">
        <is>
          <t>Akros 주주환원 고배당 지수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판정 불가</t>
        </is>
      </c>
      <c r="S263" s="97" t="n">
        <v>7</v>
      </c>
      <c r="T263" s="98" t="n"/>
    </row>
    <row r="264">
      <c r="A264" s="96" t="inlineStr">
        <is>
          <t>ACE 고배당주Plus커버드콜액티브</t>
        </is>
      </c>
      <c r="B264" s="96" t="inlineStr">
        <is>
          <t>0199C0</t>
        </is>
      </c>
      <c r="C264" s="96" t="inlineStr">
        <is>
          <t>한국투신운용(ETF)</t>
        </is>
      </c>
      <c r="D264" s="97" t="n">
        <v>9220</v>
      </c>
      <c r="E264" s="97" t="n">
        <v>138761000000</v>
      </c>
      <c r="F264" s="97" t="n">
        <v>6338087149</v>
      </c>
      <c r="G264" s="98" t="n">
        <v>0.004</v>
      </c>
      <c r="H264" s="98" t="n">
        <v>0.3551</v>
      </c>
      <c r="I264" s="98" t="n">
        <v>0.0179</v>
      </c>
      <c r="J264" s="98" t="n"/>
      <c r="K264" s="97" t="n">
        <v>3</v>
      </c>
      <c r="L264" s="99" t="inlineStr">
        <is>
          <t>20260828</t>
        </is>
      </c>
      <c r="M264" s="96" t="inlineStr">
        <is>
          <t>제외</t>
        </is>
      </c>
      <c r="N264" s="96" t="inlineStr">
        <is>
          <t>변동성 35.5%(76거래일 기준, 기준 35% 초과), 상장 3개월(기준 12개월 미만), 연 분배율 산출 불가(상장 1년 미만 — 12개월 창이 안 채워짐)</t>
        </is>
      </c>
      <c r="O264" s="96" t="inlineStr">
        <is>
          <t>KRX-Akros 고배당주 20 위클리 고정 30% 커버드콜 지수</t>
        </is>
      </c>
      <c r="P264" s="96" t="inlineStr">
        <is>
          <t>커버드콜</t>
        </is>
      </c>
      <c r="Q264" s="96" t="inlineStr">
        <is>
          <t>주식</t>
        </is>
      </c>
      <c r="R264" s="96" t="inlineStr">
        <is>
          <t>판정 불가</t>
        </is>
      </c>
      <c r="S264" s="97" t="n">
        <v>3</v>
      </c>
      <c r="T264" s="98" t="n"/>
    </row>
    <row r="265">
      <c r="A265" s="96" t="inlineStr">
        <is>
          <t>PLUS 테슬라위클리커버드콜채권혼합</t>
        </is>
      </c>
      <c r="B265" s="96" t="inlineStr">
        <is>
          <t>0132K0</t>
        </is>
      </c>
      <c r="C265" s="96" t="inlineStr">
        <is>
          <t>한화자산운용</t>
        </is>
      </c>
      <c r="D265" s="97" t="n">
        <v>7935</v>
      </c>
      <c r="E265" s="97" t="n">
        <v>109899750000</v>
      </c>
      <c r="F265" s="97" t="n">
        <v>1260751690</v>
      </c>
      <c r="G265" s="98" t="n">
        <v>0.0039</v>
      </c>
      <c r="H265" s="98" t="n">
        <v>0.1301</v>
      </c>
      <c r="I265" s="98" t="n">
        <v>0.02</v>
      </c>
      <c r="J265" s="98" t="n"/>
      <c r="K265" s="97" t="n">
        <v>10</v>
      </c>
      <c r="L265" s="99" t="inlineStr">
        <is>
          <t>20260914</t>
        </is>
      </c>
      <c r="M265" s="96" t="inlineStr">
        <is>
          <t>제외</t>
        </is>
      </c>
      <c r="N265" s="96" t="inlineStr">
        <is>
          <t>상장 9개월(기준 12개월 미만), 연 분배율 산출 불가(상장 1년 미만 — 12개월 창이 안 채워짐)</t>
        </is>
      </c>
      <c r="O265" s="96" t="inlineStr">
        <is>
          <t>Akros Tesla Weekly Covered Call Treasury Balanced Index</t>
        </is>
      </c>
      <c r="P265" s="96" t="inlineStr">
        <is>
          <t>커버드콜</t>
        </is>
      </c>
      <c r="Q265" s="96" t="inlineStr">
        <is>
          <t>멀티에셋</t>
        </is>
      </c>
      <c r="R265" s="96" t="inlineStr">
        <is>
          <t>판정 불가</t>
        </is>
      </c>
      <c r="S265" s="97" t="n">
        <v>10</v>
      </c>
      <c r="T265" s="98" t="n"/>
    </row>
    <row r="266">
      <c r="A266" s="96" t="inlineStr">
        <is>
          <t>KIWOOM 코스닥150커버드콜액티브</t>
        </is>
      </c>
      <c r="B266" s="96" t="inlineStr">
        <is>
          <t>0198A0</t>
        </is>
      </c>
      <c r="C266" s="96" t="inlineStr">
        <is>
          <t>키움투자자산운용</t>
        </is>
      </c>
      <c r="D266" s="97" t="n">
        <v>8580</v>
      </c>
      <c r="E266" s="97" t="n">
        <v>76362000000</v>
      </c>
      <c r="F266" s="97" t="n">
        <v>4895523500</v>
      </c>
      <c r="G266" s="98" t="n">
        <v>0.0063</v>
      </c>
      <c r="H266" s="98" t="n"/>
      <c r="I266" s="98" t="n">
        <v>0.0243</v>
      </c>
      <c r="J266" s="98" t="n"/>
      <c r="K266" s="97" t="n">
        <v>2</v>
      </c>
      <c r="L266" s="99" t="inlineStr">
        <is>
          <t>20260828</t>
        </is>
      </c>
      <c r="M266" s="96" t="inlineStr">
        <is>
          <t>제외</t>
        </is>
      </c>
      <c r="N266" s="96" t="inlineStr">
        <is>
          <t>변동성 산출 불가(시세 57일치뿐), 상장 3개월(기준 12개월 미만), 연 분배율 산출 불가(상장 1년 미만 — 12개월 창이 안 채워짐)</t>
        </is>
      </c>
      <c r="O266" s="96" t="inlineStr">
        <is>
          <t>코스닥 150 위클리 고정 30% 커버드콜 지수</t>
        </is>
      </c>
      <c r="P266" s="96" t="inlineStr">
        <is>
          <t>커버드콜</t>
        </is>
      </c>
      <c r="Q266" s="96" t="inlineStr">
        <is>
          <t>주식</t>
        </is>
      </c>
      <c r="R266" s="96" t="inlineStr">
        <is>
          <t>판정 불가</t>
        </is>
      </c>
      <c r="S266" s="97" t="n">
        <v>2</v>
      </c>
      <c r="T266" s="98" t="n"/>
    </row>
    <row r="267">
      <c r="A267" s="96" t="inlineStr">
        <is>
          <t>PLUS 200커버드콜액티브</t>
        </is>
      </c>
      <c r="B267" s="96" t="inlineStr">
        <is>
          <t>0210E0</t>
        </is>
      </c>
      <c r="C267" s="96" t="inlineStr">
        <is>
          <t>한화자산운용</t>
        </is>
      </c>
      <c r="D267" s="97" t="n">
        <v>7345</v>
      </c>
      <c r="E267" s="97" t="n">
        <v>71246500000</v>
      </c>
      <c r="F267" s="97" t="n">
        <v>2494835272</v>
      </c>
      <c r="G267" s="98" t="n">
        <v>0.00491</v>
      </c>
      <c r="H267" s="98" t="n">
        <v>0.7572</v>
      </c>
      <c r="I267" s="98" t="n">
        <v>0.0194</v>
      </c>
      <c r="J267" s="98" t="n"/>
      <c r="K267" s="97" t="n">
        <v>2</v>
      </c>
      <c r="L267" s="99" t="inlineStr">
        <is>
          <t>20260828</t>
        </is>
      </c>
      <c r="M267" s="96" t="inlineStr">
        <is>
          <t>제외</t>
        </is>
      </c>
      <c r="N267" s="96" t="inlineStr">
        <is>
          <t>변동성 75.7%(62거래일 기준, 기준 35% 초과), 상장 3개월(기준 12개월 미만), 연 분배율 산출 불가(상장 1년 미만 — 12개월 창이 안 채워짐)</t>
        </is>
      </c>
      <c r="O267" s="96" t="inlineStr">
        <is>
          <t>코스피 200 위클리 고정 30% 커버드콜 지수</t>
        </is>
      </c>
      <c r="P267" s="96" t="inlineStr">
        <is>
          <t>커버드콜</t>
        </is>
      </c>
      <c r="Q267" s="96" t="inlineStr">
        <is>
          <t>주식</t>
        </is>
      </c>
      <c r="R267" s="96" t="inlineStr">
        <is>
          <t>판정 불가</t>
        </is>
      </c>
      <c r="S267" s="97" t="n">
        <v>2</v>
      </c>
      <c r="T267" s="98" t="n"/>
    </row>
    <row r="268">
      <c r="A268" s="96" t="inlineStr">
        <is>
          <t>HANARO 증권고배당TOP3플러스</t>
        </is>
      </c>
      <c r="B268" s="96" t="inlineStr">
        <is>
          <t>0111J0</t>
        </is>
      </c>
      <c r="C268" s="96" t="inlineStr">
        <is>
          <t>NH-Amundi자산운용</t>
        </is>
      </c>
      <c r="D268" s="97" t="n">
        <v>12030</v>
      </c>
      <c r="E268" s="97" t="n">
        <v>52330500000</v>
      </c>
      <c r="F268" s="97" t="n">
        <v>1756150048</v>
      </c>
      <c r="G268" s="98" t="n">
        <v>0.0007000000000000001</v>
      </c>
      <c r="H268" s="98" t="n">
        <v>0.6384000000000001</v>
      </c>
      <c r="I268" s="98" t="n">
        <v>0.0032</v>
      </c>
      <c r="J268" s="98" t="n"/>
      <c r="K268" s="97" t="n">
        <v>8</v>
      </c>
      <c r="L268" s="99" t="inlineStr">
        <is>
          <t>20260828</t>
        </is>
      </c>
      <c r="M268" s="96" t="inlineStr">
        <is>
          <t>제외</t>
        </is>
      </c>
      <c r="N268" s="96" t="inlineStr">
        <is>
          <t>변동성 63.8%(1년 기준, 기준 35% 초과), 상장 11개월(기준 12개월 미만), 연 분배율 산출 불가(상장 1년 미만 — 12개월 창이 안 채워짐)</t>
        </is>
      </c>
      <c r="O268" s="96" t="inlineStr">
        <is>
          <t>FnGuide 증권 고배당 TOP3 플러스 지수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판정 불가</t>
        </is>
      </c>
      <c r="S268" s="97" t="n">
        <v>8</v>
      </c>
      <c r="T268" s="98" t="n"/>
    </row>
    <row r="269">
      <c r="A269" s="96" t="inlineStr">
        <is>
          <t>ACE 고배당주</t>
        </is>
      </c>
      <c r="B269" s="96" t="inlineStr">
        <is>
          <t>0139P0</t>
        </is>
      </c>
      <c r="C269" s="96" t="inlineStr">
        <is>
          <t>한국투신운용(ETF)</t>
        </is>
      </c>
      <c r="D269" s="97" t="n">
        <v>13445</v>
      </c>
      <c r="E269" s="97" t="n">
        <v>49746500000</v>
      </c>
      <c r="F269" s="97" t="n">
        <v>562800770</v>
      </c>
      <c r="G269" s="98" t="n">
        <v>0.0015</v>
      </c>
      <c r="H269" s="98" t="n">
        <v>0.3883</v>
      </c>
      <c r="I269" s="98" t="n">
        <v>0.0038</v>
      </c>
      <c r="J269" s="98" t="n"/>
      <c r="K269" s="97" t="n">
        <v>9</v>
      </c>
      <c r="L269" s="99" t="inlineStr">
        <is>
          <t>20260828</t>
        </is>
      </c>
      <c r="M269" s="96" t="inlineStr">
        <is>
          <t>제외</t>
        </is>
      </c>
      <c r="N269" s="96" t="inlineStr">
        <is>
          <t>변동성 38.8%(186거래일 기준, 기준 35% 초과), 상장 9개월(기준 12개월 미만), 연 분배율 산출 불가(상장 1년 미만 — 12개월 창이 안 채워짐)</t>
        </is>
      </c>
      <c r="O269" s="96" t="inlineStr">
        <is>
          <t>KRX-Akros 고배당주 20 지수</t>
        </is>
      </c>
      <c r="P269" s="96" t="inlineStr">
        <is>
          <t>일반</t>
        </is>
      </c>
      <c r="Q269" s="96" t="inlineStr">
        <is>
          <t>주식</t>
        </is>
      </c>
      <c r="R269" s="96" t="inlineStr">
        <is>
          <t>판정 불가</t>
        </is>
      </c>
      <c r="S269" s="97" t="n">
        <v>9</v>
      </c>
      <c r="T269" s="98" t="n"/>
    </row>
    <row r="270">
      <c r="A270" s="96" t="inlineStr">
        <is>
          <t>HANARO K고배당</t>
        </is>
      </c>
      <c r="B270" s="96" t="inlineStr">
        <is>
          <t>322410</t>
        </is>
      </c>
      <c r="C270" s="96" t="inlineStr">
        <is>
          <t>NH-Amundi자산운용</t>
        </is>
      </c>
      <c r="D270" s="97" t="n"/>
      <c r="E270" s="97" t="n"/>
      <c r="F270" s="97" t="n"/>
      <c r="G270" s="98" t="n"/>
      <c r="H270" s="98" t="n"/>
      <c r="I270" s="98" t="n"/>
      <c r="J270" s="98" t="n"/>
      <c r="K270" s="97" t="n"/>
      <c r="L270" s="99" t="n"/>
      <c r="M270" s="96" t="inlineStr">
        <is>
          <t>제외</t>
        </is>
      </c>
      <c r="N270" s="96" t="inlineStr">
        <is>
          <t>수집 실패(세 번 다시 물었으나 답이 오지 않음: HTTP 0)</t>
        </is>
      </c>
      <c r="O270" s="96" t="inlineStr"/>
      <c r="P270" s="96" t="inlineStr">
        <is>
          <t>일반</t>
        </is>
      </c>
      <c r="Q270" s="96" t="inlineStr"/>
      <c r="R270" s="96" t="inlineStr"/>
      <c r="S270" s="97" t="n"/>
      <c r="T270" s="98" t="n"/>
    </row>
    <row r="271">
      <c r="A271" s="96" t="inlineStr">
        <is>
          <t>KODEX 일본부동산리츠(H)</t>
        </is>
      </c>
      <c r="B271" s="96" t="inlineStr">
        <is>
          <t>352540</t>
        </is>
      </c>
      <c r="C271" s="96" t="inlineStr">
        <is>
          <t>삼성자산운용(ETF)</t>
        </is>
      </c>
      <c r="D271" s="97" t="n"/>
      <c r="E271" s="97" t="n"/>
      <c r="F271" s="97" t="n"/>
      <c r="G271" s="98" t="n"/>
      <c r="H271" s="98" t="n"/>
      <c r="I271" s="98" t="n"/>
      <c r="J271" s="98" t="n"/>
      <c r="K271" s="97" t="n"/>
      <c r="L271" s="99" t="n"/>
      <c r="M271" s="96" t="inlineStr">
        <is>
          <t>제외</t>
        </is>
      </c>
      <c r="N271" s="96" t="inlineStr">
        <is>
          <t>수집 실패(세 번 다시 물었으나 답이 오지 않음: HTTP 403)</t>
        </is>
      </c>
      <c r="O271" s="96" t="inlineStr"/>
      <c r="P271" s="96" t="inlineStr">
        <is>
          <t>일반</t>
        </is>
      </c>
      <c r="Q271" s="96" t="inlineStr"/>
      <c r="R271" s="96" t="inlineStr"/>
      <c r="S271" s="97" t="n"/>
      <c r="T271" s="98" t="n"/>
    </row>
    <row r="272">
      <c r="A272" s="96" t="inlineStr">
        <is>
          <t>PLUS 미국채30년액티브</t>
        </is>
      </c>
      <c r="B272" s="96" t="inlineStr">
        <is>
          <t>464470</t>
        </is>
      </c>
      <c r="C272" s="96" t="inlineStr">
        <is>
          <t>한화자산운용</t>
        </is>
      </c>
      <c r="D272" s="97" t="n"/>
      <c r="E272" s="97" t="n"/>
      <c r="F272" s="97" t="n"/>
      <c r="G272" s="98" t="n"/>
      <c r="H272" s="98" t="n"/>
      <c r="I272" s="98" t="n"/>
      <c r="J272" s="98" t="n"/>
      <c r="K272" s="97" t="n"/>
      <c r="L272" s="99" t="n"/>
      <c r="M272" s="96" t="inlineStr">
        <is>
          <t>제외</t>
        </is>
      </c>
      <c r="N272" s="96" t="inlineStr">
        <is>
          <t>수집 실패(세 번 다시 물었으나 답이 오지 않음: HTTP 0)</t>
        </is>
      </c>
      <c r="O272" s="96" t="inlineStr"/>
      <c r="P272" s="96" t="inlineStr">
        <is>
          <t>일반</t>
        </is>
      </c>
      <c r="Q272" s="96" t="inlineStr"/>
      <c r="R272" s="96" t="inlineStr"/>
      <c r="S272" s="97" t="n"/>
      <c r="T272" s="98" t="n"/>
    </row>
    <row r="273">
      <c r="A273" s="96" t="inlineStr">
        <is>
          <t>KoAct 고배당액티브</t>
        </is>
      </c>
      <c r="B273" s="96" t="inlineStr">
        <is>
          <t>0222D0</t>
        </is>
      </c>
      <c r="C273" s="96" t="inlineStr">
        <is>
          <t>삼성액티브자산(ETF)</t>
        </is>
      </c>
      <c r="D273" s="97" t="n">
        <v>10365</v>
      </c>
      <c r="E273" s="97" t="n">
        <v>36277500000</v>
      </c>
      <c r="F273" s="97" t="n"/>
      <c r="G273" s="98" t="n">
        <v>0.005</v>
      </c>
      <c r="H273" s="98" t="n"/>
      <c r="I273" s="98" t="n">
        <v>0.008100000000000001</v>
      </c>
      <c r="J273" s="98" t="n"/>
      <c r="K273" s="97" t="n">
        <v>1</v>
      </c>
      <c r="L273" s="99" t="inlineStr">
        <is>
          <t>20260828</t>
        </is>
      </c>
      <c r="M273" s="96" t="inlineStr">
        <is>
          <t>제외</t>
        </is>
      </c>
      <c r="N273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273" s="96" t="inlineStr">
        <is>
          <t>K200고배당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판정 불가</t>
        </is>
      </c>
      <c r="S273" s="97" t="n">
        <v>1</v>
      </c>
      <c r="T273" s="98" t="n"/>
    </row>
    <row r="274">
      <c r="A274" s="96" t="inlineStr">
        <is>
          <t>RISE 미국S&amp;P500데일리고정커버드콜</t>
        </is>
      </c>
      <c r="B274" s="96" t="inlineStr">
        <is>
          <t>0138T0</t>
        </is>
      </c>
      <c r="C274" s="96" t="inlineStr">
        <is>
          <t>KB자산운용</t>
        </is>
      </c>
      <c r="D274" s="97" t="n">
        <v>9400</v>
      </c>
      <c r="E274" s="97" t="n">
        <v>32900000000</v>
      </c>
      <c r="F274" s="97" t="n">
        <v>308427165</v>
      </c>
      <c r="G274" s="98" t="n">
        <v>0.0025</v>
      </c>
      <c r="H274" s="98" t="n">
        <v>0.1559</v>
      </c>
      <c r="I274" s="98" t="n">
        <v>0.008</v>
      </c>
      <c r="J274" s="98" t="n"/>
      <c r="K274" s="97" t="n">
        <v>10</v>
      </c>
      <c r="L274" s="99" t="inlineStr">
        <is>
          <t>20260914</t>
        </is>
      </c>
      <c r="M274" s="96" t="inlineStr">
        <is>
          <t>제외</t>
        </is>
      </c>
      <c r="N274" s="96" t="inlineStr">
        <is>
          <t>60일 거래대금 3.1억(기준 5억 미만), 상장 9개월(기준 12개월 미만), 연 분배율 산출 불가(상장 1년 미만 — 12개월 창이 안 채워짐)</t>
        </is>
      </c>
      <c r="O274" s="96" t="inlineStr">
        <is>
          <t>S&amp;P 500 10% Daily Fixed Covered Call Index (USD) TR</t>
        </is>
      </c>
      <c r="P274" s="96" t="inlineStr">
        <is>
          <t>커버드콜</t>
        </is>
      </c>
      <c r="Q274" s="96" t="inlineStr">
        <is>
          <t>주식</t>
        </is>
      </c>
      <c r="R274" s="96" t="inlineStr">
        <is>
          <t>판정 불가</t>
        </is>
      </c>
      <c r="S274" s="97" t="n">
        <v>10</v>
      </c>
      <c r="T274" s="98" t="n"/>
    </row>
    <row r="275">
      <c r="A275" s="96" t="inlineStr">
        <is>
          <t>KIWOOM 미국고배당&amp;AI테크</t>
        </is>
      </c>
      <c r="B275" s="96" t="inlineStr">
        <is>
          <t>0107F0</t>
        </is>
      </c>
      <c r="C275" s="96" t="inlineStr">
        <is>
          <t>키움투자자산운용</t>
        </is>
      </c>
      <c r="D275" s="97" t="n">
        <v>11280</v>
      </c>
      <c r="E275" s="97" t="n">
        <v>28764000000</v>
      </c>
      <c r="F275" s="97" t="n">
        <v>151824010</v>
      </c>
      <c r="G275" s="98" t="n">
        <v>0.004500000000000001</v>
      </c>
      <c r="H275" s="98" t="n">
        <v>0.1481</v>
      </c>
      <c r="I275" s="98" t="n">
        <v>0.003</v>
      </c>
      <c r="J275" s="98" t="n"/>
      <c r="K275" s="97" t="n">
        <v>11</v>
      </c>
      <c r="L275" s="99" t="inlineStr">
        <is>
          <t>20260828</t>
        </is>
      </c>
      <c r="M275" s="96" t="inlineStr">
        <is>
          <t>제외</t>
        </is>
      </c>
      <c r="N275" s="96" t="inlineStr">
        <is>
          <t>순자산 288억(기준 300억 미만), 60일 거래대금 1.5억(기준 5억 미만), 연 분배율 산출 불가(상장 1년 미만 — 12개월 창이 안 채워짐)</t>
        </is>
      </c>
      <c r="O275" s="96" t="inlineStr">
        <is>
          <t>Akros U.S. AI Tech Top10 &amp; High Dividend 3070 Index</t>
        </is>
      </c>
      <c r="P275" s="96" t="inlineStr">
        <is>
          <t>일반</t>
        </is>
      </c>
      <c r="Q275" s="96" t="inlineStr">
        <is>
          <t>주식</t>
        </is>
      </c>
      <c r="R275" s="96" t="inlineStr">
        <is>
          <t>월배당</t>
        </is>
      </c>
      <c r="S275" s="97" t="n">
        <v>11</v>
      </c>
      <c r="T275" s="98" t="n"/>
    </row>
    <row r="276">
      <c r="A276" s="96" t="inlineStr">
        <is>
          <t>1Q 엔비디아알파벳미국채혼합50</t>
        </is>
      </c>
      <c r="B276" s="96" t="inlineStr">
        <is>
          <t>0224X0</t>
        </is>
      </c>
      <c r="C276" s="96" t="inlineStr">
        <is>
          <t>하나자산운용</t>
        </is>
      </c>
      <c r="D276" s="97" t="n">
        <v>9840</v>
      </c>
      <c r="E276" s="97" t="n">
        <v>27552000000</v>
      </c>
      <c r="F276" s="97" t="n"/>
      <c r="G276" s="98" t="n">
        <v>0.004500000000000001</v>
      </c>
      <c r="H276" s="98" t="n"/>
      <c r="I276" s="98" t="n">
        <v>0.0012</v>
      </c>
      <c r="J276" s="98" t="n"/>
      <c r="K276" s="97" t="n">
        <v>1</v>
      </c>
      <c r="L276" s="99" t="inlineStr">
        <is>
          <t>20260828</t>
        </is>
      </c>
      <c r="M276" s="96" t="inlineStr">
        <is>
          <t>제외</t>
        </is>
      </c>
      <c r="N276" s="96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276" s="96" t="inlineStr">
        <is>
          <t>KEDI Nvidia Alphabet U.S. Short-Term Treasury Balanced 50 In</t>
        </is>
      </c>
      <c r="P276" s="96" t="inlineStr">
        <is>
          <t>일반</t>
        </is>
      </c>
      <c r="Q276" s="96" t="inlineStr">
        <is>
          <t>멀티에셋</t>
        </is>
      </c>
      <c r="R276" s="96" t="inlineStr">
        <is>
          <t>판정 불가</t>
        </is>
      </c>
      <c r="S276" s="97" t="n">
        <v>1</v>
      </c>
      <c r="T276" s="98" t="n"/>
    </row>
    <row r="277">
      <c r="A277" s="96" t="inlineStr">
        <is>
          <t>RISE 미국고배당다우존스TOP10</t>
        </is>
      </c>
      <c r="B277" s="96" t="inlineStr">
        <is>
          <t>0115C0</t>
        </is>
      </c>
      <c r="C277" s="96" t="inlineStr">
        <is>
          <t>KB자산운용</t>
        </is>
      </c>
      <c r="D277" s="97" t="n">
        <v>10885</v>
      </c>
      <c r="E277" s="97" t="n">
        <v>25579750000</v>
      </c>
      <c r="F277" s="97" t="n">
        <v>192060816</v>
      </c>
      <c r="G277" s="98" t="n">
        <v>0.0001</v>
      </c>
      <c r="H277" s="98" t="n">
        <v>0.16</v>
      </c>
      <c r="I277" s="98" t="n">
        <v>0.0031</v>
      </c>
      <c r="J277" s="98" t="n"/>
      <c r="K277" s="97" t="n">
        <v>10</v>
      </c>
      <c r="L277" s="99" t="inlineStr">
        <is>
          <t>20260914</t>
        </is>
      </c>
      <c r="M277" s="96" t="inlineStr">
        <is>
          <t>제외</t>
        </is>
      </c>
      <c r="N277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277" s="96" t="inlineStr">
        <is>
          <t>Dow Jones U.S. High Dividend 10 Index (USD)</t>
        </is>
      </c>
      <c r="P277" s="96" t="inlineStr">
        <is>
          <t>일반</t>
        </is>
      </c>
      <c r="Q277" s="96" t="inlineStr">
        <is>
          <t>주식</t>
        </is>
      </c>
      <c r="R277" s="96" t="inlineStr">
        <is>
          <t>판정 불가</t>
        </is>
      </c>
      <c r="S277" s="97" t="n">
        <v>10</v>
      </c>
      <c r="T277" s="98" t="n"/>
    </row>
    <row r="278">
      <c r="A278" s="96" t="inlineStr">
        <is>
          <t>SOL 배당성향탑픽액티브</t>
        </is>
      </c>
      <c r="B278" s="96" t="inlineStr">
        <is>
          <t>0152E0</t>
        </is>
      </c>
      <c r="C278" s="96" t="inlineStr">
        <is>
          <t>신한자산운용</t>
        </is>
      </c>
      <c r="D278" s="97" t="n">
        <v>10715</v>
      </c>
      <c r="E278" s="97" t="n">
        <v>25180250000</v>
      </c>
      <c r="F278" s="97" t="n">
        <v>235907809</v>
      </c>
      <c r="G278" s="98" t="n">
        <v>0.003</v>
      </c>
      <c r="H278" s="98" t="n">
        <v>0.33</v>
      </c>
      <c r="I278" s="98" t="n">
        <v>0.0046</v>
      </c>
      <c r="J278" s="98" t="n"/>
      <c r="K278" s="97" t="n">
        <v>7</v>
      </c>
      <c r="L278" s="99" t="inlineStr">
        <is>
          <t>20260828</t>
        </is>
      </c>
      <c r="M278" s="96" t="inlineStr">
        <is>
          <t>제외</t>
        </is>
      </c>
      <c r="N278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278" s="96" t="inlineStr">
        <is>
          <t>FnGuide 배당성향탑픽 지수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판정 불가</t>
        </is>
      </c>
      <c r="S278" s="97" t="n">
        <v>7</v>
      </c>
      <c r="T278" s="98" t="n"/>
    </row>
    <row r="279">
      <c r="A279" s="96" t="inlineStr">
        <is>
          <t>PLUS 미국고배당주액티브</t>
        </is>
      </c>
      <c r="B279" s="96" t="inlineStr">
        <is>
          <t>0153X0</t>
        </is>
      </c>
      <c r="C279" s="96" t="inlineStr">
        <is>
          <t>한화자산운용</t>
        </is>
      </c>
      <c r="D279" s="97" t="n">
        <v>11190</v>
      </c>
      <c r="E279" s="97" t="n">
        <v>21261000000</v>
      </c>
      <c r="F279" s="97" t="n">
        <v>489230702</v>
      </c>
      <c r="G279" s="98" t="n">
        <v>0.0023</v>
      </c>
      <c r="H279" s="98" t="n">
        <v>0.155</v>
      </c>
      <c r="I279" s="98" t="n">
        <v>0.004099999999999999</v>
      </c>
      <c r="J279" s="98" t="n"/>
      <c r="K279" s="97" t="n">
        <v>7</v>
      </c>
      <c r="L279" s="99" t="inlineStr">
        <is>
          <t>20260828</t>
        </is>
      </c>
      <c r="M279" s="96" t="inlineStr">
        <is>
          <t>제외</t>
        </is>
      </c>
      <c r="N279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279" s="96" t="inlineStr">
        <is>
          <t>Akros U.S. High Dividend 20 Index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판정 불가</t>
        </is>
      </c>
      <c r="S279" s="97" t="n">
        <v>7</v>
      </c>
      <c r="T279" s="98" t="n"/>
    </row>
    <row r="280">
      <c r="A280" s="96" t="inlineStr">
        <is>
          <t>SOL 코스피200채권혼합50</t>
        </is>
      </c>
      <c r="B280" s="96" t="inlineStr">
        <is>
          <t>0192S0</t>
        </is>
      </c>
      <c r="C280" s="96" t="inlineStr">
        <is>
          <t>신한자산운용</t>
        </is>
      </c>
      <c r="D280" s="97" t="n">
        <v>9455</v>
      </c>
      <c r="E280" s="97" t="n">
        <v>20801000000</v>
      </c>
      <c r="F280" s="97" t="n">
        <v>1859923258</v>
      </c>
      <c r="G280" s="98" t="n">
        <v>0.0015</v>
      </c>
      <c r="H280" s="98" t="n">
        <v>0.394</v>
      </c>
      <c r="I280" s="98" t="n">
        <v>0.0013</v>
      </c>
      <c r="J280" s="98" t="n"/>
      <c r="K280" s="97" t="n">
        <v>3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280" s="96" t="inlineStr">
        <is>
          <t>코스피 200 KTB 혼합지수</t>
        </is>
      </c>
      <c r="P280" s="96" t="inlineStr">
        <is>
          <t>일반</t>
        </is>
      </c>
      <c r="Q280" s="96" t="inlineStr">
        <is>
          <t>멀티에셋</t>
        </is>
      </c>
      <c r="R280" s="96" t="inlineStr">
        <is>
          <t>판정 불가</t>
        </is>
      </c>
      <c r="S280" s="97" t="n">
        <v>3</v>
      </c>
      <c r="T280" s="98" t="n"/>
    </row>
    <row r="281">
      <c r="A281" s="96" t="inlineStr">
        <is>
          <t>KODEX 대만테크고배당다우존스</t>
        </is>
      </c>
      <c r="B281" s="96" t="inlineStr">
        <is>
          <t>487950</t>
        </is>
      </c>
      <c r="C281" s="96" t="inlineStr">
        <is>
          <t>삼성자산운용(ETF)</t>
        </is>
      </c>
      <c r="D281" s="97" t="n"/>
      <c r="E281" s="97" t="n"/>
      <c r="F281" s="97" t="n"/>
      <c r="G281" s="98" t="n"/>
      <c r="H281" s="98" t="n"/>
      <c r="I281" s="98" t="n"/>
      <c r="J281" s="98" t="n"/>
      <c r="K281" s="97" t="n"/>
      <c r="L281" s="99" t="n"/>
      <c r="M281" s="96" t="inlineStr">
        <is>
          <t>제외</t>
        </is>
      </c>
      <c r="N281" s="96" t="inlineStr">
        <is>
          <t>수집 실패(세 번 다시 물었으나 답이 오지 않음: HTTP 403)</t>
        </is>
      </c>
      <c r="O281" s="96" t="inlineStr"/>
      <c r="P281" s="96" t="inlineStr">
        <is>
          <t>일반</t>
        </is>
      </c>
      <c r="Q281" s="96" t="inlineStr"/>
      <c r="R281" s="96" t="inlineStr"/>
      <c r="S281" s="97" t="n"/>
      <c r="T281" s="98" t="n"/>
    </row>
    <row r="282">
      <c r="A282" s="96" t="inlineStr">
        <is>
          <t>TIGER 코리아배당다우존스위클리커버드콜</t>
        </is>
      </c>
      <c r="B282" s="96" t="inlineStr">
        <is>
          <t>0104P0</t>
        </is>
      </c>
      <c r="C282" s="96" t="inlineStr">
        <is>
          <t>미래에셋자산운용</t>
        </is>
      </c>
      <c r="D282" s="97" t="n">
        <v>11015</v>
      </c>
      <c r="E282" s="97" t="n">
        <v>18725500000</v>
      </c>
      <c r="F282" s="97" t="n">
        <v>260237589</v>
      </c>
      <c r="G282" s="98" t="n">
        <v>0.0025</v>
      </c>
      <c r="H282" s="98" t="n">
        <v>0.3098</v>
      </c>
      <c r="I282" s="98" t="n">
        <v>0.0098</v>
      </c>
      <c r="J282" s="98" t="n"/>
      <c r="K282" s="97" t="n">
        <v>11</v>
      </c>
      <c r="L282" s="99" t="inlineStr">
        <is>
          <t>20260828</t>
        </is>
      </c>
      <c r="M282" s="96" t="inlineStr">
        <is>
          <t>제외</t>
        </is>
      </c>
      <c r="N282" s="96" t="inlineStr">
        <is>
          <t>순자산 187억(기준 300억 미만), 60일 거래대금 2.6억(기준 5억 미만), 연 분배율 산출 불가(상장 1년 미만 — 12개월 창이 안 채워짐)</t>
        </is>
      </c>
      <c r="O282" s="96" t="inlineStr">
        <is>
          <t>KRX 다우존스 코리아 배당 30 타겟 7% 위클리 커버드콜 지수</t>
        </is>
      </c>
      <c r="P282" s="96" t="inlineStr">
        <is>
          <t>커버드콜</t>
        </is>
      </c>
      <c r="Q282" s="96" t="inlineStr">
        <is>
          <t>주식</t>
        </is>
      </c>
      <c r="R282" s="96" t="inlineStr">
        <is>
          <t>월배당</t>
        </is>
      </c>
      <c r="S282" s="97" t="n">
        <v>11</v>
      </c>
      <c r="T282" s="98" t="n"/>
    </row>
    <row r="283">
      <c r="A283" s="96" t="inlineStr">
        <is>
          <t>RISE 코스닥커버드콜액티브</t>
        </is>
      </c>
      <c r="B283" s="96" t="inlineStr">
        <is>
          <t>0223A0</t>
        </is>
      </c>
      <c r="C283" s="96" t="inlineStr">
        <is>
          <t>KB자산운용</t>
        </is>
      </c>
      <c r="D283" s="97" t="n">
        <v>10850</v>
      </c>
      <c r="E283" s="97" t="n">
        <v>17360000000</v>
      </c>
      <c r="F283" s="97" t="n"/>
      <c r="G283" s="98" t="n">
        <v>0.003</v>
      </c>
      <c r="H283" s="98" t="n"/>
      <c r="I283" s="98" t="n">
        <v>0.02</v>
      </c>
      <c r="J283" s="98" t="n"/>
      <c r="K283" s="97" t="n">
        <v>1</v>
      </c>
      <c r="L283" s="99" t="inlineStr">
        <is>
          <t>20260828</t>
        </is>
      </c>
      <c r="M283" s="96" t="inlineStr">
        <is>
          <t>제외</t>
        </is>
      </c>
      <c r="N283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283" s="96" t="inlineStr">
        <is>
          <t>코스닥 150 타겟 15% 위클리 커버드콜 지수</t>
        </is>
      </c>
      <c r="P283" s="96" t="inlineStr">
        <is>
          <t>커버드콜</t>
        </is>
      </c>
      <c r="Q283" s="96" t="inlineStr">
        <is>
          <t>주식</t>
        </is>
      </c>
      <c r="R283" s="96" t="inlineStr">
        <is>
          <t>판정 불가</t>
        </is>
      </c>
      <c r="S283" s="97" t="n">
        <v>1</v>
      </c>
      <c r="T283" s="98" t="n"/>
    </row>
    <row r="284">
      <c r="A284" s="96" t="inlineStr">
        <is>
          <t>KIWOOM 미국대형주500월간목표헤지액티브</t>
        </is>
      </c>
      <c r="B284" s="96" t="inlineStr">
        <is>
          <t>0084E0</t>
        </is>
      </c>
      <c r="C284" s="96" t="inlineStr">
        <is>
          <t>키움투자자산운용</t>
        </is>
      </c>
      <c r="D284" s="97" t="n">
        <v>10135</v>
      </c>
      <c r="E284" s="97" t="n">
        <v>14695750000</v>
      </c>
      <c r="F284" s="97" t="n">
        <v>1425990</v>
      </c>
      <c r="G284" s="98" t="n">
        <v>0.0049</v>
      </c>
      <c r="H284" s="98" t="n">
        <v>0.1155</v>
      </c>
      <c r="I284" s="98" t="n">
        <v>0.0016</v>
      </c>
      <c r="J284" s="98" t="n"/>
      <c r="K284" s="97" t="n">
        <v>10</v>
      </c>
      <c r="L284" s="99" t="inlineStr">
        <is>
          <t>20260828</t>
        </is>
      </c>
      <c r="M284" s="96" t="inlineStr">
        <is>
          <t>제외</t>
        </is>
      </c>
      <c r="N284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284" s="96" t="inlineStr">
        <is>
          <t>Akros U.S. Large Cap 500 Protective Allocation Monthly Index</t>
        </is>
      </c>
      <c r="P284" s="96" t="inlineStr">
        <is>
          <t>일반</t>
        </is>
      </c>
      <c r="Q284" s="96" t="inlineStr">
        <is>
          <t>멀티에셋</t>
        </is>
      </c>
      <c r="R284" s="96" t="inlineStr">
        <is>
          <t>판정 불가</t>
        </is>
      </c>
      <c r="S284" s="97" t="n">
        <v>10</v>
      </c>
      <c r="T284" s="98" t="n"/>
    </row>
    <row r="285">
      <c r="A285" s="96" t="inlineStr">
        <is>
          <t>ACE 리츠부동산인프라액티브</t>
        </is>
      </c>
      <c r="B285" s="96" t="inlineStr">
        <is>
          <t>0153P0</t>
        </is>
      </c>
      <c r="C285" s="96" t="inlineStr">
        <is>
          <t>한국투신운용(ETF)</t>
        </is>
      </c>
      <c r="D285" s="97" t="n">
        <v>9495</v>
      </c>
      <c r="E285" s="97" t="n">
        <v>13767750000</v>
      </c>
      <c r="F285" s="97" t="n">
        <v>68995671</v>
      </c>
      <c r="G285" s="98" t="n">
        <v>0.0005999999999999999</v>
      </c>
      <c r="H285" s="98" t="n">
        <v>0.1896</v>
      </c>
      <c r="I285" s="98" t="n">
        <v>0.005699999999999999</v>
      </c>
      <c r="J285" s="98" t="n"/>
      <c r="K285" s="97" t="n">
        <v>7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138억(기준 300억 미만), 60일 거래대금 0.7억(기준 5억 미만), 상장 8개월(기준 12개월 미만), 연 분배율 산출 불가(상장 1년 미만 — 12개월 창이 안 채워짐)</t>
        </is>
      </c>
      <c r="O285" s="96" t="inlineStr">
        <is>
          <t>FnGuide 맥쿼리인프라 배당 리츠 지수</t>
        </is>
      </c>
      <c r="P285" s="96" t="inlineStr">
        <is>
          <t>일반</t>
        </is>
      </c>
      <c r="Q285" s="96" t="inlineStr">
        <is>
          <t>부동산</t>
        </is>
      </c>
      <c r="R285" s="96" t="inlineStr">
        <is>
          <t>판정 불가</t>
        </is>
      </c>
      <c r="S285" s="97" t="n">
        <v>7</v>
      </c>
      <c r="T285" s="98" t="n"/>
    </row>
    <row r="286">
      <c r="A286" s="96" t="inlineStr">
        <is>
          <t>KIWOOM 미국S&amp;P500 TOP10&amp;배당다우비중전환</t>
        </is>
      </c>
      <c r="B286" s="96" t="inlineStr">
        <is>
          <t>0127V0</t>
        </is>
      </c>
      <c r="C286" s="96" t="inlineStr">
        <is>
          <t>키움투자자산운용</t>
        </is>
      </c>
      <c r="D286" s="97" t="n">
        <v>10795</v>
      </c>
      <c r="E286" s="97" t="n">
        <v>13493750000</v>
      </c>
      <c r="F286" s="97" t="n">
        <v>35708904</v>
      </c>
      <c r="G286" s="98" t="n">
        <v>0.0019</v>
      </c>
      <c r="H286" s="98" t="n">
        <v>0.1587</v>
      </c>
      <c r="I286" s="98" t="n">
        <v>0.0009</v>
      </c>
      <c r="J286" s="98" t="n"/>
      <c r="K286" s="97" t="n">
        <v>9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286" s="96" t="inlineStr">
        <is>
          <t>S&amp;P 500 Top 10 and Dow Jones U.S. Dividend 100 Life Cycle 20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판정 불가</t>
        </is>
      </c>
      <c r="S286" s="97" t="n">
        <v>9</v>
      </c>
      <c r="T286" s="98" t="n"/>
    </row>
    <row r="287">
      <c r="A287" s="96" t="inlineStr">
        <is>
          <t>KIWOOM 현대차그룹TOP3채권혼합50</t>
        </is>
      </c>
      <c r="B287" s="96" t="inlineStr">
        <is>
          <t>0220A0</t>
        </is>
      </c>
      <c r="C287" s="96" t="inlineStr">
        <is>
          <t>키움투자자산운용</t>
        </is>
      </c>
      <c r="D287" s="97" t="n">
        <v>8980</v>
      </c>
      <c r="E287" s="97" t="n">
        <v>13470000000</v>
      </c>
      <c r="F287" s="97" t="n">
        <v>403221166</v>
      </c>
      <c r="G287" s="98" t="n">
        <v>0.0015</v>
      </c>
      <c r="H287" s="98" t="n"/>
      <c r="I287" s="98" t="n">
        <v>0.0022</v>
      </c>
      <c r="J287" s="98" t="n"/>
      <c r="K287" s="97" t="n">
        <v>1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순자산 135억(기준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287" s="96" t="inlineStr">
        <is>
          <t>FnGuide 현대차그룹TOP3 채권혼합지수</t>
        </is>
      </c>
      <c r="P287" s="96" t="inlineStr">
        <is>
          <t>일반</t>
        </is>
      </c>
      <c r="Q287" s="96" t="inlineStr">
        <is>
          <t>멀티에셋</t>
        </is>
      </c>
      <c r="R287" s="96" t="inlineStr">
        <is>
          <t>판정 불가</t>
        </is>
      </c>
      <c r="S287" s="97" t="n">
        <v>1</v>
      </c>
      <c r="T287" s="98" t="n"/>
    </row>
    <row r="288">
      <c r="A288" s="96" t="inlineStr">
        <is>
          <t>KIWOOM 미국S&amp;P500&amp;배당다우존스비중전환</t>
        </is>
      </c>
      <c r="B288" s="96" t="inlineStr">
        <is>
          <t>0127T0</t>
        </is>
      </c>
      <c r="C288" s="96" t="inlineStr">
        <is>
          <t>키움투자자산운용</t>
        </is>
      </c>
      <c r="D288" s="97" t="n">
        <v>11020</v>
      </c>
      <c r="E288" s="97" t="n">
        <v>13224000000</v>
      </c>
      <c r="F288" s="97" t="n">
        <v>39587845</v>
      </c>
      <c r="G288" s="98" t="n">
        <v>0.0009</v>
      </c>
      <c r="H288" s="98" t="n">
        <v>0.1319</v>
      </c>
      <c r="I288" s="98" t="n">
        <v>0.0013</v>
      </c>
      <c r="J288" s="98" t="n"/>
      <c r="K288" s="97" t="n">
        <v>9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288" s="96" t="inlineStr">
        <is>
          <t>S&amp;P 500 and Dow Jones U.S. Dividend 100 Life Cycle 2040 Inde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판정 불가</t>
        </is>
      </c>
      <c r="S288" s="97" t="n">
        <v>9</v>
      </c>
      <c r="T288" s="98" t="n"/>
    </row>
    <row r="289">
      <c r="A289" s="96" t="inlineStr">
        <is>
          <t>KIWOOM SK하이닉스선물단일종목레버리지</t>
        </is>
      </c>
      <c r="B289" s="96" t="inlineStr">
        <is>
          <t>0194R0</t>
        </is>
      </c>
      <c r="C289" s="96" t="inlineStr">
        <is>
          <t>키움투자자산운용</t>
        </is>
      </c>
      <c r="D289" s="97" t="n">
        <v>9475</v>
      </c>
      <c r="E289" s="97" t="n">
        <v>13028125000</v>
      </c>
      <c r="F289" s="97" t="n">
        <v>4090909448</v>
      </c>
      <c r="G289" s="98" t="n">
        <v>0.0025</v>
      </c>
      <c r="H289" s="98" t="n">
        <v>2.3565</v>
      </c>
      <c r="I289" s="98" t="n">
        <v>0.0008</v>
      </c>
      <c r="J289" s="98" t="n"/>
      <c r="K289" s="97" t="n">
        <v>3</v>
      </c>
      <c r="L289" s="99" t="inlineStr">
        <is>
          <t>20260914</t>
        </is>
      </c>
      <c r="M289" s="96" t="inlineStr">
        <is>
          <t>제외</t>
        </is>
      </c>
      <c r="N289" s="96" t="inlineStr">
        <is>
          <t>순자산 130억(기준 300억 미만), 변동성 235.6%(80거래일 기준, 기준 35% 초과), 상장 4개월(기준 12개월 미만), 연 분배율 산출 불가(상장 1년 미만 — 12개월 창이 안 채워짐)</t>
        </is>
      </c>
      <c r="O289" s="96" t="inlineStr">
        <is>
          <t>KRX SK하이닉스 선물 지수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판정 불가</t>
        </is>
      </c>
      <c r="S289" s="97" t="n">
        <v>3</v>
      </c>
      <c r="T289" s="98" t="n"/>
    </row>
    <row r="290">
      <c r="A290" s="96" t="inlineStr">
        <is>
          <t>PLUS 200위클리커버드콜채권혼합</t>
        </is>
      </c>
      <c r="B290" s="96" t="inlineStr">
        <is>
          <t>0203D0</t>
        </is>
      </c>
      <c r="C290" s="96" t="inlineStr">
        <is>
          <t>한화자산운용</t>
        </is>
      </c>
      <c r="D290" s="97" t="n">
        <v>8980</v>
      </c>
      <c r="E290" s="97" t="n">
        <v>11674000000</v>
      </c>
      <c r="F290" s="97" t="n">
        <v>261276384</v>
      </c>
      <c r="G290" s="98" t="n">
        <v>0.0039</v>
      </c>
      <c r="H290" s="98" t="n">
        <v>0.3767</v>
      </c>
      <c r="I290" s="98" t="n">
        <v>0.006999999999999999</v>
      </c>
      <c r="J290" s="98" t="n"/>
      <c r="K290" s="97" t="n">
        <v>3</v>
      </c>
      <c r="L290" s="99" t="inlineStr">
        <is>
          <t>20260828</t>
        </is>
      </c>
      <c r="M290" s="96" t="inlineStr">
        <is>
          <t>제외</t>
        </is>
      </c>
      <c r="N290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290" s="96" t="inlineStr">
        <is>
          <t>코스피 200 KTB 혼합 위클리 고정 10% 커버드콜 지수</t>
        </is>
      </c>
      <c r="P290" s="96" t="inlineStr">
        <is>
          <t>커버드콜</t>
        </is>
      </c>
      <c r="Q290" s="96" t="inlineStr">
        <is>
          <t>멀티에셋</t>
        </is>
      </c>
      <c r="R290" s="96" t="inlineStr">
        <is>
          <t>판정 불가</t>
        </is>
      </c>
      <c r="S290" s="97" t="n">
        <v>3</v>
      </c>
      <c r="T290" s="98" t="n"/>
    </row>
    <row r="291">
      <c r="A291" s="96" t="inlineStr">
        <is>
          <t>DAISHIN 금융&amp;지주고배당</t>
        </is>
      </c>
      <c r="B291" s="96" t="inlineStr">
        <is>
          <t>0189Z0</t>
        </is>
      </c>
      <c r="C291" s="96" t="inlineStr">
        <is>
          <t>대신자산운용</t>
        </is>
      </c>
      <c r="D291" s="97" t="n">
        <v>10375</v>
      </c>
      <c r="E291" s="97" t="n">
        <v>10375000000</v>
      </c>
      <c r="F291" s="97" t="n">
        <v>37351665</v>
      </c>
      <c r="G291" s="98" t="n">
        <v>0.0024</v>
      </c>
      <c r="H291" s="98" t="n">
        <v>0.2828</v>
      </c>
      <c r="I291" s="98" t="n">
        <v>0.002</v>
      </c>
      <c r="J291" s="98" t="n"/>
      <c r="K291" s="97" t="n">
        <v>2</v>
      </c>
      <c r="L291" s="99" t="inlineStr">
        <is>
          <t>20260828</t>
        </is>
      </c>
      <c r="M291" s="96" t="inlineStr">
        <is>
          <t>제외</t>
        </is>
      </c>
      <c r="N291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291" s="96" t="inlineStr">
        <is>
          <t>KRX-Akros 금융 &amp; 지주 고배당 지수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판정 불가</t>
        </is>
      </c>
      <c r="S291" s="97" t="n">
        <v>2</v>
      </c>
      <c r="T291" s="98" t="n"/>
    </row>
    <row r="292">
      <c r="A292" s="96" t="inlineStr">
        <is>
          <t>KIWOOM 미국우주테크TOP2채권혼합50</t>
        </is>
      </c>
      <c r="B292" s="96" t="inlineStr">
        <is>
          <t>0216K0</t>
        </is>
      </c>
      <c r="C292" s="96" t="inlineStr">
        <is>
          <t>키움투자자산운용</t>
        </is>
      </c>
      <c r="D292" s="97" t="n">
        <v>8805</v>
      </c>
      <c r="E292" s="97" t="n">
        <v>8805000000</v>
      </c>
      <c r="F292" s="97" t="n">
        <v>418807088</v>
      </c>
      <c r="G292" s="98" t="n">
        <v>0.0021</v>
      </c>
      <c r="H292" s="98" t="n"/>
      <c r="I292" s="98" t="n">
        <v>0.0012</v>
      </c>
      <c r="J292" s="98" t="n"/>
      <c r="K292" s="97" t="n">
        <v>1</v>
      </c>
      <c r="L292" s="99" t="inlineStr">
        <is>
          <t>20260828</t>
        </is>
      </c>
      <c r="M292" s="96" t="inlineStr">
        <is>
          <t>제외</t>
        </is>
      </c>
      <c r="N292" s="96" t="inlineStr">
        <is>
          <t>순자산 88억(기준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292" s="96" t="inlineStr">
        <is>
          <t>Akros 미국우주 Top2 채권혼합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판정 불가</t>
        </is>
      </c>
      <c r="S292" s="97" t="n">
        <v>1</v>
      </c>
      <c r="T292" s="98" t="n"/>
    </row>
    <row r="293">
      <c r="A293" s="96" t="inlineStr">
        <is>
          <t>KIWOOM 삼성전자선물단일종목레버리지</t>
        </is>
      </c>
      <c r="B293" s="96" t="inlineStr">
        <is>
          <t>0194N0</t>
        </is>
      </c>
      <c r="C293" s="96" t="inlineStr">
        <is>
          <t>키움투자자산운용</t>
        </is>
      </c>
      <c r="D293" s="97" t="n">
        <v>10635</v>
      </c>
      <c r="E293" s="97" t="n">
        <v>8242125000</v>
      </c>
      <c r="F293" s="97" t="n">
        <v>1545339618</v>
      </c>
      <c r="G293" s="98" t="n">
        <v>0.0025</v>
      </c>
      <c r="H293" s="98" t="n">
        <v>1.9176</v>
      </c>
      <c r="I293" s="98" t="n">
        <v>0.001</v>
      </c>
      <c r="J293" s="98" t="n"/>
      <c r="K293" s="97" t="n">
        <v>3</v>
      </c>
      <c r="L293" s="99" t="inlineStr">
        <is>
          <t>20260828</t>
        </is>
      </c>
      <c r="M293" s="96" t="inlineStr">
        <is>
          <t>제외</t>
        </is>
      </c>
      <c r="N293" s="96" t="inlineStr">
        <is>
          <t>순자산 82억(기준 300억 미만), 변동성 191.8%(80거래일 기준, 기준 35% 초과), 상장 4개월(기준 12개월 미만), 연 분배율 산출 불가(상장 1년 미만 — 12개월 창이 안 채워짐)</t>
        </is>
      </c>
      <c r="O293" s="96" t="inlineStr">
        <is>
          <t>KRX 삼성전자 선물 지수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판정 불가</t>
        </is>
      </c>
      <c r="S293" s="97" t="n">
        <v>3</v>
      </c>
      <c r="T293" s="98" t="n"/>
    </row>
    <row r="294">
      <c r="A294" s="96" t="inlineStr">
        <is>
          <t>FOCUS AI반도체위클리고정커버드콜</t>
        </is>
      </c>
      <c r="B294" s="96" t="inlineStr">
        <is>
          <t>0176P0</t>
        </is>
      </c>
      <c r="C294" s="96" t="inlineStr">
        <is>
          <t>브이아이자산운용</t>
        </is>
      </c>
      <c r="D294" s="97" t="n">
        <v>13090</v>
      </c>
      <c r="E294" s="97" t="n">
        <v>7199500000</v>
      </c>
      <c r="F294" s="97" t="n">
        <v>159390216</v>
      </c>
      <c r="G294" s="98" t="n">
        <v>0.003</v>
      </c>
      <c r="H294" s="98" t="n">
        <v>0.7942</v>
      </c>
      <c r="I294" s="98" t="n">
        <v>0.0143</v>
      </c>
      <c r="J294" s="98" t="n"/>
      <c r="K294" s="97" t="n">
        <v>5</v>
      </c>
      <c r="L294" s="99" t="inlineStr">
        <is>
          <t>20260828</t>
        </is>
      </c>
      <c r="M294" s="96" t="inlineStr">
        <is>
          <t>제외</t>
        </is>
      </c>
      <c r="N294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294" s="96" t="inlineStr">
        <is>
          <t>AI 반도체 위클리 고정 30% 커버드콜 지수</t>
        </is>
      </c>
      <c r="P294" s="96" t="inlineStr">
        <is>
          <t>커버드콜</t>
        </is>
      </c>
      <c r="Q294" s="96" t="inlineStr">
        <is>
          <t>주식</t>
        </is>
      </c>
      <c r="R294" s="96" t="inlineStr">
        <is>
          <t>판정 불가</t>
        </is>
      </c>
      <c r="S294" s="97" t="n">
        <v>5</v>
      </c>
      <c r="T294" s="98" t="n"/>
    </row>
    <row r="295">
      <c r="A295" s="96" t="inlineStr">
        <is>
          <t>PLUS K리츠</t>
        </is>
      </c>
      <c r="B295" s="96" t="inlineStr">
        <is>
          <t>429740</t>
        </is>
      </c>
      <c r="C295" s="96" t="inlineStr">
        <is>
          <t>한화자산운용</t>
        </is>
      </c>
      <c r="D295" s="97" t="n"/>
      <c r="E295" s="97" t="n"/>
      <c r="F295" s="97" t="n"/>
      <c r="G295" s="98" t="n"/>
      <c r="H295" s="98" t="n"/>
      <c r="I295" s="98" t="n"/>
      <c r="J295" s="98" t="n"/>
      <c r="K295" s="97" t="n"/>
      <c r="L295" s="99" t="n"/>
      <c r="M295" s="96" t="inlineStr">
        <is>
          <t>제외</t>
        </is>
      </c>
      <c r="N295" s="96" t="inlineStr">
        <is>
          <t>수집 실패(세 번 다시 물었으나 답이 오지 않음: HTTP 403)</t>
        </is>
      </c>
      <c r="O295" s="96" t="inlineStr"/>
      <c r="P295" s="96" t="inlineStr">
        <is>
          <t>일반</t>
        </is>
      </c>
      <c r="Q295" s="96" t="inlineStr"/>
      <c r="R295" s="96" t="inlineStr"/>
      <c r="S295" s="97" t="n"/>
      <c r="T295" s="98" t="n"/>
    </row>
    <row r="296">
      <c r="A296" s="96" t="inlineStr">
        <is>
          <t>SOL 미국S&amp;P500엔화노출(H)</t>
        </is>
      </c>
      <c r="B296" s="96" t="inlineStr">
        <is>
          <t>499150</t>
        </is>
      </c>
      <c r="C296" s="96" t="inlineStr">
        <is>
          <t>신한자산운용</t>
        </is>
      </c>
      <c r="D296" s="97" t="n"/>
      <c r="E296" s="97" t="n"/>
      <c r="F296" s="97" t="n"/>
      <c r="G296" s="98" t="n"/>
      <c r="H296" s="98" t="n"/>
      <c r="I296" s="98" t="n"/>
      <c r="J296" s="98" t="n"/>
      <c r="K296" s="97" t="n"/>
      <c r="L296" s="99" t="n"/>
      <c r="M296" s="96" t="inlineStr">
        <is>
          <t>제외</t>
        </is>
      </c>
      <c r="N296" s="96" t="inlineStr">
        <is>
          <t>수집 실패(세 번 다시 물었으나 답이 오지 않음: page.goto: net::ERR_EMPTY_RESPONSE at https://www.etfcheck.co.kr/
Call log:
  - )</t>
        </is>
      </c>
      <c r="O296" s="96" t="inlineStr"/>
      <c r="P296" s="96" t="inlineStr">
        <is>
          <t>일반</t>
        </is>
      </c>
      <c r="Q296" s="96" t="inlineStr"/>
      <c r="R296" s="96" t="inlineStr"/>
      <c r="S296" s="97" t="n"/>
      <c r="T296" s="98" t="n"/>
    </row>
    <row r="297">
      <c r="A297" s="96" t="inlineStr">
        <is>
          <t>DAISHIN 오피스리츠플러스</t>
        </is>
      </c>
      <c r="B297" s="96" t="inlineStr">
        <is>
          <t>0174J0</t>
        </is>
      </c>
      <c r="C297" s="96" t="inlineStr">
        <is>
          <t>대신자산운용</t>
        </is>
      </c>
      <c r="D297" s="97" t="n">
        <v>8730</v>
      </c>
      <c r="E297" s="97" t="n">
        <v>5238000000</v>
      </c>
      <c r="F297" s="97" t="n">
        <v>33635860</v>
      </c>
      <c r="G297" s="98" t="n">
        <v>0.0019</v>
      </c>
      <c r="H297" s="98" t="n">
        <v>0.2776</v>
      </c>
      <c r="I297" s="98" t="n">
        <v>0.0046</v>
      </c>
      <c r="J297" s="98" t="n"/>
      <c r="K297" s="97" t="n">
        <v>5</v>
      </c>
      <c r="L297" s="99" t="inlineStr">
        <is>
          <t>20260828</t>
        </is>
      </c>
      <c r="M297" s="96" t="inlineStr">
        <is>
          <t>제외</t>
        </is>
      </c>
      <c r="N297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297" s="96" t="inlineStr">
        <is>
          <t>KRX 프라임 오피스 리츠 지수</t>
        </is>
      </c>
      <c r="P297" s="96" t="inlineStr">
        <is>
          <t>일반</t>
        </is>
      </c>
      <c r="Q297" s="96" t="inlineStr">
        <is>
          <t>부동산</t>
        </is>
      </c>
      <c r="R297" s="96" t="inlineStr">
        <is>
          <t>판정 불가</t>
        </is>
      </c>
      <c r="S297" s="97" t="n">
        <v>5</v>
      </c>
      <c r="T297" s="98" t="n"/>
    </row>
    <row r="298">
      <c r="A298" s="96" t="inlineStr">
        <is>
          <t>PLUS 차이나항셍테크위클리타겟커버드콜</t>
        </is>
      </c>
      <c r="B298" s="96" t="inlineStr">
        <is>
          <t>0128D0</t>
        </is>
      </c>
      <c r="C298" s="96" t="inlineStr">
        <is>
          <t>한화자산운용</t>
        </is>
      </c>
      <c r="D298" s="97" t="n">
        <v>6545</v>
      </c>
      <c r="E298" s="97" t="n">
        <v>4581500000</v>
      </c>
      <c r="F298" s="97" t="n">
        <v>28659044</v>
      </c>
      <c r="G298" s="98" t="n">
        <v>0.0039</v>
      </c>
      <c r="H298" s="98" t="n">
        <v>0.2715</v>
      </c>
      <c r="I298" s="98" t="n">
        <v>0.0125</v>
      </c>
      <c r="J298" s="98" t="n"/>
      <c r="K298" s="97" t="n">
        <v>9</v>
      </c>
      <c r="L298" s="99" t="inlineStr">
        <is>
          <t>20260828</t>
        </is>
      </c>
      <c r="M298" s="96" t="inlineStr">
        <is>
          <t>제외</t>
        </is>
      </c>
      <c r="N298" s="96" t="inlineStr">
        <is>
          <t>순자산 46억(기준 300억 미만), 60일 거래대금 0.3억(기준 5억 미만), 상장 10개월(기준 12개월 미만), 연 분배율 산출 불가(상장 1년 미만 — 12개월 창이 안 채워짐)</t>
        </is>
      </c>
      <c r="O298" s="96" t="inlineStr">
        <is>
          <t>HSTECH 15% Target Premium Weekly Covered Call Index</t>
        </is>
      </c>
      <c r="P298" s="96" t="inlineStr">
        <is>
          <t>커버드콜</t>
        </is>
      </c>
      <c r="Q298" s="96" t="inlineStr">
        <is>
          <t>주식</t>
        </is>
      </c>
      <c r="R298" s="96" t="inlineStr">
        <is>
          <t>판정 불가</t>
        </is>
      </c>
      <c r="S298" s="97" t="n">
        <v>9</v>
      </c>
      <c r="T298" s="98" t="n"/>
    </row>
    <row r="299">
      <c r="A299" s="96" t="inlineStr">
        <is>
          <t>RISE 삼성전자SK하이닉스채권혼합50</t>
        </is>
      </c>
      <c r="B299" s="96" t="inlineStr">
        <is>
          <t>0162Z0</t>
        </is>
      </c>
      <c r="C299" s="96" t="inlineStr">
        <is>
          <t>KB자산운용</t>
        </is>
      </c>
      <c r="D299" s="97" t="n">
        <v>13630</v>
      </c>
      <c r="E299" s="97" t="n">
        <v>4136705000000</v>
      </c>
      <c r="F299" s="97" t="n">
        <v>142464028882</v>
      </c>
      <c r="G299" s="98" t="n">
        <v>0.0001</v>
      </c>
      <c r="H299" s="98" t="n">
        <v>0.4803</v>
      </c>
      <c r="I299" s="98" t="n">
        <v>0.0022</v>
      </c>
      <c r="J299" s="98" t="n"/>
      <c r="K299" s="97" t="n">
        <v>2</v>
      </c>
      <c r="L299" s="99" t="inlineStr">
        <is>
          <t>20260730</t>
        </is>
      </c>
      <c r="M299" s="96" t="inlineStr">
        <is>
          <t>제외</t>
        </is>
      </c>
      <c r="N299" s="96" t="inlineStr">
        <is>
          <t>변동성 48.0%(140거래일 기준, 기준 35% 초과), 상장 7개월(기준 12개월 미만), 연 분배율 산출 불가(상장 1년 미만 — 12개월 창이 안 채워짐)</t>
        </is>
      </c>
      <c r="O299" s="96" t="inlineStr">
        <is>
          <t>KAP 삼성전자SK하이닉스채권혼합50지수</t>
        </is>
      </c>
      <c r="P299" s="96" t="inlineStr">
        <is>
          <t>일반</t>
        </is>
      </c>
      <c r="Q299" s="96" t="inlineStr">
        <is>
          <t>멀티에셋</t>
        </is>
      </c>
      <c r="R299" s="96" t="inlineStr">
        <is>
          <t>판정 불가</t>
        </is>
      </c>
      <c r="S299" s="97" t="n">
        <v>2</v>
      </c>
      <c r="T299" s="98" t="n"/>
    </row>
    <row r="300">
      <c r="A300" s="96" t="inlineStr">
        <is>
          <t>TIGER 200 IT</t>
        </is>
      </c>
      <c r="B300" s="96" t="inlineStr">
        <is>
          <t>139260</t>
        </is>
      </c>
      <c r="C300" s="96" t="inlineStr">
        <is>
          <t>미래에셋자산운용</t>
        </is>
      </c>
      <c r="D300" s="97" t="n"/>
      <c r="E300" s="97" t="n"/>
      <c r="F300" s="97" t="n"/>
      <c r="G300" s="98" t="n"/>
      <c r="H300" s="98" t="n"/>
      <c r="I300" s="98" t="n"/>
      <c r="J300" s="98" t="n"/>
      <c r="K300" s="97" t="n"/>
      <c r="L300" s="99" t="n"/>
      <c r="M300" s="96" t="inlineStr">
        <is>
          <t>제외</t>
        </is>
      </c>
      <c r="N300" s="96" t="inlineStr">
        <is>
          <t>수집 실패(세 번 다시 물었으나 답이 오지 않음: HTTP 0)</t>
        </is>
      </c>
      <c r="O300" s="96" t="inlineStr"/>
      <c r="P300" s="96" t="inlineStr">
        <is>
          <t>일반</t>
        </is>
      </c>
      <c r="Q300" s="96" t="inlineStr"/>
      <c r="R300" s="96" t="inlineStr"/>
      <c r="S300" s="97" t="n"/>
      <c r="T300" s="98" t="n"/>
    </row>
    <row r="301">
      <c r="A301" s="96" t="inlineStr">
        <is>
          <t>KODEX 코스피</t>
        </is>
      </c>
      <c r="B301" s="96" t="inlineStr">
        <is>
          <t>226490</t>
        </is>
      </c>
      <c r="C301" s="96" t="inlineStr">
        <is>
          <t>삼성자산운용(ETF)</t>
        </is>
      </c>
      <c r="D301" s="97" t="n"/>
      <c r="E301" s="97" t="n"/>
      <c r="F301" s="97" t="n"/>
      <c r="G301" s="98" t="n"/>
      <c r="H301" s="98" t="n"/>
      <c r="I301" s="98" t="n"/>
      <c r="J301" s="98" t="n"/>
      <c r="K301" s="97" t="n"/>
      <c r="L301" s="99" t="n"/>
      <c r="M301" s="96" t="inlineStr">
        <is>
          <t>제외</t>
        </is>
      </c>
      <c r="N301" s="96" t="inlineStr">
        <is>
          <t>수집 실패(세 번 다시 물었으나 답이 오지 않음: page.goto: net::ERR_EMPTY_RESPONSE at https://www.etfcheck.co.kr/
Call log:
  - )</t>
        </is>
      </c>
      <c r="O301" s="96" t="inlineStr"/>
      <c r="P301" s="96" t="inlineStr">
        <is>
          <t>일반</t>
        </is>
      </c>
      <c r="Q301" s="96" t="inlineStr"/>
      <c r="R301" s="96" t="inlineStr"/>
      <c r="S301" s="97" t="n"/>
      <c r="T301" s="98" t="n"/>
    </row>
    <row r="302">
      <c r="A302" s="96" t="inlineStr">
        <is>
          <t>TIGER 코리아AI전력기기TOP3플러스</t>
        </is>
      </c>
      <c r="B302" s="96" t="inlineStr">
        <is>
          <t>0117V0</t>
        </is>
      </c>
      <c r="C302" s="96" t="inlineStr">
        <is>
          <t>미래에셋자산운용</t>
        </is>
      </c>
      <c r="D302" s="97" t="n">
        <v>19605</v>
      </c>
      <c r="E302" s="97" t="n">
        <v>1049847750000</v>
      </c>
      <c r="F302" s="97" t="n">
        <v>46908376793</v>
      </c>
      <c r="G302" s="98" t="n">
        <v>0.004</v>
      </c>
      <c r="H302" s="98" t="n">
        <v>0.7397</v>
      </c>
      <c r="I302" s="98" t="n">
        <v>0.0066</v>
      </c>
      <c r="J302" s="98" t="n"/>
      <c r="K302" s="97" t="n">
        <v>1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변동성 74.0%(1년 기준, 기준 35% 초과), 상장 11개월(기준 12개월 미만), 연 분배율 산출 불가(상장 1년 미만 — 12개월 창이 안 채워짐)</t>
        </is>
      </c>
      <c r="O302" s="96" t="inlineStr">
        <is>
          <t>KEDI 코리아AI전력기기TOP3플러스 지수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판정 불가</t>
        </is>
      </c>
      <c r="S302" s="97" t="n">
        <v>1</v>
      </c>
      <c r="T302" s="98" t="n"/>
    </row>
    <row r="303">
      <c r="A303" s="96" t="inlineStr">
        <is>
          <t>KODEX 26-12 금융채(AA-이상)액티브</t>
        </is>
      </c>
      <c r="B303" s="96" t="inlineStr">
        <is>
          <t>0117L0</t>
        </is>
      </c>
      <c r="C303" s="96" t="inlineStr">
        <is>
          <t>삼성자산운용(ETF)</t>
        </is>
      </c>
      <c r="D303" s="97" t="n">
        <v>10170</v>
      </c>
      <c r="E303" s="97" t="n">
        <v>870958800000</v>
      </c>
      <c r="F303" s="97" t="n">
        <v>294163070</v>
      </c>
      <c r="G303" s="98" t="n">
        <v>0.0009</v>
      </c>
      <c r="H303" s="98" t="n">
        <v>0.006</v>
      </c>
      <c r="I303" s="98" t="n">
        <v>0.0053</v>
      </c>
      <c r="J303" s="98" t="n"/>
      <c r="K303" s="97" t="n">
        <v>1</v>
      </c>
      <c r="L303" s="99" t="inlineStr">
        <is>
          <t>20251212</t>
        </is>
      </c>
      <c r="M303" s="96" t="inlineStr">
        <is>
          <t>제외</t>
        </is>
      </c>
      <c r="N303" s="96" t="inlineStr">
        <is>
          <t>60일 거래대금 2.9억(기준 5억 미만), 상장 11개월(기준 12개월 미만), 연 분배율 산출 불가(상장 1년 미만 — 12개월 창이 안 채워짐)</t>
        </is>
      </c>
      <c r="O303" s="96" t="inlineStr">
        <is>
          <t>KAP 26-12 금융채 총수익 지수(AA- 이상)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판정 불가</t>
        </is>
      </c>
      <c r="S303" s="97" t="n">
        <v>1</v>
      </c>
      <c r="T303" s="98" t="n"/>
    </row>
    <row r="304">
      <c r="A304" s="96" t="inlineStr">
        <is>
          <t>TIGER 2차전지TOP10</t>
        </is>
      </c>
      <c r="B304" s="96" t="inlineStr">
        <is>
          <t>364980</t>
        </is>
      </c>
      <c r="C304" s="96" t="inlineStr">
        <is>
          <t>미래에셋자산운용</t>
        </is>
      </c>
      <c r="D304" s="97" t="n">
        <v>10310</v>
      </c>
      <c r="E304" s="97" t="n">
        <v>700564500000</v>
      </c>
      <c r="F304" s="97" t="n">
        <v>32767863254</v>
      </c>
      <c r="G304" s="98" t="n">
        <v>0.004</v>
      </c>
      <c r="H304" s="98" t="n">
        <v>0.5733</v>
      </c>
      <c r="I304" s="98" t="n">
        <v>0.0054</v>
      </c>
      <c r="J304" s="98" t="n"/>
      <c r="K304" s="97" t="n">
        <v>4</v>
      </c>
      <c r="L304" s="99" t="inlineStr">
        <is>
          <t>20250429</t>
        </is>
      </c>
      <c r="M304" s="96" t="inlineStr">
        <is>
          <t>제외</t>
        </is>
      </c>
      <c r="N304" s="96" t="inlineStr">
        <is>
          <t>변동성 57.3%(1년 기준, 기준 35% 초과), 최근 12개월 분배 없음, 연 분배율 산출 불가(최근 12개월 분배 기록 없음)</t>
        </is>
      </c>
      <c r="O304" s="96" t="inlineStr">
        <is>
          <t>KRX 2차전지 TOP 10 지수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무분배</t>
        </is>
      </c>
      <c r="S304" s="97" t="n">
        <v>0</v>
      </c>
      <c r="T304" s="98" t="n"/>
    </row>
    <row r="305">
      <c r="A305" s="96" t="inlineStr">
        <is>
          <t>ACE 미국대형성장주액티브</t>
        </is>
      </c>
      <c r="B305" s="96" t="inlineStr">
        <is>
          <t>0127P0</t>
        </is>
      </c>
      <c r="C305" s="96" t="inlineStr">
        <is>
          <t>한국투신운용(ETF)</t>
        </is>
      </c>
      <c r="D305" s="97" t="n">
        <v>10425</v>
      </c>
      <c r="E305" s="97" t="n">
        <v>694826250000</v>
      </c>
      <c r="F305" s="97" t="n">
        <v>1225186125</v>
      </c>
      <c r="G305" s="98" t="n">
        <v>0.003</v>
      </c>
      <c r="H305" s="98" t="n">
        <v>0.2191</v>
      </c>
      <c r="I305" s="98" t="n">
        <v>0.0017</v>
      </c>
      <c r="J305" s="98" t="n"/>
      <c r="K305" s="97" t="n">
        <v>2</v>
      </c>
      <c r="L305" s="99" t="inlineStr">
        <is>
          <t>20260730</t>
        </is>
      </c>
      <c r="M305" s="96" t="inlineStr">
        <is>
          <t>제외</t>
        </is>
      </c>
      <c r="N305" s="96" t="inlineStr">
        <is>
          <t>상장 10개월(기준 12개월 미만), 연 분배율 산출 불가(상장 1년 미만 — 12개월 창이 안 채워짐)</t>
        </is>
      </c>
      <c r="O305" s="96" t="inlineStr">
        <is>
          <t>Morningstar US Large Cap Growth PR USD</t>
        </is>
      </c>
      <c r="P305" s="96" t="inlineStr">
        <is>
          <t>일반</t>
        </is>
      </c>
      <c r="Q305" s="96" t="inlineStr">
        <is>
          <t>주식</t>
        </is>
      </c>
      <c r="R305" s="96" t="inlineStr">
        <is>
          <t>판정 불가</t>
        </is>
      </c>
      <c r="S305" s="97" t="n">
        <v>2</v>
      </c>
      <c r="T305" s="98" t="n"/>
    </row>
    <row r="306">
      <c r="A306" s="96" t="inlineStr">
        <is>
          <t>RISE AI전력인프라</t>
        </is>
      </c>
      <c r="B306" s="96" t="inlineStr">
        <is>
          <t>0101N0</t>
        </is>
      </c>
      <c r="C306" s="96" t="inlineStr">
        <is>
          <t>KB자산운용</t>
        </is>
      </c>
      <c r="D306" s="97" t="n">
        <v>21595</v>
      </c>
      <c r="E306" s="97" t="n">
        <v>679162750000</v>
      </c>
      <c r="F306" s="97" t="n">
        <v>10073157829</v>
      </c>
      <c r="G306" s="98" t="n">
        <v>0.002</v>
      </c>
      <c r="H306" s="98" t="n">
        <v>0.6701</v>
      </c>
      <c r="I306" s="98" t="n">
        <v>0.0001</v>
      </c>
      <c r="J306" s="98" t="n"/>
      <c r="K306" s="97" t="n">
        <v>1</v>
      </c>
      <c r="L306" s="99" t="inlineStr">
        <is>
          <t>20251229</t>
        </is>
      </c>
      <c r="M306" s="96" t="inlineStr">
        <is>
          <t>제외</t>
        </is>
      </c>
      <c r="N306" s="96" t="inlineStr">
        <is>
          <t>변동성 67.0%(1년 기준, 기준 35% 초과), 연 분배율 산출 불가(상장 1년 미만 — 12개월 창이 안 채워짐)</t>
        </is>
      </c>
      <c r="O306" s="96" t="inlineStr">
        <is>
          <t>KRX-Akros AI 전력인프라 지수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연배당</t>
        </is>
      </c>
      <c r="S306" s="97" t="n">
        <v>1</v>
      </c>
      <c r="T306" s="98" t="n"/>
    </row>
    <row r="307">
      <c r="A307" s="96" t="inlineStr">
        <is>
          <t>KODEX 국고채10년액티브</t>
        </is>
      </c>
      <c r="B307" s="96" t="inlineStr">
        <is>
          <t>471230</t>
        </is>
      </c>
      <c r="C307" s="96" t="inlineStr">
        <is>
          <t>삼성자산운용(ETF)</t>
        </is>
      </c>
      <c r="D307" s="97" t="n"/>
      <c r="E307" s="97" t="n"/>
      <c r="F307" s="97" t="n"/>
      <c r="G307" s="98" t="n"/>
      <c r="H307" s="98" t="n"/>
      <c r="I307" s="98" t="n"/>
      <c r="J307" s="98" t="n"/>
      <c r="K307" s="97" t="n"/>
      <c r="L307" s="99" t="n"/>
      <c r="M307" s="96" t="inlineStr">
        <is>
          <t>제외</t>
        </is>
      </c>
      <c r="N307" s="96" t="inlineStr">
        <is>
          <t>수집 실패(세 번 다시 물었으나 답이 오지 않음: HTTP 0)</t>
        </is>
      </c>
      <c r="O307" s="96" t="inlineStr"/>
      <c r="P307" s="96" t="inlineStr">
        <is>
          <t>일반</t>
        </is>
      </c>
      <c r="Q307" s="96" t="inlineStr"/>
      <c r="R307" s="96" t="inlineStr"/>
      <c r="S307" s="97" t="n"/>
      <c r="T307" s="98" t="n"/>
    </row>
    <row r="308">
      <c r="A308" s="96" t="inlineStr">
        <is>
          <t>1Q 200액티브</t>
        </is>
      </c>
      <c r="B308" s="96" t="inlineStr">
        <is>
          <t>451060</t>
        </is>
      </c>
      <c r="C308" s="96" t="inlineStr">
        <is>
          <t>하나자산운용</t>
        </is>
      </c>
      <c r="D308" s="97" t="n"/>
      <c r="E308" s="97" t="n"/>
      <c r="F308" s="97" t="n"/>
      <c r="G308" s="98" t="n"/>
      <c r="H308" s="98" t="n"/>
      <c r="I308" s="98" t="n"/>
      <c r="J308" s="98" t="n"/>
      <c r="K308" s="97" t="n"/>
      <c r="L308" s="99" t="n"/>
      <c r="M308" s="96" t="inlineStr">
        <is>
          <t>제외</t>
        </is>
      </c>
      <c r="N308" s="96" t="inlineStr">
        <is>
          <t>수집 실패(세 번 다시 물었으나 답이 오지 않음: HTTP 0)</t>
        </is>
      </c>
      <c r="O308" s="96" t="inlineStr"/>
      <c r="P308" s="96" t="inlineStr">
        <is>
          <t>일반</t>
        </is>
      </c>
      <c r="Q308" s="96" t="inlineStr"/>
      <c r="R308" s="96" t="inlineStr"/>
      <c r="S308" s="97" t="n"/>
      <c r="T308" s="98" t="n"/>
    </row>
    <row r="309">
      <c r="A309" s="96" t="inlineStr">
        <is>
          <t>TIGER 테슬라채권혼합Fn</t>
        </is>
      </c>
      <c r="B309" s="96" t="inlineStr">
        <is>
          <t>447770</t>
        </is>
      </c>
      <c r="C309" s="96" t="inlineStr">
        <is>
          <t>미래에셋자산운용</t>
        </is>
      </c>
      <c r="D309" s="97" t="n"/>
      <c r="E309" s="97" t="n"/>
      <c r="F309" s="97" t="n"/>
      <c r="G309" s="98" t="n"/>
      <c r="H309" s="98" t="n"/>
      <c r="I309" s="98" t="n"/>
      <c r="J309" s="98" t="n"/>
      <c r="K309" s="97" t="n"/>
      <c r="L309" s="99" t="n"/>
      <c r="M309" s="96" t="inlineStr">
        <is>
          <t>제외</t>
        </is>
      </c>
      <c r="N309" s="96" t="inlineStr">
        <is>
          <t>수집 실패(세 번 다시 물었으나 답이 오지 않음: HTTP 403)</t>
        </is>
      </c>
      <c r="O309" s="96" t="inlineStr"/>
      <c r="P309" s="96" t="inlineStr">
        <is>
          <t>일반</t>
        </is>
      </c>
      <c r="Q309" s="96" t="inlineStr"/>
      <c r="R309" s="96" t="inlineStr"/>
      <c r="S309" s="97" t="n"/>
      <c r="T309" s="98" t="n"/>
    </row>
    <row r="310">
      <c r="A310" s="96" t="inlineStr">
        <is>
          <t>HANARO 200</t>
        </is>
      </c>
      <c r="B310" s="96" t="inlineStr">
        <is>
          <t>293180</t>
        </is>
      </c>
      <c r="C310" s="96" t="inlineStr">
        <is>
          <t>NH-Amundi자산운용</t>
        </is>
      </c>
      <c r="D310" s="97" t="n"/>
      <c r="E310" s="97" t="n"/>
      <c r="F310" s="97" t="n"/>
      <c r="G310" s="98" t="n"/>
      <c r="H310" s="98" t="n"/>
      <c r="I310" s="98" t="n"/>
      <c r="J310" s="98" t="n"/>
      <c r="K310" s="97" t="n"/>
      <c r="L310" s="99" t="n"/>
      <c r="M310" s="96" t="inlineStr">
        <is>
          <t>제외</t>
        </is>
      </c>
      <c r="N310" s="96" t="inlineStr">
        <is>
          <t>수집 실패(세 번 다시 물었으나 답이 오지 않음: HTTP 403)</t>
        </is>
      </c>
      <c r="O310" s="96" t="inlineStr"/>
      <c r="P310" s="96" t="inlineStr">
        <is>
          <t>일반</t>
        </is>
      </c>
      <c r="Q310" s="96" t="inlineStr"/>
      <c r="R310" s="96" t="inlineStr"/>
      <c r="S310" s="97" t="n"/>
      <c r="T310" s="98" t="n"/>
    </row>
    <row r="311">
      <c r="A311" s="96" t="inlineStr">
        <is>
          <t>SOL 중단기회사채(A-이상)액티브</t>
        </is>
      </c>
      <c r="B311" s="96" t="inlineStr">
        <is>
          <t>0016X0</t>
        </is>
      </c>
      <c r="C311" s="96" t="inlineStr">
        <is>
          <t>신한자산운용</t>
        </is>
      </c>
      <c r="D311" s="97" t="n"/>
      <c r="E311" s="97" t="n"/>
      <c r="F311" s="97" t="n"/>
      <c r="G311" s="98" t="n"/>
      <c r="H311" s="98" t="n"/>
      <c r="I311" s="98" t="n"/>
      <c r="J311" s="98" t="n"/>
      <c r="K311" s="97" t="n"/>
      <c r="L311" s="99" t="n"/>
      <c r="M311" s="96" t="inlineStr">
        <is>
          <t>제외</t>
        </is>
      </c>
      <c r="N311" s="96" t="inlineStr">
        <is>
          <t>수집 실패(세 번 다시 물었으나 답이 오지 않음: HTTP 403)</t>
        </is>
      </c>
      <c r="O311" s="96" t="inlineStr"/>
      <c r="P311" s="96" t="inlineStr">
        <is>
          <t>일반</t>
        </is>
      </c>
      <c r="Q311" s="96" t="inlineStr"/>
      <c r="R311" s="96" t="inlineStr"/>
      <c r="S311" s="97" t="n"/>
      <c r="T311" s="98" t="n"/>
    </row>
    <row r="312">
      <c r="A312" s="96" t="inlineStr">
        <is>
          <t>SOL 미국양자컴퓨팅TOP10</t>
        </is>
      </c>
      <c r="B312" s="96" t="inlineStr">
        <is>
          <t>0023A0</t>
        </is>
      </c>
      <c r="C312" s="96" t="inlineStr">
        <is>
          <t>신한자산운용</t>
        </is>
      </c>
      <c r="D312" s="97" t="n"/>
      <c r="E312" s="97" t="n"/>
      <c r="F312" s="97" t="n"/>
      <c r="G312" s="98" t="n"/>
      <c r="H312" s="98" t="n"/>
      <c r="I312" s="98" t="n"/>
      <c r="J312" s="98" t="n"/>
      <c r="K312" s="97" t="n"/>
      <c r="L312" s="99" t="n"/>
      <c r="M312" s="96" t="inlineStr">
        <is>
          <t>제외</t>
        </is>
      </c>
      <c r="N312" s="96" t="inlineStr">
        <is>
          <t>수집 실패(세 번 다시 물었으나 답이 오지 않음: HTTP 403)</t>
        </is>
      </c>
      <c r="O312" s="96" t="inlineStr"/>
      <c r="P312" s="96" t="inlineStr">
        <is>
          <t>일반</t>
        </is>
      </c>
      <c r="Q312" s="96" t="inlineStr"/>
      <c r="R312" s="96" t="inlineStr"/>
      <c r="S312" s="97" t="n"/>
      <c r="T312" s="98" t="n"/>
    </row>
    <row r="313">
      <c r="A313" s="96" t="inlineStr">
        <is>
          <t>TIGER 200IT레버리지</t>
        </is>
      </c>
      <c r="B313" s="96" t="inlineStr">
        <is>
          <t>243880</t>
        </is>
      </c>
      <c r="C313" s="96" t="inlineStr">
        <is>
          <t>미래에셋자산운용</t>
        </is>
      </c>
      <c r="D313" s="97" t="n"/>
      <c r="E313" s="97" t="n"/>
      <c r="F313" s="97" t="n"/>
      <c r="G313" s="98" t="n"/>
      <c r="H313" s="98" t="n"/>
      <c r="I313" s="98" t="n"/>
      <c r="J313" s="98" t="n"/>
      <c r="K313" s="97" t="n"/>
      <c r="L313" s="99" t="n"/>
      <c r="M313" s="96" t="inlineStr">
        <is>
          <t>제외</t>
        </is>
      </c>
      <c r="N313" s="96" t="inlineStr">
        <is>
          <t>수집 실패(세 번 다시 물었으나 답이 오지 않음: HTTP 0)</t>
        </is>
      </c>
      <c r="O313" s="96" t="inlineStr"/>
      <c r="P313" s="96" t="inlineStr">
        <is>
          <t>일반</t>
        </is>
      </c>
      <c r="Q313" s="96" t="inlineStr"/>
      <c r="R313" s="96" t="inlineStr"/>
      <c r="S313" s="97" t="n"/>
      <c r="T313" s="98" t="n"/>
    </row>
    <row r="314">
      <c r="A314" s="96" t="inlineStr">
        <is>
          <t>KODEX AI반도체핵심장비</t>
        </is>
      </c>
      <c r="B314" s="96" t="inlineStr">
        <is>
          <t>471990</t>
        </is>
      </c>
      <c r="C314" s="96" t="inlineStr">
        <is>
          <t>삼성자산운용(ETF)</t>
        </is>
      </c>
      <c r="D314" s="97" t="n"/>
      <c r="E314" s="97" t="n"/>
      <c r="F314" s="97" t="n"/>
      <c r="G314" s="98" t="n"/>
      <c r="H314" s="98" t="n"/>
      <c r="I314" s="98" t="n"/>
      <c r="J314" s="98" t="n"/>
      <c r="K314" s="97" t="n"/>
      <c r="L314" s="99" t="n"/>
      <c r="M314" s="96" t="inlineStr">
        <is>
          <t>제외</t>
        </is>
      </c>
      <c r="N314" s="96" t="inlineStr">
        <is>
          <t>수집 실패(세 번 다시 물었으나 답이 오지 않음: HTTP 403)</t>
        </is>
      </c>
      <c r="O314" s="96" t="inlineStr"/>
      <c r="P314" s="96" t="inlineStr">
        <is>
          <t>일반</t>
        </is>
      </c>
      <c r="Q314" s="96" t="inlineStr"/>
      <c r="R314" s="96" t="inlineStr"/>
      <c r="S314" s="97" t="n"/>
      <c r="T314" s="98" t="n"/>
    </row>
    <row r="315">
      <c r="A315" s="96" t="inlineStr">
        <is>
          <t>KIWOOM 국고채10년</t>
        </is>
      </c>
      <c r="B315" s="96" t="inlineStr">
        <is>
          <t>148070</t>
        </is>
      </c>
      <c r="C315" s="96" t="inlineStr">
        <is>
          <t>키움투자자산운용</t>
        </is>
      </c>
      <c r="D315" s="97" t="n"/>
      <c r="E315" s="97" t="n"/>
      <c r="F315" s="97" t="n"/>
      <c r="G315" s="98" t="n"/>
      <c r="H315" s="98" t="n"/>
      <c r="I315" s="98" t="n"/>
      <c r="J315" s="98" t="n"/>
      <c r="K315" s="97" t="n"/>
      <c r="L315" s="99" t="n"/>
      <c r="M315" s="96" t="inlineStr">
        <is>
          <t>제외</t>
        </is>
      </c>
      <c r="N315" s="96" t="inlineStr">
        <is>
          <t>수집 실패(세 번 다시 물었으나 답이 오지 않음: HTTP 403)</t>
        </is>
      </c>
      <c r="O315" s="96" t="inlineStr"/>
      <c r="P315" s="96" t="inlineStr">
        <is>
          <t>일반</t>
        </is>
      </c>
      <c r="Q315" s="96" t="inlineStr"/>
      <c r="R315" s="96" t="inlineStr"/>
      <c r="S315" s="97" t="n"/>
      <c r="T315" s="98" t="n"/>
    </row>
    <row r="316">
      <c r="A316" s="96" t="inlineStr">
        <is>
          <t>TIGER 미국나스닥100(H)</t>
        </is>
      </c>
      <c r="B316" s="96" t="inlineStr">
        <is>
          <t>448300</t>
        </is>
      </c>
      <c r="C316" s="96" t="inlineStr">
        <is>
          <t>미래에셋자산운용</t>
        </is>
      </c>
      <c r="D316" s="97" t="n"/>
      <c r="E316" s="97" t="n"/>
      <c r="F316" s="97" t="n"/>
      <c r="G316" s="98" t="n"/>
      <c r="H316" s="98" t="n"/>
      <c r="I316" s="98" t="n"/>
      <c r="J316" s="98" t="n"/>
      <c r="K316" s="97" t="n"/>
      <c r="L316" s="99" t="n"/>
      <c r="M316" s="96" t="inlineStr">
        <is>
          <t>제외</t>
        </is>
      </c>
      <c r="N316" s="96" t="inlineStr">
        <is>
          <t>수집 실패(세 번 다시 물었으나 답이 오지 않음: page.goto: net::ERR_EMPTY_RESPONSE at https://www.etfcheck.co.kr/
Call log:
  - )</t>
        </is>
      </c>
      <c r="O316" s="96" t="inlineStr"/>
      <c r="P316" s="96" t="inlineStr">
        <is>
          <t>일반</t>
        </is>
      </c>
      <c r="Q316" s="96" t="inlineStr"/>
      <c r="R316" s="96" t="inlineStr"/>
      <c r="S316" s="97" t="n"/>
      <c r="T316" s="98" t="n"/>
    </row>
    <row r="317">
      <c r="A317" s="96" t="inlineStr">
        <is>
          <t>TIME 미국S&amp;P500액티브</t>
        </is>
      </c>
      <c r="B317" s="96" t="inlineStr">
        <is>
          <t>426020</t>
        </is>
      </c>
      <c r="C317" s="96" t="inlineStr">
        <is>
          <t>타임폴리오자산운용</t>
        </is>
      </c>
      <c r="D317" s="97" t="n"/>
      <c r="E317" s="97" t="n"/>
      <c r="F317" s="97" t="n"/>
      <c r="G317" s="98" t="n"/>
      <c r="H317" s="98" t="n"/>
      <c r="I317" s="98" t="n"/>
      <c r="J317" s="98" t="n"/>
      <c r="K317" s="97" t="n"/>
      <c r="L317" s="99" t="n"/>
      <c r="M317" s="96" t="inlineStr">
        <is>
          <t>제외</t>
        </is>
      </c>
      <c r="N317" s="96" t="inlineStr">
        <is>
          <t>수집 실패(세 번 다시 물었으나 답이 오지 않음: page.goto: net::ERR_EMPTY_RESPONSE at https://www.etfcheck.co.kr/
Call log:
  - )</t>
        </is>
      </c>
      <c r="O317" s="96" t="inlineStr"/>
      <c r="P317" s="96" t="inlineStr">
        <is>
          <t>일반</t>
        </is>
      </c>
      <c r="Q317" s="96" t="inlineStr"/>
      <c r="R317" s="96" t="inlineStr"/>
      <c r="S317" s="97" t="n"/>
      <c r="T317" s="98" t="n"/>
    </row>
    <row r="318">
      <c r="A318" s="96" t="inlineStr">
        <is>
          <t>RISE 코스피</t>
        </is>
      </c>
      <c r="B318" s="96" t="inlineStr">
        <is>
          <t>302450</t>
        </is>
      </c>
      <c r="C318" s="96" t="inlineStr">
        <is>
          <t>KB자산운용</t>
        </is>
      </c>
      <c r="D318" s="97" t="n"/>
      <c r="E318" s="97" t="n"/>
      <c r="F318" s="97" t="n"/>
      <c r="G318" s="98" t="n"/>
      <c r="H318" s="98" t="n"/>
      <c r="I318" s="98" t="n"/>
      <c r="J318" s="98" t="n"/>
      <c r="K318" s="97" t="n"/>
      <c r="L318" s="99" t="n"/>
      <c r="M318" s="96" t="inlineStr">
        <is>
          <t>제외</t>
        </is>
      </c>
      <c r="N318" s="96" t="inlineStr">
        <is>
          <t>수집 실패(세 번 다시 물었으나 답이 오지 않음: page.goto: net::ERR_EMPTY_RESPONSE at https://www.etfcheck.co.kr/
Call log:
  - )</t>
        </is>
      </c>
      <c r="O318" s="96" t="inlineStr"/>
      <c r="P318" s="96" t="inlineStr">
        <is>
          <t>일반</t>
        </is>
      </c>
      <c r="Q318" s="96" t="inlineStr"/>
      <c r="R318" s="96" t="inlineStr"/>
      <c r="S318" s="97" t="n"/>
      <c r="T318" s="98" t="n"/>
    </row>
    <row r="319">
      <c r="A319" s="96" t="inlineStr">
        <is>
          <t>TIGER 27-04회사채(A+이상)액티브</t>
        </is>
      </c>
      <c r="B319" s="96" t="inlineStr">
        <is>
          <t>480260</t>
        </is>
      </c>
      <c r="C319" s="96" t="inlineStr">
        <is>
          <t>미래에셋자산운용</t>
        </is>
      </c>
      <c r="D319" s="97" t="n"/>
      <c r="E319" s="97" t="n"/>
      <c r="F319" s="97" t="n"/>
      <c r="G319" s="98" t="n"/>
      <c r="H319" s="98" t="n"/>
      <c r="I319" s="98" t="n"/>
      <c r="J319" s="98" t="n"/>
      <c r="K319" s="97" t="n"/>
      <c r="L319" s="99" t="n"/>
      <c r="M319" s="96" t="inlineStr">
        <is>
          <t>제외</t>
        </is>
      </c>
      <c r="N319" s="96" t="inlineStr">
        <is>
          <t>수집 실패(세 번 다시 물었으나 답이 오지 않음: HTTP 403)</t>
        </is>
      </c>
      <c r="O319" s="96" t="inlineStr"/>
      <c r="P319" s="96" t="inlineStr">
        <is>
          <t>일반</t>
        </is>
      </c>
      <c r="Q319" s="96" t="inlineStr"/>
      <c r="R319" s="96" t="inlineStr"/>
      <c r="S319" s="97" t="n"/>
      <c r="T319" s="98" t="n"/>
    </row>
    <row r="320">
      <c r="A320" s="96" t="inlineStr">
        <is>
          <t>TIGER 토탈월드스탁액티브</t>
        </is>
      </c>
      <c r="B320" s="96" t="inlineStr">
        <is>
          <t>0060H0</t>
        </is>
      </c>
      <c r="C320" s="96" t="inlineStr">
        <is>
          <t>미래에셋자산운용</t>
        </is>
      </c>
      <c r="D320" s="97" t="n"/>
      <c r="E320" s="97" t="n"/>
      <c r="F320" s="97" t="n"/>
      <c r="G320" s="98" t="n"/>
      <c r="H320" s="98" t="n"/>
      <c r="I320" s="98" t="n"/>
      <c r="J320" s="98" t="n"/>
      <c r="K320" s="97" t="n"/>
      <c r="L320" s="99" t="n"/>
      <c r="M320" s="96" t="inlineStr">
        <is>
          <t>제외</t>
        </is>
      </c>
      <c r="N320" s="96" t="inlineStr">
        <is>
          <t>수집 실패(세 번 다시 물었으나 답이 오지 않음: HTTP 403)</t>
        </is>
      </c>
      <c r="O320" s="96" t="inlineStr"/>
      <c r="P320" s="96" t="inlineStr">
        <is>
          <t>일반</t>
        </is>
      </c>
      <c r="Q320" s="96" t="inlineStr"/>
      <c r="R320" s="96" t="inlineStr"/>
      <c r="S320" s="97" t="n"/>
      <c r="T320" s="98" t="n"/>
    </row>
    <row r="321">
      <c r="A321" s="96" t="inlineStr">
        <is>
          <t>TIGER 일본니케이225</t>
        </is>
      </c>
      <c r="B321" s="96" t="inlineStr">
        <is>
          <t>241180</t>
        </is>
      </c>
      <c r="C321" s="96" t="inlineStr">
        <is>
          <t>미래에셋자산운용</t>
        </is>
      </c>
      <c r="D321" s="97" t="n"/>
      <c r="E321" s="97" t="n"/>
      <c r="F321" s="97" t="n"/>
      <c r="G321" s="98" t="n"/>
      <c r="H321" s="98" t="n"/>
      <c r="I321" s="98" t="n"/>
      <c r="J321" s="98" t="n"/>
      <c r="K321" s="97" t="n"/>
      <c r="L321" s="99" t="n"/>
      <c r="M321" s="96" t="inlineStr">
        <is>
          <t>제외</t>
        </is>
      </c>
      <c r="N321" s="96" t="inlineStr">
        <is>
          <t>수집 실패(세 번 다시 물었으나 답이 오지 않음: HTTP 0)</t>
        </is>
      </c>
      <c r="O321" s="96" t="inlineStr"/>
      <c r="P321" s="96" t="inlineStr">
        <is>
          <t>일반</t>
        </is>
      </c>
      <c r="Q321" s="96" t="inlineStr"/>
      <c r="R321" s="96" t="inlineStr"/>
      <c r="S321" s="97" t="n"/>
      <c r="T321" s="98" t="n"/>
    </row>
    <row r="322">
      <c r="A322" s="96" t="inlineStr">
        <is>
          <t>KODEX 26-12 회사채(AA-이상)액티브</t>
        </is>
      </c>
      <c r="B322" s="96" t="inlineStr">
        <is>
          <t>473290</t>
        </is>
      </c>
      <c r="C322" s="96" t="inlineStr">
        <is>
          <t>삼성자산운용(ETF)</t>
        </is>
      </c>
      <c r="D322" s="97" t="n"/>
      <c r="E322" s="97" t="n"/>
      <c r="F322" s="97" t="n"/>
      <c r="G322" s="98" t="n"/>
      <c r="H322" s="98" t="n"/>
      <c r="I322" s="98" t="n"/>
      <c r="J322" s="98" t="n"/>
      <c r="K322" s="97" t="n"/>
      <c r="L322" s="99" t="n"/>
      <c r="M322" s="96" t="inlineStr">
        <is>
          <t>제외</t>
        </is>
      </c>
      <c r="N322" s="96" t="inlineStr">
        <is>
          <t>수집 실패(세 번 다시 물었으나 답이 오지 않음: HTTP 403)</t>
        </is>
      </c>
      <c r="O322" s="96" t="inlineStr"/>
      <c r="P322" s="96" t="inlineStr">
        <is>
          <t>일반</t>
        </is>
      </c>
      <c r="Q322" s="96" t="inlineStr"/>
      <c r="R322" s="96" t="inlineStr"/>
      <c r="S322" s="97" t="n"/>
      <c r="T322" s="98" t="n"/>
    </row>
    <row r="323">
      <c r="A323" s="96" t="inlineStr">
        <is>
          <t>KODEX 미국AI광통신네트워크</t>
        </is>
      </c>
      <c r="B323" s="96" t="inlineStr">
        <is>
          <t>0173Y0</t>
        </is>
      </c>
      <c r="C323" s="96" t="inlineStr">
        <is>
          <t>삼성자산운용(ETF)</t>
        </is>
      </c>
      <c r="D323" s="97" t="n"/>
      <c r="E323" s="97" t="n"/>
      <c r="F323" s="97" t="n"/>
      <c r="G323" s="98" t="n"/>
      <c r="H323" s="98" t="n"/>
      <c r="I323" s="98" t="n"/>
      <c r="J323" s="98" t="n"/>
      <c r="K323" s="97" t="n"/>
      <c r="L323" s="99" t="n"/>
      <c r="M323" s="96" t="inlineStr">
        <is>
          <t>제외</t>
        </is>
      </c>
      <c r="N323" s="96" t="inlineStr">
        <is>
          <t>수집 실패(세 번 다시 물었으나 답이 오지 않음: HTTP 403)</t>
        </is>
      </c>
      <c r="O323" s="96" t="inlineStr"/>
      <c r="P323" s="96" t="inlineStr">
        <is>
          <t>일반</t>
        </is>
      </c>
      <c r="Q323" s="96" t="inlineStr"/>
      <c r="R323" s="96" t="inlineStr"/>
      <c r="S323" s="97" t="n"/>
      <c r="T323" s="98" t="n"/>
    </row>
    <row r="324">
      <c r="A324" s="96" t="inlineStr">
        <is>
          <t>TIGER 미국30년국채스트립액티브(합성 H)</t>
        </is>
      </c>
      <c r="B324" s="96" t="inlineStr">
        <is>
          <t>458250</t>
        </is>
      </c>
      <c r="C324" s="96" t="inlineStr">
        <is>
          <t>미래에셋자산운용</t>
        </is>
      </c>
      <c r="D324" s="97" t="n"/>
      <c r="E324" s="97" t="n"/>
      <c r="F324" s="97" t="n"/>
      <c r="G324" s="98" t="n"/>
      <c r="H324" s="98" t="n"/>
      <c r="I324" s="98" t="n"/>
      <c r="J324" s="98" t="n"/>
      <c r="K324" s="97" t="n"/>
      <c r="L324" s="99" t="n"/>
      <c r="M324" s="96" t="inlineStr">
        <is>
          <t>제외</t>
        </is>
      </c>
      <c r="N324" s="96" t="inlineStr">
        <is>
          <t>수집 실패(세 번 다시 물었으나 답이 오지 않음: page.goto: net::ERR_EMPTY_RESPONSE at https://www.etfcheck.co.kr/
Call log:
  - )</t>
        </is>
      </c>
      <c r="O324" s="96" t="inlineStr"/>
      <c r="P324" s="96" t="inlineStr">
        <is>
          <t>일반</t>
        </is>
      </c>
      <c r="Q324" s="96" t="inlineStr"/>
      <c r="R324" s="96" t="inlineStr"/>
      <c r="S324" s="97" t="n"/>
      <c r="T324" s="98" t="n"/>
    </row>
    <row r="325">
      <c r="A325" s="96" t="inlineStr">
        <is>
          <t>ACE 베트남VN30(합성)</t>
        </is>
      </c>
      <c r="B325" s="96" t="inlineStr">
        <is>
          <t>245710</t>
        </is>
      </c>
      <c r="C325" s="96" t="inlineStr">
        <is>
          <t>한국투신운용(ETF)</t>
        </is>
      </c>
      <c r="D325" s="97" t="n"/>
      <c r="E325" s="97" t="n"/>
      <c r="F325" s="97" t="n"/>
      <c r="G325" s="98" t="n"/>
      <c r="H325" s="98" t="n"/>
      <c r="I325" s="98" t="n"/>
      <c r="J325" s="98" t="n"/>
      <c r="K325" s="97" t="n"/>
      <c r="L325" s="99" t="n"/>
      <c r="M325" s="96" t="inlineStr">
        <is>
          <t>제외</t>
        </is>
      </c>
      <c r="N325" s="96" t="inlineStr">
        <is>
          <t>수집 실패(세 번 다시 물었으나 답이 오지 않음: HTTP 0)</t>
        </is>
      </c>
      <c r="O325" s="96" t="inlineStr"/>
      <c r="P325" s="96" t="inlineStr">
        <is>
          <t>일반</t>
        </is>
      </c>
      <c r="Q325" s="96" t="inlineStr"/>
      <c r="R325" s="96" t="inlineStr"/>
      <c r="S325" s="97" t="n"/>
      <c r="T325" s="98" t="n"/>
    </row>
    <row r="326">
      <c r="A326" s="96" t="inlineStr">
        <is>
          <t>RISE 단기채권알파액티브</t>
        </is>
      </c>
      <c r="B326" s="96" t="inlineStr">
        <is>
          <t>385550</t>
        </is>
      </c>
      <c r="C326" s="96" t="inlineStr">
        <is>
          <t>KB자산운용</t>
        </is>
      </c>
      <c r="D326" s="97" t="n"/>
      <c r="E326" s="97" t="n"/>
      <c r="F326" s="97" t="n"/>
      <c r="G326" s="98" t="n"/>
      <c r="H326" s="98" t="n"/>
      <c r="I326" s="98" t="n"/>
      <c r="J326" s="98" t="n"/>
      <c r="K326" s="97" t="n"/>
      <c r="L326" s="99" t="n"/>
      <c r="M326" s="96" t="inlineStr">
        <is>
          <t>제외</t>
        </is>
      </c>
      <c r="N326" s="96" t="inlineStr">
        <is>
          <t>수집 실패(세 번 다시 물었으나 답이 오지 않음: HTTP 403)</t>
        </is>
      </c>
      <c r="O326" s="96" t="inlineStr"/>
      <c r="P326" s="96" t="inlineStr">
        <is>
          <t>일반</t>
        </is>
      </c>
      <c r="Q326" s="96" t="inlineStr"/>
      <c r="R326" s="96" t="inlineStr"/>
      <c r="S326" s="97" t="n"/>
      <c r="T326" s="98" t="n"/>
    </row>
    <row r="327">
      <c r="A327" s="96" t="inlineStr">
        <is>
          <t>KODEX ESG종합채권(A-이상)액티브</t>
        </is>
      </c>
      <c r="B327" s="96" t="inlineStr">
        <is>
          <t>439860</t>
        </is>
      </c>
      <c r="C327" s="96" t="inlineStr">
        <is>
          <t>삼성자산운용(ETF)</t>
        </is>
      </c>
      <c r="D327" s="97" t="n"/>
      <c r="E327" s="97" t="n"/>
      <c r="F327" s="97" t="n"/>
      <c r="G327" s="98" t="n"/>
      <c r="H327" s="98" t="n"/>
      <c r="I327" s="98" t="n"/>
      <c r="J327" s="98" t="n"/>
      <c r="K327" s="97" t="n"/>
      <c r="L327" s="99" t="n"/>
      <c r="M327" s="96" t="inlineStr">
        <is>
          <t>제외</t>
        </is>
      </c>
      <c r="N327" s="96" t="inlineStr">
        <is>
          <t>수집 실패(세 번 다시 물었으나 답이 오지 않음: page.goto: net::ERR_EMPTY_RESPONSE at https://www.etfcheck.co.kr/
Call log:
  - )</t>
        </is>
      </c>
      <c r="O327" s="96" t="inlineStr"/>
      <c r="P327" s="96" t="inlineStr">
        <is>
          <t>일반</t>
        </is>
      </c>
      <c r="Q327" s="96" t="inlineStr"/>
      <c r="R327" s="96" t="inlineStr"/>
      <c r="S327" s="97" t="n"/>
      <c r="T327" s="98" t="n"/>
    </row>
    <row r="328">
      <c r="A328" s="96" t="inlineStr">
        <is>
          <t>KODEX 자동차</t>
        </is>
      </c>
      <c r="B328" s="96" t="inlineStr">
        <is>
          <t>091180</t>
        </is>
      </c>
      <c r="C328" s="96" t="inlineStr">
        <is>
          <t>삼성자산운용(ETF)</t>
        </is>
      </c>
      <c r="D328" s="97" t="n"/>
      <c r="E328" s="97" t="n"/>
      <c r="F328" s="97" t="n"/>
      <c r="G328" s="98" t="n"/>
      <c r="H328" s="98" t="n"/>
      <c r="I328" s="98" t="n"/>
      <c r="J328" s="98" t="n"/>
      <c r="K328" s="97" t="n"/>
      <c r="L328" s="99" t="n"/>
      <c r="M328" s="96" t="inlineStr">
        <is>
          <t>제외</t>
        </is>
      </c>
      <c r="N328" s="96" t="inlineStr">
        <is>
          <t>수집 실패(세 번 다시 물었으나 답이 오지 않음: page.goto: net::ERR_EMPTY_RESPONSE at https://www.etfcheck.co.kr/
Call log:
  - )</t>
        </is>
      </c>
      <c r="O328" s="96" t="inlineStr"/>
      <c r="P328" s="96" t="inlineStr">
        <is>
          <t>일반</t>
        </is>
      </c>
      <c r="Q328" s="96" t="inlineStr"/>
      <c r="R328" s="96" t="inlineStr"/>
      <c r="S328" s="97" t="n"/>
      <c r="T328" s="98" t="n"/>
    </row>
    <row r="329">
      <c r="A329" s="96" t="inlineStr">
        <is>
          <t>KODEX 골드선물(H)</t>
        </is>
      </c>
      <c r="B329" s="96" t="inlineStr">
        <is>
          <t>132030</t>
        </is>
      </c>
      <c r="C329" s="96" t="inlineStr">
        <is>
          <t>삼성자산운용(ETF)</t>
        </is>
      </c>
      <c r="D329" s="97" t="n"/>
      <c r="E329" s="97" t="n"/>
      <c r="F329" s="97" t="n"/>
      <c r="G329" s="98" t="n"/>
      <c r="H329" s="98" t="n"/>
      <c r="I329" s="98" t="n"/>
      <c r="J329" s="98" t="n"/>
      <c r="K329" s="97" t="n"/>
      <c r="L329" s="99" t="n"/>
      <c r="M329" s="96" t="inlineStr">
        <is>
          <t>제외</t>
        </is>
      </c>
      <c r="N329" s="96" t="inlineStr">
        <is>
          <t>수집 실패(세 번 다시 물었으나 답이 오지 않음: HTTP 0)</t>
        </is>
      </c>
      <c r="O329" s="96" t="inlineStr"/>
      <c r="P329" s="96" t="inlineStr">
        <is>
          <t>일반</t>
        </is>
      </c>
      <c r="Q329" s="96" t="inlineStr"/>
      <c r="R329" s="96" t="inlineStr"/>
      <c r="S329" s="97" t="n"/>
      <c r="T329" s="98" t="n"/>
    </row>
    <row r="330">
      <c r="A330" s="96" t="inlineStr">
        <is>
          <t>RISE AI&amp;로봇</t>
        </is>
      </c>
      <c r="B330" s="96" t="inlineStr">
        <is>
          <t>469070</t>
        </is>
      </c>
      <c r="C330" s="96" t="inlineStr">
        <is>
          <t>KB자산운용</t>
        </is>
      </c>
      <c r="D330" s="97" t="n"/>
      <c r="E330" s="97" t="n"/>
      <c r="F330" s="97" t="n"/>
      <c r="G330" s="98" t="n"/>
      <c r="H330" s="98" t="n"/>
      <c r="I330" s="98" t="n"/>
      <c r="J330" s="98" t="n"/>
      <c r="K330" s="97" t="n"/>
      <c r="L330" s="99" t="n"/>
      <c r="M330" s="96" t="inlineStr">
        <is>
          <t>제외</t>
        </is>
      </c>
      <c r="N330" s="96" t="inlineStr">
        <is>
          <t>수집 실패(세 번 다시 물었으나 답이 오지 않음: page.goto: net::ERR_EMPTY_RESPONSE at https://www.etfcheck.co.kr/
Call log:
  - )</t>
        </is>
      </c>
      <c r="O330" s="96" t="inlineStr"/>
      <c r="P330" s="96" t="inlineStr">
        <is>
          <t>일반</t>
        </is>
      </c>
      <c r="Q330" s="96" t="inlineStr"/>
      <c r="R330" s="96" t="inlineStr"/>
      <c r="S330" s="97" t="n"/>
      <c r="T330" s="98" t="n"/>
    </row>
    <row r="331">
      <c r="A331" s="96" t="inlineStr">
        <is>
          <t>KODEX 방산TOP10</t>
        </is>
      </c>
      <c r="B331" s="96" t="inlineStr">
        <is>
          <t>0080G0</t>
        </is>
      </c>
      <c r="C331" s="96" t="inlineStr">
        <is>
          <t>삼성자산운용(ETF)</t>
        </is>
      </c>
      <c r="D331" s="97" t="n"/>
      <c r="E331" s="97" t="n"/>
      <c r="F331" s="97" t="n"/>
      <c r="G331" s="98" t="n"/>
      <c r="H331" s="98" t="n"/>
      <c r="I331" s="98" t="n"/>
      <c r="J331" s="98" t="n"/>
      <c r="K331" s="97" t="n"/>
      <c r="L331" s="99" t="n"/>
      <c r="M331" s="96" t="inlineStr">
        <is>
          <t>제외</t>
        </is>
      </c>
      <c r="N331" s="96" t="inlineStr">
        <is>
          <t>수집 실패(세 번 다시 물었으나 답이 오지 않음: HTTP 403)</t>
        </is>
      </c>
      <c r="O331" s="96" t="inlineStr"/>
      <c r="P331" s="96" t="inlineStr">
        <is>
          <t>일반</t>
        </is>
      </c>
      <c r="Q331" s="96" t="inlineStr"/>
      <c r="R331" s="96" t="inlineStr"/>
      <c r="S331" s="97" t="n"/>
      <c r="T331" s="98" t="n"/>
    </row>
    <row r="332">
      <c r="A332" s="96" t="inlineStr">
        <is>
          <t>1Q 미국우주항공테크</t>
        </is>
      </c>
      <c r="B332" s="96" t="inlineStr">
        <is>
          <t>0131V0</t>
        </is>
      </c>
      <c r="C332" s="96" t="inlineStr">
        <is>
          <t>하나자산운용</t>
        </is>
      </c>
      <c r="D332" s="97" t="n"/>
      <c r="E332" s="97" t="n"/>
      <c r="F332" s="97" t="n"/>
      <c r="G332" s="98" t="n"/>
      <c r="H332" s="98" t="n"/>
      <c r="I332" s="98" t="n"/>
      <c r="J332" s="98" t="n"/>
      <c r="K332" s="97" t="n"/>
      <c r="L332" s="99" t="n"/>
      <c r="M332" s="96" t="inlineStr">
        <is>
          <t>제외</t>
        </is>
      </c>
      <c r="N332" s="96" t="inlineStr">
        <is>
          <t>수집 실패(세 번 다시 물었으나 답이 오지 않음: page.goto: net::ERR_EMPTY_RESPONSE at https://www.etfcheck.co.kr/
Call log:
  - )</t>
        </is>
      </c>
      <c r="O332" s="96" t="inlineStr"/>
      <c r="P332" s="96" t="inlineStr">
        <is>
          <t>일반</t>
        </is>
      </c>
      <c r="Q332" s="96" t="inlineStr"/>
      <c r="R332" s="96" t="inlineStr"/>
      <c r="S332" s="97" t="n"/>
      <c r="T332" s="98" t="n"/>
    </row>
    <row r="333">
      <c r="A333" s="96" t="inlineStr">
        <is>
          <t>KODEX 미국우주항공</t>
        </is>
      </c>
      <c r="B333" s="96" t="inlineStr">
        <is>
          <t>0167Z0</t>
        </is>
      </c>
      <c r="C333" s="96" t="inlineStr">
        <is>
          <t>삼성자산운용(ETF)</t>
        </is>
      </c>
      <c r="D333" s="97" t="n"/>
      <c r="E333" s="97" t="n"/>
      <c r="F333" s="97" t="n"/>
      <c r="G333" s="98" t="n"/>
      <c r="H333" s="98" t="n"/>
      <c r="I333" s="98" t="n"/>
      <c r="J333" s="98" t="n"/>
      <c r="K333" s="97" t="n"/>
      <c r="L333" s="99" t="n"/>
      <c r="M333" s="96" t="inlineStr">
        <is>
          <t>제외</t>
        </is>
      </c>
      <c r="N333" s="96" t="inlineStr">
        <is>
          <t>수집 실패(세 번 다시 물었으나 답이 오지 않음: HTTP 403)</t>
        </is>
      </c>
      <c r="O333" s="96" t="inlineStr"/>
      <c r="P333" s="96" t="inlineStr">
        <is>
          <t>일반</t>
        </is>
      </c>
      <c r="Q333" s="96" t="inlineStr"/>
      <c r="R333" s="96" t="inlineStr"/>
      <c r="S333" s="97" t="n"/>
      <c r="T333" s="98" t="n"/>
    </row>
    <row r="334">
      <c r="A334" s="96" t="inlineStr">
        <is>
          <t>RISE TDF2050액티브 적격</t>
        </is>
      </c>
      <c r="B334" s="96" t="inlineStr">
        <is>
          <t>442570</t>
        </is>
      </c>
      <c r="C334" s="96" t="inlineStr">
        <is>
          <t>KB자산운용</t>
        </is>
      </c>
      <c r="D334" s="97" t="n"/>
      <c r="E334" s="97" t="n"/>
      <c r="F334" s="97" t="n"/>
      <c r="G334" s="98" t="n"/>
      <c r="H334" s="98" t="n"/>
      <c r="I334" s="98" t="n"/>
      <c r="J334" s="98" t="n"/>
      <c r="K334" s="97" t="n"/>
      <c r="L334" s="99" t="n"/>
      <c r="M334" s="96" t="inlineStr">
        <is>
          <t>제외</t>
        </is>
      </c>
      <c r="N334" s="96" t="inlineStr">
        <is>
          <t>수집 실패(세 번 다시 물었으나 답이 오지 않음: HTTP 403)</t>
        </is>
      </c>
      <c r="O334" s="96" t="inlineStr"/>
      <c r="P334" s="96" t="inlineStr">
        <is>
          <t>일반</t>
        </is>
      </c>
      <c r="Q334" s="96" t="inlineStr"/>
      <c r="R334" s="96" t="inlineStr"/>
      <c r="S334" s="97" t="n"/>
      <c r="T334" s="98" t="n"/>
    </row>
    <row r="335">
      <c r="A335" s="96" t="inlineStr">
        <is>
          <t>1Q 미국S&amp;P500</t>
        </is>
      </c>
      <c r="B335" s="96" t="inlineStr">
        <is>
          <t>0026S0</t>
        </is>
      </c>
      <c r="C335" s="96" t="inlineStr">
        <is>
          <t>하나자산운용</t>
        </is>
      </c>
      <c r="D335" s="97" t="n"/>
      <c r="E335" s="97" t="n"/>
      <c r="F335" s="97" t="n"/>
      <c r="G335" s="98" t="n"/>
      <c r="H335" s="98" t="n"/>
      <c r="I335" s="98" t="n"/>
      <c r="J335" s="98" t="n"/>
      <c r="K335" s="97" t="n"/>
      <c r="L335" s="99" t="n"/>
      <c r="M335" s="96" t="inlineStr">
        <is>
          <t>제외</t>
        </is>
      </c>
      <c r="N335" s="96" t="inlineStr">
        <is>
          <t>수집 실패(세 번 다시 물었으나 답이 오지 않음: HTTP 403)</t>
        </is>
      </c>
      <c r="O335" s="96" t="inlineStr"/>
      <c r="P335" s="96" t="inlineStr">
        <is>
          <t>일반</t>
        </is>
      </c>
      <c r="Q335" s="96" t="inlineStr"/>
      <c r="R335" s="96" t="inlineStr"/>
      <c r="S335" s="97" t="n"/>
      <c r="T335" s="98" t="n"/>
    </row>
    <row r="336">
      <c r="A336" s="96" t="inlineStr">
        <is>
          <t>KODEX 신재생에너지액티브</t>
        </is>
      </c>
      <c r="B336" s="96" t="inlineStr">
        <is>
          <t>385510</t>
        </is>
      </c>
      <c r="C336" s="96" t="inlineStr">
        <is>
          <t>삼성자산운용(ETF)</t>
        </is>
      </c>
      <c r="D336" s="97" t="n"/>
      <c r="E336" s="97" t="n"/>
      <c r="F336" s="97" t="n"/>
      <c r="G336" s="98" t="n"/>
      <c r="H336" s="98" t="n"/>
      <c r="I336" s="98" t="n"/>
      <c r="J336" s="98" t="n"/>
      <c r="K336" s="97" t="n"/>
      <c r="L336" s="99" t="n"/>
      <c r="M336" s="96" t="inlineStr">
        <is>
          <t>제외</t>
        </is>
      </c>
      <c r="N336" s="96" t="inlineStr">
        <is>
          <t>수집 실패(세 번 다시 물었으나 답이 오지 않음: page.goto: net::ERR_EMPTY_RESPONSE at https://www.etfcheck.co.kr/
Call log:
  - )</t>
        </is>
      </c>
      <c r="O336" s="96" t="inlineStr"/>
      <c r="P336" s="96" t="inlineStr">
        <is>
          <t>일반</t>
        </is>
      </c>
      <c r="Q336" s="96" t="inlineStr"/>
      <c r="R336" s="96" t="inlineStr"/>
      <c r="S336" s="97" t="n"/>
      <c r="T336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3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121종목 — 유동성·변동성·분배이력 기준을 통과한 종목</t>
        </is>
      </c>
    </row>
    <row r="26" ht="18" customHeight="1">
      <c r="B26" s="70" t="inlineStr">
        <is>
          <t xml:space="preserve">     · 기준 미달 129종목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83종목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2026-09-18T01:53:46Z</dcterms:created>
  <dcterms:modified xsi:type="dcterms:W3CDTF">2026-09-18T01:53:47Z</dcterms:modified>
</cp:coreProperties>
</file>