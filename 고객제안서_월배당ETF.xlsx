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제안서" sheetId="1" state="visible" r:id="rId1"/>
    <sheet name="종목조회" sheetId="2" state="visible" r:id="rId2"/>
    <sheet name="ETF데이터" sheetId="3" state="visible" r:id="rId3"/>
    <sheet name="사용법" sheetId="4" state="visible" r:id="rId4"/>
  </sheets>
  <definedNames>
    <definedName name="선택가능종목">'ETF데이터'!$A$4:$A$594</definedName>
    <definedName name="검색어">'제안서'!$E$17</definedName>
    <definedName name="검색건수">COUNTIF('ETF데이터'!$AC$4:$AC$594,1)</definedName>
    <definedName name="검색결과">OFFSET('ETF데이터'!$AE$4,0,0,MAX(1,COUNTIF('ETF데이터'!$AC$4:$AC$594,1)),1)</definedName>
    <definedName name="담긴목록">'종목조회'!$R$20:$R$79</definedName>
    <definedName name="담긴수">'종목조회'!$Q$79</definedName>
    <definedName name="조회_주기">'종목조회'!$C$10</definedName>
    <definedName name="조회_최소">'종목조회'!$C$11</definedName>
    <definedName name="조회_최대">'종목조회'!$C$12</definedName>
    <definedName name="_xlnm.Print_Titles" localSheetId="0">'제안서'!$1:$5</definedName>
    <definedName name="_xlnm.Print_Area" localSheetId="0">'제안서'!$A$1:$H$100</definedName>
    <definedName name="_xlnm._FilterDatabase" localSheetId="2" hidden="1">'ETF데이터'!$A$3:$Z$671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0000-00-00"/>
    <numFmt numFmtId="165" formatCode="[Red]+0.00%;[Blue]-0.00%;0.00%"/>
    <numFmt numFmtId="166" formatCode="#,##0&quot;원&quot;"/>
    <numFmt numFmtId="167" formatCode="#,##0.##"/>
    <numFmt numFmtId="168" formatCode="#,##0&quot;원&quot;;-#,##0&quot;원&quot;;&quot;&quot;"/>
    <numFmt numFmtId="169" formatCode="#,##0&quot;주&quot;;-#,##0&quot;주&quot;;&quot;&quot;"/>
    <numFmt numFmtId="170" formatCode="#,##0&quot;종목&quot;"/>
    <numFmt numFmtId="171" formatCode="0.000%"/>
    <numFmt numFmtId="172" formatCode="#,##0&quot;억원&quot;"/>
  </numFmts>
  <fonts count="22">
    <font>
      <name val="Calibri"/>
      <family val="2"/>
      <color theme="1"/>
      <sz val="11"/>
      <scheme val="minor"/>
    </font>
    <font>
      <name val="Spoqa Han Sans Neo"/>
      <b val="1"/>
      <color rgb="00F58220"/>
      <sz val="10"/>
    </font>
    <font>
      <name val="Spoqa Han Sans Neo"/>
      <b val="1"/>
      <color rgb="001A1A1A"/>
      <sz val="10"/>
    </font>
    <font>
      <name val="Spoqa Han Sans Neo"/>
      <color rgb="001A1A1A"/>
      <sz val="10"/>
    </font>
    <font>
      <name val="Spoqa Han Sans Neo"/>
      <color rgb="006C6C6C"/>
      <sz val="10"/>
    </font>
    <font>
      <name val="Spoqa Han Sans Neo"/>
      <color rgb="00FFFFFF"/>
      <sz val="9"/>
    </font>
    <font>
      <name val="Spoqa Han Sans Neo"/>
      <b val="1"/>
      <color rgb="00FFFFFF"/>
      <sz val="22"/>
    </font>
    <font>
      <name val="Spoqa Han Sans Neo"/>
      <color rgb="00FFFFFF"/>
      <sz val="10"/>
    </font>
    <font>
      <name val="Spoqa Han Sans Neo"/>
      <color rgb="006C6C6C"/>
      <sz val="9"/>
    </font>
    <font>
      <name val="Spoqa Han Sans Neo"/>
      <b val="1"/>
      <color rgb="00F58220"/>
      <sz val="13"/>
    </font>
    <font>
      <name val="Spoqa Han Sans Neo"/>
      <b val="1"/>
      <color rgb="001A1A1A"/>
      <sz val="13"/>
    </font>
    <font>
      <name val="Spoqa Han Sans Neo"/>
      <b val="1"/>
      <color rgb="000000FF"/>
      <sz val="10"/>
    </font>
    <font>
      <name val="Spoqa Han Sans Neo"/>
      <b val="1"/>
      <color rgb="00C62828"/>
      <sz val="10"/>
    </font>
    <font>
      <name val="Spoqa Han Sans Neo"/>
      <b val="1"/>
      <color rgb="00D4A017"/>
      <sz val="10"/>
    </font>
    <font>
      <name val="Spoqa Han Sans Neo"/>
      <b val="1"/>
      <color rgb="001A1A1A"/>
      <sz val="18"/>
    </font>
    <font>
      <name val="Spoqa Han Sans Neo"/>
      <b val="1"/>
      <color rgb="00F58220"/>
      <sz val="18"/>
    </font>
    <font>
      <name val="Spoqa Han Sans Neo"/>
      <b val="1"/>
      <color rgb="00043B72"/>
      <sz val="11"/>
    </font>
    <font>
      <name val="Spoqa Han Sans Neo"/>
      <color rgb="001A1A1A"/>
      <sz val="9"/>
    </font>
    <font>
      <name val="Spoqa Han Sans Neo"/>
      <color rgb="006C6C6C"/>
      <sz val="8.5"/>
    </font>
    <font>
      <name val="Spoqa Han Sans Neo"/>
      <b val="1"/>
      <color rgb="00F58220"/>
      <sz val="14"/>
    </font>
    <font>
      <name val="Spoqa Han Sans Neo"/>
      <color rgb="00D4A017"/>
      <sz val="9"/>
    </font>
    <font>
      <name val="Spoqa Han Sans Neo"/>
      <b val="1"/>
      <color rgb="00FFFFFF"/>
      <sz val="16"/>
    </font>
  </fonts>
  <fills count="9">
    <fill>
      <patternFill/>
    </fill>
    <fill>
      <patternFill patternType="gray125"/>
    </fill>
    <fill>
      <patternFill patternType="solid">
        <fgColor rgb="00FAB072"/>
      </patternFill>
    </fill>
    <fill>
      <patternFill patternType="solid">
        <fgColor rgb="00F7F8FA"/>
      </patternFill>
    </fill>
    <fill>
      <patternFill patternType="solid">
        <fgColor rgb="00F58220"/>
      </patternFill>
    </fill>
    <fill>
      <patternFill patternType="solid">
        <fgColor rgb="00043B72"/>
      </patternFill>
    </fill>
    <fill>
      <patternFill patternType="solid">
        <fgColor rgb="00FFF7E6"/>
      </patternFill>
    </fill>
    <fill>
      <patternFill patternType="solid">
        <fgColor rgb="00D7D7D7"/>
      </patternFill>
    </fill>
    <fill>
      <patternFill patternType="solid">
        <fgColor rgb="00ECEFF4"/>
      </patternFill>
    </fill>
  </fills>
  <borders count="30">
    <border>
      <left/>
      <right/>
      <top/>
      <bottom/>
      <diagonal/>
    </border>
    <border>
      <left style="thin">
        <color rgb="00E5E4E1"/>
      </left>
      <right style="thin">
        <color rgb="00E5E4E1"/>
      </right>
      <top style="thin">
        <color rgb="00E5E4E1"/>
      </top>
      <bottom style="thin">
        <color rgb="00E5E4E1"/>
      </bottom>
    </border>
    <border>
      <bottom style="thin">
        <color rgb="00F58220"/>
      </bottom>
    </border>
    <border>
      <left style="thin">
        <color rgb="00E5E4E1"/>
      </left>
      <right style="thin">
        <color rgb="00E5E4E1"/>
      </right>
      <top style="thin">
        <color rgb="00CDCECB"/>
      </top>
      <bottom style="thin">
        <color rgb="00E5E4E1"/>
      </bottom>
    </border>
    <border>
      <left style="thin">
        <color rgb="00E5E4E1"/>
      </left>
      <right style="thin">
        <color rgb="00E5E4E1"/>
      </right>
      <top style="thin">
        <color rgb="00E5E4E1"/>
      </top>
      <bottom style="thin">
        <color rgb="00CDCECB"/>
      </bottom>
    </border>
    <border>
      <left style="thin">
        <color rgb="00CDCECB"/>
      </left>
      <right style="thin">
        <color rgb="00E5E4E1"/>
      </right>
      <top style="thin">
        <color rgb="00CDCECB"/>
      </top>
      <bottom style="thin">
        <color rgb="00E5E4E1"/>
      </bottom>
    </border>
    <border>
      <left style="thin">
        <color rgb="00CDCECB"/>
      </left>
      <right style="thin">
        <color rgb="00CDCECB"/>
      </right>
      <top style="thin">
        <color rgb="00CDCECB"/>
      </top>
      <bottom style="thin">
        <color rgb="00E5E4E1"/>
      </bottom>
    </border>
    <border>
      <left style="thin">
        <color rgb="00CDCECB"/>
      </left>
      <right style="thin">
        <color rgb="00E5E4E1"/>
      </right>
      <top style="thin">
        <color rgb="00E5E4E1"/>
      </top>
      <bottom style="thin">
        <color rgb="00E5E4E1"/>
      </bottom>
    </border>
    <border>
      <left style="thin">
        <color rgb="00CDCECB"/>
      </left>
      <right style="thin">
        <color rgb="00CDCECB"/>
      </right>
      <top style="thin">
        <color rgb="00E5E4E1"/>
      </top>
      <bottom style="thin">
        <color rgb="00E5E4E1"/>
      </bottom>
    </border>
    <border>
      <left style="thin">
        <color rgb="00CDCECB"/>
      </left>
      <right style="thin">
        <color rgb="00E5E4E1"/>
      </right>
      <top style="thin">
        <color rgb="00E5E4E1"/>
      </top>
      <bottom style="thin">
        <color rgb="00CDCECB"/>
      </bottom>
    </border>
    <border>
      <left style="thin">
        <color rgb="00CDCECB"/>
      </left>
      <right style="thin">
        <color rgb="00CDCECB"/>
      </right>
      <top style="thin">
        <color rgb="00E5E4E1"/>
      </top>
      <bottom style="thin">
        <color rgb="00CDCECB"/>
      </bottom>
    </border>
    <border>
      <left/>
      <right/>
      <top style="thin">
        <color rgb="0049535B"/>
      </top>
      <bottom/>
    </border>
    <border>
      <left style="thin">
        <color rgb="00E5E4E1"/>
      </left>
      <right style="thin">
        <color rgb="00E5E4E1"/>
      </right>
      <top style="thin">
        <color rgb="0049535B"/>
      </top>
      <bottom style="thin">
        <color rgb="00E5E4E1"/>
      </bottom>
    </border>
    <border>
      <left/>
      <right/>
      <top style="thin">
        <color rgb="0049535B"/>
      </top>
      <bottom style="thin">
        <color rgb="00CDCECB"/>
      </bottom>
    </border>
    <border>
      <left style="thin">
        <color rgb="00E5E4E1"/>
      </left>
      <right style="thin">
        <color rgb="00E5E4E1"/>
      </right>
      <top style="thin">
        <color rgb="0049535B"/>
      </top>
      <bottom style="thin">
        <color rgb="00CDCECB"/>
      </bottom>
    </border>
    <border>
      <left style="thin">
        <color rgb="00E5E4E1"/>
      </left>
      <right style="thin">
        <color rgb="00CDCECB"/>
      </right>
      <top style="thin">
        <color rgb="00CDCECB"/>
      </top>
      <bottom style="thin">
        <color rgb="00E5E4E1"/>
      </bottom>
    </border>
    <border>
      <left style="thin">
        <color rgb="00E5E4E1"/>
      </left>
      <right style="thin">
        <color rgb="00CDCECB"/>
      </right>
      <top style="thin">
        <color rgb="00E5E4E1"/>
      </top>
      <bottom style="thin">
        <color rgb="00E5E4E1"/>
      </bottom>
    </border>
    <border>
      <left style="thin">
        <color rgb="00CDCECB"/>
      </left>
      <right/>
      <top style="thin">
        <color rgb="0049535B"/>
      </top>
      <bottom style="thin">
        <color rgb="00CDCECB"/>
      </bottom>
    </border>
    <border>
      <left style="thin">
        <color rgb="00E5E4E1"/>
      </left>
      <right style="thin">
        <color rgb="00CDCECB"/>
      </right>
      <top style="thin">
        <color rgb="0049535B"/>
      </top>
      <bottom style="thin">
        <color rgb="00CDCECB"/>
      </bottom>
    </border>
    <border>
      <left/>
      <right/>
      <top style="thin">
        <color rgb="00E5E4E1"/>
      </top>
      <bottom/>
      <diagonal/>
    </border>
    <border>
      <left/>
      <right style="thin">
        <color rgb="00E5E4E1"/>
      </right>
      <top style="thin">
        <color rgb="00E5E4E1"/>
      </top>
      <bottom/>
      <diagonal/>
    </border>
    <border>
      <left/>
      <right style="thin">
        <color rgb="00E5E4E1"/>
      </right>
      <top style="thin">
        <color rgb="00E5E4E1"/>
      </top>
      <bottom style="thin">
        <color rgb="00E5E4E1"/>
      </bottom>
      <diagonal/>
    </border>
    <border>
      <left/>
      <right/>
      <top style="thin">
        <color rgb="00CDCECB"/>
      </top>
      <bottom/>
    </border>
    <border>
      <left/>
      <right/>
      <top style="thin">
        <color rgb="00CDCECB"/>
      </top>
      <bottom style="thin">
        <color rgb="00CDCECB"/>
      </bottom>
    </border>
    <border>
      <left style="thin">
        <color rgb="00E5E4E1"/>
      </left>
      <right style="thin">
        <color rgb="00E5E4E1"/>
      </right>
      <top style="thin">
        <color rgb="00CDCECB"/>
      </top>
      <bottom style="thin">
        <color rgb="00CDCECB"/>
      </bottom>
    </border>
    <border>
      <left/>
      <right style="thin">
        <color rgb="00E5E4E1"/>
      </right>
      <top style="thin">
        <color rgb="00CDCECB"/>
      </top>
      <bottom style="thin">
        <color rgb="00E5E4E1"/>
      </bottom>
    </border>
    <border>
      <left/>
      <right style="thin">
        <color rgb="00E5E4E1"/>
      </right>
      <top style="thin">
        <color rgb="00CDCECB"/>
      </top>
      <bottom style="thin">
        <color rgb="00CDCECB"/>
      </bottom>
    </border>
    <border>
      <left style="thin">
        <color rgb="00CDCECB"/>
      </left>
      <right/>
      <top style="thin">
        <color rgb="00CDCECB"/>
      </top>
      <bottom style="thin">
        <color rgb="00CDCECB"/>
      </bottom>
    </border>
    <border>
      <left/>
      <right style="thin">
        <color rgb="00CDCECB"/>
      </right>
      <top style="thin">
        <color rgb="00CDCECB"/>
      </top>
      <bottom style="thin">
        <color rgb="00CDCECB"/>
      </bottom>
    </border>
    <border>
      <left style="thin">
        <color rgb="00E5E4E1"/>
      </left>
      <right style="thin">
        <color rgb="00CDCECB"/>
      </right>
      <top style="thin">
        <color rgb="00E5E4E1"/>
      </top>
      <bottom style="thin">
        <color rgb="00CDCECB"/>
      </bottom>
    </border>
  </borders>
  <cellStyleXfs count="1">
    <xf numFmtId="0" fontId="0" fillId="0" borderId="0"/>
  </cellStyleXfs>
  <cellXfs count="107">
    <xf numFmtId="0" fontId="0" fillId="0" borderId="0" pivotButton="0" quotePrefix="0" xfId="0"/>
    <xf numFmtId="0" fontId="5" fillId="4" borderId="0" applyAlignment="1" pivotButton="0" quotePrefix="0" xfId="0">
      <alignment vertical="center"/>
    </xf>
    <xf numFmtId="0" fontId="0" fillId="4" borderId="0" pivotButton="0" quotePrefix="0" xfId="0"/>
    <xf numFmtId="0" fontId="8" fillId="0" borderId="0" pivotButton="0" quotePrefix="0" xfId="0"/>
    <xf numFmtId="0" fontId="6" fillId="4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0" fillId="5" borderId="0" pivotButton="0" quotePrefix="0" xfId="0"/>
    <xf numFmtId="0" fontId="8" fillId="0" borderId="0" applyAlignment="1" pivotButton="0" quotePrefix="0" xfId="0">
      <alignment vertical="center"/>
    </xf>
    <xf numFmtId="0" fontId="0" fillId="0" borderId="2" pivotButton="0" quotePrefix="0" xfId="0"/>
    <xf numFmtId="0" fontId="9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1" fillId="6" borderId="6" applyAlignment="1" applyProtection="1" pivotButton="0" quotePrefix="0" xfId="0">
      <alignment horizontal="left" vertical="center"/>
      <protection locked="0" hidden="0"/>
    </xf>
    <xf numFmtId="166" fontId="11" fillId="6" borderId="8" applyAlignment="1" applyProtection="1" pivotButton="0" quotePrefix="0" xfId="0">
      <alignment horizontal="right" vertical="center"/>
      <protection locked="0" hidden="0"/>
    </xf>
    <xf numFmtId="0" fontId="11" fillId="6" borderId="8" applyAlignment="1" applyProtection="1" pivotButton="0" quotePrefix="0" xfId="0">
      <alignment horizontal="left" vertical="center"/>
      <protection locked="0" hidden="0"/>
    </xf>
    <xf numFmtId="10" fontId="11" fillId="6" borderId="8" applyAlignment="1" applyProtection="1" pivotButton="0" quotePrefix="0" xfId="0">
      <alignment horizontal="right" vertical="center"/>
      <protection locked="0" hidden="0"/>
    </xf>
    <xf numFmtId="0" fontId="11" fillId="6" borderId="10" applyAlignment="1" applyProtection="1" pivotButton="0" quotePrefix="0" xfId="0">
      <alignment horizontal="left" vertical="center"/>
      <protection locked="0" hidden="0"/>
    </xf>
    <xf numFmtId="0" fontId="11" fillId="6" borderId="1" applyAlignment="1" applyProtection="1" pivotButton="0" quotePrefix="0" xfId="0">
      <alignment horizontal="left" vertical="center"/>
      <protection locked="0" hidden="0"/>
    </xf>
    <xf numFmtId="0" fontId="2" fillId="2" borderId="5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15" applyAlignment="1" pivotButton="0" quotePrefix="0" xfId="0">
      <alignment horizontal="center" vertical="center" wrapText="1"/>
    </xf>
    <xf numFmtId="0" fontId="11" fillId="6" borderId="7" applyAlignment="1" applyProtection="1" pivotButton="0" quotePrefix="0" xfId="0">
      <alignment horizontal="left" vertical="center"/>
      <protection locked="0" hidden="0"/>
    </xf>
    <xf numFmtId="167" fontId="11" fillId="6" borderId="1" applyAlignment="1" applyProtection="1" pivotButton="0" quotePrefix="0" xfId="0">
      <alignment horizontal="right" vertical="center"/>
      <protection locked="0" hidden="0"/>
    </xf>
    <xf numFmtId="168" fontId="3" fillId="0" borderId="1" applyAlignment="1" pivotButton="0" quotePrefix="0" xfId="0">
      <alignment horizontal="right" vertical="center"/>
    </xf>
    <xf numFmtId="169" fontId="3" fillId="0" borderId="1" applyAlignment="1" pivotButton="0" quotePrefix="0" xfId="0">
      <alignment horizontal="right" vertical="center"/>
    </xf>
    <xf numFmtId="168" fontId="3" fillId="0" borderId="16" applyAlignment="1" pivotButton="0" quotePrefix="0" xfId="0">
      <alignment horizontal="right" vertical="center"/>
    </xf>
    <xf numFmtId="168" fontId="3" fillId="3" borderId="1" applyAlignment="1" pivotButton="0" quotePrefix="0" xfId="0">
      <alignment horizontal="right" vertical="center"/>
    </xf>
    <xf numFmtId="169" fontId="3" fillId="3" borderId="1" applyAlignment="1" pivotButton="0" quotePrefix="0" xfId="0">
      <alignment horizontal="right" vertical="center"/>
    </xf>
    <xf numFmtId="168" fontId="3" fillId="3" borderId="16" applyAlignment="1" pivotButton="0" quotePrefix="0" xfId="0">
      <alignment horizontal="right" vertical="center"/>
    </xf>
    <xf numFmtId="0" fontId="2" fillId="7" borderId="17" applyAlignment="1" pivotButton="0" quotePrefix="0" xfId="0">
      <alignment vertical="center"/>
    </xf>
    <xf numFmtId="167" fontId="2" fillId="7" borderId="14" applyAlignment="1" pivotButton="0" quotePrefix="0" xfId="0">
      <alignment horizontal="right" vertical="center"/>
    </xf>
    <xf numFmtId="166" fontId="2" fillId="7" borderId="14" applyAlignment="1" pivotButton="0" quotePrefix="0" xfId="0">
      <alignment horizontal="right" vertical="center"/>
    </xf>
    <xf numFmtId="0" fontId="0" fillId="7" borderId="13" pivotButton="0" quotePrefix="0" xfId="0"/>
    <xf numFmtId="166" fontId="2" fillId="7" borderId="18" applyAlignment="1" pivotButton="0" quotePrefix="0" xfId="0">
      <alignment horizontal="right" vertical="center"/>
    </xf>
    <xf numFmtId="0" fontId="12" fillId="0" borderId="0" pivotButton="0" quotePrefix="0" xfId="0"/>
    <xf numFmtId="0" fontId="13" fillId="0" borderId="0" pivotButton="0" quotePrefix="0" xfId="0"/>
    <xf numFmtId="166" fontId="3" fillId="0" borderId="6" applyAlignment="1" pivotButton="0" quotePrefix="0" xfId="0">
      <alignment horizontal="right" vertical="center"/>
    </xf>
    <xf numFmtId="0" fontId="2" fillId="8" borderId="27" applyAlignment="1" pivotButton="0" quotePrefix="0" xfId="0">
      <alignment vertical="center"/>
    </xf>
    <xf numFmtId="166" fontId="15" fillId="8" borderId="24" applyAlignment="1" pivotButton="0" quotePrefix="0" xfId="0">
      <alignment horizontal="right" vertical="center"/>
    </xf>
    <xf numFmtId="0" fontId="0" fillId="0" borderId="28" pivotButton="0" quotePrefix="0" xfId="0"/>
    <xf numFmtId="166" fontId="3" fillId="0" borderId="8" applyAlignment="1" pivotButton="0" quotePrefix="0" xfId="0">
      <alignment horizontal="right" vertical="center"/>
    </xf>
    <xf numFmtId="170" fontId="3" fillId="0" borderId="10" applyAlignment="1" pivotButton="0" quotePrefix="0" xfId="0">
      <alignment horizontal="right" vertical="center"/>
    </xf>
    <xf numFmtId="166" fontId="3" fillId="0" borderId="10" applyAlignment="1" pivotButton="0" quotePrefix="0" xfId="0">
      <alignment horizontal="right" vertical="center"/>
    </xf>
    <xf numFmtId="10" fontId="16" fillId="0" borderId="6" applyAlignment="1" pivotButton="0" quotePrefix="0" xfId="0">
      <alignment horizontal="right" vertical="center"/>
    </xf>
    <xf numFmtId="171" fontId="3" fillId="0" borderId="6" applyAlignment="1" pivotButton="0" quotePrefix="0" xfId="0">
      <alignment horizontal="right" vertical="center"/>
    </xf>
    <xf numFmtId="10" fontId="3" fillId="0" borderId="10" applyAlignment="1" pivotButton="0" quotePrefix="0" xfId="0">
      <alignment horizontal="right" vertical="center"/>
    </xf>
    <xf numFmtId="171" fontId="3" fillId="0" borderId="10" applyAlignment="1" pivotButton="0" quotePrefix="0" xfId="0">
      <alignment horizontal="right" vertical="center"/>
    </xf>
    <xf numFmtId="166" fontId="2" fillId="0" borderId="7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166" fontId="3" fillId="0" borderId="16" applyAlignment="1" pivotButton="0" quotePrefix="0" xfId="0">
      <alignment horizontal="right" vertical="center"/>
    </xf>
    <xf numFmtId="166" fontId="2" fillId="3" borderId="7" applyAlignment="1" pivotButton="0" quotePrefix="0" xfId="0">
      <alignment horizontal="right" vertical="center"/>
    </xf>
    <xf numFmtId="166" fontId="3" fillId="3" borderId="1" applyAlignment="1" pivotButton="0" quotePrefix="0" xfId="0">
      <alignment horizontal="right" vertical="center"/>
    </xf>
    <xf numFmtId="166" fontId="3" fillId="3" borderId="16" applyAlignment="1" pivotButton="0" quotePrefix="0" xfId="0">
      <alignment horizontal="right" vertical="center"/>
    </xf>
    <xf numFmtId="166" fontId="2" fillId="3" borderId="9" applyAlignment="1" pivotButton="0" quotePrefix="0" xfId="0">
      <alignment horizontal="right" vertical="center"/>
    </xf>
    <xf numFmtId="166" fontId="3" fillId="3" borderId="4" applyAlignment="1" pivotButton="0" quotePrefix="0" xfId="0">
      <alignment horizontal="right" vertical="center"/>
    </xf>
    <xf numFmtId="166" fontId="3" fillId="3" borderId="29" applyAlignment="1" pivotButton="0" quotePrefix="0" xfId="0">
      <alignment horizontal="right" vertical="center"/>
    </xf>
    <xf numFmtId="0" fontId="3" fillId="0" borderId="7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right" vertical="center"/>
    </xf>
    <xf numFmtId="10" fontId="3" fillId="0" borderId="16" applyAlignment="1" pivotButton="0" quotePrefix="0" xfId="0">
      <alignment horizontal="right" vertical="center"/>
    </xf>
    <xf numFmtId="0" fontId="3" fillId="3" borderId="7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10" fontId="3" fillId="3" borderId="1" applyAlignment="1" pivotButton="0" quotePrefix="0" xfId="0">
      <alignment horizontal="right" vertical="center"/>
    </xf>
    <xf numFmtId="10" fontId="3" fillId="3" borderId="16" applyAlignment="1" pivotButton="0" quotePrefix="0" xfId="0">
      <alignment horizontal="right" vertical="center"/>
    </xf>
    <xf numFmtId="0" fontId="3" fillId="3" borderId="9" applyAlignment="1" pivotButton="0" quotePrefix="0" xfId="0">
      <alignment horizontal="left" vertical="center"/>
    </xf>
    <xf numFmtId="0" fontId="4" fillId="3" borderId="4" applyAlignment="1" pivotButton="0" quotePrefix="0" xfId="0">
      <alignment horizontal="center" vertical="center"/>
    </xf>
    <xf numFmtId="10" fontId="3" fillId="3" borderId="4" applyAlignment="1" pivotButton="0" quotePrefix="0" xfId="0">
      <alignment horizontal="right" vertical="center"/>
    </xf>
    <xf numFmtId="10" fontId="3" fillId="3" borderId="29" applyAlignment="1" pivotButton="0" quotePrefix="0" xfId="0">
      <alignment horizontal="right" vertical="center"/>
    </xf>
    <xf numFmtId="0" fontId="17" fillId="0" borderId="0" applyAlignment="1" pivotButton="0" quotePrefix="0" xfId="0">
      <alignment vertical="center"/>
    </xf>
    <xf numFmtId="0" fontId="18" fillId="0" borderId="0" pivotButton="0" quotePrefix="0" xfId="0"/>
    <xf numFmtId="0" fontId="3" fillId="0" borderId="0" applyAlignment="1" pivotButton="0" quotePrefix="0" xfId="0">
      <alignment vertical="center"/>
    </xf>
    <xf numFmtId="10" fontId="11" fillId="6" borderId="1" applyAlignment="1" applyProtection="1" pivotButton="0" quotePrefix="0" xfId="0">
      <alignment horizontal="right" vertical="center"/>
      <protection locked="0" hidden="0"/>
    </xf>
    <xf numFmtId="170" fontId="19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right"/>
    </xf>
    <xf numFmtId="171" fontId="3" fillId="0" borderId="1" applyAlignment="1" pivotButton="0" quotePrefix="0" xfId="0">
      <alignment horizontal="right"/>
    </xf>
    <xf numFmtId="166" fontId="3" fillId="0" borderId="1" applyAlignment="1" pivotButton="0" quotePrefix="0" xfId="0">
      <alignment horizontal="right"/>
    </xf>
    <xf numFmtId="172" fontId="3" fillId="0" borderId="1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0" fontId="11" fillId="6" borderId="16" applyAlignment="1" applyProtection="1" pivotButton="0" quotePrefix="0" xfId="0">
      <alignment horizontal="center" vertical="center"/>
      <protection locked="0" hidden="0"/>
    </xf>
    <xf numFmtId="0" fontId="3" fillId="3" borderId="1" applyAlignment="1" pivotButton="0" quotePrefix="0" xfId="0">
      <alignment horizontal="center" vertical="center"/>
    </xf>
    <xf numFmtId="10" fontId="3" fillId="3" borderId="1" applyAlignment="1" pivotButton="0" quotePrefix="0" xfId="0">
      <alignment horizontal="right"/>
    </xf>
    <xf numFmtId="171" fontId="3" fillId="3" borderId="1" applyAlignment="1" pivotButton="0" quotePrefix="0" xfId="0">
      <alignment horizontal="right"/>
    </xf>
    <xf numFmtId="166" fontId="3" fillId="3" borderId="1" applyAlignment="1" pivotButton="0" quotePrefix="0" xfId="0">
      <alignment horizontal="right"/>
    </xf>
    <xf numFmtId="172" fontId="3" fillId="3" borderId="1" applyAlignment="1" pivotButton="0" quotePrefix="0" xfId="0">
      <alignment horizontal="right"/>
    </xf>
    <xf numFmtId="165" fontId="3" fillId="3" borderId="1" applyAlignment="1" pivotButton="0" quotePrefix="0" xfId="0">
      <alignment horizontal="right"/>
    </xf>
    <xf numFmtId="0" fontId="3" fillId="3" borderId="4" applyAlignment="1" pivotButton="0" quotePrefix="0" xfId="0">
      <alignment horizontal="center" vertical="center"/>
    </xf>
    <xf numFmtId="10" fontId="3" fillId="3" borderId="4" applyAlignment="1" pivotButton="0" quotePrefix="0" xfId="0">
      <alignment horizontal="right"/>
    </xf>
    <xf numFmtId="171" fontId="3" fillId="3" borderId="4" applyAlignment="1" pivotButton="0" quotePrefix="0" xfId="0">
      <alignment horizontal="right"/>
    </xf>
    <xf numFmtId="166" fontId="3" fillId="3" borderId="4" applyAlignment="1" pivotButton="0" quotePrefix="0" xfId="0">
      <alignment horizontal="right"/>
    </xf>
    <xf numFmtId="172" fontId="3" fillId="3" borderId="4" applyAlignment="1" pivotButton="0" quotePrefix="0" xfId="0">
      <alignment horizontal="right"/>
    </xf>
    <xf numFmtId="165" fontId="3" fillId="3" borderId="4" applyAlignment="1" pivotButton="0" quotePrefix="0" xfId="0">
      <alignment horizontal="right"/>
    </xf>
    <xf numFmtId="0" fontId="11" fillId="6" borderId="29" applyAlignment="1" applyProtection="1" pivotButton="0" quotePrefix="0" xfId="0">
      <alignment horizontal="center" vertical="center"/>
      <protection locked="0" hidden="0"/>
    </xf>
    <xf numFmtId="0" fontId="20" fillId="0" borderId="0" applyAlignment="1" pivotButton="0" quotePrefix="0" xfId="0">
      <alignment vertical="center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3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4" fillId="3" borderId="1" pivotButton="0" quotePrefix="0" xfId="0"/>
    <xf numFmtId="3" fontId="4" fillId="3" borderId="1" applyAlignment="1" pivotButton="0" quotePrefix="0" xfId="0">
      <alignment horizontal="right"/>
    </xf>
    <xf numFmtId="1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  <xf numFmtId="165" fontId="4" fillId="3" borderId="1" applyAlignment="1" pivotButton="0" quotePrefix="0" xfId="0">
      <alignment horizontal="right"/>
    </xf>
    <xf numFmtId="0" fontId="21" fillId="4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5" customWidth="1" min="1" max="1"/>
    <col width="32" customWidth="1" min="2" max="2"/>
    <col width="16" customWidth="1" min="3" max="3"/>
    <col width="15" customWidth="1" min="4" max="4"/>
    <col width="13" customWidth="1" min="5" max="5"/>
    <col width="16" customWidth="1" min="6" max="6"/>
    <col width="17" customWidth="1" min="7" max="7"/>
    <col width="17" customWidth="1" min="8" max="8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</cols>
  <sheetData>
    <row r="1" ht="16" customHeight="1">
      <c r="A1" s="1" t="inlineStr">
        <is>
          <t xml:space="preserve">   사내한 · Confidential</t>
        </is>
      </c>
      <c r="B1" s="2" t="n"/>
      <c r="C1" s="2" t="n"/>
      <c r="D1" s="2" t="n"/>
      <c r="E1" s="2" t="n"/>
      <c r="F1" s="2" t="n"/>
      <c r="G1" s="2" t="n"/>
      <c r="H1" s="2" t="n"/>
      <c r="J1" s="3" t="inlineStr">
        <is>
          <t>계산 보조 (수정하지 마십시오)</t>
        </is>
      </c>
    </row>
    <row r="2" ht="40" customHeight="1">
      <c r="A2" s="4" t="inlineStr">
        <is>
          <t xml:space="preserve">   월배당 ETF 투자 제안서</t>
        </is>
      </c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5" t="inlineStr">
        <is>
          <t xml:space="preserve">   Monthly Distribution ETF Portfolio</t>
        </is>
      </c>
      <c r="B3" s="2" t="n"/>
      <c r="C3" s="2" t="n"/>
      <c r="D3" s="2" t="n"/>
      <c r="E3" s="2" t="n"/>
      <c r="F3" s="2" t="n"/>
      <c r="G3" s="2" t="n"/>
      <c r="H3" s="2" t="n"/>
    </row>
    <row r="4" ht="3" customHeight="1">
      <c r="A4" s="6" t="n"/>
      <c r="B4" s="6" t="n"/>
      <c r="C4" s="6" t="n"/>
      <c r="D4" s="6" t="n"/>
      <c r="E4" s="6" t="n"/>
      <c r="F4" s="6" t="n"/>
      <c r="G4" s="6" t="n"/>
      <c r="H4" s="6" t="n"/>
    </row>
    <row r="5" ht="20" customHeight="1">
      <c r="A5" s="7" t="inlineStr">
        <is>
          <t xml:space="preserve">   자료 ETFCHECK · 기준일 2026-10-02 · 매월 1일 자동 갱신</t>
        </is>
      </c>
    </row>
    <row r="7" ht="4" customHeight="1">
      <c r="A7" s="8" t="n"/>
      <c r="B7" s="8" t="n"/>
      <c r="C7" s="8" t="n"/>
      <c r="D7" s="8" t="n"/>
      <c r="E7" s="8" t="n"/>
      <c r="F7" s="8" t="n"/>
      <c r="G7" s="8" t="n"/>
      <c r="H7" s="8" t="n"/>
    </row>
    <row r="8" ht="26" customHeight="1">
      <c r="A8" s="9" t="inlineStr">
        <is>
          <t>1</t>
        </is>
      </c>
      <c r="B8" s="10" t="inlineStr">
        <is>
          <t>고객 정보 및 투자 조건</t>
        </is>
      </c>
    </row>
    <row r="9" ht="6" customHeight="1"/>
    <row r="10" ht="21" customHeight="1">
      <c r="B10" s="11" t="inlineStr">
        <is>
          <t>고객명</t>
        </is>
      </c>
      <c r="C10" s="12" t="inlineStr">
        <is>
          <t>홍길동</t>
        </is>
      </c>
    </row>
    <row r="11" ht="21" customHeight="1">
      <c r="B11" s="11" t="inlineStr">
        <is>
          <t>총 투자금액 (원)</t>
        </is>
      </c>
      <c r="C11" s="13" t="n">
        <v>100000000</v>
      </c>
    </row>
    <row r="12" ht="21" customHeight="1">
      <c r="B12" s="11" t="inlineStr">
        <is>
          <t>배분 방식</t>
        </is>
      </c>
      <c r="C12" s="14" t="inlineStr">
        <is>
          <t>비율</t>
        </is>
      </c>
      <c r="E12" s="7" t="inlineStr">
        <is>
          <t>비율 = 총액을 %로 나눔 · 금액 = 종목별 금액 직접 입력</t>
        </is>
      </c>
    </row>
    <row r="13" ht="21" customHeight="1">
      <c r="B13" s="11" t="inlineStr">
        <is>
          <t>배당소득세율</t>
        </is>
      </c>
      <c r="C13" s="15" t="n">
        <v>0.154</v>
      </c>
      <c r="E13" s="7" t="inlineStr">
        <is>
          <t>국내 상장 ETF 분배금 기준 15.4% (지방소득세 포함)</t>
        </is>
      </c>
    </row>
    <row r="14" ht="21" customHeight="1">
      <c r="B14" s="11" t="inlineStr">
        <is>
          <t>제안일</t>
        </is>
      </c>
      <c r="C14" s="16" t="inlineStr">
        <is>
          <t>2026-10-04</t>
        </is>
      </c>
    </row>
    <row r="16" ht="4" customHeight="1">
      <c r="A16" s="8" t="n"/>
      <c r="B16" s="8" t="n"/>
      <c r="C16" s="8" t="n"/>
      <c r="D16" s="8" t="n"/>
      <c r="E16" s="8" t="n"/>
      <c r="F16" s="8" t="n"/>
      <c r="G16" s="8" t="n"/>
      <c r="H16" s="8" t="n"/>
    </row>
    <row r="17" ht="26" customHeight="1">
      <c r="A17" s="9" t="inlineStr">
        <is>
          <t>2</t>
        </is>
      </c>
      <c r="B17" s="10" t="inlineStr">
        <is>
          <t>투자 포트폴리오  (최대 10종목)</t>
        </is>
      </c>
      <c r="D17" s="11" t="inlineStr">
        <is>
          <t>종목 검색</t>
        </is>
      </c>
      <c r="E17" s="17" t="n"/>
      <c r="F17" s="7">
        <f>IF(검색어="","← 글자 일부를 넣으면 아래 '투자 ETF' 의 ▼ 목록이 그만큼만 남습니다 (예: 커버드콜)",IF(검색건수=0,"→ '"&amp;검색어&amp;"' 에 맞는 종목이 없습니다. 글자를 줄여 보십시오.","→ '"&amp;검색어&amp;"' 로 "&amp;검색건수&amp;"종목. 아래 '투자 ETF' 칸의 ▼ 를 누르십시오."))</f>
        <v/>
      </c>
    </row>
    <row r="18" ht="6" customHeight="1"/>
    <row r="19" ht="30" customHeight="1">
      <c r="B19" s="18" t="inlineStr">
        <is>
          <t>투자 ETF</t>
        </is>
      </c>
      <c r="C19" s="19">
        <f>IF($C$12="비율","배분 비율 (%)","배분 금액 (원)")</f>
        <v/>
      </c>
      <c r="D19" s="19" t="inlineStr">
        <is>
          <t>배정 금액</t>
        </is>
      </c>
      <c r="E19" s="19" t="inlineStr">
        <is>
          <t>매수 수량</t>
        </is>
      </c>
      <c r="F19" s="19" t="inlineStr">
        <is>
          <t>실투자금액</t>
        </is>
      </c>
      <c r="G19" s="19" t="inlineStr">
        <is>
          <t>월 분배금(세전)</t>
        </is>
      </c>
      <c r="H19" s="20" t="inlineStr">
        <is>
          <t>월 분배금(세후)</t>
        </is>
      </c>
    </row>
    <row r="20" ht="19" customHeight="1">
      <c r="B20" s="21">
        <f>IF(담긴수=0,"TIGER 미국배당다우존스",IFERROR(INDEX(담긴목록,1),""))</f>
        <v/>
      </c>
      <c r="C20" s="22">
        <f>IF($B20="","",IF($C$12="비율",IF(1&lt;MAX(담긴수,1),ROUND(100/MAX(담긴수,1),2),100-ROUND(100/MAX(담긴수,1),2)*(MAX(담긴수,1)-1)),IF(1&lt;MAX(담긴수,1),ROUNDDOWN($C$11/MAX(담긴수,1),0),$C$11-ROUNDDOWN($C$11/MAX(담긴수,1),0)*(MAX(담긴수,1)-1))))</f>
        <v/>
      </c>
      <c r="D20" s="23">
        <f>IF($K20=0,0,IF($C$12="비율",ROUND($C$11*$C20/100,0),$C20))</f>
        <v/>
      </c>
      <c r="E20" s="24">
        <f>IF($K20=0,0,ROUNDDOWN($D20/INDEX('ETF데이터'!$D$4:$D$594,$K20),0))</f>
        <v/>
      </c>
      <c r="F20" s="23">
        <f>IF($K20=0,0,$E20*INDEX('ETF데이터'!$D$4:$D$594,$K20))</f>
        <v/>
      </c>
      <c r="G20" s="23">
        <f>IF($K20=0,0,$F20*INDEX('ETF데이터'!$J$4:$J$594,$K20)/12)</f>
        <v/>
      </c>
      <c r="H20" s="25">
        <f>$G20*(1-$C$13*$O20)</f>
        <v/>
      </c>
      <c r="K20" s="3">
        <f>IF($B20="",0,IFERROR(MATCH($B20,선택가능종목,0),0))</f>
        <v/>
      </c>
      <c r="L20" s="3">
        <f>IF($K20=0,"",INDEX('ETF데이터'!$M$4:$M$594,$K20))</f>
        <v/>
      </c>
      <c r="M20" s="3">
        <f>IF($K20=0,"",INDEX('ETF데이터'!$R$4:$R$594,$K20))</f>
        <v/>
      </c>
      <c r="N20" s="3">
        <f>IF(OR($M20="",$M20="월배당"),0,1)</f>
        <v/>
      </c>
      <c r="O20" s="3">
        <f>IF($K20=0,1,IF(INDEX('ETF데이터'!$T$4:$T$594,$K20)="",1,INDEX('ETF데이터'!$T$4:$T$594,$K20)))</f>
        <v/>
      </c>
      <c r="P20" s="3">
        <f>IF($K20=0,0,IF(INDEX('ETF데이터'!$T$4:$T$594,$K20)="",1,0))</f>
        <v/>
      </c>
    </row>
    <row r="21" ht="19" customHeight="1">
      <c r="B21" s="21">
        <f>IF(담긴수=0,"",IFERROR(INDEX(담긴목록,2),""))</f>
        <v/>
      </c>
      <c r="C21" s="22">
        <f>IF($B21="","",IF($C$12="비율",IF(2&lt;MAX(담긴수,1),ROUND(100/MAX(담긴수,1),2),100-ROUND(100/MAX(담긴수,1),2)*(MAX(담긴수,1)-1)),IF(2&lt;MAX(담긴수,1),ROUNDDOWN($C$11/MAX(담긴수,1),0),$C$11-ROUNDDOWN($C$11/MAX(담긴수,1),0)*(MAX(담긴수,1)-1))))</f>
        <v/>
      </c>
      <c r="D21" s="26">
        <f>IF($K21=0,0,IF($C$12="비율",ROUND($C$11*$C21/100,0),$C21))</f>
        <v/>
      </c>
      <c r="E21" s="27">
        <f>IF($K21=0,0,ROUNDDOWN($D21/INDEX('ETF데이터'!$D$4:$D$594,$K21),0))</f>
        <v/>
      </c>
      <c r="F21" s="26">
        <f>IF($K21=0,0,$E21*INDEX('ETF데이터'!$D$4:$D$594,$K21))</f>
        <v/>
      </c>
      <c r="G21" s="26">
        <f>IF($K21=0,0,$F21*INDEX('ETF데이터'!$J$4:$J$594,$K21)/12)</f>
        <v/>
      </c>
      <c r="H21" s="28">
        <f>$G21*(1-$C$13*$O21)</f>
        <v/>
      </c>
      <c r="K21" s="3">
        <f>IF($B21="",0,IFERROR(MATCH($B21,선택가능종목,0),0))</f>
        <v/>
      </c>
      <c r="L21" s="3">
        <f>IF($K21=0,"",INDEX('ETF데이터'!$M$4:$M$594,$K21))</f>
        <v/>
      </c>
      <c r="M21" s="3">
        <f>IF($K21=0,"",INDEX('ETF데이터'!$R$4:$R$594,$K21))</f>
        <v/>
      </c>
      <c r="N21" s="3">
        <f>IF(OR($M21="",$M21="월배당"),0,1)</f>
        <v/>
      </c>
      <c r="O21" s="3">
        <f>IF($K21=0,1,IF(INDEX('ETF데이터'!$T$4:$T$594,$K21)="",1,INDEX('ETF데이터'!$T$4:$T$594,$K21)))</f>
        <v/>
      </c>
      <c r="P21" s="3">
        <f>IF($K21=0,0,IF(INDEX('ETF데이터'!$T$4:$T$594,$K21)="",1,0))</f>
        <v/>
      </c>
    </row>
    <row r="22" ht="19" customHeight="1">
      <c r="B22" s="21">
        <f>IF(담긴수=0,"",IFERROR(INDEX(담긴목록,3),""))</f>
        <v/>
      </c>
      <c r="C22" s="22">
        <f>IF($B22="","",IF($C$12="비율",IF(3&lt;MAX(담긴수,1),ROUND(100/MAX(담긴수,1),2),100-ROUND(100/MAX(담긴수,1),2)*(MAX(담긴수,1)-1)),IF(3&lt;MAX(담긴수,1),ROUNDDOWN($C$11/MAX(담긴수,1),0),$C$11-ROUNDDOWN($C$11/MAX(담긴수,1),0)*(MAX(담긴수,1)-1))))</f>
        <v/>
      </c>
      <c r="D22" s="23">
        <f>IF($K22=0,0,IF($C$12="비율",ROUND($C$11*$C22/100,0),$C22))</f>
        <v/>
      </c>
      <c r="E22" s="24">
        <f>IF($K22=0,0,ROUNDDOWN($D22/INDEX('ETF데이터'!$D$4:$D$594,$K22),0))</f>
        <v/>
      </c>
      <c r="F22" s="23">
        <f>IF($K22=0,0,$E22*INDEX('ETF데이터'!$D$4:$D$594,$K22))</f>
        <v/>
      </c>
      <c r="G22" s="23">
        <f>IF($K22=0,0,$F22*INDEX('ETF데이터'!$J$4:$J$594,$K22)/12)</f>
        <v/>
      </c>
      <c r="H22" s="25">
        <f>$G22*(1-$C$13*$O22)</f>
        <v/>
      </c>
      <c r="K22" s="3">
        <f>IF($B22="",0,IFERROR(MATCH($B22,선택가능종목,0),0))</f>
        <v/>
      </c>
      <c r="L22" s="3">
        <f>IF($K22=0,"",INDEX('ETF데이터'!$M$4:$M$594,$K22))</f>
        <v/>
      </c>
      <c r="M22" s="3">
        <f>IF($K22=0,"",INDEX('ETF데이터'!$R$4:$R$594,$K22))</f>
        <v/>
      </c>
      <c r="N22" s="3">
        <f>IF(OR($M22="",$M22="월배당"),0,1)</f>
        <v/>
      </c>
      <c r="O22" s="3">
        <f>IF($K22=0,1,IF(INDEX('ETF데이터'!$T$4:$T$594,$K22)="",1,INDEX('ETF데이터'!$T$4:$T$594,$K22)))</f>
        <v/>
      </c>
      <c r="P22" s="3">
        <f>IF($K22=0,0,IF(INDEX('ETF데이터'!$T$4:$T$594,$K22)="",1,0))</f>
        <v/>
      </c>
    </row>
    <row r="23" ht="19" customHeight="1">
      <c r="B23" s="21">
        <f>IF(담긴수=0,"",IFERROR(INDEX(담긴목록,4),""))</f>
        <v/>
      </c>
      <c r="C23" s="22">
        <f>IF($B23="","",IF($C$12="비율",IF(4&lt;MAX(담긴수,1),ROUND(100/MAX(담긴수,1),2),100-ROUND(100/MAX(담긴수,1),2)*(MAX(담긴수,1)-1)),IF(4&lt;MAX(담긴수,1),ROUNDDOWN($C$11/MAX(담긴수,1),0),$C$11-ROUNDDOWN($C$11/MAX(담긴수,1),0)*(MAX(담긴수,1)-1))))</f>
        <v/>
      </c>
      <c r="D23" s="26">
        <f>IF($K23=0,0,IF($C$12="비율",ROUND($C$11*$C23/100,0),$C23))</f>
        <v/>
      </c>
      <c r="E23" s="27">
        <f>IF($K23=0,0,ROUNDDOWN($D23/INDEX('ETF데이터'!$D$4:$D$594,$K23),0))</f>
        <v/>
      </c>
      <c r="F23" s="26">
        <f>IF($K23=0,0,$E23*INDEX('ETF데이터'!$D$4:$D$594,$K23))</f>
        <v/>
      </c>
      <c r="G23" s="26">
        <f>IF($K23=0,0,$F23*INDEX('ETF데이터'!$J$4:$J$594,$K23)/12)</f>
        <v/>
      </c>
      <c r="H23" s="28">
        <f>$G23*(1-$C$13*$O23)</f>
        <v/>
      </c>
      <c r="K23" s="3">
        <f>IF($B23="",0,IFERROR(MATCH($B23,선택가능종목,0),0))</f>
        <v/>
      </c>
      <c r="L23" s="3">
        <f>IF($K23=0,"",INDEX('ETF데이터'!$M$4:$M$594,$K23))</f>
        <v/>
      </c>
      <c r="M23" s="3">
        <f>IF($K23=0,"",INDEX('ETF데이터'!$R$4:$R$594,$K23))</f>
        <v/>
      </c>
      <c r="N23" s="3">
        <f>IF(OR($M23="",$M23="월배당"),0,1)</f>
        <v/>
      </c>
      <c r="O23" s="3">
        <f>IF($K23=0,1,IF(INDEX('ETF데이터'!$T$4:$T$594,$K23)="",1,INDEX('ETF데이터'!$T$4:$T$594,$K23)))</f>
        <v/>
      </c>
      <c r="P23" s="3">
        <f>IF($K23=0,0,IF(INDEX('ETF데이터'!$T$4:$T$594,$K23)="",1,0))</f>
        <v/>
      </c>
    </row>
    <row r="24" ht="19" customHeight="1">
      <c r="B24" s="21">
        <f>IF(담긴수=0,"",IFERROR(INDEX(담긴목록,5),""))</f>
        <v/>
      </c>
      <c r="C24" s="22">
        <f>IF($B24="","",IF($C$12="비율",IF(5&lt;MAX(담긴수,1),ROUND(100/MAX(담긴수,1),2),100-ROUND(100/MAX(담긴수,1),2)*(MAX(담긴수,1)-1)),IF(5&lt;MAX(담긴수,1),ROUNDDOWN($C$11/MAX(담긴수,1),0),$C$11-ROUNDDOWN($C$11/MAX(담긴수,1),0)*(MAX(담긴수,1)-1))))</f>
        <v/>
      </c>
      <c r="D24" s="23">
        <f>IF($K24=0,0,IF($C$12="비율",ROUND($C$11*$C24/100,0),$C24))</f>
        <v/>
      </c>
      <c r="E24" s="24">
        <f>IF($K24=0,0,ROUNDDOWN($D24/INDEX('ETF데이터'!$D$4:$D$594,$K24),0))</f>
        <v/>
      </c>
      <c r="F24" s="23">
        <f>IF($K24=0,0,$E24*INDEX('ETF데이터'!$D$4:$D$594,$K24))</f>
        <v/>
      </c>
      <c r="G24" s="23">
        <f>IF($K24=0,0,$F24*INDEX('ETF데이터'!$J$4:$J$594,$K24)/12)</f>
        <v/>
      </c>
      <c r="H24" s="25">
        <f>$G24*(1-$C$13*$O24)</f>
        <v/>
      </c>
      <c r="K24" s="3">
        <f>IF($B24="",0,IFERROR(MATCH($B24,선택가능종목,0),0))</f>
        <v/>
      </c>
      <c r="L24" s="3">
        <f>IF($K24=0,"",INDEX('ETF데이터'!$M$4:$M$594,$K24))</f>
        <v/>
      </c>
      <c r="M24" s="3">
        <f>IF($K24=0,"",INDEX('ETF데이터'!$R$4:$R$594,$K24))</f>
        <v/>
      </c>
      <c r="N24" s="3">
        <f>IF(OR($M24="",$M24="월배당"),0,1)</f>
        <v/>
      </c>
      <c r="O24" s="3">
        <f>IF($K24=0,1,IF(INDEX('ETF데이터'!$T$4:$T$594,$K24)="",1,INDEX('ETF데이터'!$T$4:$T$594,$K24)))</f>
        <v/>
      </c>
      <c r="P24" s="3">
        <f>IF($K24=0,0,IF(INDEX('ETF데이터'!$T$4:$T$594,$K24)="",1,0))</f>
        <v/>
      </c>
    </row>
    <row r="25" ht="19" customHeight="1">
      <c r="B25" s="21">
        <f>IF(담긴수=0,"",IFERROR(INDEX(담긴목록,6),""))</f>
        <v/>
      </c>
      <c r="C25" s="22">
        <f>IF($B25="","",IF($C$12="비율",IF(6&lt;MAX(담긴수,1),ROUND(100/MAX(담긴수,1),2),100-ROUND(100/MAX(담긴수,1),2)*(MAX(담긴수,1)-1)),IF(6&lt;MAX(담긴수,1),ROUNDDOWN($C$11/MAX(담긴수,1),0),$C$11-ROUNDDOWN($C$11/MAX(담긴수,1),0)*(MAX(담긴수,1)-1))))</f>
        <v/>
      </c>
      <c r="D25" s="26">
        <f>IF($K25=0,0,IF($C$12="비율",ROUND($C$11*$C25/100,0),$C25))</f>
        <v/>
      </c>
      <c r="E25" s="27">
        <f>IF($K25=0,0,ROUNDDOWN($D25/INDEX('ETF데이터'!$D$4:$D$594,$K25),0))</f>
        <v/>
      </c>
      <c r="F25" s="26">
        <f>IF($K25=0,0,$E25*INDEX('ETF데이터'!$D$4:$D$594,$K25))</f>
        <v/>
      </c>
      <c r="G25" s="26">
        <f>IF($K25=0,0,$F25*INDEX('ETF데이터'!$J$4:$J$594,$K25)/12)</f>
        <v/>
      </c>
      <c r="H25" s="28">
        <f>$G25*(1-$C$13*$O25)</f>
        <v/>
      </c>
      <c r="K25" s="3">
        <f>IF($B25="",0,IFERROR(MATCH($B25,선택가능종목,0),0))</f>
        <v/>
      </c>
      <c r="L25" s="3">
        <f>IF($K25=0,"",INDEX('ETF데이터'!$M$4:$M$594,$K25))</f>
        <v/>
      </c>
      <c r="M25" s="3">
        <f>IF($K25=0,"",INDEX('ETF데이터'!$R$4:$R$594,$K25))</f>
        <v/>
      </c>
      <c r="N25" s="3">
        <f>IF(OR($M25="",$M25="월배당"),0,1)</f>
        <v/>
      </c>
      <c r="O25" s="3">
        <f>IF($K25=0,1,IF(INDEX('ETF데이터'!$T$4:$T$594,$K25)="",1,INDEX('ETF데이터'!$T$4:$T$594,$K25)))</f>
        <v/>
      </c>
      <c r="P25" s="3">
        <f>IF($K25=0,0,IF(INDEX('ETF데이터'!$T$4:$T$594,$K25)="",1,0))</f>
        <v/>
      </c>
    </row>
    <row r="26" ht="19" customHeight="1">
      <c r="B26" s="21">
        <f>IF(담긴수=0,"",IFERROR(INDEX(담긴목록,7),""))</f>
        <v/>
      </c>
      <c r="C26" s="22">
        <f>IF($B26="","",IF($C$12="비율",IF(7&lt;MAX(담긴수,1),ROUND(100/MAX(담긴수,1),2),100-ROUND(100/MAX(담긴수,1),2)*(MAX(담긴수,1)-1)),IF(7&lt;MAX(담긴수,1),ROUNDDOWN($C$11/MAX(담긴수,1),0),$C$11-ROUNDDOWN($C$11/MAX(담긴수,1),0)*(MAX(담긴수,1)-1))))</f>
        <v/>
      </c>
      <c r="D26" s="23">
        <f>IF($K26=0,0,IF($C$12="비율",ROUND($C$11*$C26/100,0),$C26))</f>
        <v/>
      </c>
      <c r="E26" s="24">
        <f>IF($K26=0,0,ROUNDDOWN($D26/INDEX('ETF데이터'!$D$4:$D$594,$K26),0))</f>
        <v/>
      </c>
      <c r="F26" s="23">
        <f>IF($K26=0,0,$E26*INDEX('ETF데이터'!$D$4:$D$594,$K26))</f>
        <v/>
      </c>
      <c r="G26" s="23">
        <f>IF($K26=0,0,$F26*INDEX('ETF데이터'!$J$4:$J$594,$K26)/12)</f>
        <v/>
      </c>
      <c r="H26" s="25">
        <f>$G26*(1-$C$13*$O26)</f>
        <v/>
      </c>
      <c r="K26" s="3">
        <f>IF($B26="",0,IFERROR(MATCH($B26,선택가능종목,0),0))</f>
        <v/>
      </c>
      <c r="L26" s="3">
        <f>IF($K26=0,"",INDEX('ETF데이터'!$M$4:$M$594,$K26))</f>
        <v/>
      </c>
      <c r="M26" s="3">
        <f>IF($K26=0,"",INDEX('ETF데이터'!$R$4:$R$594,$K26))</f>
        <v/>
      </c>
      <c r="N26" s="3">
        <f>IF(OR($M26="",$M26="월배당"),0,1)</f>
        <v/>
      </c>
      <c r="O26" s="3">
        <f>IF($K26=0,1,IF(INDEX('ETF데이터'!$T$4:$T$594,$K26)="",1,INDEX('ETF데이터'!$T$4:$T$594,$K26)))</f>
        <v/>
      </c>
      <c r="P26" s="3">
        <f>IF($K26=0,0,IF(INDEX('ETF데이터'!$T$4:$T$594,$K26)="",1,0))</f>
        <v/>
      </c>
    </row>
    <row r="27" ht="19" customHeight="1">
      <c r="B27" s="21">
        <f>IF(담긴수=0,"",IFERROR(INDEX(담긴목록,8),""))</f>
        <v/>
      </c>
      <c r="C27" s="22">
        <f>IF($B27="","",IF($C$12="비율",IF(8&lt;MAX(담긴수,1),ROUND(100/MAX(담긴수,1),2),100-ROUND(100/MAX(담긴수,1),2)*(MAX(담긴수,1)-1)),IF(8&lt;MAX(담긴수,1),ROUNDDOWN($C$11/MAX(담긴수,1),0),$C$11-ROUNDDOWN($C$11/MAX(담긴수,1),0)*(MAX(담긴수,1)-1))))</f>
        <v/>
      </c>
      <c r="D27" s="26">
        <f>IF($K27=0,0,IF($C$12="비율",ROUND($C$11*$C27/100,0),$C27))</f>
        <v/>
      </c>
      <c r="E27" s="27">
        <f>IF($K27=0,0,ROUNDDOWN($D27/INDEX('ETF데이터'!$D$4:$D$594,$K27),0))</f>
        <v/>
      </c>
      <c r="F27" s="26">
        <f>IF($K27=0,0,$E27*INDEX('ETF데이터'!$D$4:$D$594,$K27))</f>
        <v/>
      </c>
      <c r="G27" s="26">
        <f>IF($K27=0,0,$F27*INDEX('ETF데이터'!$J$4:$J$594,$K27)/12)</f>
        <v/>
      </c>
      <c r="H27" s="28">
        <f>$G27*(1-$C$13*$O27)</f>
        <v/>
      </c>
      <c r="K27" s="3">
        <f>IF($B27="",0,IFERROR(MATCH($B27,선택가능종목,0),0))</f>
        <v/>
      </c>
      <c r="L27" s="3">
        <f>IF($K27=0,"",INDEX('ETF데이터'!$M$4:$M$594,$K27))</f>
        <v/>
      </c>
      <c r="M27" s="3">
        <f>IF($K27=0,"",INDEX('ETF데이터'!$R$4:$R$594,$K27))</f>
        <v/>
      </c>
      <c r="N27" s="3">
        <f>IF(OR($M27="",$M27="월배당"),0,1)</f>
        <v/>
      </c>
      <c r="O27" s="3">
        <f>IF($K27=0,1,IF(INDEX('ETF데이터'!$T$4:$T$594,$K27)="",1,INDEX('ETF데이터'!$T$4:$T$594,$K27)))</f>
        <v/>
      </c>
      <c r="P27" s="3">
        <f>IF($K27=0,0,IF(INDEX('ETF데이터'!$T$4:$T$594,$K27)="",1,0))</f>
        <v/>
      </c>
    </row>
    <row r="28" ht="19" customHeight="1">
      <c r="B28" s="21">
        <f>IF(담긴수=0,"",IFERROR(INDEX(담긴목록,9),""))</f>
        <v/>
      </c>
      <c r="C28" s="22">
        <f>IF($B28="","",IF($C$12="비율",IF(9&lt;MAX(담긴수,1),ROUND(100/MAX(담긴수,1),2),100-ROUND(100/MAX(담긴수,1),2)*(MAX(담긴수,1)-1)),IF(9&lt;MAX(담긴수,1),ROUNDDOWN($C$11/MAX(담긴수,1),0),$C$11-ROUNDDOWN($C$11/MAX(담긴수,1),0)*(MAX(담긴수,1)-1))))</f>
        <v/>
      </c>
      <c r="D28" s="23">
        <f>IF($K28=0,0,IF($C$12="비율",ROUND($C$11*$C28/100,0),$C28))</f>
        <v/>
      </c>
      <c r="E28" s="24">
        <f>IF($K28=0,0,ROUNDDOWN($D28/INDEX('ETF데이터'!$D$4:$D$594,$K28),0))</f>
        <v/>
      </c>
      <c r="F28" s="23">
        <f>IF($K28=0,0,$E28*INDEX('ETF데이터'!$D$4:$D$594,$K28))</f>
        <v/>
      </c>
      <c r="G28" s="23">
        <f>IF($K28=0,0,$F28*INDEX('ETF데이터'!$J$4:$J$594,$K28)/12)</f>
        <v/>
      </c>
      <c r="H28" s="25">
        <f>$G28*(1-$C$13*$O28)</f>
        <v/>
      </c>
      <c r="K28" s="3">
        <f>IF($B28="",0,IFERROR(MATCH($B28,선택가능종목,0),0))</f>
        <v/>
      </c>
      <c r="L28" s="3">
        <f>IF($K28=0,"",INDEX('ETF데이터'!$M$4:$M$594,$K28))</f>
        <v/>
      </c>
      <c r="M28" s="3">
        <f>IF($K28=0,"",INDEX('ETF데이터'!$R$4:$R$594,$K28))</f>
        <v/>
      </c>
      <c r="N28" s="3">
        <f>IF(OR($M28="",$M28="월배당"),0,1)</f>
        <v/>
      </c>
      <c r="O28" s="3">
        <f>IF($K28=0,1,IF(INDEX('ETF데이터'!$T$4:$T$594,$K28)="",1,INDEX('ETF데이터'!$T$4:$T$594,$K28)))</f>
        <v/>
      </c>
      <c r="P28" s="3">
        <f>IF($K28=0,0,IF(INDEX('ETF데이터'!$T$4:$T$594,$K28)="",1,0))</f>
        <v/>
      </c>
    </row>
    <row r="29" ht="19" customHeight="1">
      <c r="B29" s="21">
        <f>IF(담긴수=0,"",IFERROR(INDEX(담긴목록,10),""))</f>
        <v/>
      </c>
      <c r="C29" s="22">
        <f>IF($B29="","",IF($C$12="비율",IF(10&lt;MAX(담긴수,1),ROUND(100/MAX(담긴수,1),2),100-ROUND(100/MAX(담긴수,1),2)*(MAX(담긴수,1)-1)),IF(10&lt;MAX(담긴수,1),ROUNDDOWN($C$11/MAX(담긴수,1),0),$C$11-ROUNDDOWN($C$11/MAX(담긴수,1),0)*(MAX(담긴수,1)-1))))</f>
        <v/>
      </c>
      <c r="D29" s="26">
        <f>IF($K29=0,0,IF($C$12="비율",ROUND($C$11*$C29/100,0),$C29))</f>
        <v/>
      </c>
      <c r="E29" s="27">
        <f>IF($K29=0,0,ROUNDDOWN($D29/INDEX('ETF데이터'!$D$4:$D$594,$K29),0))</f>
        <v/>
      </c>
      <c r="F29" s="26">
        <f>IF($K29=0,0,$E29*INDEX('ETF데이터'!$D$4:$D$594,$K29))</f>
        <v/>
      </c>
      <c r="G29" s="26">
        <f>IF($K29=0,0,$F29*INDEX('ETF데이터'!$J$4:$J$594,$K29)/12)</f>
        <v/>
      </c>
      <c r="H29" s="28">
        <f>$G29*(1-$C$13*$O29)</f>
        <v/>
      </c>
      <c r="K29" s="3">
        <f>IF($B29="",0,IFERROR(MATCH($B29,선택가능종목,0),0))</f>
        <v/>
      </c>
      <c r="L29" s="3">
        <f>IF($K29=0,"",INDEX('ETF데이터'!$M$4:$M$594,$K29))</f>
        <v/>
      </c>
      <c r="M29" s="3">
        <f>IF($K29=0,"",INDEX('ETF데이터'!$R$4:$R$594,$K29))</f>
        <v/>
      </c>
      <c r="N29" s="3">
        <f>IF(OR($M29="",$M29="월배당"),0,1)</f>
        <v/>
      </c>
      <c r="O29" s="3">
        <f>IF($K29=0,1,IF(INDEX('ETF데이터'!$T$4:$T$594,$K29)="",1,INDEX('ETF데이터'!$T$4:$T$594,$K29)))</f>
        <v/>
      </c>
      <c r="P29" s="3">
        <f>IF($K29=0,0,IF(INDEX('ETF데이터'!$T$4:$T$594,$K29)="",1,0))</f>
        <v/>
      </c>
    </row>
    <row r="30" ht="21" customHeight="1">
      <c r="B30" s="29" t="inlineStr">
        <is>
          <t>합계</t>
        </is>
      </c>
      <c r="C30" s="30">
        <f>SUM(C20:C29)</f>
        <v/>
      </c>
      <c r="D30" s="31">
        <f>SUM(D20:D29)</f>
        <v/>
      </c>
      <c r="E30" s="32" t="n"/>
      <c r="F30" s="31">
        <f>SUM(F20:F29)</f>
        <v/>
      </c>
      <c r="G30" s="31">
        <f>SUM(G20:G29)</f>
        <v/>
      </c>
      <c r="H30" s="33">
        <f>SUM(H20:H29)</f>
        <v/>
      </c>
    </row>
    <row r="31" ht="17" customHeight="1">
      <c r="B31" s="34">
        <f>IF($C$12="비율",IF(ABS($C30-100)&gt;0.01,"※ 배분 비율 합계가 100%가 아닙니다. 배분 칸을 확인하십시오.",""),IF($D30&gt;$C$11,"※ 배분 금액 합계가 총 투자금액을 넘습니다.",""))</f>
        <v/>
      </c>
    </row>
    <row r="32" ht="17" customHeight="1">
      <c r="B32" s="35">
        <f>IF(COUNTIF($L$20:$L$29,"제외")&gt;0,"※ 유동성·변동성 기준에 미달한 종목이 담겨 있습니다. [ETF데이터] 장의 제외 사유를 확인하십시오.","")</f>
        <v/>
      </c>
    </row>
    <row r="33" ht="17" customHeight="1">
      <c r="B33" s="35">
        <f>IF(SUM($N$20:$N$29)&gt;0,"※ 월배당이 아닌 종목이 담겨 있습니다. 위의 '월 예상 분배금' 은 연 분배금을 12로 나눈 월 환산액이며, 실제 지급은 그 종목의 주기(분기·연 등)를 따릅니다.","")</f>
        <v/>
      </c>
    </row>
    <row r="34" ht="17" customHeight="1">
      <c r="B34" s="35">
        <f>IF(SUM($P$20:$P$29)&gt;0,"※ 과세표준을 확인하지 못한 종목이 담겨 있습니다. 그 종목은 분배금 전액에 세율을 적용해 계산했으므로, 실제 세후 수령액은 표시된 금액보다 많을 수 있습니다.","")</f>
        <v/>
      </c>
    </row>
    <row r="35">
      <c r="B35" s="3" t="inlineStr">
        <is>
          <t>빈 줄은 계산에서 빠집니다. 한 종목만 담으려면 첫 줄에만 넣고 배분을 100 으로 두십시오.</t>
        </is>
      </c>
    </row>
    <row r="37" ht="4" customHeight="1">
      <c r="A37" s="8" t="n"/>
      <c r="B37" s="8" t="n"/>
      <c r="C37" s="8" t="n"/>
      <c r="D37" s="8" t="n"/>
      <c r="E37" s="8" t="n"/>
      <c r="F37" s="8" t="n"/>
      <c r="G37" s="8" t="n"/>
      <c r="H37" s="8" t="n"/>
    </row>
    <row r="38" ht="26" customHeight="1">
      <c r="A38" s="9" t="inlineStr">
        <is>
          <t>3</t>
        </is>
      </c>
      <c r="B38" s="10" t="inlineStr">
        <is>
          <t>예상 분배금 요약</t>
        </is>
      </c>
    </row>
    <row r="39" ht="6" customHeight="1"/>
    <row r="40" ht="34" customHeight="1">
      <c r="B40" s="11" t="inlineStr">
        <is>
          <t>총 투자금액</t>
        </is>
      </c>
      <c r="C40" s="36">
        <f>$C$11</f>
        <v/>
      </c>
      <c r="F40" s="37" t="inlineStr">
        <is>
          <t>월 예상 분배금 (세전)</t>
        </is>
      </c>
      <c r="G40" s="38">
        <f>$G$30</f>
        <v/>
      </c>
      <c r="H40" s="39" t="n"/>
    </row>
    <row r="41" ht="20" customHeight="1">
      <c r="B41" s="11" t="inlineStr">
        <is>
          <t>실제 투자금액</t>
        </is>
      </c>
      <c r="C41" s="40">
        <f>$F$30</f>
        <v/>
      </c>
      <c r="F41" s="11" t="inlineStr">
        <is>
          <t>월 예상 분배금 (세후)</t>
        </is>
      </c>
      <c r="G41" s="36">
        <f>$H$30</f>
        <v/>
      </c>
    </row>
    <row r="42" ht="20" customHeight="1">
      <c r="B42" s="11" t="inlineStr">
        <is>
          <t>미투자 잔액</t>
        </is>
      </c>
      <c r="C42" s="40">
        <f>$C$11-$F$30</f>
        <v/>
      </c>
      <c r="F42" s="11" t="inlineStr">
        <is>
          <t>연 예상 분배금 (세전)</t>
        </is>
      </c>
      <c r="G42" s="40">
        <f>$G$30*12</f>
        <v/>
      </c>
    </row>
    <row r="43" ht="20" customHeight="1">
      <c r="B43" s="11" t="inlineStr">
        <is>
          <t>담은 종목 수</t>
        </is>
      </c>
      <c r="C43" s="41">
        <f>COUNTIF($K$20:$K$29,"&gt;0")</f>
        <v/>
      </c>
      <c r="F43" s="11" t="inlineStr">
        <is>
          <t>연 예상 분배금 (세후)</t>
        </is>
      </c>
      <c r="G43" s="42">
        <f>$H$30*12</f>
        <v/>
      </c>
    </row>
    <row r="44" ht="20" customHeight="1">
      <c r="B44" s="11" t="inlineStr">
        <is>
          <t>연 수익률 (세전, 가중평균)</t>
        </is>
      </c>
      <c r="C44" s="43">
        <f>IF($F$30=0,0,$G$30*12/$F$30)</f>
        <v/>
      </c>
      <c r="F44" s="11" t="inlineStr">
        <is>
          <t>월 수익률 (세전)</t>
        </is>
      </c>
      <c r="G44" s="44">
        <f>IF($F$30=0,0,$G$30/$F$30)</f>
        <v/>
      </c>
    </row>
    <row r="45" ht="20" customHeight="1">
      <c r="B45" s="11" t="inlineStr">
        <is>
          <t>연 수익률 (세후, 가중평균)</t>
        </is>
      </c>
      <c r="C45" s="45">
        <f>IF($F$30=0,0,$H$30*12/$F$30)</f>
        <v/>
      </c>
      <c r="F45" s="11" t="inlineStr">
        <is>
          <t>월 수익률 (세후)</t>
        </is>
      </c>
      <c r="G45" s="46">
        <f>IF($F$30=0,0,$H$30/$F$30)</f>
        <v/>
      </c>
    </row>
    <row r="46">
      <c r="B46" s="7" t="inlineStr">
        <is>
          <t>연 수익률은 담은 종목들의 최근 12개월 실제 분배금을 투자 비중으로 가중한 값입니다. 확정 수익률이 아니며 매월 달라집니다.</t>
        </is>
      </c>
    </row>
    <row r="48" ht="4" customHeight="1">
      <c r="A48" s="8" t="n"/>
      <c r="B48" s="8" t="n"/>
      <c r="C48" s="8" t="n"/>
      <c r="D48" s="8" t="n"/>
      <c r="E48" s="8" t="n"/>
      <c r="F48" s="8" t="n"/>
      <c r="G48" s="8" t="n"/>
      <c r="H48" s="8" t="n"/>
    </row>
    <row r="49" ht="26" customHeight="1">
      <c r="A49" s="9" t="inlineStr">
        <is>
          <t>4</t>
        </is>
      </c>
      <c r="B49" s="10" t="inlineStr">
        <is>
          <t>총 투자금액별 예상 분배금  (위 구성을 그대로 두고 금액만 바꿨을 때)</t>
        </is>
      </c>
    </row>
    <row r="50" ht="6" customHeight="1"/>
    <row r="51" ht="28" customHeight="1">
      <c r="B51" s="18" t="inlineStr">
        <is>
          <t>투자금액 구간</t>
        </is>
      </c>
      <c r="C51" s="19" t="inlineStr">
        <is>
          <t>월 분배금(세전)</t>
        </is>
      </c>
      <c r="D51" s="19" t="inlineStr">
        <is>
          <t>월 분배금(세후)</t>
        </is>
      </c>
      <c r="E51" s="19" t="inlineStr">
        <is>
          <t>연 분배금(세전)</t>
        </is>
      </c>
      <c r="F51" s="20" t="inlineStr">
        <is>
          <t>연 분배금(세후)</t>
        </is>
      </c>
    </row>
    <row r="52" ht="19" customHeight="1">
      <c r="B52" s="47" t="n">
        <v>10000000</v>
      </c>
      <c r="C52" s="48">
        <f>$B52*$C$44/12</f>
        <v/>
      </c>
      <c r="D52" s="48">
        <f>$C52*IF($G$30=0,1-$C$13,$H$30/$G$30)</f>
        <v/>
      </c>
      <c r="E52" s="48">
        <f>$B52*$C$44</f>
        <v/>
      </c>
      <c r="F52" s="49">
        <f>$E52*IF($G$30=0,1-$C$13,$H$30/$G$30)</f>
        <v/>
      </c>
    </row>
    <row r="53" ht="19" customHeight="1">
      <c r="B53" s="50" t="n">
        <v>30000000</v>
      </c>
      <c r="C53" s="51">
        <f>$B53*$C$44/12</f>
        <v/>
      </c>
      <c r="D53" s="51">
        <f>$C53*IF($G$30=0,1-$C$13,$H$30/$G$30)</f>
        <v/>
      </c>
      <c r="E53" s="51">
        <f>$B53*$C$44</f>
        <v/>
      </c>
      <c r="F53" s="52">
        <f>$E53*IF($G$30=0,1-$C$13,$H$30/$G$30)</f>
        <v/>
      </c>
    </row>
    <row r="54" ht="19" customHeight="1">
      <c r="B54" s="47" t="n">
        <v>50000000</v>
      </c>
      <c r="C54" s="48">
        <f>$B54*$C$44/12</f>
        <v/>
      </c>
      <c r="D54" s="48">
        <f>$C54*IF($G$30=0,1-$C$13,$H$30/$G$30)</f>
        <v/>
      </c>
      <c r="E54" s="48">
        <f>$B54*$C$44</f>
        <v/>
      </c>
      <c r="F54" s="49">
        <f>$E54*IF($G$30=0,1-$C$13,$H$30/$G$30)</f>
        <v/>
      </c>
    </row>
    <row r="55" ht="19" customHeight="1">
      <c r="B55" s="50" t="n">
        <v>100000000</v>
      </c>
      <c r="C55" s="51">
        <f>$B55*$C$44/12</f>
        <v/>
      </c>
      <c r="D55" s="51">
        <f>$C55*IF($G$30=0,1-$C$13,$H$30/$G$30)</f>
        <v/>
      </c>
      <c r="E55" s="51">
        <f>$B55*$C$44</f>
        <v/>
      </c>
      <c r="F55" s="52">
        <f>$E55*IF($G$30=0,1-$C$13,$H$30/$G$30)</f>
        <v/>
      </c>
    </row>
    <row r="56" ht="19" customHeight="1">
      <c r="B56" s="47" t="n">
        <v>200000000</v>
      </c>
      <c r="C56" s="48">
        <f>$B56*$C$44/12</f>
        <v/>
      </c>
      <c r="D56" s="48">
        <f>$C56*IF($G$30=0,1-$C$13,$H$30/$G$30)</f>
        <v/>
      </c>
      <c r="E56" s="48">
        <f>$B56*$C$44</f>
        <v/>
      </c>
      <c r="F56" s="49">
        <f>$E56*IF($G$30=0,1-$C$13,$H$30/$G$30)</f>
        <v/>
      </c>
    </row>
    <row r="57" ht="19" customHeight="1">
      <c r="B57" s="50" t="n">
        <v>300000000</v>
      </c>
      <c r="C57" s="51">
        <f>$B57*$C$44/12</f>
        <v/>
      </c>
      <c r="D57" s="51">
        <f>$C57*IF($G$30=0,1-$C$13,$H$30/$G$30)</f>
        <v/>
      </c>
      <c r="E57" s="51">
        <f>$B57*$C$44</f>
        <v/>
      </c>
      <c r="F57" s="52">
        <f>$E57*IF($G$30=0,1-$C$13,$H$30/$G$30)</f>
        <v/>
      </c>
    </row>
    <row r="58" ht="19" customHeight="1">
      <c r="B58" s="47" t="n">
        <v>500000000</v>
      </c>
      <c r="C58" s="48">
        <f>$B58*$C$44/12</f>
        <v/>
      </c>
      <c r="D58" s="48">
        <f>$C58*IF($G$30=0,1-$C$13,$H$30/$G$30)</f>
        <v/>
      </c>
      <c r="E58" s="48">
        <f>$B58*$C$44</f>
        <v/>
      </c>
      <c r="F58" s="49">
        <f>$E58*IF($G$30=0,1-$C$13,$H$30/$G$30)</f>
        <v/>
      </c>
    </row>
    <row r="59" ht="19" customHeight="1">
      <c r="B59" s="53" t="n">
        <v>1000000000</v>
      </c>
      <c r="C59" s="54">
        <f>$B59*$C$44/12</f>
        <v/>
      </c>
      <c r="D59" s="54">
        <f>$C59*IF($G$30=0,1-$C$13,$H$30/$G$30)</f>
        <v/>
      </c>
      <c r="E59" s="54">
        <f>$B59*$C$44</f>
        <v/>
      </c>
      <c r="F59" s="55">
        <f>$E59*IF($G$30=0,1-$C$13,$H$30/$G$30)</f>
        <v/>
      </c>
    </row>
    <row r="60">
      <c r="B60" s="7" t="inlineStr">
        <is>
          <t>※ 단주 절사를 반영하지 않은 근사치라 2·3. 의 값과 몇 천 원 차이가 날 수 있습니다.</t>
        </is>
      </c>
    </row>
    <row r="62" ht="4" customHeight="1">
      <c r="A62" s="8" t="n"/>
      <c r="B62" s="8" t="n"/>
      <c r="C62" s="8" t="n"/>
      <c r="D62" s="8" t="n"/>
      <c r="E62" s="8" t="n"/>
      <c r="F62" s="8" t="n"/>
      <c r="G62" s="8" t="n"/>
      <c r="H62" s="8" t="n"/>
    </row>
    <row r="63" ht="26" customHeight="1">
      <c r="A63" s="9" t="inlineStr">
        <is>
          <t>5</t>
        </is>
      </c>
      <c r="B63" s="10" t="inlineStr">
        <is>
          <t>월배당 ETF 비교  (1억원 단독 투자 기준 · 연 분배율 상위 8 + 순자산 상위 6, 파킹형 제외 · 채택 월배당 67종목 중)</t>
        </is>
      </c>
    </row>
    <row r="64" ht="6" customHeight="1"/>
    <row r="65" ht="30" customHeight="1">
      <c r="B65" s="18" t="inlineStr">
        <is>
          <t>종목명</t>
        </is>
      </c>
      <c r="C65" s="19" t="inlineStr">
        <is>
          <t>유형</t>
        </is>
      </c>
      <c r="D65" s="19" t="inlineStr">
        <is>
          <t>현재가</t>
        </is>
      </c>
      <c r="E65" s="19" t="inlineStr">
        <is>
          <t>연 분배율</t>
        </is>
      </c>
      <c r="F65" s="19" t="inlineStr">
        <is>
          <t>월 분배금(세전)</t>
        </is>
      </c>
      <c r="G65" s="19" t="inlineStr">
        <is>
          <t>월 분배금(세후)</t>
        </is>
      </c>
      <c r="H65" s="20" t="inlineStr">
        <is>
          <t>변동성(1년)</t>
        </is>
      </c>
    </row>
    <row r="66" ht="19" customHeight="1">
      <c r="B66" s="56">
        <f>'ETF데이터'!$A$4</f>
        <v/>
      </c>
      <c r="C66" s="57">
        <f>'ETF데이터'!$P$4</f>
        <v/>
      </c>
      <c r="D66" s="48">
        <f>'ETF데이터'!$D$4</f>
        <v/>
      </c>
      <c r="E66" s="58">
        <f>'ETF데이터'!$J$4</f>
        <v/>
      </c>
      <c r="F66" s="48">
        <f>IF($D66=0,0,ROUNDDOWN(100000000/$D66,0)*$D66*$E66/12)</f>
        <v/>
      </c>
      <c r="G66" s="48">
        <f>$F66*(1-$C$13*'ETF데이터'!$T$4)</f>
        <v/>
      </c>
      <c r="H66" s="59">
        <f>'ETF데이터'!$H$4</f>
        <v/>
      </c>
    </row>
    <row r="67" ht="19" customHeight="1">
      <c r="B67" s="60">
        <f>'ETF데이터'!$A$5</f>
        <v/>
      </c>
      <c r="C67" s="61">
        <f>'ETF데이터'!$P$5</f>
        <v/>
      </c>
      <c r="D67" s="51">
        <f>'ETF데이터'!$D$5</f>
        <v/>
      </c>
      <c r="E67" s="62">
        <f>'ETF데이터'!$J$5</f>
        <v/>
      </c>
      <c r="F67" s="51">
        <f>IF($D67=0,0,ROUNDDOWN(100000000/$D67,0)*$D67*$E67/12)</f>
        <v/>
      </c>
      <c r="G67" s="51">
        <f>$F67*(1-$C$13*'ETF데이터'!$T$5)</f>
        <v/>
      </c>
      <c r="H67" s="63">
        <f>'ETF데이터'!$H$5</f>
        <v/>
      </c>
    </row>
    <row r="68" ht="19" customHeight="1">
      <c r="B68" s="56">
        <f>'ETF데이터'!$A$6</f>
        <v/>
      </c>
      <c r="C68" s="57">
        <f>'ETF데이터'!$P$6</f>
        <v/>
      </c>
      <c r="D68" s="48">
        <f>'ETF데이터'!$D$6</f>
        <v/>
      </c>
      <c r="E68" s="58">
        <f>'ETF데이터'!$J$6</f>
        <v/>
      </c>
      <c r="F68" s="48">
        <f>IF($D68=0,0,ROUNDDOWN(100000000/$D68,0)*$D68*$E68/12)</f>
        <v/>
      </c>
      <c r="G68" s="48">
        <f>$F68*(1-$C$13*'ETF데이터'!$T$6)</f>
        <v/>
      </c>
      <c r="H68" s="59">
        <f>'ETF데이터'!$H$6</f>
        <v/>
      </c>
    </row>
    <row r="69" ht="19" customHeight="1">
      <c r="B69" s="60">
        <f>'ETF데이터'!$A$7</f>
        <v/>
      </c>
      <c r="C69" s="61">
        <f>'ETF데이터'!$P$7</f>
        <v/>
      </c>
      <c r="D69" s="51">
        <f>'ETF데이터'!$D$7</f>
        <v/>
      </c>
      <c r="E69" s="62">
        <f>'ETF데이터'!$J$7</f>
        <v/>
      </c>
      <c r="F69" s="51">
        <f>IF($D69=0,0,ROUNDDOWN(100000000/$D69,0)*$D69*$E69/12)</f>
        <v/>
      </c>
      <c r="G69" s="51">
        <f>$F69*(1-$C$13*'ETF데이터'!$T$7)</f>
        <v/>
      </c>
      <c r="H69" s="63">
        <f>'ETF데이터'!$H$7</f>
        <v/>
      </c>
    </row>
    <row r="70" ht="19" customHeight="1">
      <c r="B70" s="56">
        <f>'ETF데이터'!$A$8</f>
        <v/>
      </c>
      <c r="C70" s="57">
        <f>'ETF데이터'!$P$8</f>
        <v/>
      </c>
      <c r="D70" s="48">
        <f>'ETF데이터'!$D$8</f>
        <v/>
      </c>
      <c r="E70" s="58">
        <f>'ETF데이터'!$J$8</f>
        <v/>
      </c>
      <c r="F70" s="48">
        <f>IF($D70=0,0,ROUNDDOWN(100000000/$D70,0)*$D70*$E70/12)</f>
        <v/>
      </c>
      <c r="G70" s="48">
        <f>$F70*(1-$C$13*'ETF데이터'!$T$8)</f>
        <v/>
      </c>
      <c r="H70" s="59">
        <f>'ETF데이터'!$H$8</f>
        <v/>
      </c>
    </row>
    <row r="71" ht="19" customHeight="1">
      <c r="B71" s="60">
        <f>'ETF데이터'!$A$9</f>
        <v/>
      </c>
      <c r="C71" s="61">
        <f>'ETF데이터'!$P$9</f>
        <v/>
      </c>
      <c r="D71" s="51">
        <f>'ETF데이터'!$D$9</f>
        <v/>
      </c>
      <c r="E71" s="62">
        <f>'ETF데이터'!$J$9</f>
        <v/>
      </c>
      <c r="F71" s="51">
        <f>IF($D71=0,0,ROUNDDOWN(100000000/$D71,0)*$D71*$E71/12)</f>
        <v/>
      </c>
      <c r="G71" s="51">
        <f>$F71*(1-$C$13*'ETF데이터'!$T$9)</f>
        <v/>
      </c>
      <c r="H71" s="63">
        <f>'ETF데이터'!$H$9</f>
        <v/>
      </c>
    </row>
    <row r="72" ht="19" customHeight="1">
      <c r="B72" s="56">
        <f>'ETF데이터'!$A$10</f>
        <v/>
      </c>
      <c r="C72" s="57">
        <f>'ETF데이터'!$P$10</f>
        <v/>
      </c>
      <c r="D72" s="48">
        <f>'ETF데이터'!$D$10</f>
        <v/>
      </c>
      <c r="E72" s="58">
        <f>'ETF데이터'!$J$10</f>
        <v/>
      </c>
      <c r="F72" s="48">
        <f>IF($D72=0,0,ROUNDDOWN(100000000/$D72,0)*$D72*$E72/12)</f>
        <v/>
      </c>
      <c r="G72" s="48">
        <f>$F72*(1-$C$13*'ETF데이터'!$T$10)</f>
        <v/>
      </c>
      <c r="H72" s="59">
        <f>'ETF데이터'!$H$10</f>
        <v/>
      </c>
    </row>
    <row r="73" ht="19" customHeight="1">
      <c r="B73" s="60">
        <f>'ETF데이터'!$A$11</f>
        <v/>
      </c>
      <c r="C73" s="61">
        <f>'ETF데이터'!$P$11</f>
        <v/>
      </c>
      <c r="D73" s="51">
        <f>'ETF데이터'!$D$11</f>
        <v/>
      </c>
      <c r="E73" s="62">
        <f>'ETF데이터'!$J$11</f>
        <v/>
      </c>
      <c r="F73" s="51">
        <f>IF($D73=0,0,ROUNDDOWN(100000000/$D73,0)*$D73*$E73/12)</f>
        <v/>
      </c>
      <c r="G73" s="51">
        <f>$F73*(1-$C$13*'ETF데이터'!$T$11)</f>
        <v/>
      </c>
      <c r="H73" s="63">
        <f>'ETF데이터'!$H$11</f>
        <v/>
      </c>
    </row>
    <row r="74" ht="19" customHeight="1">
      <c r="B74" s="56">
        <f>'ETF데이터'!$A$17</f>
        <v/>
      </c>
      <c r="C74" s="57">
        <f>'ETF데이터'!$P$17</f>
        <v/>
      </c>
      <c r="D74" s="48">
        <f>'ETF데이터'!$D$17</f>
        <v/>
      </c>
      <c r="E74" s="58">
        <f>'ETF데이터'!$J$17</f>
        <v/>
      </c>
      <c r="F74" s="48">
        <f>IF($D74=0,0,ROUNDDOWN(100000000/$D74,0)*$D74*$E74/12)</f>
        <v/>
      </c>
      <c r="G74" s="48">
        <f>$F74*(1-$C$13*'ETF데이터'!$T$17)</f>
        <v/>
      </c>
      <c r="H74" s="59">
        <f>'ETF데이터'!$H$17</f>
        <v/>
      </c>
    </row>
    <row r="75" ht="19" customHeight="1">
      <c r="B75" s="60">
        <f>'ETF데이터'!$A$25</f>
        <v/>
      </c>
      <c r="C75" s="61">
        <f>'ETF데이터'!$P$25</f>
        <v/>
      </c>
      <c r="D75" s="51">
        <f>'ETF데이터'!$D$25</f>
        <v/>
      </c>
      <c r="E75" s="62">
        <f>'ETF데이터'!$J$25</f>
        <v/>
      </c>
      <c r="F75" s="51">
        <f>IF($D75=0,0,ROUNDDOWN(100000000/$D75,0)*$D75*$E75/12)</f>
        <v/>
      </c>
      <c r="G75" s="51">
        <f>$F75*(1-$C$13*'ETF데이터'!$T$25)</f>
        <v/>
      </c>
      <c r="H75" s="63">
        <f>'ETF데이터'!$H$25</f>
        <v/>
      </c>
    </row>
    <row r="76" ht="19" customHeight="1">
      <c r="B76" s="56">
        <f>'ETF데이터'!$A$40</f>
        <v/>
      </c>
      <c r="C76" s="57">
        <f>'ETF데이터'!$P$40</f>
        <v/>
      </c>
      <c r="D76" s="48">
        <f>'ETF데이터'!$D$40</f>
        <v/>
      </c>
      <c r="E76" s="58">
        <f>'ETF데이터'!$J$40</f>
        <v/>
      </c>
      <c r="F76" s="48">
        <f>IF($D76=0,0,ROUNDDOWN(100000000/$D76,0)*$D76*$E76/12)</f>
        <v/>
      </c>
      <c r="G76" s="48">
        <f>$F76*(1-$C$13*'ETF데이터'!$T$40)</f>
        <v/>
      </c>
      <c r="H76" s="59">
        <f>'ETF데이터'!$H$40</f>
        <v/>
      </c>
    </row>
    <row r="77" ht="19" customHeight="1">
      <c r="B77" s="60">
        <f>'ETF데이터'!$A$54</f>
        <v/>
      </c>
      <c r="C77" s="61">
        <f>'ETF데이터'!$P$54</f>
        <v/>
      </c>
      <c r="D77" s="51">
        <f>'ETF데이터'!$D$54</f>
        <v/>
      </c>
      <c r="E77" s="62">
        <f>'ETF데이터'!$J$54</f>
        <v/>
      </c>
      <c r="F77" s="51">
        <f>IF($D77=0,0,ROUNDDOWN(100000000/$D77,0)*$D77*$E77/12)</f>
        <v/>
      </c>
      <c r="G77" s="51">
        <f>$F77*(1-$C$13*'ETF데이터'!$T$54)</f>
        <v/>
      </c>
      <c r="H77" s="63">
        <f>'ETF데이터'!$H$54</f>
        <v/>
      </c>
    </row>
    <row r="78" ht="19" customHeight="1">
      <c r="B78" s="56">
        <f>'ETF데이터'!$A$64</f>
        <v/>
      </c>
      <c r="C78" s="57">
        <f>'ETF데이터'!$P$64</f>
        <v/>
      </c>
      <c r="D78" s="48">
        <f>'ETF데이터'!$D$64</f>
        <v/>
      </c>
      <c r="E78" s="58">
        <f>'ETF데이터'!$J$64</f>
        <v/>
      </c>
      <c r="F78" s="48">
        <f>IF($D78=0,0,ROUNDDOWN(100000000/$D78,0)*$D78*$E78/12)</f>
        <v/>
      </c>
      <c r="G78" s="48">
        <f>$F78*(1-$C$13*'ETF데이터'!$T$64)</f>
        <v/>
      </c>
      <c r="H78" s="59">
        <f>'ETF데이터'!$H$64</f>
        <v/>
      </c>
    </row>
    <row r="79" ht="19" customHeight="1">
      <c r="B79" s="64">
        <f>'ETF데이터'!$A$88</f>
        <v/>
      </c>
      <c r="C79" s="65">
        <f>'ETF데이터'!$P$88</f>
        <v/>
      </c>
      <c r="D79" s="54">
        <f>'ETF데이터'!$D$88</f>
        <v/>
      </c>
      <c r="E79" s="66">
        <f>'ETF데이터'!$J$88</f>
        <v/>
      </c>
      <c r="F79" s="54">
        <f>IF($D79=0,0,ROUNDDOWN(100000000/$D79,0)*$D79*$E79/12)</f>
        <v/>
      </c>
      <c r="G79" s="54">
        <f>$F79*(1-$C$13*'ETF데이터'!$T$88)</f>
        <v/>
      </c>
      <c r="H79" s="67">
        <f>'ETF데이터'!$H$88</f>
        <v/>
      </c>
    </row>
    <row r="80">
      <c r="B80" s="7" t="inlineStr">
        <is>
          <t>※ 드롭다운에는 기준 미달 종목까지 전부 담겨 있습니다. 위 표에는 기준을 통과한 종목만 실었습니다.</t>
        </is>
      </c>
    </row>
    <row r="82" ht="4" customHeight="1">
      <c r="A82" s="8" t="n"/>
      <c r="B82" s="8" t="n"/>
      <c r="C82" s="8" t="n"/>
      <c r="D82" s="8" t="n"/>
      <c r="E82" s="8" t="n"/>
      <c r="F82" s="8" t="n"/>
      <c r="G82" s="8" t="n"/>
      <c r="H82" s="8" t="n"/>
    </row>
    <row r="83" ht="26" customHeight="1">
      <c r="A83" s="9" t="inlineStr">
        <is>
          <t>6</t>
        </is>
      </c>
      <c r="B83" s="10" t="inlineStr">
        <is>
          <t>유의사항</t>
        </is>
      </c>
    </row>
    <row r="84" ht="6" customHeight="1"/>
    <row r="85" ht="16" customHeight="1">
      <c r="B85" s="68" t="inlineStr">
        <is>
          <t>· 이 자료는 투자 권유가 아니라 참고 자료입니다. 최종 투자 판단과 그 결과는 투자자 본인에게 귀속됩니다.</t>
        </is>
      </c>
    </row>
    <row r="86" ht="16" customHeight="1">
      <c r="B86" s="68" t="inlineStr">
        <is>
          <t>· ETF 는 예금자보호법의 보호를 받지 않으며, 원금 손실이 발생할 수 있습니다.</t>
        </is>
      </c>
    </row>
    <row r="87" ht="16" customHeight="1">
      <c r="B87" s="7" t="inlineStr">
        <is>
          <t>· 분배금은 확정되지 않습니다. 커버드콜 ETF 의 분배 재원은 옵션 프리미엄이므로, 시장 변동성이 낮아지면 분배금도 함께 줄어듭니다.</t>
        </is>
      </c>
    </row>
    <row r="88" ht="16" customHeight="1">
      <c r="B88" s="7" t="inlineStr">
        <is>
          <t>· 분배금의 일부가 원금에서 지급될 수 있습니다(자본 환급). 이 경우 기준가가 그만큼 낮아집니다.</t>
        </is>
      </c>
    </row>
    <row r="89" ht="16" customHeight="1">
      <c r="B89" s="7" t="inlineStr">
        <is>
          <t>· 표시된 연 분배율은 최근 12개월 실제 분배금 합계를 현재가로 나눈 값(사후 수치)이며, 앞으로의 수익률을 보장하지 않습니다.</t>
        </is>
      </c>
    </row>
    <row r="90" ht="16" customHeight="1">
      <c r="B90" s="7" t="inlineStr">
        <is>
          <t>· 세율은 국내 상장 ETF 분배금 기준 15.4%(배당소득세 14% + 지방소득세 1.4%)를 적용했습니다. 금융소득종합과세 대상자는 실효세율이 달라집니다.</t>
        </is>
      </c>
    </row>
    <row r="91" ht="16" customHeight="1">
      <c r="B91" s="7" t="inlineStr">
        <is>
          <t>· 세금은 분배금 전액이 아니라 과세표준액에만 붙습니다. 국내주식 매매차익과 장내파생 손익은 과세표준에 들어가지 않으므로, 그 재원으로 분배하는 종목은 분배금의 상당 부분이 비과세입니다. 그래서 종목마다 다른 과세비율을 적용했습니다(고를 수 있는 591종목 중 591종목). 비율은 [ETF데이터] 장의 '과세비율' 칸에 있습니다.</t>
        </is>
      </c>
    </row>
    <row r="92" ht="16" customHeight="1">
      <c r="B92" s="7" t="inlineStr">
        <is>
          <t>· 과세비율은 최근 12개월에 실제로 매겨진 과세표준액을 같은 기간 분배금으로 나눈 값입니다. 지나간 실적이므로 앞으로도 같다는 뜻은 아닙니다 — 분배 재원(배당·이자·매매차익·파생손익)의 구성이 바뀌면 비율도 함께 바뀌고, 실제로 한 종목 안에서도 회차마다 0%에서 17%까지 움직인 사례가 있습니다. 실제 세액은 지급 시점의 과세표준으로 확정되므로 이 표와 다를 수 있습니다. 과세비율을 확인하지 못한 종목은 그 칸이 비어 있고, 분배금 전액에 세율을 적용해 보수적으로 계산했으므로 실제 세후 수령액이 표시된 금액보다 많을 수 있습니다.</t>
        </is>
      </c>
    </row>
    <row r="93" ht="16" customHeight="1">
      <c r="B93" s="7" t="inlineStr">
        <is>
          <t>· 세무 상담이 필요한 사안은 이 문서로 갈음하지 마시고 세무 전문가의 확인을 받으십시오.</t>
        </is>
      </c>
    </row>
    <row r="94" ht="16" customHeight="1">
      <c r="B94" s="7" t="inlineStr">
        <is>
          <t>· 매매수수료·거래세·환율 변동은 반영하지 않았습니다. 총보수는 분배율에 이미 반영되어 있습니다(기준가 차감).</t>
        </is>
      </c>
    </row>
    <row r="95" ht="16" customHeight="1">
      <c r="B95" s="7" t="inlineStr">
        <is>
          <t>· 수량은 정수 매수를 가정해 내림 처리했습니다. 남는 금액은 '미투자 잔액'에 표시됩니다.</t>
        </is>
      </c>
    </row>
    <row r="96" ht="16" customHeight="1">
      <c r="B96" s="7" t="inlineStr">
        <is>
          <t>· 여러 종목에 나눠 담아도 분배 시기는 종목마다 다릅니다. 매월 같은 날 한꺼번에 들어오지 않습니다.</t>
        </is>
      </c>
    </row>
    <row r="97" ht="16" customHeight="1">
      <c r="B97" s="7" t="inlineStr">
        <is>
          <t>· 목록에는 커버드콜뿐 아니라 리츠·채권형·배당주·파킹형 월배당 ETF 가 함께 있습니다. 분배 재원과 위험이 서로 다르므로 [ETF데이터] 장의 '유형'·'자산군' 칸을 확인하십시오.</t>
        </is>
      </c>
    </row>
    <row r="98" ht="16" customHeight="1">
      <c r="B98" s="7" t="inlineStr">
        <is>
          <t>· 드롭다운에는 유동성·변동성 기준에 미달한 종목도 담겨 있습니다. 담으면 2. 아래에 안내가 뜹니다.</t>
        </is>
      </c>
    </row>
    <row r="100" ht="15" customHeight="1">
      <c r="B100" s="69" t="inlineStr">
        <is>
          <t>자료 출처 ETFCHECK (www.etfcheck.co.kr) · 수집 2026-10-04T14:13:52.041Z · 대상 국내 상장 월배당 ETF · 채택 기준 순자산 300억원 이상, 60일 평균거래대금 5억원 이상, 연환산 변동성 35% 이하, 분배 이력 12개월 이상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25">
    <mergeCell ref="B92:H92"/>
    <mergeCell ref="B95:H95"/>
    <mergeCell ref="B33:H33"/>
    <mergeCell ref="A1:H1"/>
    <mergeCell ref="B89:H89"/>
    <mergeCell ref="B85:H85"/>
    <mergeCell ref="B32:H32"/>
    <mergeCell ref="B94:H94"/>
    <mergeCell ref="B97:H97"/>
    <mergeCell ref="B35:H35"/>
    <mergeCell ref="B91:H91"/>
    <mergeCell ref="B100:H100"/>
    <mergeCell ref="B90:H90"/>
    <mergeCell ref="B31:H31"/>
    <mergeCell ref="A3:H3"/>
    <mergeCell ref="B93:H93"/>
    <mergeCell ref="B96:H96"/>
    <mergeCell ref="A2:H2"/>
    <mergeCell ref="B86:H86"/>
    <mergeCell ref="A5:H5"/>
    <mergeCell ref="B98:H98"/>
    <mergeCell ref="B88:H88"/>
    <mergeCell ref="B87:H87"/>
    <mergeCell ref="G40:H40"/>
    <mergeCell ref="B34:H34"/>
  </mergeCells>
  <dataValidations count="2">
    <dataValidation sqref="C12" showDropDown="0" showInputMessage="0" showErrorMessage="0" allowBlank="0" errorTitle="배분 방식" error="비율 또는 금액 중에서 고르십시오." promptTitle="배분 방식" prompt="비율(%) 로 나눌지, 금액(원) 으로 나눌지 고르십시오." type="list">
      <formula1>"비율,금액"</formula1>
    </dataValidation>
    <dataValidation sqref="B20:B29" showDropDown="0" showInputMessage="0" showErrorMessage="0" allowBlank="1" errorTitle="선택할 수 없는 종목" error="목록에 있는 ETF 중에서 고르십시오. 검색 칸을 비우면 전체 목록이 나옵니다." promptTitle="ETF 선택" prompt="▼ 를 눌러 고르십시오. 위 '종목 검색' 으로 목록을 좁힐 수 있습니다." type="list">
      <formula1>=검색결과</formula1>
    </dataValidation>
  </dataValidations>
  <printOptions horizontalCentered="1"/>
  <pageMargins left="0.35" right="0.35" top="0.45" bottom="0.45" header="0.5" footer="0.5"/>
  <pageSetup orientation="portrait" paperSize="9" fitToHeight="0" fitToWidth="1"/>
  <headerFooter>
    <oddHeader/>
    <oddFooter>&amp;R&amp;8 &amp;K6C6C6C&amp;P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4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2.5" customWidth="1" min="1" max="1"/>
    <col width="34" customWidth="1" min="2" max="2"/>
    <col width="13" customWidth="1" min="3" max="3"/>
    <col width="14" customWidth="1" min="4" max="4"/>
    <col width="14" customWidth="1" min="5" max="5"/>
    <col width="13" customWidth="1" min="6" max="6"/>
    <col width="15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9" customWidth="1" min="13" max="13"/>
    <col hidden="1" width="13" customWidth="1" min="15" max="15"/>
    <col hidden="1" width="13" customWidth="1" min="16" max="16"/>
    <col hidden="1" width="13" customWidth="1" min="17" max="17"/>
    <col hidden="1" width="13" customWidth="1" min="18" max="18"/>
  </cols>
  <sheetData>
    <row r="1" ht="16" customHeight="1">
      <c r="A1" s="1" t="inlineStr">
        <is>
          <t xml:space="preserve">   사내한 · Confidential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40" customHeight="1">
      <c r="A2" s="4" t="inlineStr">
        <is>
          <t xml:space="preserve">   ETF 종목 조회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2" customHeight="1">
      <c r="A3" s="5" t="inlineStr">
        <is>
          <t xml:space="preserve">   ETF Screener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 ht="3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</row>
    <row r="5" ht="20" customHeight="1">
      <c r="A5" s="7" t="inlineStr">
        <is>
          <t xml:space="preserve">   자료 ETFCHECK · 기준일 2026-10-02 · 지급주기와 연 분배율로 고릅니다</t>
        </is>
      </c>
    </row>
    <row r="7" ht="4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</row>
    <row r="8" ht="26" customHeight="1">
      <c r="A8" s="9" t="inlineStr">
        <is>
          <t>1</t>
        </is>
      </c>
      <c r="B8" s="10" t="inlineStr">
        <is>
          <t>조회 조건</t>
        </is>
      </c>
    </row>
    <row r="9" ht="6" customHeight="1"/>
    <row r="10">
      <c r="B10" s="70" t="inlineStr">
        <is>
          <t>지급주기</t>
        </is>
      </c>
      <c r="C10" s="17" t="inlineStr">
        <is>
          <t>전체</t>
        </is>
      </c>
      <c r="E10" s="7" t="inlineStr">
        <is>
          <t>분배율은 백분율로 넣으십시오 (예: 5%). 최소·최대 사이에 드는 종목만 나옵니다.</t>
        </is>
      </c>
    </row>
    <row r="11">
      <c r="B11" s="70" t="inlineStr">
        <is>
          <t>연 분배율 최소</t>
        </is>
      </c>
      <c r="C11" s="71" t="n">
        <v>0</v>
      </c>
      <c r="E11" s="7" t="inlineStr">
        <is>
          <t>'판정 불가' 는 상장 1년이 안 돼 주기를 말할 수 없는 종목입니다. 빼지 않고 그대로 담았습니다.</t>
        </is>
      </c>
    </row>
    <row r="12">
      <c r="B12" s="70" t="inlineStr">
        <is>
          <t>연 분배율 최대</t>
        </is>
      </c>
      <c r="C12" s="71" t="n">
        <v>1</v>
      </c>
      <c r="E12" s="7" t="inlineStr">
        <is>
          <t>결과는 기준을 통과한 종목이 먼저, 그 안에서 연 분배율 높은 순입니다.</t>
        </is>
      </c>
    </row>
    <row r="14" ht="22" customHeight="1">
      <c r="B14" s="11" t="inlineStr">
        <is>
          <t>조건에 맞는 종목</t>
        </is>
      </c>
      <c r="C14" s="72">
        <f>COUNTIF('ETF데이터'!$AA$4:$AA$594,1)</f>
        <v/>
      </c>
      <c r="D14" s="3" t="inlineStr">
        <is>
          <t>전체 591종목 중</t>
        </is>
      </c>
    </row>
    <row r="16" ht="4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</row>
    <row r="17" ht="26" customHeight="1">
      <c r="A17" s="9" t="inlineStr">
        <is>
          <t>2</t>
        </is>
      </c>
      <c r="B17" s="10" t="inlineStr">
        <is>
          <t>조회 결과 (최대 60종목)</t>
        </is>
      </c>
    </row>
    <row r="18" ht="6" customHeight="1"/>
    <row r="19" ht="30" customHeight="1">
      <c r="B19" s="18" t="inlineStr">
        <is>
          <t>종목명</t>
        </is>
      </c>
      <c r="C19" s="19" t="inlineStr">
        <is>
          <t>지급주기</t>
        </is>
      </c>
      <c r="D19" s="19" t="inlineStr">
        <is>
          <t>연 분배율</t>
        </is>
      </c>
      <c r="E19" s="19" t="inlineStr">
        <is>
          <t>월 환산</t>
        </is>
      </c>
      <c r="F19" s="19" t="inlineStr">
        <is>
          <t>현재가</t>
        </is>
      </c>
      <c r="G19" s="19" t="inlineStr">
        <is>
          <t>변동성</t>
        </is>
      </c>
      <c r="H19" s="19" t="inlineStr">
        <is>
          <t>순자산</t>
        </is>
      </c>
      <c r="I19" s="19" t="inlineStr">
        <is>
          <t>총수익 1년</t>
        </is>
      </c>
      <c r="J19" s="19" t="inlineStr">
        <is>
          <t>기준가 1년</t>
        </is>
      </c>
      <c r="K19" s="19" t="inlineStr">
        <is>
          <t>기준가 6개월</t>
        </is>
      </c>
      <c r="L19" s="19" t="inlineStr">
        <is>
          <t>기준가 3개월</t>
        </is>
      </c>
      <c r="M19" s="19" t="inlineStr">
        <is>
          <t>채택</t>
        </is>
      </c>
      <c r="N19" s="20" t="inlineStr">
        <is>
          <t>담기</t>
        </is>
      </c>
    </row>
    <row r="20">
      <c r="B20" s="56">
        <f>IF($O20=0,"",INDEX('ETF데이터'!$A$4:$A$594,$O20))</f>
        <v/>
      </c>
      <c r="C20" s="73">
        <f>IF($O20=0,"",INDEX('ETF데이터'!$R$4:$R$594,$O20))</f>
        <v/>
      </c>
      <c r="D20" s="74">
        <f>IF($O20=0,"",INDEX('ETF데이터'!$J$4:$J$594,$O20))</f>
        <v/>
      </c>
      <c r="E20" s="75">
        <f>IF($O20=0,"",$D20/12)</f>
        <v/>
      </c>
      <c r="F20" s="76">
        <f>IF($O20=0,"",INDEX('ETF데이터'!$D$4:$D$594,$O20))</f>
        <v/>
      </c>
      <c r="G20" s="74">
        <f>IF($O20=0,"",INDEX('ETF데이터'!$H$4:$H$594,$O20))</f>
        <v/>
      </c>
      <c r="H20" s="77">
        <f>IF($O20=0,"",INDEX('ETF데이터'!$E$4:$E$594,$O20)/100000000)</f>
        <v/>
      </c>
      <c r="I20" s="78">
        <f>IF($O20=0,"",IF(INDEX('ETF데이터'!$U$4:$U$594,$O20)="","",INDEX('ETF데이터'!$U$4:$U$594,$O20)))</f>
        <v/>
      </c>
      <c r="J20" s="78">
        <f>IF($O20=0,"",IF(INDEX('ETF데이터'!$V$4:$V$594,$O20)="","",INDEX('ETF데이터'!$V$4:$V$594,$O20)))</f>
        <v/>
      </c>
      <c r="K20" s="78">
        <f>IF($O20=0,"",IF(INDEX('ETF데이터'!$W$4:$W$594,$O20)="","",INDEX('ETF데이터'!$W$4:$W$594,$O20)))</f>
        <v/>
      </c>
      <c r="L20" s="78">
        <f>IF($O20=0,"",IF(INDEX('ETF데이터'!$X$4:$X$594,$O20)="","",INDEX('ETF데이터'!$X$4:$X$594,$O20)))</f>
        <v/>
      </c>
      <c r="M20" s="73">
        <f>IF($O20=0,"",INDEX('ETF데이터'!$M$4:$M$594,$O20))</f>
        <v/>
      </c>
      <c r="N20" s="79" t="n"/>
      <c r="O20">
        <f>IFERROR(MATCH(1,'ETF데이터'!$AB$4:$AB$594,0),0)</f>
        <v/>
      </c>
      <c r="P20">
        <f>IF(AND($B20&lt;&gt;"",$N20&lt;&gt;""),1,0)</f>
        <v/>
      </c>
      <c r="Q20">
        <f>IF($P20=1,0+1,0)</f>
        <v/>
      </c>
      <c r="R20">
        <f>IFERROR(INDEX($B$20:$B$79,MATCH(1,$Q$20:$Q$79,0)),"")</f>
        <v/>
      </c>
    </row>
    <row r="21">
      <c r="B21" s="60">
        <f>IF($O21=0,"",INDEX('ETF데이터'!$A$4:$A$594,$O21))</f>
        <v/>
      </c>
      <c r="C21" s="80">
        <f>IF($O21=0,"",INDEX('ETF데이터'!$R$4:$R$594,$O21))</f>
        <v/>
      </c>
      <c r="D21" s="81">
        <f>IF($O21=0,"",INDEX('ETF데이터'!$J$4:$J$594,$O21))</f>
        <v/>
      </c>
      <c r="E21" s="82">
        <f>IF($O21=0,"",$D21/12)</f>
        <v/>
      </c>
      <c r="F21" s="83">
        <f>IF($O21=0,"",INDEX('ETF데이터'!$D$4:$D$594,$O21))</f>
        <v/>
      </c>
      <c r="G21" s="81">
        <f>IF($O21=0,"",INDEX('ETF데이터'!$H$4:$H$594,$O21))</f>
        <v/>
      </c>
      <c r="H21" s="84">
        <f>IF($O21=0,"",INDEX('ETF데이터'!$E$4:$E$594,$O21)/100000000)</f>
        <v/>
      </c>
      <c r="I21" s="85">
        <f>IF($O21=0,"",IF(INDEX('ETF데이터'!$U$4:$U$594,$O21)="","",INDEX('ETF데이터'!$U$4:$U$594,$O21)))</f>
        <v/>
      </c>
      <c r="J21" s="85">
        <f>IF($O21=0,"",IF(INDEX('ETF데이터'!$V$4:$V$594,$O21)="","",INDEX('ETF데이터'!$V$4:$V$594,$O21)))</f>
        <v/>
      </c>
      <c r="K21" s="85">
        <f>IF($O21=0,"",IF(INDEX('ETF데이터'!$W$4:$W$594,$O21)="","",INDEX('ETF데이터'!$W$4:$W$594,$O21)))</f>
        <v/>
      </c>
      <c r="L21" s="85">
        <f>IF($O21=0,"",IF(INDEX('ETF데이터'!$X$4:$X$594,$O21)="","",INDEX('ETF데이터'!$X$4:$X$594,$O21)))</f>
        <v/>
      </c>
      <c r="M21" s="80">
        <f>IF($O21=0,"",INDEX('ETF데이터'!$M$4:$M$594,$O21))</f>
        <v/>
      </c>
      <c r="N21" s="79" t="n"/>
      <c r="O21">
        <f>IFERROR(MATCH(2,'ETF데이터'!$AB$4:$AB$594,0),0)</f>
        <v/>
      </c>
      <c r="P21">
        <f>IF(AND($B21&lt;&gt;"",$N21&lt;&gt;""),1,0)</f>
        <v/>
      </c>
      <c r="Q21">
        <f>IF($P21=1,$Q20+1,$Q20)</f>
        <v/>
      </c>
      <c r="R21">
        <f>IFERROR(INDEX($B$20:$B$79,MATCH(2,$Q$20:$Q$79,0)),"")</f>
        <v/>
      </c>
    </row>
    <row r="22">
      <c r="B22" s="56">
        <f>IF($O22=0,"",INDEX('ETF데이터'!$A$4:$A$594,$O22))</f>
        <v/>
      </c>
      <c r="C22" s="73">
        <f>IF($O22=0,"",INDEX('ETF데이터'!$R$4:$R$594,$O22))</f>
        <v/>
      </c>
      <c r="D22" s="74">
        <f>IF($O22=0,"",INDEX('ETF데이터'!$J$4:$J$594,$O22))</f>
        <v/>
      </c>
      <c r="E22" s="75">
        <f>IF($O22=0,"",$D22/12)</f>
        <v/>
      </c>
      <c r="F22" s="76">
        <f>IF($O22=0,"",INDEX('ETF데이터'!$D$4:$D$594,$O22))</f>
        <v/>
      </c>
      <c r="G22" s="74">
        <f>IF($O22=0,"",INDEX('ETF데이터'!$H$4:$H$594,$O22))</f>
        <v/>
      </c>
      <c r="H22" s="77">
        <f>IF($O22=0,"",INDEX('ETF데이터'!$E$4:$E$594,$O22)/100000000)</f>
        <v/>
      </c>
      <c r="I22" s="78">
        <f>IF($O22=0,"",IF(INDEX('ETF데이터'!$U$4:$U$594,$O22)="","",INDEX('ETF데이터'!$U$4:$U$594,$O22)))</f>
        <v/>
      </c>
      <c r="J22" s="78">
        <f>IF($O22=0,"",IF(INDEX('ETF데이터'!$V$4:$V$594,$O22)="","",INDEX('ETF데이터'!$V$4:$V$594,$O22)))</f>
        <v/>
      </c>
      <c r="K22" s="78">
        <f>IF($O22=0,"",IF(INDEX('ETF데이터'!$W$4:$W$594,$O22)="","",INDEX('ETF데이터'!$W$4:$W$594,$O22)))</f>
        <v/>
      </c>
      <c r="L22" s="78">
        <f>IF($O22=0,"",IF(INDEX('ETF데이터'!$X$4:$X$594,$O22)="","",INDEX('ETF데이터'!$X$4:$X$594,$O22)))</f>
        <v/>
      </c>
      <c r="M22" s="73">
        <f>IF($O22=0,"",INDEX('ETF데이터'!$M$4:$M$594,$O22))</f>
        <v/>
      </c>
      <c r="N22" s="79" t="n"/>
      <c r="O22">
        <f>IFERROR(MATCH(3,'ETF데이터'!$AB$4:$AB$594,0),0)</f>
        <v/>
      </c>
      <c r="P22">
        <f>IF(AND($B22&lt;&gt;"",$N22&lt;&gt;""),1,0)</f>
        <v/>
      </c>
      <c r="Q22">
        <f>IF($P22=1,$Q21+1,$Q21)</f>
        <v/>
      </c>
      <c r="R22">
        <f>IFERROR(INDEX($B$20:$B$79,MATCH(3,$Q$20:$Q$79,0)),"")</f>
        <v/>
      </c>
    </row>
    <row r="23">
      <c r="B23" s="60">
        <f>IF($O23=0,"",INDEX('ETF데이터'!$A$4:$A$594,$O23))</f>
        <v/>
      </c>
      <c r="C23" s="80">
        <f>IF($O23=0,"",INDEX('ETF데이터'!$R$4:$R$594,$O23))</f>
        <v/>
      </c>
      <c r="D23" s="81">
        <f>IF($O23=0,"",INDEX('ETF데이터'!$J$4:$J$594,$O23))</f>
        <v/>
      </c>
      <c r="E23" s="82">
        <f>IF($O23=0,"",$D23/12)</f>
        <v/>
      </c>
      <c r="F23" s="83">
        <f>IF($O23=0,"",INDEX('ETF데이터'!$D$4:$D$594,$O23))</f>
        <v/>
      </c>
      <c r="G23" s="81">
        <f>IF($O23=0,"",INDEX('ETF데이터'!$H$4:$H$594,$O23))</f>
        <v/>
      </c>
      <c r="H23" s="84">
        <f>IF($O23=0,"",INDEX('ETF데이터'!$E$4:$E$594,$O23)/100000000)</f>
        <v/>
      </c>
      <c r="I23" s="85">
        <f>IF($O23=0,"",IF(INDEX('ETF데이터'!$U$4:$U$594,$O23)="","",INDEX('ETF데이터'!$U$4:$U$594,$O23)))</f>
        <v/>
      </c>
      <c r="J23" s="85">
        <f>IF($O23=0,"",IF(INDEX('ETF데이터'!$V$4:$V$594,$O23)="","",INDEX('ETF데이터'!$V$4:$V$594,$O23)))</f>
        <v/>
      </c>
      <c r="K23" s="85">
        <f>IF($O23=0,"",IF(INDEX('ETF데이터'!$W$4:$W$594,$O23)="","",INDEX('ETF데이터'!$W$4:$W$594,$O23)))</f>
        <v/>
      </c>
      <c r="L23" s="85">
        <f>IF($O23=0,"",IF(INDEX('ETF데이터'!$X$4:$X$594,$O23)="","",INDEX('ETF데이터'!$X$4:$X$594,$O23)))</f>
        <v/>
      </c>
      <c r="M23" s="80">
        <f>IF($O23=0,"",INDEX('ETF데이터'!$M$4:$M$594,$O23))</f>
        <v/>
      </c>
      <c r="N23" s="79" t="n"/>
      <c r="O23">
        <f>IFERROR(MATCH(4,'ETF데이터'!$AB$4:$AB$594,0),0)</f>
        <v/>
      </c>
      <c r="P23">
        <f>IF(AND($B23&lt;&gt;"",$N23&lt;&gt;""),1,0)</f>
        <v/>
      </c>
      <c r="Q23">
        <f>IF($P23=1,$Q22+1,$Q22)</f>
        <v/>
      </c>
      <c r="R23">
        <f>IFERROR(INDEX($B$20:$B$79,MATCH(4,$Q$20:$Q$79,0)),"")</f>
        <v/>
      </c>
    </row>
    <row r="24">
      <c r="B24" s="56">
        <f>IF($O24=0,"",INDEX('ETF데이터'!$A$4:$A$594,$O24))</f>
        <v/>
      </c>
      <c r="C24" s="73">
        <f>IF($O24=0,"",INDEX('ETF데이터'!$R$4:$R$594,$O24))</f>
        <v/>
      </c>
      <c r="D24" s="74">
        <f>IF($O24=0,"",INDEX('ETF데이터'!$J$4:$J$594,$O24))</f>
        <v/>
      </c>
      <c r="E24" s="75">
        <f>IF($O24=0,"",$D24/12)</f>
        <v/>
      </c>
      <c r="F24" s="76">
        <f>IF($O24=0,"",INDEX('ETF데이터'!$D$4:$D$594,$O24))</f>
        <v/>
      </c>
      <c r="G24" s="74">
        <f>IF($O24=0,"",INDEX('ETF데이터'!$H$4:$H$594,$O24))</f>
        <v/>
      </c>
      <c r="H24" s="77">
        <f>IF($O24=0,"",INDEX('ETF데이터'!$E$4:$E$594,$O24)/100000000)</f>
        <v/>
      </c>
      <c r="I24" s="78">
        <f>IF($O24=0,"",IF(INDEX('ETF데이터'!$U$4:$U$594,$O24)="","",INDEX('ETF데이터'!$U$4:$U$594,$O24)))</f>
        <v/>
      </c>
      <c r="J24" s="78">
        <f>IF($O24=0,"",IF(INDEX('ETF데이터'!$V$4:$V$594,$O24)="","",INDEX('ETF데이터'!$V$4:$V$594,$O24)))</f>
        <v/>
      </c>
      <c r="K24" s="78">
        <f>IF($O24=0,"",IF(INDEX('ETF데이터'!$W$4:$W$594,$O24)="","",INDEX('ETF데이터'!$W$4:$W$594,$O24)))</f>
        <v/>
      </c>
      <c r="L24" s="78">
        <f>IF($O24=0,"",IF(INDEX('ETF데이터'!$X$4:$X$594,$O24)="","",INDEX('ETF데이터'!$X$4:$X$594,$O24)))</f>
        <v/>
      </c>
      <c r="M24" s="73">
        <f>IF($O24=0,"",INDEX('ETF데이터'!$M$4:$M$594,$O24))</f>
        <v/>
      </c>
      <c r="N24" s="79" t="n"/>
      <c r="O24">
        <f>IFERROR(MATCH(5,'ETF데이터'!$AB$4:$AB$594,0),0)</f>
        <v/>
      </c>
      <c r="P24">
        <f>IF(AND($B24&lt;&gt;"",$N24&lt;&gt;""),1,0)</f>
        <v/>
      </c>
      <c r="Q24">
        <f>IF($P24=1,$Q23+1,$Q23)</f>
        <v/>
      </c>
      <c r="R24">
        <f>IFERROR(INDEX($B$20:$B$79,MATCH(5,$Q$20:$Q$79,0)),"")</f>
        <v/>
      </c>
    </row>
    <row r="25">
      <c r="B25" s="60">
        <f>IF($O25=0,"",INDEX('ETF데이터'!$A$4:$A$594,$O25))</f>
        <v/>
      </c>
      <c r="C25" s="80">
        <f>IF($O25=0,"",INDEX('ETF데이터'!$R$4:$R$594,$O25))</f>
        <v/>
      </c>
      <c r="D25" s="81">
        <f>IF($O25=0,"",INDEX('ETF데이터'!$J$4:$J$594,$O25))</f>
        <v/>
      </c>
      <c r="E25" s="82">
        <f>IF($O25=0,"",$D25/12)</f>
        <v/>
      </c>
      <c r="F25" s="83">
        <f>IF($O25=0,"",INDEX('ETF데이터'!$D$4:$D$594,$O25))</f>
        <v/>
      </c>
      <c r="G25" s="81">
        <f>IF($O25=0,"",INDEX('ETF데이터'!$H$4:$H$594,$O25))</f>
        <v/>
      </c>
      <c r="H25" s="84">
        <f>IF($O25=0,"",INDEX('ETF데이터'!$E$4:$E$594,$O25)/100000000)</f>
        <v/>
      </c>
      <c r="I25" s="85">
        <f>IF($O25=0,"",IF(INDEX('ETF데이터'!$U$4:$U$594,$O25)="","",INDEX('ETF데이터'!$U$4:$U$594,$O25)))</f>
        <v/>
      </c>
      <c r="J25" s="85">
        <f>IF($O25=0,"",IF(INDEX('ETF데이터'!$V$4:$V$594,$O25)="","",INDEX('ETF데이터'!$V$4:$V$594,$O25)))</f>
        <v/>
      </c>
      <c r="K25" s="85">
        <f>IF($O25=0,"",IF(INDEX('ETF데이터'!$W$4:$W$594,$O25)="","",INDEX('ETF데이터'!$W$4:$W$594,$O25)))</f>
        <v/>
      </c>
      <c r="L25" s="85">
        <f>IF($O25=0,"",IF(INDEX('ETF데이터'!$X$4:$X$594,$O25)="","",INDEX('ETF데이터'!$X$4:$X$594,$O25)))</f>
        <v/>
      </c>
      <c r="M25" s="80">
        <f>IF($O25=0,"",INDEX('ETF데이터'!$M$4:$M$594,$O25))</f>
        <v/>
      </c>
      <c r="N25" s="79" t="n"/>
      <c r="O25">
        <f>IFERROR(MATCH(6,'ETF데이터'!$AB$4:$AB$594,0),0)</f>
        <v/>
      </c>
      <c r="P25">
        <f>IF(AND($B25&lt;&gt;"",$N25&lt;&gt;""),1,0)</f>
        <v/>
      </c>
      <c r="Q25">
        <f>IF($P25=1,$Q24+1,$Q24)</f>
        <v/>
      </c>
      <c r="R25">
        <f>IFERROR(INDEX($B$20:$B$79,MATCH(6,$Q$20:$Q$79,0)),"")</f>
        <v/>
      </c>
    </row>
    <row r="26">
      <c r="B26" s="56">
        <f>IF($O26=0,"",INDEX('ETF데이터'!$A$4:$A$594,$O26))</f>
        <v/>
      </c>
      <c r="C26" s="73">
        <f>IF($O26=0,"",INDEX('ETF데이터'!$R$4:$R$594,$O26))</f>
        <v/>
      </c>
      <c r="D26" s="74">
        <f>IF($O26=0,"",INDEX('ETF데이터'!$J$4:$J$594,$O26))</f>
        <v/>
      </c>
      <c r="E26" s="75">
        <f>IF($O26=0,"",$D26/12)</f>
        <v/>
      </c>
      <c r="F26" s="76">
        <f>IF($O26=0,"",INDEX('ETF데이터'!$D$4:$D$594,$O26))</f>
        <v/>
      </c>
      <c r="G26" s="74">
        <f>IF($O26=0,"",INDEX('ETF데이터'!$H$4:$H$594,$O26))</f>
        <v/>
      </c>
      <c r="H26" s="77">
        <f>IF($O26=0,"",INDEX('ETF데이터'!$E$4:$E$594,$O26)/100000000)</f>
        <v/>
      </c>
      <c r="I26" s="78">
        <f>IF($O26=0,"",IF(INDEX('ETF데이터'!$U$4:$U$594,$O26)="","",INDEX('ETF데이터'!$U$4:$U$594,$O26)))</f>
        <v/>
      </c>
      <c r="J26" s="78">
        <f>IF($O26=0,"",IF(INDEX('ETF데이터'!$V$4:$V$594,$O26)="","",INDEX('ETF데이터'!$V$4:$V$594,$O26)))</f>
        <v/>
      </c>
      <c r="K26" s="78">
        <f>IF($O26=0,"",IF(INDEX('ETF데이터'!$W$4:$W$594,$O26)="","",INDEX('ETF데이터'!$W$4:$W$594,$O26)))</f>
        <v/>
      </c>
      <c r="L26" s="78">
        <f>IF($O26=0,"",IF(INDEX('ETF데이터'!$X$4:$X$594,$O26)="","",INDEX('ETF데이터'!$X$4:$X$594,$O26)))</f>
        <v/>
      </c>
      <c r="M26" s="73">
        <f>IF($O26=0,"",INDEX('ETF데이터'!$M$4:$M$594,$O26))</f>
        <v/>
      </c>
      <c r="N26" s="79" t="n"/>
      <c r="O26">
        <f>IFERROR(MATCH(7,'ETF데이터'!$AB$4:$AB$594,0),0)</f>
        <v/>
      </c>
      <c r="P26">
        <f>IF(AND($B26&lt;&gt;"",$N26&lt;&gt;""),1,0)</f>
        <v/>
      </c>
      <c r="Q26">
        <f>IF($P26=1,$Q25+1,$Q25)</f>
        <v/>
      </c>
      <c r="R26">
        <f>IFERROR(INDEX($B$20:$B$79,MATCH(7,$Q$20:$Q$79,0)),"")</f>
        <v/>
      </c>
    </row>
    <row r="27">
      <c r="B27" s="60">
        <f>IF($O27=0,"",INDEX('ETF데이터'!$A$4:$A$594,$O27))</f>
        <v/>
      </c>
      <c r="C27" s="80">
        <f>IF($O27=0,"",INDEX('ETF데이터'!$R$4:$R$594,$O27))</f>
        <v/>
      </c>
      <c r="D27" s="81">
        <f>IF($O27=0,"",INDEX('ETF데이터'!$J$4:$J$594,$O27))</f>
        <v/>
      </c>
      <c r="E27" s="82">
        <f>IF($O27=0,"",$D27/12)</f>
        <v/>
      </c>
      <c r="F27" s="83">
        <f>IF($O27=0,"",INDEX('ETF데이터'!$D$4:$D$594,$O27))</f>
        <v/>
      </c>
      <c r="G27" s="81">
        <f>IF($O27=0,"",INDEX('ETF데이터'!$H$4:$H$594,$O27))</f>
        <v/>
      </c>
      <c r="H27" s="84">
        <f>IF($O27=0,"",INDEX('ETF데이터'!$E$4:$E$594,$O27)/100000000)</f>
        <v/>
      </c>
      <c r="I27" s="85">
        <f>IF($O27=0,"",IF(INDEX('ETF데이터'!$U$4:$U$594,$O27)="","",INDEX('ETF데이터'!$U$4:$U$594,$O27)))</f>
        <v/>
      </c>
      <c r="J27" s="85">
        <f>IF($O27=0,"",IF(INDEX('ETF데이터'!$V$4:$V$594,$O27)="","",INDEX('ETF데이터'!$V$4:$V$594,$O27)))</f>
        <v/>
      </c>
      <c r="K27" s="85">
        <f>IF($O27=0,"",IF(INDEX('ETF데이터'!$W$4:$W$594,$O27)="","",INDEX('ETF데이터'!$W$4:$W$594,$O27)))</f>
        <v/>
      </c>
      <c r="L27" s="85">
        <f>IF($O27=0,"",IF(INDEX('ETF데이터'!$X$4:$X$594,$O27)="","",INDEX('ETF데이터'!$X$4:$X$594,$O27)))</f>
        <v/>
      </c>
      <c r="M27" s="80">
        <f>IF($O27=0,"",INDEX('ETF데이터'!$M$4:$M$594,$O27))</f>
        <v/>
      </c>
      <c r="N27" s="79" t="n"/>
      <c r="O27">
        <f>IFERROR(MATCH(8,'ETF데이터'!$AB$4:$AB$594,0),0)</f>
        <v/>
      </c>
      <c r="P27">
        <f>IF(AND($B27&lt;&gt;"",$N27&lt;&gt;""),1,0)</f>
        <v/>
      </c>
      <c r="Q27">
        <f>IF($P27=1,$Q26+1,$Q26)</f>
        <v/>
      </c>
      <c r="R27">
        <f>IFERROR(INDEX($B$20:$B$79,MATCH(8,$Q$20:$Q$79,0)),"")</f>
        <v/>
      </c>
    </row>
    <row r="28">
      <c r="B28" s="56">
        <f>IF($O28=0,"",INDEX('ETF데이터'!$A$4:$A$594,$O28))</f>
        <v/>
      </c>
      <c r="C28" s="73">
        <f>IF($O28=0,"",INDEX('ETF데이터'!$R$4:$R$594,$O28))</f>
        <v/>
      </c>
      <c r="D28" s="74">
        <f>IF($O28=0,"",INDEX('ETF데이터'!$J$4:$J$594,$O28))</f>
        <v/>
      </c>
      <c r="E28" s="75">
        <f>IF($O28=0,"",$D28/12)</f>
        <v/>
      </c>
      <c r="F28" s="76">
        <f>IF($O28=0,"",INDEX('ETF데이터'!$D$4:$D$594,$O28))</f>
        <v/>
      </c>
      <c r="G28" s="74">
        <f>IF($O28=0,"",INDEX('ETF데이터'!$H$4:$H$594,$O28))</f>
        <v/>
      </c>
      <c r="H28" s="77">
        <f>IF($O28=0,"",INDEX('ETF데이터'!$E$4:$E$594,$O28)/100000000)</f>
        <v/>
      </c>
      <c r="I28" s="78">
        <f>IF($O28=0,"",IF(INDEX('ETF데이터'!$U$4:$U$594,$O28)="","",INDEX('ETF데이터'!$U$4:$U$594,$O28)))</f>
        <v/>
      </c>
      <c r="J28" s="78">
        <f>IF($O28=0,"",IF(INDEX('ETF데이터'!$V$4:$V$594,$O28)="","",INDEX('ETF데이터'!$V$4:$V$594,$O28)))</f>
        <v/>
      </c>
      <c r="K28" s="78">
        <f>IF($O28=0,"",IF(INDEX('ETF데이터'!$W$4:$W$594,$O28)="","",INDEX('ETF데이터'!$W$4:$W$594,$O28)))</f>
        <v/>
      </c>
      <c r="L28" s="78">
        <f>IF($O28=0,"",IF(INDEX('ETF데이터'!$X$4:$X$594,$O28)="","",INDEX('ETF데이터'!$X$4:$X$594,$O28)))</f>
        <v/>
      </c>
      <c r="M28" s="73">
        <f>IF($O28=0,"",INDEX('ETF데이터'!$M$4:$M$594,$O28))</f>
        <v/>
      </c>
      <c r="N28" s="79" t="n"/>
      <c r="O28">
        <f>IFERROR(MATCH(9,'ETF데이터'!$AB$4:$AB$594,0),0)</f>
        <v/>
      </c>
      <c r="P28">
        <f>IF(AND($B28&lt;&gt;"",$N28&lt;&gt;""),1,0)</f>
        <v/>
      </c>
      <c r="Q28">
        <f>IF($P28=1,$Q27+1,$Q27)</f>
        <v/>
      </c>
      <c r="R28">
        <f>IFERROR(INDEX($B$20:$B$79,MATCH(9,$Q$20:$Q$79,0)),"")</f>
        <v/>
      </c>
    </row>
    <row r="29">
      <c r="B29" s="60">
        <f>IF($O29=0,"",INDEX('ETF데이터'!$A$4:$A$594,$O29))</f>
        <v/>
      </c>
      <c r="C29" s="80">
        <f>IF($O29=0,"",INDEX('ETF데이터'!$R$4:$R$594,$O29))</f>
        <v/>
      </c>
      <c r="D29" s="81">
        <f>IF($O29=0,"",INDEX('ETF데이터'!$J$4:$J$594,$O29))</f>
        <v/>
      </c>
      <c r="E29" s="82">
        <f>IF($O29=0,"",$D29/12)</f>
        <v/>
      </c>
      <c r="F29" s="83">
        <f>IF($O29=0,"",INDEX('ETF데이터'!$D$4:$D$594,$O29))</f>
        <v/>
      </c>
      <c r="G29" s="81">
        <f>IF($O29=0,"",INDEX('ETF데이터'!$H$4:$H$594,$O29))</f>
        <v/>
      </c>
      <c r="H29" s="84">
        <f>IF($O29=0,"",INDEX('ETF데이터'!$E$4:$E$594,$O29)/100000000)</f>
        <v/>
      </c>
      <c r="I29" s="85">
        <f>IF($O29=0,"",IF(INDEX('ETF데이터'!$U$4:$U$594,$O29)="","",INDEX('ETF데이터'!$U$4:$U$594,$O29)))</f>
        <v/>
      </c>
      <c r="J29" s="85">
        <f>IF($O29=0,"",IF(INDEX('ETF데이터'!$V$4:$V$594,$O29)="","",INDEX('ETF데이터'!$V$4:$V$594,$O29)))</f>
        <v/>
      </c>
      <c r="K29" s="85">
        <f>IF($O29=0,"",IF(INDEX('ETF데이터'!$W$4:$W$594,$O29)="","",INDEX('ETF데이터'!$W$4:$W$594,$O29)))</f>
        <v/>
      </c>
      <c r="L29" s="85">
        <f>IF($O29=0,"",IF(INDEX('ETF데이터'!$X$4:$X$594,$O29)="","",INDEX('ETF데이터'!$X$4:$X$594,$O29)))</f>
        <v/>
      </c>
      <c r="M29" s="80">
        <f>IF($O29=0,"",INDEX('ETF데이터'!$M$4:$M$594,$O29))</f>
        <v/>
      </c>
      <c r="N29" s="79" t="n"/>
      <c r="O29">
        <f>IFERROR(MATCH(10,'ETF데이터'!$AB$4:$AB$594,0),0)</f>
        <v/>
      </c>
      <c r="P29">
        <f>IF(AND($B29&lt;&gt;"",$N29&lt;&gt;""),1,0)</f>
        <v/>
      </c>
      <c r="Q29">
        <f>IF($P29=1,$Q28+1,$Q28)</f>
        <v/>
      </c>
      <c r="R29">
        <f>IFERROR(INDEX($B$20:$B$79,MATCH(10,$Q$20:$Q$79,0)),"")</f>
        <v/>
      </c>
    </row>
    <row r="30">
      <c r="B30" s="56">
        <f>IF($O30=0,"",INDEX('ETF데이터'!$A$4:$A$594,$O30))</f>
        <v/>
      </c>
      <c r="C30" s="73">
        <f>IF($O30=0,"",INDEX('ETF데이터'!$R$4:$R$594,$O30))</f>
        <v/>
      </c>
      <c r="D30" s="74">
        <f>IF($O30=0,"",INDEX('ETF데이터'!$J$4:$J$594,$O30))</f>
        <v/>
      </c>
      <c r="E30" s="75">
        <f>IF($O30=0,"",$D30/12)</f>
        <v/>
      </c>
      <c r="F30" s="76">
        <f>IF($O30=0,"",INDEX('ETF데이터'!$D$4:$D$594,$O30))</f>
        <v/>
      </c>
      <c r="G30" s="74">
        <f>IF($O30=0,"",INDEX('ETF데이터'!$H$4:$H$594,$O30))</f>
        <v/>
      </c>
      <c r="H30" s="77">
        <f>IF($O30=0,"",INDEX('ETF데이터'!$E$4:$E$594,$O30)/100000000)</f>
        <v/>
      </c>
      <c r="I30" s="78">
        <f>IF($O30=0,"",IF(INDEX('ETF데이터'!$U$4:$U$594,$O30)="","",INDEX('ETF데이터'!$U$4:$U$594,$O30)))</f>
        <v/>
      </c>
      <c r="J30" s="78">
        <f>IF($O30=0,"",IF(INDEX('ETF데이터'!$V$4:$V$594,$O30)="","",INDEX('ETF데이터'!$V$4:$V$594,$O30)))</f>
        <v/>
      </c>
      <c r="K30" s="78">
        <f>IF($O30=0,"",IF(INDEX('ETF데이터'!$W$4:$W$594,$O30)="","",INDEX('ETF데이터'!$W$4:$W$594,$O30)))</f>
        <v/>
      </c>
      <c r="L30" s="78">
        <f>IF($O30=0,"",IF(INDEX('ETF데이터'!$X$4:$X$594,$O30)="","",INDEX('ETF데이터'!$X$4:$X$594,$O30)))</f>
        <v/>
      </c>
      <c r="M30" s="73">
        <f>IF($O30=0,"",INDEX('ETF데이터'!$M$4:$M$594,$O30))</f>
        <v/>
      </c>
      <c r="N30" s="79" t="n"/>
      <c r="O30">
        <f>IFERROR(MATCH(11,'ETF데이터'!$AB$4:$AB$594,0),0)</f>
        <v/>
      </c>
      <c r="P30">
        <f>IF(AND($B30&lt;&gt;"",$N30&lt;&gt;""),1,0)</f>
        <v/>
      </c>
      <c r="Q30">
        <f>IF($P30=1,$Q29+1,$Q29)</f>
        <v/>
      </c>
      <c r="R30">
        <f>IFERROR(INDEX($B$20:$B$79,MATCH(11,$Q$20:$Q$79,0)),"")</f>
        <v/>
      </c>
    </row>
    <row r="31">
      <c r="B31" s="60">
        <f>IF($O31=0,"",INDEX('ETF데이터'!$A$4:$A$594,$O31))</f>
        <v/>
      </c>
      <c r="C31" s="80">
        <f>IF($O31=0,"",INDEX('ETF데이터'!$R$4:$R$594,$O31))</f>
        <v/>
      </c>
      <c r="D31" s="81">
        <f>IF($O31=0,"",INDEX('ETF데이터'!$J$4:$J$594,$O31))</f>
        <v/>
      </c>
      <c r="E31" s="82">
        <f>IF($O31=0,"",$D31/12)</f>
        <v/>
      </c>
      <c r="F31" s="83">
        <f>IF($O31=0,"",INDEX('ETF데이터'!$D$4:$D$594,$O31))</f>
        <v/>
      </c>
      <c r="G31" s="81">
        <f>IF($O31=0,"",INDEX('ETF데이터'!$H$4:$H$594,$O31))</f>
        <v/>
      </c>
      <c r="H31" s="84">
        <f>IF($O31=0,"",INDEX('ETF데이터'!$E$4:$E$594,$O31)/100000000)</f>
        <v/>
      </c>
      <c r="I31" s="85">
        <f>IF($O31=0,"",IF(INDEX('ETF데이터'!$U$4:$U$594,$O31)="","",INDEX('ETF데이터'!$U$4:$U$594,$O31)))</f>
        <v/>
      </c>
      <c r="J31" s="85">
        <f>IF($O31=0,"",IF(INDEX('ETF데이터'!$V$4:$V$594,$O31)="","",INDEX('ETF데이터'!$V$4:$V$594,$O31)))</f>
        <v/>
      </c>
      <c r="K31" s="85">
        <f>IF($O31=0,"",IF(INDEX('ETF데이터'!$W$4:$W$594,$O31)="","",INDEX('ETF데이터'!$W$4:$W$594,$O31)))</f>
        <v/>
      </c>
      <c r="L31" s="85">
        <f>IF($O31=0,"",IF(INDEX('ETF데이터'!$X$4:$X$594,$O31)="","",INDEX('ETF데이터'!$X$4:$X$594,$O31)))</f>
        <v/>
      </c>
      <c r="M31" s="80">
        <f>IF($O31=0,"",INDEX('ETF데이터'!$M$4:$M$594,$O31))</f>
        <v/>
      </c>
      <c r="N31" s="79" t="n"/>
      <c r="O31">
        <f>IFERROR(MATCH(12,'ETF데이터'!$AB$4:$AB$594,0),0)</f>
        <v/>
      </c>
      <c r="P31">
        <f>IF(AND($B31&lt;&gt;"",$N31&lt;&gt;""),1,0)</f>
        <v/>
      </c>
      <c r="Q31">
        <f>IF($P31=1,$Q30+1,$Q30)</f>
        <v/>
      </c>
      <c r="R31">
        <f>IFERROR(INDEX($B$20:$B$79,MATCH(12,$Q$20:$Q$79,0)),"")</f>
        <v/>
      </c>
    </row>
    <row r="32">
      <c r="B32" s="56">
        <f>IF($O32=0,"",INDEX('ETF데이터'!$A$4:$A$594,$O32))</f>
        <v/>
      </c>
      <c r="C32" s="73">
        <f>IF($O32=0,"",INDEX('ETF데이터'!$R$4:$R$594,$O32))</f>
        <v/>
      </c>
      <c r="D32" s="74">
        <f>IF($O32=0,"",INDEX('ETF데이터'!$J$4:$J$594,$O32))</f>
        <v/>
      </c>
      <c r="E32" s="75">
        <f>IF($O32=0,"",$D32/12)</f>
        <v/>
      </c>
      <c r="F32" s="76">
        <f>IF($O32=0,"",INDEX('ETF데이터'!$D$4:$D$594,$O32))</f>
        <v/>
      </c>
      <c r="G32" s="74">
        <f>IF($O32=0,"",INDEX('ETF데이터'!$H$4:$H$594,$O32))</f>
        <v/>
      </c>
      <c r="H32" s="77">
        <f>IF($O32=0,"",INDEX('ETF데이터'!$E$4:$E$594,$O32)/100000000)</f>
        <v/>
      </c>
      <c r="I32" s="78">
        <f>IF($O32=0,"",IF(INDEX('ETF데이터'!$U$4:$U$594,$O32)="","",INDEX('ETF데이터'!$U$4:$U$594,$O32)))</f>
        <v/>
      </c>
      <c r="J32" s="78">
        <f>IF($O32=0,"",IF(INDEX('ETF데이터'!$V$4:$V$594,$O32)="","",INDEX('ETF데이터'!$V$4:$V$594,$O32)))</f>
        <v/>
      </c>
      <c r="K32" s="78">
        <f>IF($O32=0,"",IF(INDEX('ETF데이터'!$W$4:$W$594,$O32)="","",INDEX('ETF데이터'!$W$4:$W$594,$O32)))</f>
        <v/>
      </c>
      <c r="L32" s="78">
        <f>IF($O32=0,"",IF(INDEX('ETF데이터'!$X$4:$X$594,$O32)="","",INDEX('ETF데이터'!$X$4:$X$594,$O32)))</f>
        <v/>
      </c>
      <c r="M32" s="73">
        <f>IF($O32=0,"",INDEX('ETF데이터'!$M$4:$M$594,$O32))</f>
        <v/>
      </c>
      <c r="N32" s="79" t="n"/>
      <c r="O32">
        <f>IFERROR(MATCH(13,'ETF데이터'!$AB$4:$AB$594,0),0)</f>
        <v/>
      </c>
      <c r="P32">
        <f>IF(AND($B32&lt;&gt;"",$N32&lt;&gt;""),1,0)</f>
        <v/>
      </c>
      <c r="Q32">
        <f>IF($P32=1,$Q31+1,$Q31)</f>
        <v/>
      </c>
      <c r="R32">
        <f>IFERROR(INDEX($B$20:$B$79,MATCH(13,$Q$20:$Q$79,0)),"")</f>
        <v/>
      </c>
    </row>
    <row r="33">
      <c r="B33" s="60">
        <f>IF($O33=0,"",INDEX('ETF데이터'!$A$4:$A$594,$O33))</f>
        <v/>
      </c>
      <c r="C33" s="80">
        <f>IF($O33=0,"",INDEX('ETF데이터'!$R$4:$R$594,$O33))</f>
        <v/>
      </c>
      <c r="D33" s="81">
        <f>IF($O33=0,"",INDEX('ETF데이터'!$J$4:$J$594,$O33))</f>
        <v/>
      </c>
      <c r="E33" s="82">
        <f>IF($O33=0,"",$D33/12)</f>
        <v/>
      </c>
      <c r="F33" s="83">
        <f>IF($O33=0,"",INDEX('ETF데이터'!$D$4:$D$594,$O33))</f>
        <v/>
      </c>
      <c r="G33" s="81">
        <f>IF($O33=0,"",INDEX('ETF데이터'!$H$4:$H$594,$O33))</f>
        <v/>
      </c>
      <c r="H33" s="84">
        <f>IF($O33=0,"",INDEX('ETF데이터'!$E$4:$E$594,$O33)/100000000)</f>
        <v/>
      </c>
      <c r="I33" s="85">
        <f>IF($O33=0,"",IF(INDEX('ETF데이터'!$U$4:$U$594,$O33)="","",INDEX('ETF데이터'!$U$4:$U$594,$O33)))</f>
        <v/>
      </c>
      <c r="J33" s="85">
        <f>IF($O33=0,"",IF(INDEX('ETF데이터'!$V$4:$V$594,$O33)="","",INDEX('ETF데이터'!$V$4:$V$594,$O33)))</f>
        <v/>
      </c>
      <c r="K33" s="85">
        <f>IF($O33=0,"",IF(INDEX('ETF데이터'!$W$4:$W$594,$O33)="","",INDEX('ETF데이터'!$W$4:$W$594,$O33)))</f>
        <v/>
      </c>
      <c r="L33" s="85">
        <f>IF($O33=0,"",IF(INDEX('ETF데이터'!$X$4:$X$594,$O33)="","",INDEX('ETF데이터'!$X$4:$X$594,$O33)))</f>
        <v/>
      </c>
      <c r="M33" s="80">
        <f>IF($O33=0,"",INDEX('ETF데이터'!$M$4:$M$594,$O33))</f>
        <v/>
      </c>
      <c r="N33" s="79" t="n"/>
      <c r="O33">
        <f>IFERROR(MATCH(14,'ETF데이터'!$AB$4:$AB$594,0),0)</f>
        <v/>
      </c>
      <c r="P33">
        <f>IF(AND($B33&lt;&gt;"",$N33&lt;&gt;""),1,0)</f>
        <v/>
      </c>
      <c r="Q33">
        <f>IF($P33=1,$Q32+1,$Q32)</f>
        <v/>
      </c>
      <c r="R33">
        <f>IFERROR(INDEX($B$20:$B$79,MATCH(14,$Q$20:$Q$79,0)),"")</f>
        <v/>
      </c>
    </row>
    <row r="34">
      <c r="B34" s="56">
        <f>IF($O34=0,"",INDEX('ETF데이터'!$A$4:$A$594,$O34))</f>
        <v/>
      </c>
      <c r="C34" s="73">
        <f>IF($O34=0,"",INDEX('ETF데이터'!$R$4:$R$594,$O34))</f>
        <v/>
      </c>
      <c r="D34" s="74">
        <f>IF($O34=0,"",INDEX('ETF데이터'!$J$4:$J$594,$O34))</f>
        <v/>
      </c>
      <c r="E34" s="75">
        <f>IF($O34=0,"",$D34/12)</f>
        <v/>
      </c>
      <c r="F34" s="76">
        <f>IF($O34=0,"",INDEX('ETF데이터'!$D$4:$D$594,$O34))</f>
        <v/>
      </c>
      <c r="G34" s="74">
        <f>IF($O34=0,"",INDEX('ETF데이터'!$H$4:$H$594,$O34))</f>
        <v/>
      </c>
      <c r="H34" s="77">
        <f>IF($O34=0,"",INDEX('ETF데이터'!$E$4:$E$594,$O34)/100000000)</f>
        <v/>
      </c>
      <c r="I34" s="78">
        <f>IF($O34=0,"",IF(INDEX('ETF데이터'!$U$4:$U$594,$O34)="","",INDEX('ETF데이터'!$U$4:$U$594,$O34)))</f>
        <v/>
      </c>
      <c r="J34" s="78">
        <f>IF($O34=0,"",IF(INDEX('ETF데이터'!$V$4:$V$594,$O34)="","",INDEX('ETF데이터'!$V$4:$V$594,$O34)))</f>
        <v/>
      </c>
      <c r="K34" s="78">
        <f>IF($O34=0,"",IF(INDEX('ETF데이터'!$W$4:$W$594,$O34)="","",INDEX('ETF데이터'!$W$4:$W$594,$O34)))</f>
        <v/>
      </c>
      <c r="L34" s="78">
        <f>IF($O34=0,"",IF(INDEX('ETF데이터'!$X$4:$X$594,$O34)="","",INDEX('ETF데이터'!$X$4:$X$594,$O34)))</f>
        <v/>
      </c>
      <c r="M34" s="73">
        <f>IF($O34=0,"",INDEX('ETF데이터'!$M$4:$M$594,$O34))</f>
        <v/>
      </c>
      <c r="N34" s="79" t="n"/>
      <c r="O34">
        <f>IFERROR(MATCH(15,'ETF데이터'!$AB$4:$AB$594,0),0)</f>
        <v/>
      </c>
      <c r="P34">
        <f>IF(AND($B34&lt;&gt;"",$N34&lt;&gt;""),1,0)</f>
        <v/>
      </c>
      <c r="Q34">
        <f>IF($P34=1,$Q33+1,$Q33)</f>
        <v/>
      </c>
      <c r="R34">
        <f>IFERROR(INDEX($B$20:$B$79,MATCH(15,$Q$20:$Q$79,0)),"")</f>
        <v/>
      </c>
    </row>
    <row r="35">
      <c r="B35" s="60">
        <f>IF($O35=0,"",INDEX('ETF데이터'!$A$4:$A$594,$O35))</f>
        <v/>
      </c>
      <c r="C35" s="80">
        <f>IF($O35=0,"",INDEX('ETF데이터'!$R$4:$R$594,$O35))</f>
        <v/>
      </c>
      <c r="D35" s="81">
        <f>IF($O35=0,"",INDEX('ETF데이터'!$J$4:$J$594,$O35))</f>
        <v/>
      </c>
      <c r="E35" s="82">
        <f>IF($O35=0,"",$D35/12)</f>
        <v/>
      </c>
      <c r="F35" s="83">
        <f>IF($O35=0,"",INDEX('ETF데이터'!$D$4:$D$594,$O35))</f>
        <v/>
      </c>
      <c r="G35" s="81">
        <f>IF($O35=0,"",INDEX('ETF데이터'!$H$4:$H$594,$O35))</f>
        <v/>
      </c>
      <c r="H35" s="84">
        <f>IF($O35=0,"",INDEX('ETF데이터'!$E$4:$E$594,$O35)/100000000)</f>
        <v/>
      </c>
      <c r="I35" s="85">
        <f>IF($O35=0,"",IF(INDEX('ETF데이터'!$U$4:$U$594,$O35)="","",INDEX('ETF데이터'!$U$4:$U$594,$O35)))</f>
        <v/>
      </c>
      <c r="J35" s="85">
        <f>IF($O35=0,"",IF(INDEX('ETF데이터'!$V$4:$V$594,$O35)="","",INDEX('ETF데이터'!$V$4:$V$594,$O35)))</f>
        <v/>
      </c>
      <c r="K35" s="85">
        <f>IF($O35=0,"",IF(INDEX('ETF데이터'!$W$4:$W$594,$O35)="","",INDEX('ETF데이터'!$W$4:$W$594,$O35)))</f>
        <v/>
      </c>
      <c r="L35" s="85">
        <f>IF($O35=0,"",IF(INDEX('ETF데이터'!$X$4:$X$594,$O35)="","",INDEX('ETF데이터'!$X$4:$X$594,$O35)))</f>
        <v/>
      </c>
      <c r="M35" s="80">
        <f>IF($O35=0,"",INDEX('ETF데이터'!$M$4:$M$594,$O35))</f>
        <v/>
      </c>
      <c r="N35" s="79" t="n"/>
      <c r="O35">
        <f>IFERROR(MATCH(16,'ETF데이터'!$AB$4:$AB$594,0),0)</f>
        <v/>
      </c>
      <c r="P35">
        <f>IF(AND($B35&lt;&gt;"",$N35&lt;&gt;""),1,0)</f>
        <v/>
      </c>
      <c r="Q35">
        <f>IF($P35=1,$Q34+1,$Q34)</f>
        <v/>
      </c>
      <c r="R35">
        <f>IFERROR(INDEX($B$20:$B$79,MATCH(16,$Q$20:$Q$79,0)),"")</f>
        <v/>
      </c>
    </row>
    <row r="36">
      <c r="B36" s="56">
        <f>IF($O36=0,"",INDEX('ETF데이터'!$A$4:$A$594,$O36))</f>
        <v/>
      </c>
      <c r="C36" s="73">
        <f>IF($O36=0,"",INDEX('ETF데이터'!$R$4:$R$594,$O36))</f>
        <v/>
      </c>
      <c r="D36" s="74">
        <f>IF($O36=0,"",INDEX('ETF데이터'!$J$4:$J$594,$O36))</f>
        <v/>
      </c>
      <c r="E36" s="75">
        <f>IF($O36=0,"",$D36/12)</f>
        <v/>
      </c>
      <c r="F36" s="76">
        <f>IF($O36=0,"",INDEX('ETF데이터'!$D$4:$D$594,$O36))</f>
        <v/>
      </c>
      <c r="G36" s="74">
        <f>IF($O36=0,"",INDEX('ETF데이터'!$H$4:$H$594,$O36))</f>
        <v/>
      </c>
      <c r="H36" s="77">
        <f>IF($O36=0,"",INDEX('ETF데이터'!$E$4:$E$594,$O36)/100000000)</f>
        <v/>
      </c>
      <c r="I36" s="78">
        <f>IF($O36=0,"",IF(INDEX('ETF데이터'!$U$4:$U$594,$O36)="","",INDEX('ETF데이터'!$U$4:$U$594,$O36)))</f>
        <v/>
      </c>
      <c r="J36" s="78">
        <f>IF($O36=0,"",IF(INDEX('ETF데이터'!$V$4:$V$594,$O36)="","",INDEX('ETF데이터'!$V$4:$V$594,$O36)))</f>
        <v/>
      </c>
      <c r="K36" s="78">
        <f>IF($O36=0,"",IF(INDEX('ETF데이터'!$W$4:$W$594,$O36)="","",INDEX('ETF데이터'!$W$4:$W$594,$O36)))</f>
        <v/>
      </c>
      <c r="L36" s="78">
        <f>IF($O36=0,"",IF(INDEX('ETF데이터'!$X$4:$X$594,$O36)="","",INDEX('ETF데이터'!$X$4:$X$594,$O36)))</f>
        <v/>
      </c>
      <c r="M36" s="73">
        <f>IF($O36=0,"",INDEX('ETF데이터'!$M$4:$M$594,$O36))</f>
        <v/>
      </c>
      <c r="N36" s="79" t="n"/>
      <c r="O36">
        <f>IFERROR(MATCH(17,'ETF데이터'!$AB$4:$AB$594,0),0)</f>
        <v/>
      </c>
      <c r="P36">
        <f>IF(AND($B36&lt;&gt;"",$N36&lt;&gt;""),1,0)</f>
        <v/>
      </c>
      <c r="Q36">
        <f>IF($P36=1,$Q35+1,$Q35)</f>
        <v/>
      </c>
      <c r="R36">
        <f>IFERROR(INDEX($B$20:$B$79,MATCH(17,$Q$20:$Q$79,0)),"")</f>
        <v/>
      </c>
    </row>
    <row r="37">
      <c r="B37" s="60">
        <f>IF($O37=0,"",INDEX('ETF데이터'!$A$4:$A$594,$O37))</f>
        <v/>
      </c>
      <c r="C37" s="80">
        <f>IF($O37=0,"",INDEX('ETF데이터'!$R$4:$R$594,$O37))</f>
        <v/>
      </c>
      <c r="D37" s="81">
        <f>IF($O37=0,"",INDEX('ETF데이터'!$J$4:$J$594,$O37))</f>
        <v/>
      </c>
      <c r="E37" s="82">
        <f>IF($O37=0,"",$D37/12)</f>
        <v/>
      </c>
      <c r="F37" s="83">
        <f>IF($O37=0,"",INDEX('ETF데이터'!$D$4:$D$594,$O37))</f>
        <v/>
      </c>
      <c r="G37" s="81">
        <f>IF($O37=0,"",INDEX('ETF데이터'!$H$4:$H$594,$O37))</f>
        <v/>
      </c>
      <c r="H37" s="84">
        <f>IF($O37=0,"",INDEX('ETF데이터'!$E$4:$E$594,$O37)/100000000)</f>
        <v/>
      </c>
      <c r="I37" s="85">
        <f>IF($O37=0,"",IF(INDEX('ETF데이터'!$U$4:$U$594,$O37)="","",INDEX('ETF데이터'!$U$4:$U$594,$O37)))</f>
        <v/>
      </c>
      <c r="J37" s="85">
        <f>IF($O37=0,"",IF(INDEX('ETF데이터'!$V$4:$V$594,$O37)="","",INDEX('ETF데이터'!$V$4:$V$594,$O37)))</f>
        <v/>
      </c>
      <c r="K37" s="85">
        <f>IF($O37=0,"",IF(INDEX('ETF데이터'!$W$4:$W$594,$O37)="","",INDEX('ETF데이터'!$W$4:$W$594,$O37)))</f>
        <v/>
      </c>
      <c r="L37" s="85">
        <f>IF($O37=0,"",IF(INDEX('ETF데이터'!$X$4:$X$594,$O37)="","",INDEX('ETF데이터'!$X$4:$X$594,$O37)))</f>
        <v/>
      </c>
      <c r="M37" s="80">
        <f>IF($O37=0,"",INDEX('ETF데이터'!$M$4:$M$594,$O37))</f>
        <v/>
      </c>
      <c r="N37" s="79" t="n"/>
      <c r="O37">
        <f>IFERROR(MATCH(18,'ETF데이터'!$AB$4:$AB$594,0),0)</f>
        <v/>
      </c>
      <c r="P37">
        <f>IF(AND($B37&lt;&gt;"",$N37&lt;&gt;""),1,0)</f>
        <v/>
      </c>
      <c r="Q37">
        <f>IF($P37=1,$Q36+1,$Q36)</f>
        <v/>
      </c>
      <c r="R37">
        <f>IFERROR(INDEX($B$20:$B$79,MATCH(18,$Q$20:$Q$79,0)),"")</f>
        <v/>
      </c>
    </row>
    <row r="38">
      <c r="B38" s="56">
        <f>IF($O38=0,"",INDEX('ETF데이터'!$A$4:$A$594,$O38))</f>
        <v/>
      </c>
      <c r="C38" s="73">
        <f>IF($O38=0,"",INDEX('ETF데이터'!$R$4:$R$594,$O38))</f>
        <v/>
      </c>
      <c r="D38" s="74">
        <f>IF($O38=0,"",INDEX('ETF데이터'!$J$4:$J$594,$O38))</f>
        <v/>
      </c>
      <c r="E38" s="75">
        <f>IF($O38=0,"",$D38/12)</f>
        <v/>
      </c>
      <c r="F38" s="76">
        <f>IF($O38=0,"",INDEX('ETF데이터'!$D$4:$D$594,$O38))</f>
        <v/>
      </c>
      <c r="G38" s="74">
        <f>IF($O38=0,"",INDEX('ETF데이터'!$H$4:$H$594,$O38))</f>
        <v/>
      </c>
      <c r="H38" s="77">
        <f>IF($O38=0,"",INDEX('ETF데이터'!$E$4:$E$594,$O38)/100000000)</f>
        <v/>
      </c>
      <c r="I38" s="78">
        <f>IF($O38=0,"",IF(INDEX('ETF데이터'!$U$4:$U$594,$O38)="","",INDEX('ETF데이터'!$U$4:$U$594,$O38)))</f>
        <v/>
      </c>
      <c r="J38" s="78">
        <f>IF($O38=0,"",IF(INDEX('ETF데이터'!$V$4:$V$594,$O38)="","",INDEX('ETF데이터'!$V$4:$V$594,$O38)))</f>
        <v/>
      </c>
      <c r="K38" s="78">
        <f>IF($O38=0,"",IF(INDEX('ETF데이터'!$W$4:$W$594,$O38)="","",INDEX('ETF데이터'!$W$4:$W$594,$O38)))</f>
        <v/>
      </c>
      <c r="L38" s="78">
        <f>IF($O38=0,"",IF(INDEX('ETF데이터'!$X$4:$X$594,$O38)="","",INDEX('ETF데이터'!$X$4:$X$594,$O38)))</f>
        <v/>
      </c>
      <c r="M38" s="73">
        <f>IF($O38=0,"",INDEX('ETF데이터'!$M$4:$M$594,$O38))</f>
        <v/>
      </c>
      <c r="N38" s="79" t="n"/>
      <c r="O38">
        <f>IFERROR(MATCH(19,'ETF데이터'!$AB$4:$AB$594,0),0)</f>
        <v/>
      </c>
      <c r="P38">
        <f>IF(AND($B38&lt;&gt;"",$N38&lt;&gt;""),1,0)</f>
        <v/>
      </c>
      <c r="Q38">
        <f>IF($P38=1,$Q37+1,$Q37)</f>
        <v/>
      </c>
      <c r="R38">
        <f>IFERROR(INDEX($B$20:$B$79,MATCH(19,$Q$20:$Q$79,0)),"")</f>
        <v/>
      </c>
    </row>
    <row r="39">
      <c r="B39" s="60">
        <f>IF($O39=0,"",INDEX('ETF데이터'!$A$4:$A$594,$O39))</f>
        <v/>
      </c>
      <c r="C39" s="80">
        <f>IF($O39=0,"",INDEX('ETF데이터'!$R$4:$R$594,$O39))</f>
        <v/>
      </c>
      <c r="D39" s="81">
        <f>IF($O39=0,"",INDEX('ETF데이터'!$J$4:$J$594,$O39))</f>
        <v/>
      </c>
      <c r="E39" s="82">
        <f>IF($O39=0,"",$D39/12)</f>
        <v/>
      </c>
      <c r="F39" s="83">
        <f>IF($O39=0,"",INDEX('ETF데이터'!$D$4:$D$594,$O39))</f>
        <v/>
      </c>
      <c r="G39" s="81">
        <f>IF($O39=0,"",INDEX('ETF데이터'!$H$4:$H$594,$O39))</f>
        <v/>
      </c>
      <c r="H39" s="84">
        <f>IF($O39=0,"",INDEX('ETF데이터'!$E$4:$E$594,$O39)/100000000)</f>
        <v/>
      </c>
      <c r="I39" s="85">
        <f>IF($O39=0,"",IF(INDEX('ETF데이터'!$U$4:$U$594,$O39)="","",INDEX('ETF데이터'!$U$4:$U$594,$O39)))</f>
        <v/>
      </c>
      <c r="J39" s="85">
        <f>IF($O39=0,"",IF(INDEX('ETF데이터'!$V$4:$V$594,$O39)="","",INDEX('ETF데이터'!$V$4:$V$594,$O39)))</f>
        <v/>
      </c>
      <c r="K39" s="85">
        <f>IF($O39=0,"",IF(INDEX('ETF데이터'!$W$4:$W$594,$O39)="","",INDEX('ETF데이터'!$W$4:$W$594,$O39)))</f>
        <v/>
      </c>
      <c r="L39" s="85">
        <f>IF($O39=0,"",IF(INDEX('ETF데이터'!$X$4:$X$594,$O39)="","",INDEX('ETF데이터'!$X$4:$X$594,$O39)))</f>
        <v/>
      </c>
      <c r="M39" s="80">
        <f>IF($O39=0,"",INDEX('ETF데이터'!$M$4:$M$594,$O39))</f>
        <v/>
      </c>
      <c r="N39" s="79" t="n"/>
      <c r="O39">
        <f>IFERROR(MATCH(20,'ETF데이터'!$AB$4:$AB$594,0),0)</f>
        <v/>
      </c>
      <c r="P39">
        <f>IF(AND($B39&lt;&gt;"",$N39&lt;&gt;""),1,0)</f>
        <v/>
      </c>
      <c r="Q39">
        <f>IF($P39=1,$Q38+1,$Q38)</f>
        <v/>
      </c>
      <c r="R39">
        <f>IFERROR(INDEX($B$20:$B$79,MATCH(20,$Q$20:$Q$79,0)),"")</f>
        <v/>
      </c>
    </row>
    <row r="40">
      <c r="B40" s="56">
        <f>IF($O40=0,"",INDEX('ETF데이터'!$A$4:$A$594,$O40))</f>
        <v/>
      </c>
      <c r="C40" s="73">
        <f>IF($O40=0,"",INDEX('ETF데이터'!$R$4:$R$594,$O40))</f>
        <v/>
      </c>
      <c r="D40" s="74">
        <f>IF($O40=0,"",INDEX('ETF데이터'!$J$4:$J$594,$O40))</f>
        <v/>
      </c>
      <c r="E40" s="75">
        <f>IF($O40=0,"",$D40/12)</f>
        <v/>
      </c>
      <c r="F40" s="76">
        <f>IF($O40=0,"",INDEX('ETF데이터'!$D$4:$D$594,$O40))</f>
        <v/>
      </c>
      <c r="G40" s="74">
        <f>IF($O40=0,"",INDEX('ETF데이터'!$H$4:$H$594,$O40))</f>
        <v/>
      </c>
      <c r="H40" s="77">
        <f>IF($O40=0,"",INDEX('ETF데이터'!$E$4:$E$594,$O40)/100000000)</f>
        <v/>
      </c>
      <c r="I40" s="78">
        <f>IF($O40=0,"",IF(INDEX('ETF데이터'!$U$4:$U$594,$O40)="","",INDEX('ETF데이터'!$U$4:$U$594,$O40)))</f>
        <v/>
      </c>
      <c r="J40" s="78">
        <f>IF($O40=0,"",IF(INDEX('ETF데이터'!$V$4:$V$594,$O40)="","",INDEX('ETF데이터'!$V$4:$V$594,$O40)))</f>
        <v/>
      </c>
      <c r="K40" s="78">
        <f>IF($O40=0,"",IF(INDEX('ETF데이터'!$W$4:$W$594,$O40)="","",INDEX('ETF데이터'!$W$4:$W$594,$O40)))</f>
        <v/>
      </c>
      <c r="L40" s="78">
        <f>IF($O40=0,"",IF(INDEX('ETF데이터'!$X$4:$X$594,$O40)="","",INDEX('ETF데이터'!$X$4:$X$594,$O40)))</f>
        <v/>
      </c>
      <c r="M40" s="73">
        <f>IF($O40=0,"",INDEX('ETF데이터'!$M$4:$M$594,$O40))</f>
        <v/>
      </c>
      <c r="N40" s="79" t="n"/>
      <c r="O40">
        <f>IFERROR(MATCH(21,'ETF데이터'!$AB$4:$AB$594,0),0)</f>
        <v/>
      </c>
      <c r="P40">
        <f>IF(AND($B40&lt;&gt;"",$N40&lt;&gt;""),1,0)</f>
        <v/>
      </c>
      <c r="Q40">
        <f>IF($P40=1,$Q39+1,$Q39)</f>
        <v/>
      </c>
      <c r="R40">
        <f>IFERROR(INDEX($B$20:$B$79,MATCH(21,$Q$20:$Q$79,0)),"")</f>
        <v/>
      </c>
    </row>
    <row r="41">
      <c r="B41" s="60">
        <f>IF($O41=0,"",INDEX('ETF데이터'!$A$4:$A$594,$O41))</f>
        <v/>
      </c>
      <c r="C41" s="80">
        <f>IF($O41=0,"",INDEX('ETF데이터'!$R$4:$R$594,$O41))</f>
        <v/>
      </c>
      <c r="D41" s="81">
        <f>IF($O41=0,"",INDEX('ETF데이터'!$J$4:$J$594,$O41))</f>
        <v/>
      </c>
      <c r="E41" s="82">
        <f>IF($O41=0,"",$D41/12)</f>
        <v/>
      </c>
      <c r="F41" s="83">
        <f>IF($O41=0,"",INDEX('ETF데이터'!$D$4:$D$594,$O41))</f>
        <v/>
      </c>
      <c r="G41" s="81">
        <f>IF($O41=0,"",INDEX('ETF데이터'!$H$4:$H$594,$O41))</f>
        <v/>
      </c>
      <c r="H41" s="84">
        <f>IF($O41=0,"",INDEX('ETF데이터'!$E$4:$E$594,$O41)/100000000)</f>
        <v/>
      </c>
      <c r="I41" s="85">
        <f>IF($O41=0,"",IF(INDEX('ETF데이터'!$U$4:$U$594,$O41)="","",INDEX('ETF데이터'!$U$4:$U$594,$O41)))</f>
        <v/>
      </c>
      <c r="J41" s="85">
        <f>IF($O41=0,"",IF(INDEX('ETF데이터'!$V$4:$V$594,$O41)="","",INDEX('ETF데이터'!$V$4:$V$594,$O41)))</f>
        <v/>
      </c>
      <c r="K41" s="85">
        <f>IF($O41=0,"",IF(INDEX('ETF데이터'!$W$4:$W$594,$O41)="","",INDEX('ETF데이터'!$W$4:$W$594,$O41)))</f>
        <v/>
      </c>
      <c r="L41" s="85">
        <f>IF($O41=0,"",IF(INDEX('ETF데이터'!$X$4:$X$594,$O41)="","",INDEX('ETF데이터'!$X$4:$X$594,$O41)))</f>
        <v/>
      </c>
      <c r="M41" s="80">
        <f>IF($O41=0,"",INDEX('ETF데이터'!$M$4:$M$594,$O41))</f>
        <v/>
      </c>
      <c r="N41" s="79" t="n"/>
      <c r="O41">
        <f>IFERROR(MATCH(22,'ETF데이터'!$AB$4:$AB$594,0),0)</f>
        <v/>
      </c>
      <c r="P41">
        <f>IF(AND($B41&lt;&gt;"",$N41&lt;&gt;""),1,0)</f>
        <v/>
      </c>
      <c r="Q41">
        <f>IF($P41=1,$Q40+1,$Q40)</f>
        <v/>
      </c>
      <c r="R41">
        <f>IFERROR(INDEX($B$20:$B$79,MATCH(22,$Q$20:$Q$79,0)),"")</f>
        <v/>
      </c>
    </row>
    <row r="42">
      <c r="B42" s="56">
        <f>IF($O42=0,"",INDEX('ETF데이터'!$A$4:$A$594,$O42))</f>
        <v/>
      </c>
      <c r="C42" s="73">
        <f>IF($O42=0,"",INDEX('ETF데이터'!$R$4:$R$594,$O42))</f>
        <v/>
      </c>
      <c r="D42" s="74">
        <f>IF($O42=0,"",INDEX('ETF데이터'!$J$4:$J$594,$O42))</f>
        <v/>
      </c>
      <c r="E42" s="75">
        <f>IF($O42=0,"",$D42/12)</f>
        <v/>
      </c>
      <c r="F42" s="76">
        <f>IF($O42=0,"",INDEX('ETF데이터'!$D$4:$D$594,$O42))</f>
        <v/>
      </c>
      <c r="G42" s="74">
        <f>IF($O42=0,"",INDEX('ETF데이터'!$H$4:$H$594,$O42))</f>
        <v/>
      </c>
      <c r="H42" s="77">
        <f>IF($O42=0,"",INDEX('ETF데이터'!$E$4:$E$594,$O42)/100000000)</f>
        <v/>
      </c>
      <c r="I42" s="78">
        <f>IF($O42=0,"",IF(INDEX('ETF데이터'!$U$4:$U$594,$O42)="","",INDEX('ETF데이터'!$U$4:$U$594,$O42)))</f>
        <v/>
      </c>
      <c r="J42" s="78">
        <f>IF($O42=0,"",IF(INDEX('ETF데이터'!$V$4:$V$594,$O42)="","",INDEX('ETF데이터'!$V$4:$V$594,$O42)))</f>
        <v/>
      </c>
      <c r="K42" s="78">
        <f>IF($O42=0,"",IF(INDEX('ETF데이터'!$W$4:$W$594,$O42)="","",INDEX('ETF데이터'!$W$4:$W$594,$O42)))</f>
        <v/>
      </c>
      <c r="L42" s="78">
        <f>IF($O42=0,"",IF(INDEX('ETF데이터'!$X$4:$X$594,$O42)="","",INDEX('ETF데이터'!$X$4:$X$594,$O42)))</f>
        <v/>
      </c>
      <c r="M42" s="73">
        <f>IF($O42=0,"",INDEX('ETF데이터'!$M$4:$M$594,$O42))</f>
        <v/>
      </c>
      <c r="N42" s="79" t="n"/>
      <c r="O42">
        <f>IFERROR(MATCH(23,'ETF데이터'!$AB$4:$AB$594,0),0)</f>
        <v/>
      </c>
      <c r="P42">
        <f>IF(AND($B42&lt;&gt;"",$N42&lt;&gt;""),1,0)</f>
        <v/>
      </c>
      <c r="Q42">
        <f>IF($P42=1,$Q41+1,$Q41)</f>
        <v/>
      </c>
      <c r="R42">
        <f>IFERROR(INDEX($B$20:$B$79,MATCH(23,$Q$20:$Q$79,0)),"")</f>
        <v/>
      </c>
    </row>
    <row r="43">
      <c r="B43" s="60">
        <f>IF($O43=0,"",INDEX('ETF데이터'!$A$4:$A$594,$O43))</f>
        <v/>
      </c>
      <c r="C43" s="80">
        <f>IF($O43=0,"",INDEX('ETF데이터'!$R$4:$R$594,$O43))</f>
        <v/>
      </c>
      <c r="D43" s="81">
        <f>IF($O43=0,"",INDEX('ETF데이터'!$J$4:$J$594,$O43))</f>
        <v/>
      </c>
      <c r="E43" s="82">
        <f>IF($O43=0,"",$D43/12)</f>
        <v/>
      </c>
      <c r="F43" s="83">
        <f>IF($O43=0,"",INDEX('ETF데이터'!$D$4:$D$594,$O43))</f>
        <v/>
      </c>
      <c r="G43" s="81">
        <f>IF($O43=0,"",INDEX('ETF데이터'!$H$4:$H$594,$O43))</f>
        <v/>
      </c>
      <c r="H43" s="84">
        <f>IF($O43=0,"",INDEX('ETF데이터'!$E$4:$E$594,$O43)/100000000)</f>
        <v/>
      </c>
      <c r="I43" s="85">
        <f>IF($O43=0,"",IF(INDEX('ETF데이터'!$U$4:$U$594,$O43)="","",INDEX('ETF데이터'!$U$4:$U$594,$O43)))</f>
        <v/>
      </c>
      <c r="J43" s="85">
        <f>IF($O43=0,"",IF(INDEX('ETF데이터'!$V$4:$V$594,$O43)="","",INDEX('ETF데이터'!$V$4:$V$594,$O43)))</f>
        <v/>
      </c>
      <c r="K43" s="85">
        <f>IF($O43=0,"",IF(INDEX('ETF데이터'!$W$4:$W$594,$O43)="","",INDEX('ETF데이터'!$W$4:$W$594,$O43)))</f>
        <v/>
      </c>
      <c r="L43" s="85">
        <f>IF($O43=0,"",IF(INDEX('ETF데이터'!$X$4:$X$594,$O43)="","",INDEX('ETF데이터'!$X$4:$X$594,$O43)))</f>
        <v/>
      </c>
      <c r="M43" s="80">
        <f>IF($O43=0,"",INDEX('ETF데이터'!$M$4:$M$594,$O43))</f>
        <v/>
      </c>
      <c r="N43" s="79" t="n"/>
      <c r="O43">
        <f>IFERROR(MATCH(24,'ETF데이터'!$AB$4:$AB$594,0),0)</f>
        <v/>
      </c>
      <c r="P43">
        <f>IF(AND($B43&lt;&gt;"",$N43&lt;&gt;""),1,0)</f>
        <v/>
      </c>
      <c r="Q43">
        <f>IF($P43=1,$Q42+1,$Q42)</f>
        <v/>
      </c>
      <c r="R43">
        <f>IFERROR(INDEX($B$20:$B$79,MATCH(24,$Q$20:$Q$79,0)),"")</f>
        <v/>
      </c>
    </row>
    <row r="44">
      <c r="B44" s="56">
        <f>IF($O44=0,"",INDEX('ETF데이터'!$A$4:$A$594,$O44))</f>
        <v/>
      </c>
      <c r="C44" s="73">
        <f>IF($O44=0,"",INDEX('ETF데이터'!$R$4:$R$594,$O44))</f>
        <v/>
      </c>
      <c r="D44" s="74">
        <f>IF($O44=0,"",INDEX('ETF데이터'!$J$4:$J$594,$O44))</f>
        <v/>
      </c>
      <c r="E44" s="75">
        <f>IF($O44=0,"",$D44/12)</f>
        <v/>
      </c>
      <c r="F44" s="76">
        <f>IF($O44=0,"",INDEX('ETF데이터'!$D$4:$D$594,$O44))</f>
        <v/>
      </c>
      <c r="G44" s="74">
        <f>IF($O44=0,"",INDEX('ETF데이터'!$H$4:$H$594,$O44))</f>
        <v/>
      </c>
      <c r="H44" s="77">
        <f>IF($O44=0,"",INDEX('ETF데이터'!$E$4:$E$594,$O44)/100000000)</f>
        <v/>
      </c>
      <c r="I44" s="78">
        <f>IF($O44=0,"",IF(INDEX('ETF데이터'!$U$4:$U$594,$O44)="","",INDEX('ETF데이터'!$U$4:$U$594,$O44)))</f>
        <v/>
      </c>
      <c r="J44" s="78">
        <f>IF($O44=0,"",IF(INDEX('ETF데이터'!$V$4:$V$594,$O44)="","",INDEX('ETF데이터'!$V$4:$V$594,$O44)))</f>
        <v/>
      </c>
      <c r="K44" s="78">
        <f>IF($O44=0,"",IF(INDEX('ETF데이터'!$W$4:$W$594,$O44)="","",INDEX('ETF데이터'!$W$4:$W$594,$O44)))</f>
        <v/>
      </c>
      <c r="L44" s="78">
        <f>IF($O44=0,"",IF(INDEX('ETF데이터'!$X$4:$X$594,$O44)="","",INDEX('ETF데이터'!$X$4:$X$594,$O44)))</f>
        <v/>
      </c>
      <c r="M44" s="73">
        <f>IF($O44=0,"",INDEX('ETF데이터'!$M$4:$M$594,$O44))</f>
        <v/>
      </c>
      <c r="N44" s="79" t="n"/>
      <c r="O44">
        <f>IFERROR(MATCH(25,'ETF데이터'!$AB$4:$AB$594,0),0)</f>
        <v/>
      </c>
      <c r="P44">
        <f>IF(AND($B44&lt;&gt;"",$N44&lt;&gt;""),1,0)</f>
        <v/>
      </c>
      <c r="Q44">
        <f>IF($P44=1,$Q43+1,$Q43)</f>
        <v/>
      </c>
      <c r="R44">
        <f>IFERROR(INDEX($B$20:$B$79,MATCH(25,$Q$20:$Q$79,0)),"")</f>
        <v/>
      </c>
    </row>
    <row r="45">
      <c r="B45" s="60">
        <f>IF($O45=0,"",INDEX('ETF데이터'!$A$4:$A$594,$O45))</f>
        <v/>
      </c>
      <c r="C45" s="80">
        <f>IF($O45=0,"",INDEX('ETF데이터'!$R$4:$R$594,$O45))</f>
        <v/>
      </c>
      <c r="D45" s="81">
        <f>IF($O45=0,"",INDEX('ETF데이터'!$J$4:$J$594,$O45))</f>
        <v/>
      </c>
      <c r="E45" s="82">
        <f>IF($O45=0,"",$D45/12)</f>
        <v/>
      </c>
      <c r="F45" s="83">
        <f>IF($O45=0,"",INDEX('ETF데이터'!$D$4:$D$594,$O45))</f>
        <v/>
      </c>
      <c r="G45" s="81">
        <f>IF($O45=0,"",INDEX('ETF데이터'!$H$4:$H$594,$O45))</f>
        <v/>
      </c>
      <c r="H45" s="84">
        <f>IF($O45=0,"",INDEX('ETF데이터'!$E$4:$E$594,$O45)/100000000)</f>
        <v/>
      </c>
      <c r="I45" s="85">
        <f>IF($O45=0,"",IF(INDEX('ETF데이터'!$U$4:$U$594,$O45)="","",INDEX('ETF데이터'!$U$4:$U$594,$O45)))</f>
        <v/>
      </c>
      <c r="J45" s="85">
        <f>IF($O45=0,"",IF(INDEX('ETF데이터'!$V$4:$V$594,$O45)="","",INDEX('ETF데이터'!$V$4:$V$594,$O45)))</f>
        <v/>
      </c>
      <c r="K45" s="85">
        <f>IF($O45=0,"",IF(INDEX('ETF데이터'!$W$4:$W$594,$O45)="","",INDEX('ETF데이터'!$W$4:$W$594,$O45)))</f>
        <v/>
      </c>
      <c r="L45" s="85">
        <f>IF($O45=0,"",IF(INDEX('ETF데이터'!$X$4:$X$594,$O45)="","",INDEX('ETF데이터'!$X$4:$X$594,$O45)))</f>
        <v/>
      </c>
      <c r="M45" s="80">
        <f>IF($O45=0,"",INDEX('ETF데이터'!$M$4:$M$594,$O45))</f>
        <v/>
      </c>
      <c r="N45" s="79" t="n"/>
      <c r="O45">
        <f>IFERROR(MATCH(26,'ETF데이터'!$AB$4:$AB$594,0),0)</f>
        <v/>
      </c>
      <c r="P45">
        <f>IF(AND($B45&lt;&gt;"",$N45&lt;&gt;""),1,0)</f>
        <v/>
      </c>
      <c r="Q45">
        <f>IF($P45=1,$Q44+1,$Q44)</f>
        <v/>
      </c>
      <c r="R45">
        <f>IFERROR(INDEX($B$20:$B$79,MATCH(26,$Q$20:$Q$79,0)),"")</f>
        <v/>
      </c>
    </row>
    <row r="46">
      <c r="B46" s="56">
        <f>IF($O46=0,"",INDEX('ETF데이터'!$A$4:$A$594,$O46))</f>
        <v/>
      </c>
      <c r="C46" s="73">
        <f>IF($O46=0,"",INDEX('ETF데이터'!$R$4:$R$594,$O46))</f>
        <v/>
      </c>
      <c r="D46" s="74">
        <f>IF($O46=0,"",INDEX('ETF데이터'!$J$4:$J$594,$O46))</f>
        <v/>
      </c>
      <c r="E46" s="75">
        <f>IF($O46=0,"",$D46/12)</f>
        <v/>
      </c>
      <c r="F46" s="76">
        <f>IF($O46=0,"",INDEX('ETF데이터'!$D$4:$D$594,$O46))</f>
        <v/>
      </c>
      <c r="G46" s="74">
        <f>IF($O46=0,"",INDEX('ETF데이터'!$H$4:$H$594,$O46))</f>
        <v/>
      </c>
      <c r="H46" s="77">
        <f>IF($O46=0,"",INDEX('ETF데이터'!$E$4:$E$594,$O46)/100000000)</f>
        <v/>
      </c>
      <c r="I46" s="78">
        <f>IF($O46=0,"",IF(INDEX('ETF데이터'!$U$4:$U$594,$O46)="","",INDEX('ETF데이터'!$U$4:$U$594,$O46)))</f>
        <v/>
      </c>
      <c r="J46" s="78">
        <f>IF($O46=0,"",IF(INDEX('ETF데이터'!$V$4:$V$594,$O46)="","",INDEX('ETF데이터'!$V$4:$V$594,$O46)))</f>
        <v/>
      </c>
      <c r="K46" s="78">
        <f>IF($O46=0,"",IF(INDEX('ETF데이터'!$W$4:$W$594,$O46)="","",INDEX('ETF데이터'!$W$4:$W$594,$O46)))</f>
        <v/>
      </c>
      <c r="L46" s="78">
        <f>IF($O46=0,"",IF(INDEX('ETF데이터'!$X$4:$X$594,$O46)="","",INDEX('ETF데이터'!$X$4:$X$594,$O46)))</f>
        <v/>
      </c>
      <c r="M46" s="73">
        <f>IF($O46=0,"",INDEX('ETF데이터'!$M$4:$M$594,$O46))</f>
        <v/>
      </c>
      <c r="N46" s="79" t="n"/>
      <c r="O46">
        <f>IFERROR(MATCH(27,'ETF데이터'!$AB$4:$AB$594,0),0)</f>
        <v/>
      </c>
      <c r="P46">
        <f>IF(AND($B46&lt;&gt;"",$N46&lt;&gt;""),1,0)</f>
        <v/>
      </c>
      <c r="Q46">
        <f>IF($P46=1,$Q45+1,$Q45)</f>
        <v/>
      </c>
      <c r="R46">
        <f>IFERROR(INDEX($B$20:$B$79,MATCH(27,$Q$20:$Q$79,0)),"")</f>
        <v/>
      </c>
    </row>
    <row r="47">
      <c r="B47" s="60">
        <f>IF($O47=0,"",INDEX('ETF데이터'!$A$4:$A$594,$O47))</f>
        <v/>
      </c>
      <c r="C47" s="80">
        <f>IF($O47=0,"",INDEX('ETF데이터'!$R$4:$R$594,$O47))</f>
        <v/>
      </c>
      <c r="D47" s="81">
        <f>IF($O47=0,"",INDEX('ETF데이터'!$J$4:$J$594,$O47))</f>
        <v/>
      </c>
      <c r="E47" s="82">
        <f>IF($O47=0,"",$D47/12)</f>
        <v/>
      </c>
      <c r="F47" s="83">
        <f>IF($O47=0,"",INDEX('ETF데이터'!$D$4:$D$594,$O47))</f>
        <v/>
      </c>
      <c r="G47" s="81">
        <f>IF($O47=0,"",INDEX('ETF데이터'!$H$4:$H$594,$O47))</f>
        <v/>
      </c>
      <c r="H47" s="84">
        <f>IF($O47=0,"",INDEX('ETF데이터'!$E$4:$E$594,$O47)/100000000)</f>
        <v/>
      </c>
      <c r="I47" s="85">
        <f>IF($O47=0,"",IF(INDEX('ETF데이터'!$U$4:$U$594,$O47)="","",INDEX('ETF데이터'!$U$4:$U$594,$O47)))</f>
        <v/>
      </c>
      <c r="J47" s="85">
        <f>IF($O47=0,"",IF(INDEX('ETF데이터'!$V$4:$V$594,$O47)="","",INDEX('ETF데이터'!$V$4:$V$594,$O47)))</f>
        <v/>
      </c>
      <c r="K47" s="85">
        <f>IF($O47=0,"",IF(INDEX('ETF데이터'!$W$4:$W$594,$O47)="","",INDEX('ETF데이터'!$W$4:$W$594,$O47)))</f>
        <v/>
      </c>
      <c r="L47" s="85">
        <f>IF($O47=0,"",IF(INDEX('ETF데이터'!$X$4:$X$594,$O47)="","",INDEX('ETF데이터'!$X$4:$X$594,$O47)))</f>
        <v/>
      </c>
      <c r="M47" s="80">
        <f>IF($O47=0,"",INDEX('ETF데이터'!$M$4:$M$594,$O47))</f>
        <v/>
      </c>
      <c r="N47" s="79" t="n"/>
      <c r="O47">
        <f>IFERROR(MATCH(28,'ETF데이터'!$AB$4:$AB$594,0),0)</f>
        <v/>
      </c>
      <c r="P47">
        <f>IF(AND($B47&lt;&gt;"",$N47&lt;&gt;""),1,0)</f>
        <v/>
      </c>
      <c r="Q47">
        <f>IF($P47=1,$Q46+1,$Q46)</f>
        <v/>
      </c>
      <c r="R47">
        <f>IFERROR(INDEX($B$20:$B$79,MATCH(28,$Q$20:$Q$79,0)),"")</f>
        <v/>
      </c>
    </row>
    <row r="48">
      <c r="B48" s="56">
        <f>IF($O48=0,"",INDEX('ETF데이터'!$A$4:$A$594,$O48))</f>
        <v/>
      </c>
      <c r="C48" s="73">
        <f>IF($O48=0,"",INDEX('ETF데이터'!$R$4:$R$594,$O48))</f>
        <v/>
      </c>
      <c r="D48" s="74">
        <f>IF($O48=0,"",INDEX('ETF데이터'!$J$4:$J$594,$O48))</f>
        <v/>
      </c>
      <c r="E48" s="75">
        <f>IF($O48=0,"",$D48/12)</f>
        <v/>
      </c>
      <c r="F48" s="76">
        <f>IF($O48=0,"",INDEX('ETF데이터'!$D$4:$D$594,$O48))</f>
        <v/>
      </c>
      <c r="G48" s="74">
        <f>IF($O48=0,"",INDEX('ETF데이터'!$H$4:$H$594,$O48))</f>
        <v/>
      </c>
      <c r="H48" s="77">
        <f>IF($O48=0,"",INDEX('ETF데이터'!$E$4:$E$594,$O48)/100000000)</f>
        <v/>
      </c>
      <c r="I48" s="78">
        <f>IF($O48=0,"",IF(INDEX('ETF데이터'!$U$4:$U$594,$O48)="","",INDEX('ETF데이터'!$U$4:$U$594,$O48)))</f>
        <v/>
      </c>
      <c r="J48" s="78">
        <f>IF($O48=0,"",IF(INDEX('ETF데이터'!$V$4:$V$594,$O48)="","",INDEX('ETF데이터'!$V$4:$V$594,$O48)))</f>
        <v/>
      </c>
      <c r="K48" s="78">
        <f>IF($O48=0,"",IF(INDEX('ETF데이터'!$W$4:$W$594,$O48)="","",INDEX('ETF데이터'!$W$4:$W$594,$O48)))</f>
        <v/>
      </c>
      <c r="L48" s="78">
        <f>IF($O48=0,"",IF(INDEX('ETF데이터'!$X$4:$X$594,$O48)="","",INDEX('ETF데이터'!$X$4:$X$594,$O48)))</f>
        <v/>
      </c>
      <c r="M48" s="73">
        <f>IF($O48=0,"",INDEX('ETF데이터'!$M$4:$M$594,$O48))</f>
        <v/>
      </c>
      <c r="N48" s="79" t="n"/>
      <c r="O48">
        <f>IFERROR(MATCH(29,'ETF데이터'!$AB$4:$AB$594,0),0)</f>
        <v/>
      </c>
      <c r="P48">
        <f>IF(AND($B48&lt;&gt;"",$N48&lt;&gt;""),1,0)</f>
        <v/>
      </c>
      <c r="Q48">
        <f>IF($P48=1,$Q47+1,$Q47)</f>
        <v/>
      </c>
      <c r="R48">
        <f>IFERROR(INDEX($B$20:$B$79,MATCH(29,$Q$20:$Q$79,0)),"")</f>
        <v/>
      </c>
    </row>
    <row r="49">
      <c r="B49" s="60">
        <f>IF($O49=0,"",INDEX('ETF데이터'!$A$4:$A$594,$O49))</f>
        <v/>
      </c>
      <c r="C49" s="80">
        <f>IF($O49=0,"",INDEX('ETF데이터'!$R$4:$R$594,$O49))</f>
        <v/>
      </c>
      <c r="D49" s="81">
        <f>IF($O49=0,"",INDEX('ETF데이터'!$J$4:$J$594,$O49))</f>
        <v/>
      </c>
      <c r="E49" s="82">
        <f>IF($O49=0,"",$D49/12)</f>
        <v/>
      </c>
      <c r="F49" s="83">
        <f>IF($O49=0,"",INDEX('ETF데이터'!$D$4:$D$594,$O49))</f>
        <v/>
      </c>
      <c r="G49" s="81">
        <f>IF($O49=0,"",INDEX('ETF데이터'!$H$4:$H$594,$O49))</f>
        <v/>
      </c>
      <c r="H49" s="84">
        <f>IF($O49=0,"",INDEX('ETF데이터'!$E$4:$E$594,$O49)/100000000)</f>
        <v/>
      </c>
      <c r="I49" s="85">
        <f>IF($O49=0,"",IF(INDEX('ETF데이터'!$U$4:$U$594,$O49)="","",INDEX('ETF데이터'!$U$4:$U$594,$O49)))</f>
        <v/>
      </c>
      <c r="J49" s="85">
        <f>IF($O49=0,"",IF(INDEX('ETF데이터'!$V$4:$V$594,$O49)="","",INDEX('ETF데이터'!$V$4:$V$594,$O49)))</f>
        <v/>
      </c>
      <c r="K49" s="85">
        <f>IF($O49=0,"",IF(INDEX('ETF데이터'!$W$4:$W$594,$O49)="","",INDEX('ETF데이터'!$W$4:$W$594,$O49)))</f>
        <v/>
      </c>
      <c r="L49" s="85">
        <f>IF($O49=0,"",IF(INDEX('ETF데이터'!$X$4:$X$594,$O49)="","",INDEX('ETF데이터'!$X$4:$X$594,$O49)))</f>
        <v/>
      </c>
      <c r="M49" s="80">
        <f>IF($O49=0,"",INDEX('ETF데이터'!$M$4:$M$594,$O49))</f>
        <v/>
      </c>
      <c r="N49" s="79" t="n"/>
      <c r="O49">
        <f>IFERROR(MATCH(30,'ETF데이터'!$AB$4:$AB$594,0),0)</f>
        <v/>
      </c>
      <c r="P49">
        <f>IF(AND($B49&lt;&gt;"",$N49&lt;&gt;""),1,0)</f>
        <v/>
      </c>
      <c r="Q49">
        <f>IF($P49=1,$Q48+1,$Q48)</f>
        <v/>
      </c>
      <c r="R49">
        <f>IFERROR(INDEX($B$20:$B$79,MATCH(30,$Q$20:$Q$79,0)),"")</f>
        <v/>
      </c>
    </row>
    <row r="50">
      <c r="B50" s="56">
        <f>IF($O50=0,"",INDEX('ETF데이터'!$A$4:$A$594,$O50))</f>
        <v/>
      </c>
      <c r="C50" s="73">
        <f>IF($O50=0,"",INDEX('ETF데이터'!$R$4:$R$594,$O50))</f>
        <v/>
      </c>
      <c r="D50" s="74">
        <f>IF($O50=0,"",INDEX('ETF데이터'!$J$4:$J$594,$O50))</f>
        <v/>
      </c>
      <c r="E50" s="75">
        <f>IF($O50=0,"",$D50/12)</f>
        <v/>
      </c>
      <c r="F50" s="76">
        <f>IF($O50=0,"",INDEX('ETF데이터'!$D$4:$D$594,$O50))</f>
        <v/>
      </c>
      <c r="G50" s="74">
        <f>IF($O50=0,"",INDEX('ETF데이터'!$H$4:$H$594,$O50))</f>
        <v/>
      </c>
      <c r="H50" s="77">
        <f>IF($O50=0,"",INDEX('ETF데이터'!$E$4:$E$594,$O50)/100000000)</f>
        <v/>
      </c>
      <c r="I50" s="78">
        <f>IF($O50=0,"",IF(INDEX('ETF데이터'!$U$4:$U$594,$O50)="","",INDEX('ETF데이터'!$U$4:$U$594,$O50)))</f>
        <v/>
      </c>
      <c r="J50" s="78">
        <f>IF($O50=0,"",IF(INDEX('ETF데이터'!$V$4:$V$594,$O50)="","",INDEX('ETF데이터'!$V$4:$V$594,$O50)))</f>
        <v/>
      </c>
      <c r="K50" s="78">
        <f>IF($O50=0,"",IF(INDEX('ETF데이터'!$W$4:$W$594,$O50)="","",INDEX('ETF데이터'!$W$4:$W$594,$O50)))</f>
        <v/>
      </c>
      <c r="L50" s="78">
        <f>IF($O50=0,"",IF(INDEX('ETF데이터'!$X$4:$X$594,$O50)="","",INDEX('ETF데이터'!$X$4:$X$594,$O50)))</f>
        <v/>
      </c>
      <c r="M50" s="73">
        <f>IF($O50=0,"",INDEX('ETF데이터'!$M$4:$M$594,$O50))</f>
        <v/>
      </c>
      <c r="N50" s="79" t="n"/>
      <c r="O50">
        <f>IFERROR(MATCH(31,'ETF데이터'!$AB$4:$AB$594,0),0)</f>
        <v/>
      </c>
      <c r="P50">
        <f>IF(AND($B50&lt;&gt;"",$N50&lt;&gt;""),1,0)</f>
        <v/>
      </c>
      <c r="Q50">
        <f>IF($P50=1,$Q49+1,$Q49)</f>
        <v/>
      </c>
      <c r="R50">
        <f>IFERROR(INDEX($B$20:$B$79,MATCH(31,$Q$20:$Q$79,0)),"")</f>
        <v/>
      </c>
    </row>
    <row r="51">
      <c r="B51" s="60">
        <f>IF($O51=0,"",INDEX('ETF데이터'!$A$4:$A$594,$O51))</f>
        <v/>
      </c>
      <c r="C51" s="80">
        <f>IF($O51=0,"",INDEX('ETF데이터'!$R$4:$R$594,$O51))</f>
        <v/>
      </c>
      <c r="D51" s="81">
        <f>IF($O51=0,"",INDEX('ETF데이터'!$J$4:$J$594,$O51))</f>
        <v/>
      </c>
      <c r="E51" s="82">
        <f>IF($O51=0,"",$D51/12)</f>
        <v/>
      </c>
      <c r="F51" s="83">
        <f>IF($O51=0,"",INDEX('ETF데이터'!$D$4:$D$594,$O51))</f>
        <v/>
      </c>
      <c r="G51" s="81">
        <f>IF($O51=0,"",INDEX('ETF데이터'!$H$4:$H$594,$O51))</f>
        <v/>
      </c>
      <c r="H51" s="84">
        <f>IF($O51=0,"",INDEX('ETF데이터'!$E$4:$E$594,$O51)/100000000)</f>
        <v/>
      </c>
      <c r="I51" s="85">
        <f>IF($O51=0,"",IF(INDEX('ETF데이터'!$U$4:$U$594,$O51)="","",INDEX('ETF데이터'!$U$4:$U$594,$O51)))</f>
        <v/>
      </c>
      <c r="J51" s="85">
        <f>IF($O51=0,"",IF(INDEX('ETF데이터'!$V$4:$V$594,$O51)="","",INDEX('ETF데이터'!$V$4:$V$594,$O51)))</f>
        <v/>
      </c>
      <c r="K51" s="85">
        <f>IF($O51=0,"",IF(INDEX('ETF데이터'!$W$4:$W$594,$O51)="","",INDEX('ETF데이터'!$W$4:$W$594,$O51)))</f>
        <v/>
      </c>
      <c r="L51" s="85">
        <f>IF($O51=0,"",IF(INDEX('ETF데이터'!$X$4:$X$594,$O51)="","",INDEX('ETF데이터'!$X$4:$X$594,$O51)))</f>
        <v/>
      </c>
      <c r="M51" s="80">
        <f>IF($O51=0,"",INDEX('ETF데이터'!$M$4:$M$594,$O51))</f>
        <v/>
      </c>
      <c r="N51" s="79" t="n"/>
      <c r="O51">
        <f>IFERROR(MATCH(32,'ETF데이터'!$AB$4:$AB$594,0),0)</f>
        <v/>
      </c>
      <c r="P51">
        <f>IF(AND($B51&lt;&gt;"",$N51&lt;&gt;""),1,0)</f>
        <v/>
      </c>
      <c r="Q51">
        <f>IF($P51=1,$Q50+1,$Q50)</f>
        <v/>
      </c>
      <c r="R51">
        <f>IFERROR(INDEX($B$20:$B$79,MATCH(32,$Q$20:$Q$79,0)),"")</f>
        <v/>
      </c>
    </row>
    <row r="52">
      <c r="B52" s="56">
        <f>IF($O52=0,"",INDEX('ETF데이터'!$A$4:$A$594,$O52))</f>
        <v/>
      </c>
      <c r="C52" s="73">
        <f>IF($O52=0,"",INDEX('ETF데이터'!$R$4:$R$594,$O52))</f>
        <v/>
      </c>
      <c r="D52" s="74">
        <f>IF($O52=0,"",INDEX('ETF데이터'!$J$4:$J$594,$O52))</f>
        <v/>
      </c>
      <c r="E52" s="75">
        <f>IF($O52=0,"",$D52/12)</f>
        <v/>
      </c>
      <c r="F52" s="76">
        <f>IF($O52=0,"",INDEX('ETF데이터'!$D$4:$D$594,$O52))</f>
        <v/>
      </c>
      <c r="G52" s="74">
        <f>IF($O52=0,"",INDEX('ETF데이터'!$H$4:$H$594,$O52))</f>
        <v/>
      </c>
      <c r="H52" s="77">
        <f>IF($O52=0,"",INDEX('ETF데이터'!$E$4:$E$594,$O52)/100000000)</f>
        <v/>
      </c>
      <c r="I52" s="78">
        <f>IF($O52=0,"",IF(INDEX('ETF데이터'!$U$4:$U$594,$O52)="","",INDEX('ETF데이터'!$U$4:$U$594,$O52)))</f>
        <v/>
      </c>
      <c r="J52" s="78">
        <f>IF($O52=0,"",IF(INDEX('ETF데이터'!$V$4:$V$594,$O52)="","",INDEX('ETF데이터'!$V$4:$V$594,$O52)))</f>
        <v/>
      </c>
      <c r="K52" s="78">
        <f>IF($O52=0,"",IF(INDEX('ETF데이터'!$W$4:$W$594,$O52)="","",INDEX('ETF데이터'!$W$4:$W$594,$O52)))</f>
        <v/>
      </c>
      <c r="L52" s="78">
        <f>IF($O52=0,"",IF(INDEX('ETF데이터'!$X$4:$X$594,$O52)="","",INDEX('ETF데이터'!$X$4:$X$594,$O52)))</f>
        <v/>
      </c>
      <c r="M52" s="73">
        <f>IF($O52=0,"",INDEX('ETF데이터'!$M$4:$M$594,$O52))</f>
        <v/>
      </c>
      <c r="N52" s="79" t="n"/>
      <c r="O52">
        <f>IFERROR(MATCH(33,'ETF데이터'!$AB$4:$AB$594,0),0)</f>
        <v/>
      </c>
      <c r="P52">
        <f>IF(AND($B52&lt;&gt;"",$N52&lt;&gt;""),1,0)</f>
        <v/>
      </c>
      <c r="Q52">
        <f>IF($P52=1,$Q51+1,$Q51)</f>
        <v/>
      </c>
      <c r="R52">
        <f>IFERROR(INDEX($B$20:$B$79,MATCH(33,$Q$20:$Q$79,0)),"")</f>
        <v/>
      </c>
    </row>
    <row r="53">
      <c r="B53" s="60">
        <f>IF($O53=0,"",INDEX('ETF데이터'!$A$4:$A$594,$O53))</f>
        <v/>
      </c>
      <c r="C53" s="80">
        <f>IF($O53=0,"",INDEX('ETF데이터'!$R$4:$R$594,$O53))</f>
        <v/>
      </c>
      <c r="D53" s="81">
        <f>IF($O53=0,"",INDEX('ETF데이터'!$J$4:$J$594,$O53))</f>
        <v/>
      </c>
      <c r="E53" s="82">
        <f>IF($O53=0,"",$D53/12)</f>
        <v/>
      </c>
      <c r="F53" s="83">
        <f>IF($O53=0,"",INDEX('ETF데이터'!$D$4:$D$594,$O53))</f>
        <v/>
      </c>
      <c r="G53" s="81">
        <f>IF($O53=0,"",INDEX('ETF데이터'!$H$4:$H$594,$O53))</f>
        <v/>
      </c>
      <c r="H53" s="84">
        <f>IF($O53=0,"",INDEX('ETF데이터'!$E$4:$E$594,$O53)/100000000)</f>
        <v/>
      </c>
      <c r="I53" s="85">
        <f>IF($O53=0,"",IF(INDEX('ETF데이터'!$U$4:$U$594,$O53)="","",INDEX('ETF데이터'!$U$4:$U$594,$O53)))</f>
        <v/>
      </c>
      <c r="J53" s="85">
        <f>IF($O53=0,"",IF(INDEX('ETF데이터'!$V$4:$V$594,$O53)="","",INDEX('ETF데이터'!$V$4:$V$594,$O53)))</f>
        <v/>
      </c>
      <c r="K53" s="85">
        <f>IF($O53=0,"",IF(INDEX('ETF데이터'!$W$4:$W$594,$O53)="","",INDEX('ETF데이터'!$W$4:$W$594,$O53)))</f>
        <v/>
      </c>
      <c r="L53" s="85">
        <f>IF($O53=0,"",IF(INDEX('ETF데이터'!$X$4:$X$594,$O53)="","",INDEX('ETF데이터'!$X$4:$X$594,$O53)))</f>
        <v/>
      </c>
      <c r="M53" s="80">
        <f>IF($O53=0,"",INDEX('ETF데이터'!$M$4:$M$594,$O53))</f>
        <v/>
      </c>
      <c r="N53" s="79" t="n"/>
      <c r="O53">
        <f>IFERROR(MATCH(34,'ETF데이터'!$AB$4:$AB$594,0),0)</f>
        <v/>
      </c>
      <c r="P53">
        <f>IF(AND($B53&lt;&gt;"",$N53&lt;&gt;""),1,0)</f>
        <v/>
      </c>
      <c r="Q53">
        <f>IF($P53=1,$Q52+1,$Q52)</f>
        <v/>
      </c>
      <c r="R53">
        <f>IFERROR(INDEX($B$20:$B$79,MATCH(34,$Q$20:$Q$79,0)),"")</f>
        <v/>
      </c>
    </row>
    <row r="54">
      <c r="B54" s="56">
        <f>IF($O54=0,"",INDEX('ETF데이터'!$A$4:$A$594,$O54))</f>
        <v/>
      </c>
      <c r="C54" s="73">
        <f>IF($O54=0,"",INDEX('ETF데이터'!$R$4:$R$594,$O54))</f>
        <v/>
      </c>
      <c r="D54" s="74">
        <f>IF($O54=0,"",INDEX('ETF데이터'!$J$4:$J$594,$O54))</f>
        <v/>
      </c>
      <c r="E54" s="75">
        <f>IF($O54=0,"",$D54/12)</f>
        <v/>
      </c>
      <c r="F54" s="76">
        <f>IF($O54=0,"",INDEX('ETF데이터'!$D$4:$D$594,$O54))</f>
        <v/>
      </c>
      <c r="G54" s="74">
        <f>IF($O54=0,"",INDEX('ETF데이터'!$H$4:$H$594,$O54))</f>
        <v/>
      </c>
      <c r="H54" s="77">
        <f>IF($O54=0,"",INDEX('ETF데이터'!$E$4:$E$594,$O54)/100000000)</f>
        <v/>
      </c>
      <c r="I54" s="78">
        <f>IF($O54=0,"",IF(INDEX('ETF데이터'!$U$4:$U$594,$O54)="","",INDEX('ETF데이터'!$U$4:$U$594,$O54)))</f>
        <v/>
      </c>
      <c r="J54" s="78">
        <f>IF($O54=0,"",IF(INDEX('ETF데이터'!$V$4:$V$594,$O54)="","",INDEX('ETF데이터'!$V$4:$V$594,$O54)))</f>
        <v/>
      </c>
      <c r="K54" s="78">
        <f>IF($O54=0,"",IF(INDEX('ETF데이터'!$W$4:$W$594,$O54)="","",INDEX('ETF데이터'!$W$4:$W$594,$O54)))</f>
        <v/>
      </c>
      <c r="L54" s="78">
        <f>IF($O54=0,"",IF(INDEX('ETF데이터'!$X$4:$X$594,$O54)="","",INDEX('ETF데이터'!$X$4:$X$594,$O54)))</f>
        <v/>
      </c>
      <c r="M54" s="73">
        <f>IF($O54=0,"",INDEX('ETF데이터'!$M$4:$M$594,$O54))</f>
        <v/>
      </c>
      <c r="N54" s="79" t="n"/>
      <c r="O54">
        <f>IFERROR(MATCH(35,'ETF데이터'!$AB$4:$AB$594,0),0)</f>
        <v/>
      </c>
      <c r="P54">
        <f>IF(AND($B54&lt;&gt;"",$N54&lt;&gt;""),1,0)</f>
        <v/>
      </c>
      <c r="Q54">
        <f>IF($P54=1,$Q53+1,$Q53)</f>
        <v/>
      </c>
      <c r="R54">
        <f>IFERROR(INDEX($B$20:$B$79,MATCH(35,$Q$20:$Q$79,0)),"")</f>
        <v/>
      </c>
    </row>
    <row r="55">
      <c r="B55" s="60">
        <f>IF($O55=0,"",INDEX('ETF데이터'!$A$4:$A$594,$O55))</f>
        <v/>
      </c>
      <c r="C55" s="80">
        <f>IF($O55=0,"",INDEX('ETF데이터'!$R$4:$R$594,$O55))</f>
        <v/>
      </c>
      <c r="D55" s="81">
        <f>IF($O55=0,"",INDEX('ETF데이터'!$J$4:$J$594,$O55))</f>
        <v/>
      </c>
      <c r="E55" s="82">
        <f>IF($O55=0,"",$D55/12)</f>
        <v/>
      </c>
      <c r="F55" s="83">
        <f>IF($O55=0,"",INDEX('ETF데이터'!$D$4:$D$594,$O55))</f>
        <v/>
      </c>
      <c r="G55" s="81">
        <f>IF($O55=0,"",INDEX('ETF데이터'!$H$4:$H$594,$O55))</f>
        <v/>
      </c>
      <c r="H55" s="84">
        <f>IF($O55=0,"",INDEX('ETF데이터'!$E$4:$E$594,$O55)/100000000)</f>
        <v/>
      </c>
      <c r="I55" s="85">
        <f>IF($O55=0,"",IF(INDEX('ETF데이터'!$U$4:$U$594,$O55)="","",INDEX('ETF데이터'!$U$4:$U$594,$O55)))</f>
        <v/>
      </c>
      <c r="J55" s="85">
        <f>IF($O55=0,"",IF(INDEX('ETF데이터'!$V$4:$V$594,$O55)="","",INDEX('ETF데이터'!$V$4:$V$594,$O55)))</f>
        <v/>
      </c>
      <c r="K55" s="85">
        <f>IF($O55=0,"",IF(INDEX('ETF데이터'!$W$4:$W$594,$O55)="","",INDEX('ETF데이터'!$W$4:$W$594,$O55)))</f>
        <v/>
      </c>
      <c r="L55" s="85">
        <f>IF($O55=0,"",IF(INDEX('ETF데이터'!$X$4:$X$594,$O55)="","",INDEX('ETF데이터'!$X$4:$X$594,$O55)))</f>
        <v/>
      </c>
      <c r="M55" s="80">
        <f>IF($O55=0,"",INDEX('ETF데이터'!$M$4:$M$594,$O55))</f>
        <v/>
      </c>
      <c r="N55" s="79" t="n"/>
      <c r="O55">
        <f>IFERROR(MATCH(36,'ETF데이터'!$AB$4:$AB$594,0),0)</f>
        <v/>
      </c>
      <c r="P55">
        <f>IF(AND($B55&lt;&gt;"",$N55&lt;&gt;""),1,0)</f>
        <v/>
      </c>
      <c r="Q55">
        <f>IF($P55=1,$Q54+1,$Q54)</f>
        <v/>
      </c>
      <c r="R55">
        <f>IFERROR(INDEX($B$20:$B$79,MATCH(36,$Q$20:$Q$79,0)),"")</f>
        <v/>
      </c>
    </row>
    <row r="56">
      <c r="B56" s="56">
        <f>IF($O56=0,"",INDEX('ETF데이터'!$A$4:$A$594,$O56))</f>
        <v/>
      </c>
      <c r="C56" s="73">
        <f>IF($O56=0,"",INDEX('ETF데이터'!$R$4:$R$594,$O56))</f>
        <v/>
      </c>
      <c r="D56" s="74">
        <f>IF($O56=0,"",INDEX('ETF데이터'!$J$4:$J$594,$O56))</f>
        <v/>
      </c>
      <c r="E56" s="75">
        <f>IF($O56=0,"",$D56/12)</f>
        <v/>
      </c>
      <c r="F56" s="76">
        <f>IF($O56=0,"",INDEX('ETF데이터'!$D$4:$D$594,$O56))</f>
        <v/>
      </c>
      <c r="G56" s="74">
        <f>IF($O56=0,"",INDEX('ETF데이터'!$H$4:$H$594,$O56))</f>
        <v/>
      </c>
      <c r="H56" s="77">
        <f>IF($O56=0,"",INDEX('ETF데이터'!$E$4:$E$594,$O56)/100000000)</f>
        <v/>
      </c>
      <c r="I56" s="78">
        <f>IF($O56=0,"",IF(INDEX('ETF데이터'!$U$4:$U$594,$O56)="","",INDEX('ETF데이터'!$U$4:$U$594,$O56)))</f>
        <v/>
      </c>
      <c r="J56" s="78">
        <f>IF($O56=0,"",IF(INDEX('ETF데이터'!$V$4:$V$594,$O56)="","",INDEX('ETF데이터'!$V$4:$V$594,$O56)))</f>
        <v/>
      </c>
      <c r="K56" s="78">
        <f>IF($O56=0,"",IF(INDEX('ETF데이터'!$W$4:$W$594,$O56)="","",INDEX('ETF데이터'!$W$4:$W$594,$O56)))</f>
        <v/>
      </c>
      <c r="L56" s="78">
        <f>IF($O56=0,"",IF(INDEX('ETF데이터'!$X$4:$X$594,$O56)="","",INDEX('ETF데이터'!$X$4:$X$594,$O56)))</f>
        <v/>
      </c>
      <c r="M56" s="73">
        <f>IF($O56=0,"",INDEX('ETF데이터'!$M$4:$M$594,$O56))</f>
        <v/>
      </c>
      <c r="N56" s="79" t="n"/>
      <c r="O56">
        <f>IFERROR(MATCH(37,'ETF데이터'!$AB$4:$AB$594,0),0)</f>
        <v/>
      </c>
      <c r="P56">
        <f>IF(AND($B56&lt;&gt;"",$N56&lt;&gt;""),1,0)</f>
        <v/>
      </c>
      <c r="Q56">
        <f>IF($P56=1,$Q55+1,$Q55)</f>
        <v/>
      </c>
      <c r="R56">
        <f>IFERROR(INDEX($B$20:$B$79,MATCH(37,$Q$20:$Q$79,0)),"")</f>
        <v/>
      </c>
    </row>
    <row r="57">
      <c r="B57" s="60">
        <f>IF($O57=0,"",INDEX('ETF데이터'!$A$4:$A$594,$O57))</f>
        <v/>
      </c>
      <c r="C57" s="80">
        <f>IF($O57=0,"",INDEX('ETF데이터'!$R$4:$R$594,$O57))</f>
        <v/>
      </c>
      <c r="D57" s="81">
        <f>IF($O57=0,"",INDEX('ETF데이터'!$J$4:$J$594,$O57))</f>
        <v/>
      </c>
      <c r="E57" s="82">
        <f>IF($O57=0,"",$D57/12)</f>
        <v/>
      </c>
      <c r="F57" s="83">
        <f>IF($O57=0,"",INDEX('ETF데이터'!$D$4:$D$594,$O57))</f>
        <v/>
      </c>
      <c r="G57" s="81">
        <f>IF($O57=0,"",INDEX('ETF데이터'!$H$4:$H$594,$O57))</f>
        <v/>
      </c>
      <c r="H57" s="84">
        <f>IF($O57=0,"",INDEX('ETF데이터'!$E$4:$E$594,$O57)/100000000)</f>
        <v/>
      </c>
      <c r="I57" s="85">
        <f>IF($O57=0,"",IF(INDEX('ETF데이터'!$U$4:$U$594,$O57)="","",INDEX('ETF데이터'!$U$4:$U$594,$O57)))</f>
        <v/>
      </c>
      <c r="J57" s="85">
        <f>IF($O57=0,"",IF(INDEX('ETF데이터'!$V$4:$V$594,$O57)="","",INDEX('ETF데이터'!$V$4:$V$594,$O57)))</f>
        <v/>
      </c>
      <c r="K57" s="85">
        <f>IF($O57=0,"",IF(INDEX('ETF데이터'!$W$4:$W$594,$O57)="","",INDEX('ETF데이터'!$W$4:$W$594,$O57)))</f>
        <v/>
      </c>
      <c r="L57" s="85">
        <f>IF($O57=0,"",IF(INDEX('ETF데이터'!$X$4:$X$594,$O57)="","",INDEX('ETF데이터'!$X$4:$X$594,$O57)))</f>
        <v/>
      </c>
      <c r="M57" s="80">
        <f>IF($O57=0,"",INDEX('ETF데이터'!$M$4:$M$594,$O57))</f>
        <v/>
      </c>
      <c r="N57" s="79" t="n"/>
      <c r="O57">
        <f>IFERROR(MATCH(38,'ETF데이터'!$AB$4:$AB$594,0),0)</f>
        <v/>
      </c>
      <c r="P57">
        <f>IF(AND($B57&lt;&gt;"",$N57&lt;&gt;""),1,0)</f>
        <v/>
      </c>
      <c r="Q57">
        <f>IF($P57=1,$Q56+1,$Q56)</f>
        <v/>
      </c>
      <c r="R57">
        <f>IFERROR(INDEX($B$20:$B$79,MATCH(38,$Q$20:$Q$79,0)),"")</f>
        <v/>
      </c>
    </row>
    <row r="58">
      <c r="B58" s="56">
        <f>IF($O58=0,"",INDEX('ETF데이터'!$A$4:$A$594,$O58))</f>
        <v/>
      </c>
      <c r="C58" s="73">
        <f>IF($O58=0,"",INDEX('ETF데이터'!$R$4:$R$594,$O58))</f>
        <v/>
      </c>
      <c r="D58" s="74">
        <f>IF($O58=0,"",INDEX('ETF데이터'!$J$4:$J$594,$O58))</f>
        <v/>
      </c>
      <c r="E58" s="75">
        <f>IF($O58=0,"",$D58/12)</f>
        <v/>
      </c>
      <c r="F58" s="76">
        <f>IF($O58=0,"",INDEX('ETF데이터'!$D$4:$D$594,$O58))</f>
        <v/>
      </c>
      <c r="G58" s="74">
        <f>IF($O58=0,"",INDEX('ETF데이터'!$H$4:$H$594,$O58))</f>
        <v/>
      </c>
      <c r="H58" s="77">
        <f>IF($O58=0,"",INDEX('ETF데이터'!$E$4:$E$594,$O58)/100000000)</f>
        <v/>
      </c>
      <c r="I58" s="78">
        <f>IF($O58=0,"",IF(INDEX('ETF데이터'!$U$4:$U$594,$O58)="","",INDEX('ETF데이터'!$U$4:$U$594,$O58)))</f>
        <v/>
      </c>
      <c r="J58" s="78">
        <f>IF($O58=0,"",IF(INDEX('ETF데이터'!$V$4:$V$594,$O58)="","",INDEX('ETF데이터'!$V$4:$V$594,$O58)))</f>
        <v/>
      </c>
      <c r="K58" s="78">
        <f>IF($O58=0,"",IF(INDEX('ETF데이터'!$W$4:$W$594,$O58)="","",INDEX('ETF데이터'!$W$4:$W$594,$O58)))</f>
        <v/>
      </c>
      <c r="L58" s="78">
        <f>IF($O58=0,"",IF(INDEX('ETF데이터'!$X$4:$X$594,$O58)="","",INDEX('ETF데이터'!$X$4:$X$594,$O58)))</f>
        <v/>
      </c>
      <c r="M58" s="73">
        <f>IF($O58=0,"",INDEX('ETF데이터'!$M$4:$M$594,$O58))</f>
        <v/>
      </c>
      <c r="N58" s="79" t="n"/>
      <c r="O58">
        <f>IFERROR(MATCH(39,'ETF데이터'!$AB$4:$AB$594,0),0)</f>
        <v/>
      </c>
      <c r="P58">
        <f>IF(AND($B58&lt;&gt;"",$N58&lt;&gt;""),1,0)</f>
        <v/>
      </c>
      <c r="Q58">
        <f>IF($P58=1,$Q57+1,$Q57)</f>
        <v/>
      </c>
      <c r="R58">
        <f>IFERROR(INDEX($B$20:$B$79,MATCH(39,$Q$20:$Q$79,0)),"")</f>
        <v/>
      </c>
    </row>
    <row r="59">
      <c r="B59" s="60">
        <f>IF($O59=0,"",INDEX('ETF데이터'!$A$4:$A$594,$O59))</f>
        <v/>
      </c>
      <c r="C59" s="80">
        <f>IF($O59=0,"",INDEX('ETF데이터'!$R$4:$R$594,$O59))</f>
        <v/>
      </c>
      <c r="D59" s="81">
        <f>IF($O59=0,"",INDEX('ETF데이터'!$J$4:$J$594,$O59))</f>
        <v/>
      </c>
      <c r="E59" s="82">
        <f>IF($O59=0,"",$D59/12)</f>
        <v/>
      </c>
      <c r="F59" s="83">
        <f>IF($O59=0,"",INDEX('ETF데이터'!$D$4:$D$594,$O59))</f>
        <v/>
      </c>
      <c r="G59" s="81">
        <f>IF($O59=0,"",INDEX('ETF데이터'!$H$4:$H$594,$O59))</f>
        <v/>
      </c>
      <c r="H59" s="84">
        <f>IF($O59=0,"",INDEX('ETF데이터'!$E$4:$E$594,$O59)/100000000)</f>
        <v/>
      </c>
      <c r="I59" s="85">
        <f>IF($O59=0,"",IF(INDEX('ETF데이터'!$U$4:$U$594,$O59)="","",INDEX('ETF데이터'!$U$4:$U$594,$O59)))</f>
        <v/>
      </c>
      <c r="J59" s="85">
        <f>IF($O59=0,"",IF(INDEX('ETF데이터'!$V$4:$V$594,$O59)="","",INDEX('ETF데이터'!$V$4:$V$594,$O59)))</f>
        <v/>
      </c>
      <c r="K59" s="85">
        <f>IF($O59=0,"",IF(INDEX('ETF데이터'!$W$4:$W$594,$O59)="","",INDEX('ETF데이터'!$W$4:$W$594,$O59)))</f>
        <v/>
      </c>
      <c r="L59" s="85">
        <f>IF($O59=0,"",IF(INDEX('ETF데이터'!$X$4:$X$594,$O59)="","",INDEX('ETF데이터'!$X$4:$X$594,$O59)))</f>
        <v/>
      </c>
      <c r="M59" s="80">
        <f>IF($O59=0,"",INDEX('ETF데이터'!$M$4:$M$594,$O59))</f>
        <v/>
      </c>
      <c r="N59" s="79" t="n"/>
      <c r="O59">
        <f>IFERROR(MATCH(40,'ETF데이터'!$AB$4:$AB$594,0),0)</f>
        <v/>
      </c>
      <c r="P59">
        <f>IF(AND($B59&lt;&gt;"",$N59&lt;&gt;""),1,0)</f>
        <v/>
      </c>
      <c r="Q59">
        <f>IF($P59=1,$Q58+1,$Q58)</f>
        <v/>
      </c>
      <c r="R59">
        <f>IFERROR(INDEX($B$20:$B$79,MATCH(40,$Q$20:$Q$79,0)),"")</f>
        <v/>
      </c>
    </row>
    <row r="60">
      <c r="B60" s="56">
        <f>IF($O60=0,"",INDEX('ETF데이터'!$A$4:$A$594,$O60))</f>
        <v/>
      </c>
      <c r="C60" s="73">
        <f>IF($O60=0,"",INDEX('ETF데이터'!$R$4:$R$594,$O60))</f>
        <v/>
      </c>
      <c r="D60" s="74">
        <f>IF($O60=0,"",INDEX('ETF데이터'!$J$4:$J$594,$O60))</f>
        <v/>
      </c>
      <c r="E60" s="75">
        <f>IF($O60=0,"",$D60/12)</f>
        <v/>
      </c>
      <c r="F60" s="76">
        <f>IF($O60=0,"",INDEX('ETF데이터'!$D$4:$D$594,$O60))</f>
        <v/>
      </c>
      <c r="G60" s="74">
        <f>IF($O60=0,"",INDEX('ETF데이터'!$H$4:$H$594,$O60))</f>
        <v/>
      </c>
      <c r="H60" s="77">
        <f>IF($O60=0,"",INDEX('ETF데이터'!$E$4:$E$594,$O60)/100000000)</f>
        <v/>
      </c>
      <c r="I60" s="78">
        <f>IF($O60=0,"",IF(INDEX('ETF데이터'!$U$4:$U$594,$O60)="","",INDEX('ETF데이터'!$U$4:$U$594,$O60)))</f>
        <v/>
      </c>
      <c r="J60" s="78">
        <f>IF($O60=0,"",IF(INDEX('ETF데이터'!$V$4:$V$594,$O60)="","",INDEX('ETF데이터'!$V$4:$V$594,$O60)))</f>
        <v/>
      </c>
      <c r="K60" s="78">
        <f>IF($O60=0,"",IF(INDEX('ETF데이터'!$W$4:$W$594,$O60)="","",INDEX('ETF데이터'!$W$4:$W$594,$O60)))</f>
        <v/>
      </c>
      <c r="L60" s="78">
        <f>IF($O60=0,"",IF(INDEX('ETF데이터'!$X$4:$X$594,$O60)="","",INDEX('ETF데이터'!$X$4:$X$594,$O60)))</f>
        <v/>
      </c>
      <c r="M60" s="73">
        <f>IF($O60=0,"",INDEX('ETF데이터'!$M$4:$M$594,$O60))</f>
        <v/>
      </c>
      <c r="N60" s="79" t="n"/>
      <c r="O60">
        <f>IFERROR(MATCH(41,'ETF데이터'!$AB$4:$AB$594,0),0)</f>
        <v/>
      </c>
      <c r="P60">
        <f>IF(AND($B60&lt;&gt;"",$N60&lt;&gt;""),1,0)</f>
        <v/>
      </c>
      <c r="Q60">
        <f>IF($P60=1,$Q59+1,$Q59)</f>
        <v/>
      </c>
      <c r="R60">
        <f>IFERROR(INDEX($B$20:$B$79,MATCH(41,$Q$20:$Q$79,0)),"")</f>
        <v/>
      </c>
    </row>
    <row r="61">
      <c r="B61" s="60">
        <f>IF($O61=0,"",INDEX('ETF데이터'!$A$4:$A$594,$O61))</f>
        <v/>
      </c>
      <c r="C61" s="80">
        <f>IF($O61=0,"",INDEX('ETF데이터'!$R$4:$R$594,$O61))</f>
        <v/>
      </c>
      <c r="D61" s="81">
        <f>IF($O61=0,"",INDEX('ETF데이터'!$J$4:$J$594,$O61))</f>
        <v/>
      </c>
      <c r="E61" s="82">
        <f>IF($O61=0,"",$D61/12)</f>
        <v/>
      </c>
      <c r="F61" s="83">
        <f>IF($O61=0,"",INDEX('ETF데이터'!$D$4:$D$594,$O61))</f>
        <v/>
      </c>
      <c r="G61" s="81">
        <f>IF($O61=0,"",INDEX('ETF데이터'!$H$4:$H$594,$O61))</f>
        <v/>
      </c>
      <c r="H61" s="84">
        <f>IF($O61=0,"",INDEX('ETF데이터'!$E$4:$E$594,$O61)/100000000)</f>
        <v/>
      </c>
      <c r="I61" s="85">
        <f>IF($O61=0,"",IF(INDEX('ETF데이터'!$U$4:$U$594,$O61)="","",INDEX('ETF데이터'!$U$4:$U$594,$O61)))</f>
        <v/>
      </c>
      <c r="J61" s="85">
        <f>IF($O61=0,"",IF(INDEX('ETF데이터'!$V$4:$V$594,$O61)="","",INDEX('ETF데이터'!$V$4:$V$594,$O61)))</f>
        <v/>
      </c>
      <c r="K61" s="85">
        <f>IF($O61=0,"",IF(INDEX('ETF데이터'!$W$4:$W$594,$O61)="","",INDEX('ETF데이터'!$W$4:$W$594,$O61)))</f>
        <v/>
      </c>
      <c r="L61" s="85">
        <f>IF($O61=0,"",IF(INDEX('ETF데이터'!$X$4:$X$594,$O61)="","",INDEX('ETF데이터'!$X$4:$X$594,$O61)))</f>
        <v/>
      </c>
      <c r="M61" s="80">
        <f>IF($O61=0,"",INDEX('ETF데이터'!$M$4:$M$594,$O61))</f>
        <v/>
      </c>
      <c r="N61" s="79" t="n"/>
      <c r="O61">
        <f>IFERROR(MATCH(42,'ETF데이터'!$AB$4:$AB$594,0),0)</f>
        <v/>
      </c>
      <c r="P61">
        <f>IF(AND($B61&lt;&gt;"",$N61&lt;&gt;""),1,0)</f>
        <v/>
      </c>
      <c r="Q61">
        <f>IF($P61=1,$Q60+1,$Q60)</f>
        <v/>
      </c>
      <c r="R61">
        <f>IFERROR(INDEX($B$20:$B$79,MATCH(42,$Q$20:$Q$79,0)),"")</f>
        <v/>
      </c>
    </row>
    <row r="62">
      <c r="B62" s="56">
        <f>IF($O62=0,"",INDEX('ETF데이터'!$A$4:$A$594,$O62))</f>
        <v/>
      </c>
      <c r="C62" s="73">
        <f>IF($O62=0,"",INDEX('ETF데이터'!$R$4:$R$594,$O62))</f>
        <v/>
      </c>
      <c r="D62" s="74">
        <f>IF($O62=0,"",INDEX('ETF데이터'!$J$4:$J$594,$O62))</f>
        <v/>
      </c>
      <c r="E62" s="75">
        <f>IF($O62=0,"",$D62/12)</f>
        <v/>
      </c>
      <c r="F62" s="76">
        <f>IF($O62=0,"",INDEX('ETF데이터'!$D$4:$D$594,$O62))</f>
        <v/>
      </c>
      <c r="G62" s="74">
        <f>IF($O62=0,"",INDEX('ETF데이터'!$H$4:$H$594,$O62))</f>
        <v/>
      </c>
      <c r="H62" s="77">
        <f>IF($O62=0,"",INDEX('ETF데이터'!$E$4:$E$594,$O62)/100000000)</f>
        <v/>
      </c>
      <c r="I62" s="78">
        <f>IF($O62=0,"",IF(INDEX('ETF데이터'!$U$4:$U$594,$O62)="","",INDEX('ETF데이터'!$U$4:$U$594,$O62)))</f>
        <v/>
      </c>
      <c r="J62" s="78">
        <f>IF($O62=0,"",IF(INDEX('ETF데이터'!$V$4:$V$594,$O62)="","",INDEX('ETF데이터'!$V$4:$V$594,$O62)))</f>
        <v/>
      </c>
      <c r="K62" s="78">
        <f>IF($O62=0,"",IF(INDEX('ETF데이터'!$W$4:$W$594,$O62)="","",INDEX('ETF데이터'!$W$4:$W$594,$O62)))</f>
        <v/>
      </c>
      <c r="L62" s="78">
        <f>IF($O62=0,"",IF(INDEX('ETF데이터'!$X$4:$X$594,$O62)="","",INDEX('ETF데이터'!$X$4:$X$594,$O62)))</f>
        <v/>
      </c>
      <c r="M62" s="73">
        <f>IF($O62=0,"",INDEX('ETF데이터'!$M$4:$M$594,$O62))</f>
        <v/>
      </c>
      <c r="N62" s="79" t="n"/>
      <c r="O62">
        <f>IFERROR(MATCH(43,'ETF데이터'!$AB$4:$AB$594,0),0)</f>
        <v/>
      </c>
      <c r="P62">
        <f>IF(AND($B62&lt;&gt;"",$N62&lt;&gt;""),1,0)</f>
        <v/>
      </c>
      <c r="Q62">
        <f>IF($P62=1,$Q61+1,$Q61)</f>
        <v/>
      </c>
      <c r="R62">
        <f>IFERROR(INDEX($B$20:$B$79,MATCH(43,$Q$20:$Q$79,0)),"")</f>
        <v/>
      </c>
    </row>
    <row r="63">
      <c r="B63" s="60">
        <f>IF($O63=0,"",INDEX('ETF데이터'!$A$4:$A$594,$O63))</f>
        <v/>
      </c>
      <c r="C63" s="80">
        <f>IF($O63=0,"",INDEX('ETF데이터'!$R$4:$R$594,$O63))</f>
        <v/>
      </c>
      <c r="D63" s="81">
        <f>IF($O63=0,"",INDEX('ETF데이터'!$J$4:$J$594,$O63))</f>
        <v/>
      </c>
      <c r="E63" s="82">
        <f>IF($O63=0,"",$D63/12)</f>
        <v/>
      </c>
      <c r="F63" s="83">
        <f>IF($O63=0,"",INDEX('ETF데이터'!$D$4:$D$594,$O63))</f>
        <v/>
      </c>
      <c r="G63" s="81">
        <f>IF($O63=0,"",INDEX('ETF데이터'!$H$4:$H$594,$O63))</f>
        <v/>
      </c>
      <c r="H63" s="84">
        <f>IF($O63=0,"",INDEX('ETF데이터'!$E$4:$E$594,$O63)/100000000)</f>
        <v/>
      </c>
      <c r="I63" s="85">
        <f>IF($O63=0,"",IF(INDEX('ETF데이터'!$U$4:$U$594,$O63)="","",INDEX('ETF데이터'!$U$4:$U$594,$O63)))</f>
        <v/>
      </c>
      <c r="J63" s="85">
        <f>IF($O63=0,"",IF(INDEX('ETF데이터'!$V$4:$V$594,$O63)="","",INDEX('ETF데이터'!$V$4:$V$594,$O63)))</f>
        <v/>
      </c>
      <c r="K63" s="85">
        <f>IF($O63=0,"",IF(INDEX('ETF데이터'!$W$4:$W$594,$O63)="","",INDEX('ETF데이터'!$W$4:$W$594,$O63)))</f>
        <v/>
      </c>
      <c r="L63" s="85">
        <f>IF($O63=0,"",IF(INDEX('ETF데이터'!$X$4:$X$594,$O63)="","",INDEX('ETF데이터'!$X$4:$X$594,$O63)))</f>
        <v/>
      </c>
      <c r="M63" s="80">
        <f>IF($O63=0,"",INDEX('ETF데이터'!$M$4:$M$594,$O63))</f>
        <v/>
      </c>
      <c r="N63" s="79" t="n"/>
      <c r="O63">
        <f>IFERROR(MATCH(44,'ETF데이터'!$AB$4:$AB$594,0),0)</f>
        <v/>
      </c>
      <c r="P63">
        <f>IF(AND($B63&lt;&gt;"",$N63&lt;&gt;""),1,0)</f>
        <v/>
      </c>
      <c r="Q63">
        <f>IF($P63=1,$Q62+1,$Q62)</f>
        <v/>
      </c>
      <c r="R63">
        <f>IFERROR(INDEX($B$20:$B$79,MATCH(44,$Q$20:$Q$79,0)),"")</f>
        <v/>
      </c>
    </row>
    <row r="64">
      <c r="B64" s="56">
        <f>IF($O64=0,"",INDEX('ETF데이터'!$A$4:$A$594,$O64))</f>
        <v/>
      </c>
      <c r="C64" s="73">
        <f>IF($O64=0,"",INDEX('ETF데이터'!$R$4:$R$594,$O64))</f>
        <v/>
      </c>
      <c r="D64" s="74">
        <f>IF($O64=0,"",INDEX('ETF데이터'!$J$4:$J$594,$O64))</f>
        <v/>
      </c>
      <c r="E64" s="75">
        <f>IF($O64=0,"",$D64/12)</f>
        <v/>
      </c>
      <c r="F64" s="76">
        <f>IF($O64=0,"",INDEX('ETF데이터'!$D$4:$D$594,$O64))</f>
        <v/>
      </c>
      <c r="G64" s="74">
        <f>IF($O64=0,"",INDEX('ETF데이터'!$H$4:$H$594,$O64))</f>
        <v/>
      </c>
      <c r="H64" s="77">
        <f>IF($O64=0,"",INDEX('ETF데이터'!$E$4:$E$594,$O64)/100000000)</f>
        <v/>
      </c>
      <c r="I64" s="78">
        <f>IF($O64=0,"",IF(INDEX('ETF데이터'!$U$4:$U$594,$O64)="","",INDEX('ETF데이터'!$U$4:$U$594,$O64)))</f>
        <v/>
      </c>
      <c r="J64" s="78">
        <f>IF($O64=0,"",IF(INDEX('ETF데이터'!$V$4:$V$594,$O64)="","",INDEX('ETF데이터'!$V$4:$V$594,$O64)))</f>
        <v/>
      </c>
      <c r="K64" s="78">
        <f>IF($O64=0,"",IF(INDEX('ETF데이터'!$W$4:$W$594,$O64)="","",INDEX('ETF데이터'!$W$4:$W$594,$O64)))</f>
        <v/>
      </c>
      <c r="L64" s="78">
        <f>IF($O64=0,"",IF(INDEX('ETF데이터'!$X$4:$X$594,$O64)="","",INDEX('ETF데이터'!$X$4:$X$594,$O64)))</f>
        <v/>
      </c>
      <c r="M64" s="73">
        <f>IF($O64=0,"",INDEX('ETF데이터'!$M$4:$M$594,$O64))</f>
        <v/>
      </c>
      <c r="N64" s="79" t="n"/>
      <c r="O64">
        <f>IFERROR(MATCH(45,'ETF데이터'!$AB$4:$AB$594,0),0)</f>
        <v/>
      </c>
      <c r="P64">
        <f>IF(AND($B64&lt;&gt;"",$N64&lt;&gt;""),1,0)</f>
        <v/>
      </c>
      <c r="Q64">
        <f>IF($P64=1,$Q63+1,$Q63)</f>
        <v/>
      </c>
      <c r="R64">
        <f>IFERROR(INDEX($B$20:$B$79,MATCH(45,$Q$20:$Q$79,0)),"")</f>
        <v/>
      </c>
    </row>
    <row r="65">
      <c r="B65" s="60">
        <f>IF($O65=0,"",INDEX('ETF데이터'!$A$4:$A$594,$O65))</f>
        <v/>
      </c>
      <c r="C65" s="80">
        <f>IF($O65=0,"",INDEX('ETF데이터'!$R$4:$R$594,$O65))</f>
        <v/>
      </c>
      <c r="D65" s="81">
        <f>IF($O65=0,"",INDEX('ETF데이터'!$J$4:$J$594,$O65))</f>
        <v/>
      </c>
      <c r="E65" s="82">
        <f>IF($O65=0,"",$D65/12)</f>
        <v/>
      </c>
      <c r="F65" s="83">
        <f>IF($O65=0,"",INDEX('ETF데이터'!$D$4:$D$594,$O65))</f>
        <v/>
      </c>
      <c r="G65" s="81">
        <f>IF($O65=0,"",INDEX('ETF데이터'!$H$4:$H$594,$O65))</f>
        <v/>
      </c>
      <c r="H65" s="84">
        <f>IF($O65=0,"",INDEX('ETF데이터'!$E$4:$E$594,$O65)/100000000)</f>
        <v/>
      </c>
      <c r="I65" s="85">
        <f>IF($O65=0,"",IF(INDEX('ETF데이터'!$U$4:$U$594,$O65)="","",INDEX('ETF데이터'!$U$4:$U$594,$O65)))</f>
        <v/>
      </c>
      <c r="J65" s="85">
        <f>IF($O65=0,"",IF(INDEX('ETF데이터'!$V$4:$V$594,$O65)="","",INDEX('ETF데이터'!$V$4:$V$594,$O65)))</f>
        <v/>
      </c>
      <c r="K65" s="85">
        <f>IF($O65=0,"",IF(INDEX('ETF데이터'!$W$4:$W$594,$O65)="","",INDEX('ETF데이터'!$W$4:$W$594,$O65)))</f>
        <v/>
      </c>
      <c r="L65" s="85">
        <f>IF($O65=0,"",IF(INDEX('ETF데이터'!$X$4:$X$594,$O65)="","",INDEX('ETF데이터'!$X$4:$X$594,$O65)))</f>
        <v/>
      </c>
      <c r="M65" s="80">
        <f>IF($O65=0,"",INDEX('ETF데이터'!$M$4:$M$594,$O65))</f>
        <v/>
      </c>
      <c r="N65" s="79" t="n"/>
      <c r="O65">
        <f>IFERROR(MATCH(46,'ETF데이터'!$AB$4:$AB$594,0),0)</f>
        <v/>
      </c>
      <c r="P65">
        <f>IF(AND($B65&lt;&gt;"",$N65&lt;&gt;""),1,0)</f>
        <v/>
      </c>
      <c r="Q65">
        <f>IF($P65=1,$Q64+1,$Q64)</f>
        <v/>
      </c>
      <c r="R65">
        <f>IFERROR(INDEX($B$20:$B$79,MATCH(46,$Q$20:$Q$79,0)),"")</f>
        <v/>
      </c>
    </row>
    <row r="66">
      <c r="B66" s="56">
        <f>IF($O66=0,"",INDEX('ETF데이터'!$A$4:$A$594,$O66))</f>
        <v/>
      </c>
      <c r="C66" s="73">
        <f>IF($O66=0,"",INDEX('ETF데이터'!$R$4:$R$594,$O66))</f>
        <v/>
      </c>
      <c r="D66" s="74">
        <f>IF($O66=0,"",INDEX('ETF데이터'!$J$4:$J$594,$O66))</f>
        <v/>
      </c>
      <c r="E66" s="75">
        <f>IF($O66=0,"",$D66/12)</f>
        <v/>
      </c>
      <c r="F66" s="76">
        <f>IF($O66=0,"",INDEX('ETF데이터'!$D$4:$D$594,$O66))</f>
        <v/>
      </c>
      <c r="G66" s="74">
        <f>IF($O66=0,"",INDEX('ETF데이터'!$H$4:$H$594,$O66))</f>
        <v/>
      </c>
      <c r="H66" s="77">
        <f>IF($O66=0,"",INDEX('ETF데이터'!$E$4:$E$594,$O66)/100000000)</f>
        <v/>
      </c>
      <c r="I66" s="78">
        <f>IF($O66=0,"",IF(INDEX('ETF데이터'!$U$4:$U$594,$O66)="","",INDEX('ETF데이터'!$U$4:$U$594,$O66)))</f>
        <v/>
      </c>
      <c r="J66" s="78">
        <f>IF($O66=0,"",IF(INDEX('ETF데이터'!$V$4:$V$594,$O66)="","",INDEX('ETF데이터'!$V$4:$V$594,$O66)))</f>
        <v/>
      </c>
      <c r="K66" s="78">
        <f>IF($O66=0,"",IF(INDEX('ETF데이터'!$W$4:$W$594,$O66)="","",INDEX('ETF데이터'!$W$4:$W$594,$O66)))</f>
        <v/>
      </c>
      <c r="L66" s="78">
        <f>IF($O66=0,"",IF(INDEX('ETF데이터'!$X$4:$X$594,$O66)="","",INDEX('ETF데이터'!$X$4:$X$594,$O66)))</f>
        <v/>
      </c>
      <c r="M66" s="73">
        <f>IF($O66=0,"",INDEX('ETF데이터'!$M$4:$M$594,$O66))</f>
        <v/>
      </c>
      <c r="N66" s="79" t="n"/>
      <c r="O66">
        <f>IFERROR(MATCH(47,'ETF데이터'!$AB$4:$AB$594,0),0)</f>
        <v/>
      </c>
      <c r="P66">
        <f>IF(AND($B66&lt;&gt;"",$N66&lt;&gt;""),1,0)</f>
        <v/>
      </c>
      <c r="Q66">
        <f>IF($P66=1,$Q65+1,$Q65)</f>
        <v/>
      </c>
      <c r="R66">
        <f>IFERROR(INDEX($B$20:$B$79,MATCH(47,$Q$20:$Q$79,0)),"")</f>
        <v/>
      </c>
    </row>
    <row r="67">
      <c r="B67" s="60">
        <f>IF($O67=0,"",INDEX('ETF데이터'!$A$4:$A$594,$O67))</f>
        <v/>
      </c>
      <c r="C67" s="80">
        <f>IF($O67=0,"",INDEX('ETF데이터'!$R$4:$R$594,$O67))</f>
        <v/>
      </c>
      <c r="D67" s="81">
        <f>IF($O67=0,"",INDEX('ETF데이터'!$J$4:$J$594,$O67))</f>
        <v/>
      </c>
      <c r="E67" s="82">
        <f>IF($O67=0,"",$D67/12)</f>
        <v/>
      </c>
      <c r="F67" s="83">
        <f>IF($O67=0,"",INDEX('ETF데이터'!$D$4:$D$594,$O67))</f>
        <v/>
      </c>
      <c r="G67" s="81">
        <f>IF($O67=0,"",INDEX('ETF데이터'!$H$4:$H$594,$O67))</f>
        <v/>
      </c>
      <c r="H67" s="84">
        <f>IF($O67=0,"",INDEX('ETF데이터'!$E$4:$E$594,$O67)/100000000)</f>
        <v/>
      </c>
      <c r="I67" s="85">
        <f>IF($O67=0,"",IF(INDEX('ETF데이터'!$U$4:$U$594,$O67)="","",INDEX('ETF데이터'!$U$4:$U$594,$O67)))</f>
        <v/>
      </c>
      <c r="J67" s="85">
        <f>IF($O67=0,"",IF(INDEX('ETF데이터'!$V$4:$V$594,$O67)="","",INDEX('ETF데이터'!$V$4:$V$594,$O67)))</f>
        <v/>
      </c>
      <c r="K67" s="85">
        <f>IF($O67=0,"",IF(INDEX('ETF데이터'!$W$4:$W$594,$O67)="","",INDEX('ETF데이터'!$W$4:$W$594,$O67)))</f>
        <v/>
      </c>
      <c r="L67" s="85">
        <f>IF($O67=0,"",IF(INDEX('ETF데이터'!$X$4:$X$594,$O67)="","",INDEX('ETF데이터'!$X$4:$X$594,$O67)))</f>
        <v/>
      </c>
      <c r="M67" s="80">
        <f>IF($O67=0,"",INDEX('ETF데이터'!$M$4:$M$594,$O67))</f>
        <v/>
      </c>
      <c r="N67" s="79" t="n"/>
      <c r="O67">
        <f>IFERROR(MATCH(48,'ETF데이터'!$AB$4:$AB$594,0),0)</f>
        <v/>
      </c>
      <c r="P67">
        <f>IF(AND($B67&lt;&gt;"",$N67&lt;&gt;""),1,0)</f>
        <v/>
      </c>
      <c r="Q67">
        <f>IF($P67=1,$Q66+1,$Q66)</f>
        <v/>
      </c>
      <c r="R67">
        <f>IFERROR(INDEX($B$20:$B$79,MATCH(48,$Q$20:$Q$79,0)),"")</f>
        <v/>
      </c>
    </row>
    <row r="68">
      <c r="B68" s="56">
        <f>IF($O68=0,"",INDEX('ETF데이터'!$A$4:$A$594,$O68))</f>
        <v/>
      </c>
      <c r="C68" s="73">
        <f>IF($O68=0,"",INDEX('ETF데이터'!$R$4:$R$594,$O68))</f>
        <v/>
      </c>
      <c r="D68" s="74">
        <f>IF($O68=0,"",INDEX('ETF데이터'!$J$4:$J$594,$O68))</f>
        <v/>
      </c>
      <c r="E68" s="75">
        <f>IF($O68=0,"",$D68/12)</f>
        <v/>
      </c>
      <c r="F68" s="76">
        <f>IF($O68=0,"",INDEX('ETF데이터'!$D$4:$D$594,$O68))</f>
        <v/>
      </c>
      <c r="G68" s="74">
        <f>IF($O68=0,"",INDEX('ETF데이터'!$H$4:$H$594,$O68))</f>
        <v/>
      </c>
      <c r="H68" s="77">
        <f>IF($O68=0,"",INDEX('ETF데이터'!$E$4:$E$594,$O68)/100000000)</f>
        <v/>
      </c>
      <c r="I68" s="78">
        <f>IF($O68=0,"",IF(INDEX('ETF데이터'!$U$4:$U$594,$O68)="","",INDEX('ETF데이터'!$U$4:$U$594,$O68)))</f>
        <v/>
      </c>
      <c r="J68" s="78">
        <f>IF($O68=0,"",IF(INDEX('ETF데이터'!$V$4:$V$594,$O68)="","",INDEX('ETF데이터'!$V$4:$V$594,$O68)))</f>
        <v/>
      </c>
      <c r="K68" s="78">
        <f>IF($O68=0,"",IF(INDEX('ETF데이터'!$W$4:$W$594,$O68)="","",INDEX('ETF데이터'!$W$4:$W$594,$O68)))</f>
        <v/>
      </c>
      <c r="L68" s="78">
        <f>IF($O68=0,"",IF(INDEX('ETF데이터'!$X$4:$X$594,$O68)="","",INDEX('ETF데이터'!$X$4:$X$594,$O68)))</f>
        <v/>
      </c>
      <c r="M68" s="73">
        <f>IF($O68=0,"",INDEX('ETF데이터'!$M$4:$M$594,$O68))</f>
        <v/>
      </c>
      <c r="N68" s="79" t="n"/>
      <c r="O68">
        <f>IFERROR(MATCH(49,'ETF데이터'!$AB$4:$AB$594,0),0)</f>
        <v/>
      </c>
      <c r="P68">
        <f>IF(AND($B68&lt;&gt;"",$N68&lt;&gt;""),1,0)</f>
        <v/>
      </c>
      <c r="Q68">
        <f>IF($P68=1,$Q67+1,$Q67)</f>
        <v/>
      </c>
      <c r="R68">
        <f>IFERROR(INDEX($B$20:$B$79,MATCH(49,$Q$20:$Q$79,0)),"")</f>
        <v/>
      </c>
    </row>
    <row r="69">
      <c r="B69" s="60">
        <f>IF($O69=0,"",INDEX('ETF데이터'!$A$4:$A$594,$O69))</f>
        <v/>
      </c>
      <c r="C69" s="80">
        <f>IF($O69=0,"",INDEX('ETF데이터'!$R$4:$R$594,$O69))</f>
        <v/>
      </c>
      <c r="D69" s="81">
        <f>IF($O69=0,"",INDEX('ETF데이터'!$J$4:$J$594,$O69))</f>
        <v/>
      </c>
      <c r="E69" s="82">
        <f>IF($O69=0,"",$D69/12)</f>
        <v/>
      </c>
      <c r="F69" s="83">
        <f>IF($O69=0,"",INDEX('ETF데이터'!$D$4:$D$594,$O69))</f>
        <v/>
      </c>
      <c r="G69" s="81">
        <f>IF($O69=0,"",INDEX('ETF데이터'!$H$4:$H$594,$O69))</f>
        <v/>
      </c>
      <c r="H69" s="84">
        <f>IF($O69=0,"",INDEX('ETF데이터'!$E$4:$E$594,$O69)/100000000)</f>
        <v/>
      </c>
      <c r="I69" s="85">
        <f>IF($O69=0,"",IF(INDEX('ETF데이터'!$U$4:$U$594,$O69)="","",INDEX('ETF데이터'!$U$4:$U$594,$O69)))</f>
        <v/>
      </c>
      <c r="J69" s="85">
        <f>IF($O69=0,"",IF(INDEX('ETF데이터'!$V$4:$V$594,$O69)="","",INDEX('ETF데이터'!$V$4:$V$594,$O69)))</f>
        <v/>
      </c>
      <c r="K69" s="85">
        <f>IF($O69=0,"",IF(INDEX('ETF데이터'!$W$4:$W$594,$O69)="","",INDEX('ETF데이터'!$W$4:$W$594,$O69)))</f>
        <v/>
      </c>
      <c r="L69" s="85">
        <f>IF($O69=0,"",IF(INDEX('ETF데이터'!$X$4:$X$594,$O69)="","",INDEX('ETF데이터'!$X$4:$X$594,$O69)))</f>
        <v/>
      </c>
      <c r="M69" s="80">
        <f>IF($O69=0,"",INDEX('ETF데이터'!$M$4:$M$594,$O69))</f>
        <v/>
      </c>
      <c r="N69" s="79" t="n"/>
      <c r="O69">
        <f>IFERROR(MATCH(50,'ETF데이터'!$AB$4:$AB$594,0),0)</f>
        <v/>
      </c>
      <c r="P69">
        <f>IF(AND($B69&lt;&gt;"",$N69&lt;&gt;""),1,0)</f>
        <v/>
      </c>
      <c r="Q69">
        <f>IF($P69=1,$Q68+1,$Q68)</f>
        <v/>
      </c>
      <c r="R69">
        <f>IFERROR(INDEX($B$20:$B$79,MATCH(50,$Q$20:$Q$79,0)),"")</f>
        <v/>
      </c>
    </row>
    <row r="70">
      <c r="B70" s="56">
        <f>IF($O70=0,"",INDEX('ETF데이터'!$A$4:$A$594,$O70))</f>
        <v/>
      </c>
      <c r="C70" s="73">
        <f>IF($O70=0,"",INDEX('ETF데이터'!$R$4:$R$594,$O70))</f>
        <v/>
      </c>
      <c r="D70" s="74">
        <f>IF($O70=0,"",INDEX('ETF데이터'!$J$4:$J$594,$O70))</f>
        <v/>
      </c>
      <c r="E70" s="75">
        <f>IF($O70=0,"",$D70/12)</f>
        <v/>
      </c>
      <c r="F70" s="76">
        <f>IF($O70=0,"",INDEX('ETF데이터'!$D$4:$D$594,$O70))</f>
        <v/>
      </c>
      <c r="G70" s="74">
        <f>IF($O70=0,"",INDEX('ETF데이터'!$H$4:$H$594,$O70))</f>
        <v/>
      </c>
      <c r="H70" s="77">
        <f>IF($O70=0,"",INDEX('ETF데이터'!$E$4:$E$594,$O70)/100000000)</f>
        <v/>
      </c>
      <c r="I70" s="78">
        <f>IF($O70=0,"",IF(INDEX('ETF데이터'!$U$4:$U$594,$O70)="","",INDEX('ETF데이터'!$U$4:$U$594,$O70)))</f>
        <v/>
      </c>
      <c r="J70" s="78">
        <f>IF($O70=0,"",IF(INDEX('ETF데이터'!$V$4:$V$594,$O70)="","",INDEX('ETF데이터'!$V$4:$V$594,$O70)))</f>
        <v/>
      </c>
      <c r="K70" s="78">
        <f>IF($O70=0,"",IF(INDEX('ETF데이터'!$W$4:$W$594,$O70)="","",INDEX('ETF데이터'!$W$4:$W$594,$O70)))</f>
        <v/>
      </c>
      <c r="L70" s="78">
        <f>IF($O70=0,"",IF(INDEX('ETF데이터'!$X$4:$X$594,$O70)="","",INDEX('ETF데이터'!$X$4:$X$594,$O70)))</f>
        <v/>
      </c>
      <c r="M70" s="73">
        <f>IF($O70=0,"",INDEX('ETF데이터'!$M$4:$M$594,$O70))</f>
        <v/>
      </c>
      <c r="N70" s="79" t="n"/>
      <c r="O70">
        <f>IFERROR(MATCH(51,'ETF데이터'!$AB$4:$AB$594,0),0)</f>
        <v/>
      </c>
      <c r="P70">
        <f>IF(AND($B70&lt;&gt;"",$N70&lt;&gt;""),1,0)</f>
        <v/>
      </c>
      <c r="Q70">
        <f>IF($P70=1,$Q69+1,$Q69)</f>
        <v/>
      </c>
      <c r="R70">
        <f>IFERROR(INDEX($B$20:$B$79,MATCH(51,$Q$20:$Q$79,0)),"")</f>
        <v/>
      </c>
    </row>
    <row r="71">
      <c r="B71" s="60">
        <f>IF($O71=0,"",INDEX('ETF데이터'!$A$4:$A$594,$O71))</f>
        <v/>
      </c>
      <c r="C71" s="80">
        <f>IF($O71=0,"",INDEX('ETF데이터'!$R$4:$R$594,$O71))</f>
        <v/>
      </c>
      <c r="D71" s="81">
        <f>IF($O71=0,"",INDEX('ETF데이터'!$J$4:$J$594,$O71))</f>
        <v/>
      </c>
      <c r="E71" s="82">
        <f>IF($O71=0,"",$D71/12)</f>
        <v/>
      </c>
      <c r="F71" s="83">
        <f>IF($O71=0,"",INDEX('ETF데이터'!$D$4:$D$594,$O71))</f>
        <v/>
      </c>
      <c r="G71" s="81">
        <f>IF($O71=0,"",INDEX('ETF데이터'!$H$4:$H$594,$O71))</f>
        <v/>
      </c>
      <c r="H71" s="84">
        <f>IF($O71=0,"",INDEX('ETF데이터'!$E$4:$E$594,$O71)/100000000)</f>
        <v/>
      </c>
      <c r="I71" s="85">
        <f>IF($O71=0,"",IF(INDEX('ETF데이터'!$U$4:$U$594,$O71)="","",INDEX('ETF데이터'!$U$4:$U$594,$O71)))</f>
        <v/>
      </c>
      <c r="J71" s="85">
        <f>IF($O71=0,"",IF(INDEX('ETF데이터'!$V$4:$V$594,$O71)="","",INDEX('ETF데이터'!$V$4:$V$594,$O71)))</f>
        <v/>
      </c>
      <c r="K71" s="85">
        <f>IF($O71=0,"",IF(INDEX('ETF데이터'!$W$4:$W$594,$O71)="","",INDEX('ETF데이터'!$W$4:$W$594,$O71)))</f>
        <v/>
      </c>
      <c r="L71" s="85">
        <f>IF($O71=0,"",IF(INDEX('ETF데이터'!$X$4:$X$594,$O71)="","",INDEX('ETF데이터'!$X$4:$X$594,$O71)))</f>
        <v/>
      </c>
      <c r="M71" s="80">
        <f>IF($O71=0,"",INDEX('ETF데이터'!$M$4:$M$594,$O71))</f>
        <v/>
      </c>
      <c r="N71" s="79" t="n"/>
      <c r="O71">
        <f>IFERROR(MATCH(52,'ETF데이터'!$AB$4:$AB$594,0),0)</f>
        <v/>
      </c>
      <c r="P71">
        <f>IF(AND($B71&lt;&gt;"",$N71&lt;&gt;""),1,0)</f>
        <v/>
      </c>
      <c r="Q71">
        <f>IF($P71=1,$Q70+1,$Q70)</f>
        <v/>
      </c>
      <c r="R71">
        <f>IFERROR(INDEX($B$20:$B$79,MATCH(52,$Q$20:$Q$79,0)),"")</f>
        <v/>
      </c>
    </row>
    <row r="72">
      <c r="B72" s="56">
        <f>IF($O72=0,"",INDEX('ETF데이터'!$A$4:$A$594,$O72))</f>
        <v/>
      </c>
      <c r="C72" s="73">
        <f>IF($O72=0,"",INDEX('ETF데이터'!$R$4:$R$594,$O72))</f>
        <v/>
      </c>
      <c r="D72" s="74">
        <f>IF($O72=0,"",INDEX('ETF데이터'!$J$4:$J$594,$O72))</f>
        <v/>
      </c>
      <c r="E72" s="75">
        <f>IF($O72=0,"",$D72/12)</f>
        <v/>
      </c>
      <c r="F72" s="76">
        <f>IF($O72=0,"",INDEX('ETF데이터'!$D$4:$D$594,$O72))</f>
        <v/>
      </c>
      <c r="G72" s="74">
        <f>IF($O72=0,"",INDEX('ETF데이터'!$H$4:$H$594,$O72))</f>
        <v/>
      </c>
      <c r="H72" s="77">
        <f>IF($O72=0,"",INDEX('ETF데이터'!$E$4:$E$594,$O72)/100000000)</f>
        <v/>
      </c>
      <c r="I72" s="78">
        <f>IF($O72=0,"",IF(INDEX('ETF데이터'!$U$4:$U$594,$O72)="","",INDEX('ETF데이터'!$U$4:$U$594,$O72)))</f>
        <v/>
      </c>
      <c r="J72" s="78">
        <f>IF($O72=0,"",IF(INDEX('ETF데이터'!$V$4:$V$594,$O72)="","",INDEX('ETF데이터'!$V$4:$V$594,$O72)))</f>
        <v/>
      </c>
      <c r="K72" s="78">
        <f>IF($O72=0,"",IF(INDEX('ETF데이터'!$W$4:$W$594,$O72)="","",INDEX('ETF데이터'!$W$4:$W$594,$O72)))</f>
        <v/>
      </c>
      <c r="L72" s="78">
        <f>IF($O72=0,"",IF(INDEX('ETF데이터'!$X$4:$X$594,$O72)="","",INDEX('ETF데이터'!$X$4:$X$594,$O72)))</f>
        <v/>
      </c>
      <c r="M72" s="73">
        <f>IF($O72=0,"",INDEX('ETF데이터'!$M$4:$M$594,$O72))</f>
        <v/>
      </c>
      <c r="N72" s="79" t="n"/>
      <c r="O72">
        <f>IFERROR(MATCH(53,'ETF데이터'!$AB$4:$AB$594,0),0)</f>
        <v/>
      </c>
      <c r="P72">
        <f>IF(AND($B72&lt;&gt;"",$N72&lt;&gt;""),1,0)</f>
        <v/>
      </c>
      <c r="Q72">
        <f>IF($P72=1,$Q71+1,$Q71)</f>
        <v/>
      </c>
      <c r="R72">
        <f>IFERROR(INDEX($B$20:$B$79,MATCH(53,$Q$20:$Q$79,0)),"")</f>
        <v/>
      </c>
    </row>
    <row r="73">
      <c r="B73" s="60">
        <f>IF($O73=0,"",INDEX('ETF데이터'!$A$4:$A$594,$O73))</f>
        <v/>
      </c>
      <c r="C73" s="80">
        <f>IF($O73=0,"",INDEX('ETF데이터'!$R$4:$R$594,$O73))</f>
        <v/>
      </c>
      <c r="D73" s="81">
        <f>IF($O73=0,"",INDEX('ETF데이터'!$J$4:$J$594,$O73))</f>
        <v/>
      </c>
      <c r="E73" s="82">
        <f>IF($O73=0,"",$D73/12)</f>
        <v/>
      </c>
      <c r="F73" s="83">
        <f>IF($O73=0,"",INDEX('ETF데이터'!$D$4:$D$594,$O73))</f>
        <v/>
      </c>
      <c r="G73" s="81">
        <f>IF($O73=0,"",INDEX('ETF데이터'!$H$4:$H$594,$O73))</f>
        <v/>
      </c>
      <c r="H73" s="84">
        <f>IF($O73=0,"",INDEX('ETF데이터'!$E$4:$E$594,$O73)/100000000)</f>
        <v/>
      </c>
      <c r="I73" s="85">
        <f>IF($O73=0,"",IF(INDEX('ETF데이터'!$U$4:$U$594,$O73)="","",INDEX('ETF데이터'!$U$4:$U$594,$O73)))</f>
        <v/>
      </c>
      <c r="J73" s="85">
        <f>IF($O73=0,"",IF(INDEX('ETF데이터'!$V$4:$V$594,$O73)="","",INDEX('ETF데이터'!$V$4:$V$594,$O73)))</f>
        <v/>
      </c>
      <c r="K73" s="85">
        <f>IF($O73=0,"",IF(INDEX('ETF데이터'!$W$4:$W$594,$O73)="","",INDEX('ETF데이터'!$W$4:$W$594,$O73)))</f>
        <v/>
      </c>
      <c r="L73" s="85">
        <f>IF($O73=0,"",IF(INDEX('ETF데이터'!$X$4:$X$594,$O73)="","",INDEX('ETF데이터'!$X$4:$X$594,$O73)))</f>
        <v/>
      </c>
      <c r="M73" s="80">
        <f>IF($O73=0,"",INDEX('ETF데이터'!$M$4:$M$594,$O73))</f>
        <v/>
      </c>
      <c r="N73" s="79" t="n"/>
      <c r="O73">
        <f>IFERROR(MATCH(54,'ETF데이터'!$AB$4:$AB$594,0),0)</f>
        <v/>
      </c>
      <c r="P73">
        <f>IF(AND($B73&lt;&gt;"",$N73&lt;&gt;""),1,0)</f>
        <v/>
      </c>
      <c r="Q73">
        <f>IF($P73=1,$Q72+1,$Q72)</f>
        <v/>
      </c>
      <c r="R73">
        <f>IFERROR(INDEX($B$20:$B$79,MATCH(54,$Q$20:$Q$79,0)),"")</f>
        <v/>
      </c>
    </row>
    <row r="74">
      <c r="B74" s="56">
        <f>IF($O74=0,"",INDEX('ETF데이터'!$A$4:$A$594,$O74))</f>
        <v/>
      </c>
      <c r="C74" s="73">
        <f>IF($O74=0,"",INDEX('ETF데이터'!$R$4:$R$594,$O74))</f>
        <v/>
      </c>
      <c r="D74" s="74">
        <f>IF($O74=0,"",INDEX('ETF데이터'!$J$4:$J$594,$O74))</f>
        <v/>
      </c>
      <c r="E74" s="75">
        <f>IF($O74=0,"",$D74/12)</f>
        <v/>
      </c>
      <c r="F74" s="76">
        <f>IF($O74=0,"",INDEX('ETF데이터'!$D$4:$D$594,$O74))</f>
        <v/>
      </c>
      <c r="G74" s="74">
        <f>IF($O74=0,"",INDEX('ETF데이터'!$H$4:$H$594,$O74))</f>
        <v/>
      </c>
      <c r="H74" s="77">
        <f>IF($O74=0,"",INDEX('ETF데이터'!$E$4:$E$594,$O74)/100000000)</f>
        <v/>
      </c>
      <c r="I74" s="78">
        <f>IF($O74=0,"",IF(INDEX('ETF데이터'!$U$4:$U$594,$O74)="","",INDEX('ETF데이터'!$U$4:$U$594,$O74)))</f>
        <v/>
      </c>
      <c r="J74" s="78">
        <f>IF($O74=0,"",IF(INDEX('ETF데이터'!$V$4:$V$594,$O74)="","",INDEX('ETF데이터'!$V$4:$V$594,$O74)))</f>
        <v/>
      </c>
      <c r="K74" s="78">
        <f>IF($O74=0,"",IF(INDEX('ETF데이터'!$W$4:$W$594,$O74)="","",INDEX('ETF데이터'!$W$4:$W$594,$O74)))</f>
        <v/>
      </c>
      <c r="L74" s="78">
        <f>IF($O74=0,"",IF(INDEX('ETF데이터'!$X$4:$X$594,$O74)="","",INDEX('ETF데이터'!$X$4:$X$594,$O74)))</f>
        <v/>
      </c>
      <c r="M74" s="73">
        <f>IF($O74=0,"",INDEX('ETF데이터'!$M$4:$M$594,$O74))</f>
        <v/>
      </c>
      <c r="N74" s="79" t="n"/>
      <c r="O74">
        <f>IFERROR(MATCH(55,'ETF데이터'!$AB$4:$AB$594,0),0)</f>
        <v/>
      </c>
      <c r="P74">
        <f>IF(AND($B74&lt;&gt;"",$N74&lt;&gt;""),1,0)</f>
        <v/>
      </c>
      <c r="Q74">
        <f>IF($P74=1,$Q73+1,$Q73)</f>
        <v/>
      </c>
      <c r="R74">
        <f>IFERROR(INDEX($B$20:$B$79,MATCH(55,$Q$20:$Q$79,0)),"")</f>
        <v/>
      </c>
    </row>
    <row r="75">
      <c r="B75" s="60">
        <f>IF($O75=0,"",INDEX('ETF데이터'!$A$4:$A$594,$O75))</f>
        <v/>
      </c>
      <c r="C75" s="80">
        <f>IF($O75=0,"",INDEX('ETF데이터'!$R$4:$R$594,$O75))</f>
        <v/>
      </c>
      <c r="D75" s="81">
        <f>IF($O75=0,"",INDEX('ETF데이터'!$J$4:$J$594,$O75))</f>
        <v/>
      </c>
      <c r="E75" s="82">
        <f>IF($O75=0,"",$D75/12)</f>
        <v/>
      </c>
      <c r="F75" s="83">
        <f>IF($O75=0,"",INDEX('ETF데이터'!$D$4:$D$594,$O75))</f>
        <v/>
      </c>
      <c r="G75" s="81">
        <f>IF($O75=0,"",INDEX('ETF데이터'!$H$4:$H$594,$O75))</f>
        <v/>
      </c>
      <c r="H75" s="84">
        <f>IF($O75=0,"",INDEX('ETF데이터'!$E$4:$E$594,$O75)/100000000)</f>
        <v/>
      </c>
      <c r="I75" s="85">
        <f>IF($O75=0,"",IF(INDEX('ETF데이터'!$U$4:$U$594,$O75)="","",INDEX('ETF데이터'!$U$4:$U$594,$O75)))</f>
        <v/>
      </c>
      <c r="J75" s="85">
        <f>IF($O75=0,"",IF(INDEX('ETF데이터'!$V$4:$V$594,$O75)="","",INDEX('ETF데이터'!$V$4:$V$594,$O75)))</f>
        <v/>
      </c>
      <c r="K75" s="85">
        <f>IF($O75=0,"",IF(INDEX('ETF데이터'!$W$4:$W$594,$O75)="","",INDEX('ETF데이터'!$W$4:$W$594,$O75)))</f>
        <v/>
      </c>
      <c r="L75" s="85">
        <f>IF($O75=0,"",IF(INDEX('ETF데이터'!$X$4:$X$594,$O75)="","",INDEX('ETF데이터'!$X$4:$X$594,$O75)))</f>
        <v/>
      </c>
      <c r="M75" s="80">
        <f>IF($O75=0,"",INDEX('ETF데이터'!$M$4:$M$594,$O75))</f>
        <v/>
      </c>
      <c r="N75" s="79" t="n"/>
      <c r="O75">
        <f>IFERROR(MATCH(56,'ETF데이터'!$AB$4:$AB$594,0),0)</f>
        <v/>
      </c>
      <c r="P75">
        <f>IF(AND($B75&lt;&gt;"",$N75&lt;&gt;""),1,0)</f>
        <v/>
      </c>
      <c r="Q75">
        <f>IF($P75=1,$Q74+1,$Q74)</f>
        <v/>
      </c>
      <c r="R75">
        <f>IFERROR(INDEX($B$20:$B$79,MATCH(56,$Q$20:$Q$79,0)),"")</f>
        <v/>
      </c>
    </row>
    <row r="76">
      <c r="B76" s="56">
        <f>IF($O76=0,"",INDEX('ETF데이터'!$A$4:$A$594,$O76))</f>
        <v/>
      </c>
      <c r="C76" s="73">
        <f>IF($O76=0,"",INDEX('ETF데이터'!$R$4:$R$594,$O76))</f>
        <v/>
      </c>
      <c r="D76" s="74">
        <f>IF($O76=0,"",INDEX('ETF데이터'!$J$4:$J$594,$O76))</f>
        <v/>
      </c>
      <c r="E76" s="75">
        <f>IF($O76=0,"",$D76/12)</f>
        <v/>
      </c>
      <c r="F76" s="76">
        <f>IF($O76=0,"",INDEX('ETF데이터'!$D$4:$D$594,$O76))</f>
        <v/>
      </c>
      <c r="G76" s="74">
        <f>IF($O76=0,"",INDEX('ETF데이터'!$H$4:$H$594,$O76))</f>
        <v/>
      </c>
      <c r="H76" s="77">
        <f>IF($O76=0,"",INDEX('ETF데이터'!$E$4:$E$594,$O76)/100000000)</f>
        <v/>
      </c>
      <c r="I76" s="78">
        <f>IF($O76=0,"",IF(INDEX('ETF데이터'!$U$4:$U$594,$O76)="","",INDEX('ETF데이터'!$U$4:$U$594,$O76)))</f>
        <v/>
      </c>
      <c r="J76" s="78">
        <f>IF($O76=0,"",IF(INDEX('ETF데이터'!$V$4:$V$594,$O76)="","",INDEX('ETF데이터'!$V$4:$V$594,$O76)))</f>
        <v/>
      </c>
      <c r="K76" s="78">
        <f>IF($O76=0,"",IF(INDEX('ETF데이터'!$W$4:$W$594,$O76)="","",INDEX('ETF데이터'!$W$4:$W$594,$O76)))</f>
        <v/>
      </c>
      <c r="L76" s="78">
        <f>IF($O76=0,"",IF(INDEX('ETF데이터'!$X$4:$X$594,$O76)="","",INDEX('ETF데이터'!$X$4:$X$594,$O76)))</f>
        <v/>
      </c>
      <c r="M76" s="73">
        <f>IF($O76=0,"",INDEX('ETF데이터'!$M$4:$M$594,$O76))</f>
        <v/>
      </c>
      <c r="N76" s="79" t="n"/>
      <c r="O76">
        <f>IFERROR(MATCH(57,'ETF데이터'!$AB$4:$AB$594,0),0)</f>
        <v/>
      </c>
      <c r="P76">
        <f>IF(AND($B76&lt;&gt;"",$N76&lt;&gt;""),1,0)</f>
        <v/>
      </c>
      <c r="Q76">
        <f>IF($P76=1,$Q75+1,$Q75)</f>
        <v/>
      </c>
      <c r="R76">
        <f>IFERROR(INDEX($B$20:$B$79,MATCH(57,$Q$20:$Q$79,0)),"")</f>
        <v/>
      </c>
    </row>
    <row r="77">
      <c r="B77" s="60">
        <f>IF($O77=0,"",INDEX('ETF데이터'!$A$4:$A$594,$O77))</f>
        <v/>
      </c>
      <c r="C77" s="80">
        <f>IF($O77=0,"",INDEX('ETF데이터'!$R$4:$R$594,$O77))</f>
        <v/>
      </c>
      <c r="D77" s="81">
        <f>IF($O77=0,"",INDEX('ETF데이터'!$J$4:$J$594,$O77))</f>
        <v/>
      </c>
      <c r="E77" s="82">
        <f>IF($O77=0,"",$D77/12)</f>
        <v/>
      </c>
      <c r="F77" s="83">
        <f>IF($O77=0,"",INDEX('ETF데이터'!$D$4:$D$594,$O77))</f>
        <v/>
      </c>
      <c r="G77" s="81">
        <f>IF($O77=0,"",INDEX('ETF데이터'!$H$4:$H$594,$O77))</f>
        <v/>
      </c>
      <c r="H77" s="84">
        <f>IF($O77=0,"",INDEX('ETF데이터'!$E$4:$E$594,$O77)/100000000)</f>
        <v/>
      </c>
      <c r="I77" s="85">
        <f>IF($O77=0,"",IF(INDEX('ETF데이터'!$U$4:$U$594,$O77)="","",INDEX('ETF데이터'!$U$4:$U$594,$O77)))</f>
        <v/>
      </c>
      <c r="J77" s="85">
        <f>IF($O77=0,"",IF(INDEX('ETF데이터'!$V$4:$V$594,$O77)="","",INDEX('ETF데이터'!$V$4:$V$594,$O77)))</f>
        <v/>
      </c>
      <c r="K77" s="85">
        <f>IF($O77=0,"",IF(INDEX('ETF데이터'!$W$4:$W$594,$O77)="","",INDEX('ETF데이터'!$W$4:$W$594,$O77)))</f>
        <v/>
      </c>
      <c r="L77" s="85">
        <f>IF($O77=0,"",IF(INDEX('ETF데이터'!$X$4:$X$594,$O77)="","",INDEX('ETF데이터'!$X$4:$X$594,$O77)))</f>
        <v/>
      </c>
      <c r="M77" s="80">
        <f>IF($O77=0,"",INDEX('ETF데이터'!$M$4:$M$594,$O77))</f>
        <v/>
      </c>
      <c r="N77" s="79" t="n"/>
      <c r="O77">
        <f>IFERROR(MATCH(58,'ETF데이터'!$AB$4:$AB$594,0),0)</f>
        <v/>
      </c>
      <c r="P77">
        <f>IF(AND($B77&lt;&gt;"",$N77&lt;&gt;""),1,0)</f>
        <v/>
      </c>
      <c r="Q77">
        <f>IF($P77=1,$Q76+1,$Q76)</f>
        <v/>
      </c>
      <c r="R77">
        <f>IFERROR(INDEX($B$20:$B$79,MATCH(58,$Q$20:$Q$79,0)),"")</f>
        <v/>
      </c>
    </row>
    <row r="78">
      <c r="B78" s="56">
        <f>IF($O78=0,"",INDEX('ETF데이터'!$A$4:$A$594,$O78))</f>
        <v/>
      </c>
      <c r="C78" s="73">
        <f>IF($O78=0,"",INDEX('ETF데이터'!$R$4:$R$594,$O78))</f>
        <v/>
      </c>
      <c r="D78" s="74">
        <f>IF($O78=0,"",INDEX('ETF데이터'!$J$4:$J$594,$O78))</f>
        <v/>
      </c>
      <c r="E78" s="75">
        <f>IF($O78=0,"",$D78/12)</f>
        <v/>
      </c>
      <c r="F78" s="76">
        <f>IF($O78=0,"",INDEX('ETF데이터'!$D$4:$D$594,$O78))</f>
        <v/>
      </c>
      <c r="G78" s="74">
        <f>IF($O78=0,"",INDEX('ETF데이터'!$H$4:$H$594,$O78))</f>
        <v/>
      </c>
      <c r="H78" s="77">
        <f>IF($O78=0,"",INDEX('ETF데이터'!$E$4:$E$594,$O78)/100000000)</f>
        <v/>
      </c>
      <c r="I78" s="78">
        <f>IF($O78=0,"",IF(INDEX('ETF데이터'!$U$4:$U$594,$O78)="","",INDEX('ETF데이터'!$U$4:$U$594,$O78)))</f>
        <v/>
      </c>
      <c r="J78" s="78">
        <f>IF($O78=0,"",IF(INDEX('ETF데이터'!$V$4:$V$594,$O78)="","",INDEX('ETF데이터'!$V$4:$V$594,$O78)))</f>
        <v/>
      </c>
      <c r="K78" s="78">
        <f>IF($O78=0,"",IF(INDEX('ETF데이터'!$W$4:$W$594,$O78)="","",INDEX('ETF데이터'!$W$4:$W$594,$O78)))</f>
        <v/>
      </c>
      <c r="L78" s="78">
        <f>IF($O78=0,"",IF(INDEX('ETF데이터'!$X$4:$X$594,$O78)="","",INDEX('ETF데이터'!$X$4:$X$594,$O78)))</f>
        <v/>
      </c>
      <c r="M78" s="73">
        <f>IF($O78=0,"",INDEX('ETF데이터'!$M$4:$M$594,$O78))</f>
        <v/>
      </c>
      <c r="N78" s="79" t="n"/>
      <c r="O78">
        <f>IFERROR(MATCH(59,'ETF데이터'!$AB$4:$AB$594,0),0)</f>
        <v/>
      </c>
      <c r="P78">
        <f>IF(AND($B78&lt;&gt;"",$N78&lt;&gt;""),1,0)</f>
        <v/>
      </c>
      <c r="Q78">
        <f>IF($P78=1,$Q77+1,$Q77)</f>
        <v/>
      </c>
      <c r="R78">
        <f>IFERROR(INDEX($B$20:$B$79,MATCH(59,$Q$20:$Q$79,0)),"")</f>
        <v/>
      </c>
    </row>
    <row r="79">
      <c r="B79" s="64">
        <f>IF($O79=0,"",INDEX('ETF데이터'!$A$4:$A$594,$O79))</f>
        <v/>
      </c>
      <c r="C79" s="86">
        <f>IF($O79=0,"",INDEX('ETF데이터'!$R$4:$R$594,$O79))</f>
        <v/>
      </c>
      <c r="D79" s="87">
        <f>IF($O79=0,"",INDEX('ETF데이터'!$J$4:$J$594,$O79))</f>
        <v/>
      </c>
      <c r="E79" s="88">
        <f>IF($O79=0,"",$D79/12)</f>
        <v/>
      </c>
      <c r="F79" s="89">
        <f>IF($O79=0,"",INDEX('ETF데이터'!$D$4:$D$594,$O79))</f>
        <v/>
      </c>
      <c r="G79" s="87">
        <f>IF($O79=0,"",INDEX('ETF데이터'!$H$4:$H$594,$O79))</f>
        <v/>
      </c>
      <c r="H79" s="90">
        <f>IF($O79=0,"",INDEX('ETF데이터'!$E$4:$E$594,$O79)/100000000)</f>
        <v/>
      </c>
      <c r="I79" s="91">
        <f>IF($O79=0,"",IF(INDEX('ETF데이터'!$U$4:$U$594,$O79)="","",INDEX('ETF데이터'!$U$4:$U$594,$O79)))</f>
        <v/>
      </c>
      <c r="J79" s="91">
        <f>IF($O79=0,"",IF(INDEX('ETF데이터'!$V$4:$V$594,$O79)="","",INDEX('ETF데이터'!$V$4:$V$594,$O79)))</f>
        <v/>
      </c>
      <c r="K79" s="91">
        <f>IF($O79=0,"",IF(INDEX('ETF데이터'!$W$4:$W$594,$O79)="","",INDEX('ETF데이터'!$W$4:$W$594,$O79)))</f>
        <v/>
      </c>
      <c r="L79" s="91">
        <f>IF($O79=0,"",IF(INDEX('ETF데이터'!$X$4:$X$594,$O79)="","",INDEX('ETF데이터'!$X$4:$X$594,$O79)))</f>
        <v/>
      </c>
      <c r="M79" s="86">
        <f>IF($O79=0,"",INDEX('ETF데이터'!$M$4:$M$594,$O79))</f>
        <v/>
      </c>
      <c r="N79" s="92" t="n"/>
      <c r="O79">
        <f>IFERROR(MATCH(60,'ETF데이터'!$AB$4:$AB$594,0),0)</f>
        <v/>
      </c>
      <c r="P79">
        <f>IF(AND($B79&lt;&gt;"",$N79&lt;&gt;""),1,0)</f>
        <v/>
      </c>
      <c r="Q79">
        <f>IF($P79=1,$Q78+1,$Q78)</f>
        <v/>
      </c>
      <c r="R79">
        <f>IFERROR(INDEX($B$20:$B$79,MATCH(60,$Q$20:$Q$79,0)),"")</f>
        <v/>
      </c>
    </row>
    <row r="81">
      <c r="B81" s="7" t="inlineStr">
        <is>
          <t>※ 조건에 맞는 종목이 60개를 넘으면 위에서부터 60개만 나옵니다. 조건을 좁혀 보십시오.</t>
        </is>
      </c>
    </row>
    <row r="82">
      <c r="B82" s="7" t="inlineStr">
        <is>
          <t>※ 담고 싶은 종목의 '담기' 칸에 O 를 넣으십시오. [제안서] 의 포트폴리오에 위에서부터 차례로 올라갑니다. 지우면 내려갑니다. 배분 비율은 제안서에서 직접 넣으십시오.</t>
        </is>
      </c>
    </row>
    <row r="83">
      <c r="B83" s="93" t="inlineStr">
        <is>
          <t>※ '담기' 표시는 종목이 아니라 그 줄에 붙습니다. 담은 뒤에 위의 조회 조건을 바꾸면 그 줄에 다른 종목이 올라오면서 담긴 종목도 함께 바뀝니다. 조건을 먼저 정하고 담으십시오.</t>
        </is>
      </c>
    </row>
    <row r="84">
      <c r="B84" s="7" t="inlineStr">
        <is>
          <t>※ [제안서] 에서 직접 고르셔도 됩니다. 그 장의 콤보박스는 조건과 상관없이 전체 목록을 담고 있습니다 — 조건을 바꿨다고 이미 담아 둔 종목이 빠지면 안 되기 때문입니다.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4">
    <mergeCell ref="A3:M3"/>
    <mergeCell ref="A2:M2"/>
    <mergeCell ref="A1:M1"/>
    <mergeCell ref="A5:M5"/>
  </mergeCells>
  <dataValidations count="2">
    <dataValidation sqref="C10" showDropDown="0" showInputMessage="0" showErrorMessage="0" allowBlank="0" type="list">
      <formula1>"전체,월배당,분기배당,반기배당,연배당,주배당,비정기,판정 불가"</formula1>
    </dataValidation>
    <dataValidation sqref="N20:N79" showDropDown="0" showInputMessage="0" showErrorMessage="0" allowBlank="1" promptTitle="담기" prompt="▼ 를 눌러 O 를 고르면 [제안서] 포트폴리오에 올라갑니다. 지우면 내려갑니다." type="list">
      <formula1>"O"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6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8" customWidth="1" min="3" max="3"/>
    <col width="12" customWidth="1" min="4" max="4"/>
    <col width="17" customWidth="1" min="5" max="5"/>
    <col width="19" customWidth="1" min="6" max="6"/>
    <col width="11" customWidth="1" min="7" max="7"/>
    <col width="13" customWidth="1" min="8" max="8"/>
    <col width="13" customWidth="1" min="9" max="9"/>
    <col width="13" customWidth="1" min="10" max="10"/>
    <col width="12" customWidth="1" min="11" max="11"/>
    <col width="15" customWidth="1" min="12" max="12"/>
    <col width="8" customWidth="1" min="13" max="13"/>
    <col width="30" customWidth="1" min="14" max="14"/>
    <col width="34" customWidth="1" min="15" max="15"/>
    <col width="11" customWidth="1" min="16" max="16"/>
    <col width="14" customWidth="1" min="17" max="17"/>
    <col width="12" customWidth="1" min="18" max="18"/>
    <col width="12" customWidth="1" min="19" max="19"/>
    <col width="11" customWidth="1" min="20" max="20"/>
    <col width="12" customWidth="1" min="21" max="21"/>
    <col width="12" customWidth="1" min="22" max="22"/>
    <col width="12" customWidth="1" min="23" max="23"/>
    <col width="12" customWidth="1" min="24" max="24"/>
    <col width="20" customWidth="1" min="25" max="25"/>
    <col width="44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</cols>
  <sheetData>
    <row r="1">
      <c r="A1" s="94" t="inlineStr">
        <is>
          <t>ETFCHECK 수집 원본 — 이 장의 값은 손으로 고치지 마십시오. 매월 1일 수집기가 덮어씁니다.</t>
        </is>
      </c>
    </row>
    <row r="3" ht="30" customHeight="1">
      <c r="A3" s="95" t="inlineStr">
        <is>
          <t>종목명</t>
        </is>
      </c>
      <c r="B3" s="95" t="inlineStr">
        <is>
          <t>종목코드</t>
        </is>
      </c>
      <c r="C3" s="95" t="inlineStr">
        <is>
          <t>운용사</t>
        </is>
      </c>
      <c r="D3" s="95" t="inlineStr">
        <is>
          <t>현재가</t>
        </is>
      </c>
      <c r="E3" s="95" t="inlineStr">
        <is>
          <t>순자산총액</t>
        </is>
      </c>
      <c r="F3" s="95" t="inlineStr">
        <is>
          <t>60일 평균거래대금</t>
        </is>
      </c>
      <c r="G3" s="95" t="inlineStr">
        <is>
          <t>총보수(연)</t>
        </is>
      </c>
      <c r="H3" s="95" t="inlineStr">
        <is>
          <t>변동성(1년)</t>
        </is>
      </c>
      <c r="I3" s="95" t="inlineStr">
        <is>
          <t>최근 월분배율</t>
        </is>
      </c>
      <c r="J3" s="95" t="inlineStr">
        <is>
          <t>연환산 분배율</t>
        </is>
      </c>
      <c r="K3" s="95" t="inlineStr">
        <is>
          <t>분배 기록수</t>
        </is>
      </c>
      <c r="L3" s="95" t="inlineStr">
        <is>
          <t>최근 분배기준일</t>
        </is>
      </c>
      <c r="M3" s="95" t="inlineStr">
        <is>
          <t>채택</t>
        </is>
      </c>
      <c r="N3" s="95" t="inlineStr">
        <is>
          <t>제외 사유</t>
        </is>
      </c>
      <c r="O3" s="95" t="inlineStr">
        <is>
          <t>기초지수</t>
        </is>
      </c>
      <c r="P3" s="95" t="inlineStr">
        <is>
          <t>유형</t>
        </is>
      </c>
      <c r="Q3" s="95" t="inlineStr">
        <is>
          <t>자산군</t>
        </is>
      </c>
      <c r="R3" s="95" t="inlineStr">
        <is>
          <t>지급주기</t>
        </is>
      </c>
      <c r="S3" s="95" t="inlineStr">
        <is>
          <t>연 지급횟수</t>
        </is>
      </c>
      <c r="T3" s="95" t="inlineStr">
        <is>
          <t>과세비율</t>
        </is>
      </c>
      <c r="U3" s="95" t="inlineStr">
        <is>
          <t>총수익 1년</t>
        </is>
      </c>
      <c r="V3" s="95" t="inlineStr">
        <is>
          <t>기준가 1년</t>
        </is>
      </c>
      <c r="W3" s="95" t="inlineStr">
        <is>
          <t>기준가 6개월</t>
        </is>
      </c>
      <c r="X3" s="95" t="inlineStr">
        <is>
          <t>기준가 3개월</t>
        </is>
      </c>
      <c r="Y3" s="95" t="inlineStr">
        <is>
          <t>수익률 창</t>
        </is>
      </c>
      <c r="Z3" s="95" t="inlineStr">
        <is>
          <t>수익률 비고</t>
        </is>
      </c>
    </row>
    <row r="4">
      <c r="A4" s="96" t="inlineStr">
        <is>
          <t>SOL 팔란티어커버드콜OTM채권혼합</t>
        </is>
      </c>
      <c r="B4" s="96" t="inlineStr">
        <is>
          <t>0040Y0</t>
        </is>
      </c>
      <c r="C4" s="96" t="inlineStr">
        <is>
          <t>신한자산운용</t>
        </is>
      </c>
      <c r="D4" s="97" t="n">
        <v>7885</v>
      </c>
      <c r="E4" s="97" t="n">
        <v>364287000000</v>
      </c>
      <c r="F4" s="97" t="n">
        <v>2676209983</v>
      </c>
      <c r="G4" s="74" t="n">
        <v>0.0035</v>
      </c>
      <c r="H4" s="74" t="n">
        <v>0.164</v>
      </c>
      <c r="I4" s="74" t="n">
        <v>0.0196</v>
      </c>
      <c r="J4" s="74" t="n">
        <v>0.277108</v>
      </c>
      <c r="K4" s="97" t="n">
        <v>17</v>
      </c>
      <c r="L4" s="98" t="inlineStr">
        <is>
          <t>20260929</t>
        </is>
      </c>
      <c r="M4" s="96" t="inlineStr">
        <is>
          <t>채택</t>
        </is>
      </c>
      <c r="N4" s="96" t="inlineStr"/>
      <c r="O4" s="96" t="inlineStr">
        <is>
          <t>KEDI Palantir Covered Call OTM Treasury Balanced Index NTR</t>
        </is>
      </c>
      <c r="P4" s="96" t="inlineStr">
        <is>
          <t>커버드콜</t>
        </is>
      </c>
      <c r="Q4" s="96" t="inlineStr">
        <is>
          <t>멀티에셋</t>
        </is>
      </c>
      <c r="R4" s="96" t="inlineStr">
        <is>
          <t>월배당</t>
        </is>
      </c>
      <c r="S4" s="97" t="n">
        <v>11</v>
      </c>
      <c r="T4" s="74" t="n">
        <v>0.1904</v>
      </c>
      <c r="U4" s="78" t="n">
        <v>-0.0197</v>
      </c>
      <c r="V4" s="78" t="n">
        <v>-0.232</v>
      </c>
      <c r="W4" s="78" t="n">
        <v>-0.1211</v>
      </c>
      <c r="X4" s="78" t="n">
        <v>-0.0325</v>
      </c>
      <c r="Y4" s="96" t="inlineStr">
        <is>
          <t>20250922~20261002</t>
        </is>
      </c>
      <c r="Z4" s="96" t="inlineStr"/>
      <c r="AA4">
        <f>IF(AND($J4&lt;&gt;"",OR(조회_주기="전체",$R4=조회_주기),$J4&gt;=조회_최소,$J4&lt;=조회_최대),1,0)</f>
        <v/>
      </c>
      <c r="AB4">
        <f>IF($AA4=1,0+1,0)</f>
        <v/>
      </c>
      <c r="AC4">
        <f>IF(검색어="",1,IF(ISNUMBER(SEARCH(검색어,$A4)),1,0))</f>
        <v/>
      </c>
      <c r="AD4">
        <f>IF($AC4=1,0+1,0)</f>
        <v/>
      </c>
      <c r="AE4">
        <f>IFERROR(INDEX($A$4:$A$594,MATCH(1,$AD$4:$AD$594,0)),"")</f>
        <v/>
      </c>
    </row>
    <row r="5">
      <c r="A5" s="96" t="inlineStr">
        <is>
          <t>SOL 팔란티어미국채커버드콜혼합</t>
        </is>
      </c>
      <c r="B5" s="96" t="inlineStr">
        <is>
          <t>0040X0</t>
        </is>
      </c>
      <c r="C5" s="96" t="inlineStr">
        <is>
          <t>신한자산운용</t>
        </is>
      </c>
      <c r="D5" s="97" t="n">
        <v>9030</v>
      </c>
      <c r="E5" s="97" t="n">
        <v>169764000000</v>
      </c>
      <c r="F5" s="97" t="n">
        <v>1483144816</v>
      </c>
      <c r="G5" s="74" t="n">
        <v>0.0035</v>
      </c>
      <c r="H5" s="74" t="n">
        <v>0.2284</v>
      </c>
      <c r="I5" s="74" t="n">
        <v>0.015</v>
      </c>
      <c r="J5" s="74" t="n">
        <v>0.253156</v>
      </c>
      <c r="K5" s="97" t="n">
        <v>17</v>
      </c>
      <c r="L5" s="98" t="inlineStr">
        <is>
          <t>20260929</t>
        </is>
      </c>
      <c r="M5" s="96" t="inlineStr">
        <is>
          <t>채택</t>
        </is>
      </c>
      <c r="N5" s="96" t="inlineStr"/>
      <c r="O5" s="96" t="inlineStr">
        <is>
          <t>KEDI Palantir U.S. Treasury Covered Call Balanced Index NTR</t>
        </is>
      </c>
      <c r="P5" s="96" t="inlineStr">
        <is>
          <t>커버드콜</t>
        </is>
      </c>
      <c r="Q5" s="96" t="inlineStr">
        <is>
          <t>멀티에셋</t>
        </is>
      </c>
      <c r="R5" s="96" t="inlineStr">
        <is>
          <t>월배당</t>
        </is>
      </c>
      <c r="S5" s="97" t="n">
        <v>11</v>
      </c>
      <c r="T5" s="74" t="n">
        <v>0.7183</v>
      </c>
      <c r="U5" s="78" t="n">
        <v>-0.0343</v>
      </c>
      <c r="V5" s="78" t="n">
        <v>-0.229</v>
      </c>
      <c r="W5" s="78" t="n">
        <v>-0.1356</v>
      </c>
      <c r="X5" s="78" t="n">
        <v>-0.0794</v>
      </c>
      <c r="Y5" s="96" t="inlineStr">
        <is>
          <t>20250922~20261002</t>
        </is>
      </c>
      <c r="Z5" s="96" t="inlineStr"/>
      <c r="AA5">
        <f>IF(AND($J5&lt;&gt;"",OR(조회_주기="전체",$R5=조회_주기),$J5&gt;=조회_최소,$J5&lt;=조회_최대),1,0)</f>
        <v/>
      </c>
      <c r="AB5">
        <f>IF($AA5=1,$AB4+1,$AB4)</f>
        <v/>
      </c>
      <c r="AC5">
        <f>IF(검색어="",1,IF(ISNUMBER(SEARCH(검색어,$A5)),1,0))</f>
        <v/>
      </c>
      <c r="AD5">
        <f>IF($AC5=1,$AD4+1,$AD4)</f>
        <v/>
      </c>
      <c r="AE5">
        <f>IFERROR(INDEX($A$4:$A$594,MATCH(2,$AD$4:$AD$594,0)),"")</f>
        <v/>
      </c>
    </row>
    <row r="6">
      <c r="A6" s="96" t="inlineStr">
        <is>
          <t>PLUS 고배당주위클리커버드콜</t>
        </is>
      </c>
      <c r="B6" s="96" t="inlineStr">
        <is>
          <t>489030</t>
        </is>
      </c>
      <c r="C6" s="96" t="inlineStr">
        <is>
          <t>한화자산운용</t>
        </is>
      </c>
      <c r="D6" s="97" t="n">
        <v>6175</v>
      </c>
      <c r="E6" s="97" t="n">
        <v>305662500000</v>
      </c>
      <c r="F6" s="97" t="n">
        <v>4260074463</v>
      </c>
      <c r="G6" s="74" t="n">
        <v>0.003</v>
      </c>
      <c r="H6" s="74" t="n">
        <v>0.3086</v>
      </c>
      <c r="I6" s="74" t="n">
        <v>0.0147</v>
      </c>
      <c r="J6" s="74" t="n">
        <v>0.237085</v>
      </c>
      <c r="K6" s="97" t="n">
        <v>26</v>
      </c>
      <c r="L6" s="98" t="inlineStr">
        <is>
          <t>20260929</t>
        </is>
      </c>
      <c r="M6" s="96" t="inlineStr">
        <is>
          <t>채택</t>
        </is>
      </c>
      <c r="N6" s="96" t="inlineStr"/>
      <c r="O6" s="96" t="inlineStr">
        <is>
          <t>코스피 고배당 위클리 콜매도 ATM 지수</t>
        </is>
      </c>
      <c r="P6" s="96" t="inlineStr">
        <is>
          <t>커버드콜</t>
        </is>
      </c>
      <c r="Q6" s="96" t="inlineStr">
        <is>
          <t>주식</t>
        </is>
      </c>
      <c r="R6" s="96" t="inlineStr">
        <is>
          <t>월배당</t>
        </is>
      </c>
      <c r="S6" s="97" t="n">
        <v>11</v>
      </c>
      <c r="T6" s="74" t="n">
        <v>0.2179</v>
      </c>
      <c r="U6" s="78" t="n">
        <v>-0.23</v>
      </c>
      <c r="V6" s="78" t="n">
        <v>-0.3775</v>
      </c>
      <c r="W6" s="78" t="n">
        <v>-0.2742</v>
      </c>
      <c r="X6" s="78" t="n">
        <v>-0.023</v>
      </c>
      <c r="Y6" s="96" t="inlineStr">
        <is>
          <t>20250922~20261002</t>
        </is>
      </c>
      <c r="Z6" s="96" t="inlineStr"/>
      <c r="AA6">
        <f>IF(AND($J6&lt;&gt;"",OR(조회_주기="전체",$R6=조회_주기),$J6&gt;=조회_최소,$J6&lt;=조회_최대),1,0)</f>
        <v/>
      </c>
      <c r="AB6">
        <f>IF($AA6=1,$AB5+1,$AB5)</f>
        <v/>
      </c>
      <c r="AC6">
        <f>IF(검색어="",1,IF(ISNUMBER(SEARCH(검색어,$A6)),1,0))</f>
        <v/>
      </c>
      <c r="AD6">
        <f>IF($AC6=1,$AD5+1,$AD5)</f>
        <v/>
      </c>
      <c r="AE6">
        <f>IFERROR(INDEX($A$4:$A$594,MATCH(3,$AD$4:$AD$594,0)),"")</f>
        <v/>
      </c>
    </row>
    <row r="7">
      <c r="A7" s="96" t="inlineStr">
        <is>
          <t>KODEX 미국나스닥100데일리커버드콜OTM</t>
        </is>
      </c>
      <c r="B7" s="96" t="inlineStr">
        <is>
          <t>494300</t>
        </is>
      </c>
      <c r="C7" s="96" t="inlineStr">
        <is>
          <t>삼성자산운용(ETF)</t>
        </is>
      </c>
      <c r="D7" s="97" t="n">
        <v>8855</v>
      </c>
      <c r="E7" s="97" t="n">
        <v>1055516000000</v>
      </c>
      <c r="F7" s="97" t="n">
        <v>12188428828</v>
      </c>
      <c r="G7" s="74" t="n">
        <v>0.0025</v>
      </c>
      <c r="H7" s="74" t="n">
        <v>0.196</v>
      </c>
      <c r="I7" s="74" t="n">
        <v>0.0166</v>
      </c>
      <c r="J7" s="74" t="n">
        <v>0.226426</v>
      </c>
      <c r="K7" s="97" t="n">
        <v>23</v>
      </c>
      <c r="L7" s="98" t="inlineStr">
        <is>
          <t>20260929</t>
        </is>
      </c>
      <c r="M7" s="96" t="inlineStr">
        <is>
          <t>채택</t>
        </is>
      </c>
      <c r="N7" s="96" t="inlineStr"/>
      <c r="O7" s="96" t="inlineStr">
        <is>
          <t>Nasdaq-100 Daily Covered Call 101 Index TR</t>
        </is>
      </c>
      <c r="P7" s="96" t="inlineStr">
        <is>
          <t>커버드콜</t>
        </is>
      </c>
      <c r="Q7" s="96" t="inlineStr">
        <is>
          <t>주식</t>
        </is>
      </c>
      <c r="R7" s="96" t="inlineStr">
        <is>
          <t>월배당</t>
        </is>
      </c>
      <c r="S7" s="97" t="n">
        <v>11</v>
      </c>
      <c r="T7" s="74" t="n">
        <v>0.784</v>
      </c>
      <c r="U7" s="78" t="n">
        <v>0.0872</v>
      </c>
      <c r="V7" s="78" t="n">
        <v>-0.1141</v>
      </c>
      <c r="W7" s="78" t="n">
        <v>-0.0781</v>
      </c>
      <c r="X7" s="78" t="n">
        <v>-0.1575</v>
      </c>
      <c r="Y7" s="96" t="inlineStr">
        <is>
          <t>20250922~20261002</t>
        </is>
      </c>
      <c r="Z7" s="96" t="inlineStr"/>
      <c r="AA7">
        <f>IF(AND($J7&lt;&gt;"",OR(조회_주기="전체",$R7=조회_주기),$J7&gt;=조회_최소,$J7&lt;=조회_최대),1,0)</f>
        <v/>
      </c>
      <c r="AB7">
        <f>IF($AA7=1,$AB6+1,$AB6)</f>
        <v/>
      </c>
      <c r="AC7">
        <f>IF(검색어="",1,IF(ISNUMBER(SEARCH(검색어,$A7)),1,0))</f>
        <v/>
      </c>
      <c r="AD7">
        <f>IF($AC7=1,$AD6+1,$AD6)</f>
        <v/>
      </c>
      <c r="AE7">
        <f>IFERROR(INDEX($A$4:$A$594,MATCH(4,$AD$4:$AD$594,0)),"")</f>
        <v/>
      </c>
    </row>
    <row r="8">
      <c r="A8" s="96" t="inlineStr">
        <is>
          <t>RISE 미국테크100데일리고정커버드콜</t>
        </is>
      </c>
      <c r="B8" s="96" t="inlineStr">
        <is>
          <t>491620</t>
        </is>
      </c>
      <c r="C8" s="96" t="inlineStr">
        <is>
          <t>KB자산운용</t>
        </is>
      </c>
      <c r="D8" s="97" t="n">
        <v>10415</v>
      </c>
      <c r="E8" s="97" t="n">
        <v>595217250000</v>
      </c>
      <c r="F8" s="97" t="n">
        <v>6738144363</v>
      </c>
      <c r="G8" s="74" t="n">
        <v>0.0025</v>
      </c>
      <c r="H8" s="74" t="n">
        <v>0.2035</v>
      </c>
      <c r="I8" s="74" t="n">
        <v>0.0126</v>
      </c>
      <c r="J8" s="74" t="n">
        <v>0.214402</v>
      </c>
      <c r="K8" s="97" t="n">
        <v>24</v>
      </c>
      <c r="L8" s="98" t="inlineStr">
        <is>
          <t>20260929</t>
        </is>
      </c>
      <c r="M8" s="96" t="inlineStr">
        <is>
          <t>채택</t>
        </is>
      </c>
      <c r="N8" s="96" t="inlineStr"/>
      <c r="O8" s="96" t="inlineStr">
        <is>
          <t>KEDI U.S. Tech100 90% Participation + Daily Options Premium</t>
        </is>
      </c>
      <c r="P8" s="96" t="inlineStr">
        <is>
          <t>커버드콜</t>
        </is>
      </c>
      <c r="Q8" s="96" t="inlineStr">
        <is>
          <t>주식</t>
        </is>
      </c>
      <c r="R8" s="96" t="inlineStr">
        <is>
          <t>월배당</t>
        </is>
      </c>
      <c r="S8" s="97" t="n">
        <v>11</v>
      </c>
      <c r="T8" s="74" t="n">
        <v>1</v>
      </c>
      <c r="U8" s="78" t="n">
        <v>0.1623</v>
      </c>
      <c r="V8" s="78" t="n">
        <v>-0.0436</v>
      </c>
      <c r="W8" s="78" t="n">
        <v>0.0187</v>
      </c>
      <c r="X8" s="78" t="n">
        <v>-0.1107</v>
      </c>
      <c r="Y8" s="96" t="inlineStr">
        <is>
          <t>20250922~20261002</t>
        </is>
      </c>
      <c r="Z8" s="96" t="inlineStr"/>
      <c r="AA8">
        <f>IF(AND($J8&lt;&gt;"",OR(조회_주기="전체",$R8=조회_주기),$J8&gt;=조회_최소,$J8&lt;=조회_최대),1,0)</f>
        <v/>
      </c>
      <c r="AB8">
        <f>IF($AA8=1,$AB7+1,$AB7)</f>
        <v/>
      </c>
      <c r="AC8">
        <f>IF(검색어="",1,IF(ISNUMBER(SEARCH(검색어,$A8)),1,0))</f>
        <v/>
      </c>
      <c r="AD8">
        <f>IF($AC8=1,$AD7+1,$AD7)</f>
        <v/>
      </c>
      <c r="AE8">
        <f>IFERROR(INDEX($A$4:$A$594,MATCH(5,$AD$4:$AD$594,0)),"")</f>
        <v/>
      </c>
    </row>
    <row r="9">
      <c r="A9" s="96" t="inlineStr">
        <is>
          <t>ACE 미국500데일리타겟커버드콜(합성)</t>
        </is>
      </c>
      <c r="B9" s="96" t="inlineStr">
        <is>
          <t>480030</t>
        </is>
      </c>
      <c r="C9" s="96" t="inlineStr">
        <is>
          <t>한국투신운용(ETF)</t>
        </is>
      </c>
      <c r="D9" s="97" t="n">
        <v>9545</v>
      </c>
      <c r="E9" s="97" t="n">
        <v>160356000000</v>
      </c>
      <c r="F9" s="97" t="n">
        <v>1319106274</v>
      </c>
      <c r="G9" s="74" t="n">
        <v>0.004500000000000001</v>
      </c>
      <c r="H9" s="74" t="n">
        <v>0.151</v>
      </c>
      <c r="I9" s="74" t="n">
        <v>0.0199</v>
      </c>
      <c r="J9" s="74" t="n">
        <v>0.203562</v>
      </c>
      <c r="K9" s="97" t="n">
        <v>29</v>
      </c>
      <c r="L9" s="98" t="inlineStr">
        <is>
          <t>20260914</t>
        </is>
      </c>
      <c r="M9" s="96" t="inlineStr">
        <is>
          <t>채택</t>
        </is>
      </c>
      <c r="N9" s="96" t="inlineStr"/>
      <c r="O9" s="96" t="inlineStr">
        <is>
          <t>Bloomberg US 500 Large Cap Premium(SPY) Decrement 15% Distri</t>
        </is>
      </c>
      <c r="P9" s="96" t="inlineStr">
        <is>
          <t>커버드콜</t>
        </is>
      </c>
      <c r="Q9" s="96" t="inlineStr">
        <is>
          <t>주식</t>
        </is>
      </c>
      <c r="R9" s="96" t="inlineStr">
        <is>
          <t>월배당</t>
        </is>
      </c>
      <c r="S9" s="97" t="n">
        <v>11</v>
      </c>
      <c r="T9" s="74" t="n">
        <v>0.9012</v>
      </c>
      <c r="U9" s="78" t="n">
        <v>0.09429999999999999</v>
      </c>
      <c r="V9" s="78" t="n">
        <v>-0.0919</v>
      </c>
      <c r="W9" s="78" t="n">
        <v>-0.101</v>
      </c>
      <c r="X9" s="78" t="n">
        <v>-0.1637</v>
      </c>
      <c r="Y9" s="96" t="inlineStr">
        <is>
          <t>20250922~20261002</t>
        </is>
      </c>
      <c r="Z9" s="96" t="inlineStr"/>
      <c r="AA9">
        <f>IF(AND($J9&lt;&gt;"",OR(조회_주기="전체",$R9=조회_주기),$J9&gt;=조회_최소,$J9&lt;=조회_최대),1,0)</f>
        <v/>
      </c>
      <c r="AB9">
        <f>IF($AA9=1,$AB8+1,$AB8)</f>
        <v/>
      </c>
      <c r="AC9">
        <f>IF(검색어="",1,IF(ISNUMBER(SEARCH(검색어,$A9)),1,0))</f>
        <v/>
      </c>
      <c r="AD9">
        <f>IF($AC9=1,$AD8+1,$AD8)</f>
        <v/>
      </c>
      <c r="AE9">
        <f>IFERROR(INDEX($A$4:$A$594,MATCH(6,$AD$4:$AD$594,0)),"")</f>
        <v/>
      </c>
    </row>
    <row r="10">
      <c r="A10" s="96" t="inlineStr">
        <is>
          <t>RISE 미국AI밸류체인데일리고정커버드콜</t>
        </is>
      </c>
      <c r="B10" s="96" t="inlineStr">
        <is>
          <t>490590</t>
        </is>
      </c>
      <c r="C10" s="96" t="inlineStr">
        <is>
          <t>KB자산운용</t>
        </is>
      </c>
      <c r="D10" s="97" t="n">
        <v>14405</v>
      </c>
      <c r="E10" s="97" t="n">
        <v>834049500000</v>
      </c>
      <c r="F10" s="97" t="n">
        <v>8968858264</v>
      </c>
      <c r="G10" s="74" t="n">
        <v>0.0025</v>
      </c>
      <c r="H10" s="74" t="n">
        <v>0.3256</v>
      </c>
      <c r="I10" s="74" t="n">
        <v>0.013</v>
      </c>
      <c r="J10" s="74" t="n">
        <v>0.201666</v>
      </c>
      <c r="K10" s="97" t="n">
        <v>24</v>
      </c>
      <c r="L10" s="98" t="inlineStr">
        <is>
          <t>20260929</t>
        </is>
      </c>
      <c r="M10" s="96" t="inlineStr">
        <is>
          <t>채택</t>
        </is>
      </c>
      <c r="N10" s="96" t="inlineStr"/>
      <c r="O10" s="96" t="inlineStr">
        <is>
          <t>KEDI U.S. AI Value Chain 90% Participation + Daily Options P</t>
        </is>
      </c>
      <c r="P10" s="96" t="inlineStr">
        <is>
          <t>커버드콜</t>
        </is>
      </c>
      <c r="Q10" s="96" t="inlineStr">
        <is>
          <t>주식</t>
        </is>
      </c>
      <c r="R10" s="96" t="inlineStr">
        <is>
          <t>월배당</t>
        </is>
      </c>
      <c r="S10" s="97" t="n">
        <v>11</v>
      </c>
      <c r="T10" s="74" t="n">
        <v>1</v>
      </c>
      <c r="U10" s="78" t="n">
        <v>0.3198</v>
      </c>
      <c r="V10" s="78" t="n">
        <v>0.0974</v>
      </c>
      <c r="W10" s="78" t="n">
        <v>0.138</v>
      </c>
      <c r="X10" s="78" t="n">
        <v>-0.0823</v>
      </c>
      <c r="Y10" s="96" t="inlineStr">
        <is>
          <t>20250922~20261002</t>
        </is>
      </c>
      <c r="Z10" s="96" t="inlineStr"/>
      <c r="AA10">
        <f>IF(AND($J10&lt;&gt;"",OR(조회_주기="전체",$R10=조회_주기),$J10&gt;=조회_최소,$J10&lt;=조회_최대),1,0)</f>
        <v/>
      </c>
      <c r="AB10">
        <f>IF($AA10=1,$AB9+1,$AB9)</f>
        <v/>
      </c>
      <c r="AC10">
        <f>IF(검색어="",1,IF(ISNUMBER(SEARCH(검색어,$A10)),1,0))</f>
        <v/>
      </c>
      <c r="AD10">
        <f>IF($AC10=1,$AD9+1,$AD9)</f>
        <v/>
      </c>
      <c r="AE10">
        <f>IFERROR(INDEX($A$4:$A$594,MATCH(7,$AD$4:$AD$594,0)),"")</f>
        <v/>
      </c>
    </row>
    <row r="11">
      <c r="A11" s="96" t="inlineStr">
        <is>
          <t>PLUS 고배당주위클리고정커버드콜</t>
        </is>
      </c>
      <c r="B11" s="96" t="inlineStr">
        <is>
          <t>0018C0</t>
        </is>
      </c>
      <c r="C11" s="96" t="inlineStr">
        <is>
          <t>한화자산운용</t>
        </is>
      </c>
      <c r="D11" s="97" t="n">
        <v>10360</v>
      </c>
      <c r="E11" s="97" t="n">
        <v>79254000000</v>
      </c>
      <c r="F11" s="97" t="n">
        <v>960251867</v>
      </c>
      <c r="G11" s="74" t="n">
        <v>0.003</v>
      </c>
      <c r="H11" s="74" t="n">
        <v>0.2676</v>
      </c>
      <c r="I11" s="74" t="n">
        <v>0.0124</v>
      </c>
      <c r="J11" s="74" t="n">
        <v>0.17249</v>
      </c>
      <c r="K11" s="97" t="n">
        <v>19</v>
      </c>
      <c r="L11" s="98" t="inlineStr">
        <is>
          <t>20260914</t>
        </is>
      </c>
      <c r="M11" s="96" t="inlineStr">
        <is>
          <t>채택</t>
        </is>
      </c>
      <c r="N11" s="96" t="inlineStr"/>
      <c r="O11" s="96" t="inlineStr">
        <is>
          <t>코스피 고배당 위클리 고정 커버드콜 지수</t>
        </is>
      </c>
      <c r="P11" s="96" t="inlineStr">
        <is>
          <t>커버드콜</t>
        </is>
      </c>
      <c r="Q11" s="96" t="inlineStr">
        <is>
          <t>주식</t>
        </is>
      </c>
      <c r="R11" s="96" t="inlineStr">
        <is>
          <t>월배당</t>
        </is>
      </c>
      <c r="S11" s="97" t="n">
        <v>11</v>
      </c>
      <c r="T11" s="74" t="n">
        <v>0.2602</v>
      </c>
      <c r="U11" s="78" t="n">
        <v>0.0253</v>
      </c>
      <c r="V11" s="78" t="n">
        <v>-0.1254</v>
      </c>
      <c r="W11" s="78" t="n">
        <v>-0.1807</v>
      </c>
      <c r="X11" s="78" t="n">
        <v>-0.0347</v>
      </c>
      <c r="Y11" s="96" t="inlineStr">
        <is>
          <t>20250922~20261002</t>
        </is>
      </c>
      <c r="Z11" s="96" t="inlineStr"/>
      <c r="AA11">
        <f>IF(AND($J11&lt;&gt;"",OR(조회_주기="전체",$R11=조회_주기),$J11&gt;=조회_최소,$J11&lt;=조회_최대),1,0)</f>
        <v/>
      </c>
      <c r="AB11">
        <f>IF($AA11=1,$AB10+1,$AB10)</f>
        <v/>
      </c>
      <c r="AC11">
        <f>IF(검색어="",1,IF(ISNUMBER(SEARCH(검색어,$A11)),1,0))</f>
        <v/>
      </c>
      <c r="AD11">
        <f>IF($AC11=1,$AD10+1,$AD10)</f>
        <v/>
      </c>
      <c r="AE11">
        <f>IFERROR(INDEX($A$4:$A$594,MATCH(8,$AD$4:$AD$594,0)),"")</f>
        <v/>
      </c>
    </row>
    <row r="12">
      <c r="A12" s="96" t="inlineStr">
        <is>
          <t>KODEX 금융고배당TOP10타겟위클리커버드콜</t>
        </is>
      </c>
      <c r="B12" s="96" t="inlineStr">
        <is>
          <t>498410</t>
        </is>
      </c>
      <c r="C12" s="96" t="inlineStr">
        <is>
          <t>삼성자산운용(ETF)</t>
        </is>
      </c>
      <c r="D12" s="97" t="n">
        <v>11350</v>
      </c>
      <c r="E12" s="97" t="n">
        <v>850115000000</v>
      </c>
      <c r="F12" s="97" t="n">
        <v>20811303029</v>
      </c>
      <c r="G12" s="74" t="n">
        <v>0.0039</v>
      </c>
      <c r="H12" s="74" t="n">
        <v>0.3261</v>
      </c>
      <c r="I12" s="74" t="n">
        <v>0.0123</v>
      </c>
      <c r="J12" s="74" t="n">
        <v>0.164758</v>
      </c>
      <c r="K12" s="97" t="n">
        <v>21</v>
      </c>
      <c r="L12" s="98" t="inlineStr">
        <is>
          <t>20260929</t>
        </is>
      </c>
      <c r="M12" s="96" t="inlineStr">
        <is>
          <t>채택</t>
        </is>
      </c>
      <c r="N12" s="96" t="inlineStr"/>
      <c r="O12" s="96" t="inlineStr">
        <is>
          <t>코스피 200 금융 고배당 TOP 10 타겟 15% 분배 위클리 커버드콜</t>
        </is>
      </c>
      <c r="P12" s="96" t="inlineStr">
        <is>
          <t>커버드콜</t>
        </is>
      </c>
      <c r="Q12" s="96" t="inlineStr">
        <is>
          <t>주식</t>
        </is>
      </c>
      <c r="R12" s="96" t="inlineStr">
        <is>
          <t>월배당</t>
        </is>
      </c>
      <c r="S12" s="97" t="n">
        <v>11</v>
      </c>
      <c r="T12" s="74" t="n">
        <v>0.2</v>
      </c>
      <c r="U12" s="78" t="n">
        <v>0.028</v>
      </c>
      <c r="V12" s="78" t="n">
        <v>-0.1179</v>
      </c>
      <c r="W12" s="78" t="n">
        <v>-0.0987</v>
      </c>
      <c r="X12" s="78" t="n">
        <v>-0.0479</v>
      </c>
      <c r="Y12" s="96" t="inlineStr">
        <is>
          <t>20250922~20261002</t>
        </is>
      </c>
      <c r="Z12" s="96" t="inlineStr"/>
      <c r="AA12">
        <f>IF(AND($J12&lt;&gt;"",OR(조회_주기="전체",$R12=조회_주기),$J12&gt;=조회_최소,$J12&lt;=조회_최대),1,0)</f>
        <v/>
      </c>
      <c r="AB12">
        <f>IF($AA12=1,$AB11+1,$AB11)</f>
        <v/>
      </c>
      <c r="AC12">
        <f>IF(검색어="",1,IF(ISNUMBER(SEARCH(검색어,$A12)),1,0))</f>
        <v/>
      </c>
      <c r="AD12">
        <f>IF($AC12=1,$AD11+1,$AD11)</f>
        <v/>
      </c>
      <c r="AE12">
        <f>IFERROR(INDEX($A$4:$A$594,MATCH(9,$AD$4:$AD$594,0)),"")</f>
        <v/>
      </c>
    </row>
    <row r="13">
      <c r="A13" s="96" t="inlineStr">
        <is>
          <t>KODEX 테슬라커버드콜채권혼합액티브</t>
        </is>
      </c>
      <c r="B13" s="96" t="inlineStr">
        <is>
          <t>475080</t>
        </is>
      </c>
      <c r="C13" s="96" t="inlineStr">
        <is>
          <t>삼성자산운용(ETF)</t>
        </is>
      </c>
      <c r="D13" s="97" t="n">
        <v>7770</v>
      </c>
      <c r="E13" s="97" t="n">
        <v>282439500000</v>
      </c>
      <c r="F13" s="97" t="n">
        <v>1211042513</v>
      </c>
      <c r="G13" s="74" t="n">
        <v>0.0039</v>
      </c>
      <c r="H13" s="74" t="n">
        <v>0.1246</v>
      </c>
      <c r="I13" s="74" t="n">
        <v>0.0124</v>
      </c>
      <c r="J13" s="74" t="n">
        <v>0.163707</v>
      </c>
      <c r="K13" s="97" t="n">
        <v>32</v>
      </c>
      <c r="L13" s="98" t="inlineStr">
        <is>
          <t>20260929</t>
        </is>
      </c>
      <c r="M13" s="96" t="inlineStr">
        <is>
          <t>채택</t>
        </is>
      </c>
      <c r="N13" s="96" t="inlineStr"/>
      <c r="O13" s="96" t="inlineStr">
        <is>
          <t>KEDI Tesla Income Premium Balanced Index</t>
        </is>
      </c>
      <c r="P13" s="96" t="inlineStr">
        <is>
          <t>커버드콜</t>
        </is>
      </c>
      <c r="Q13" s="96" t="inlineStr">
        <is>
          <t>멀티에셋</t>
        </is>
      </c>
      <c r="R13" s="96" t="inlineStr">
        <is>
          <t>월배당</t>
        </is>
      </c>
      <c r="S13" s="97" t="n">
        <v>11</v>
      </c>
      <c r="T13" s="74" t="n">
        <v>0.4937</v>
      </c>
      <c r="U13" s="78" t="n">
        <v>-0.014</v>
      </c>
      <c r="V13" s="78" t="n">
        <v>-0.1534</v>
      </c>
      <c r="W13" s="78" t="n">
        <v>-0.08160000000000001</v>
      </c>
      <c r="X13" s="78" t="n">
        <v>-0.08310000000000001</v>
      </c>
      <c r="Y13" s="96" t="inlineStr">
        <is>
          <t>20250922~20261002</t>
        </is>
      </c>
      <c r="Z13" s="96" t="inlineStr"/>
      <c r="AA13">
        <f>IF(AND($J13&lt;&gt;"",OR(조회_주기="전체",$R13=조회_주기),$J13&gt;=조회_최소,$J13&lt;=조회_최대),1,0)</f>
        <v/>
      </c>
      <c r="AB13">
        <f>IF($AA13=1,$AB12+1,$AB12)</f>
        <v/>
      </c>
      <c r="AC13">
        <f>IF(검색어="",1,IF(ISNUMBER(SEARCH(검색어,$A13)),1,0))</f>
        <v/>
      </c>
      <c r="AD13">
        <f>IF($AC13=1,$AD12+1,$AD12)</f>
        <v/>
      </c>
      <c r="AE13">
        <f>IFERROR(INDEX($A$4:$A$594,MATCH(10,$AD$4:$AD$594,0)),"")</f>
        <v/>
      </c>
    </row>
    <row r="14">
      <c r="A14" s="96" t="inlineStr">
        <is>
          <t>KODEX 미국S&amp;P500데일리커버드콜OTM</t>
        </is>
      </c>
      <c r="B14" s="96" t="inlineStr">
        <is>
          <t>0005A0</t>
        </is>
      </c>
      <c r="C14" s="96" t="inlineStr">
        <is>
          <t>삼성자산운용(ETF)</t>
        </is>
      </c>
      <c r="D14" s="97" t="n">
        <v>9050</v>
      </c>
      <c r="E14" s="97" t="n">
        <v>201815000000</v>
      </c>
      <c r="F14" s="97" t="n">
        <v>1966336033</v>
      </c>
      <c r="G14" s="74" t="n">
        <v>0.0025</v>
      </c>
      <c r="H14" s="74" t="n">
        <v>0.1485</v>
      </c>
      <c r="I14" s="74" t="n">
        <v>0.0128</v>
      </c>
      <c r="J14" s="74" t="n">
        <v>0.163646</v>
      </c>
      <c r="K14" s="97" t="n">
        <v>21</v>
      </c>
      <c r="L14" s="98" t="inlineStr">
        <is>
          <t>20260929</t>
        </is>
      </c>
      <c r="M14" s="96" t="inlineStr">
        <is>
          <t>채택</t>
        </is>
      </c>
      <c r="N14" s="96" t="inlineStr"/>
      <c r="O14" s="96" t="inlineStr">
        <is>
          <t>S&amp;P500 Covered Call 1% OTM Daily Index(TR)</t>
        </is>
      </c>
      <c r="P14" s="96" t="inlineStr">
        <is>
          <t>커버드콜</t>
        </is>
      </c>
      <c r="Q14" s="96" t="inlineStr">
        <is>
          <t>주식</t>
        </is>
      </c>
      <c r="R14" s="96" t="inlineStr">
        <is>
          <t>월배당</t>
        </is>
      </c>
      <c r="S14" s="97" t="n">
        <v>11</v>
      </c>
      <c r="T14" s="74" t="n">
        <v>0.921</v>
      </c>
      <c r="U14" s="78" t="n">
        <v>0.0987</v>
      </c>
      <c r="V14" s="78" t="n">
        <v>-0.0562</v>
      </c>
      <c r="W14" s="78" t="n">
        <v>-0.053</v>
      </c>
      <c r="X14" s="78" t="n">
        <v>-0.1345</v>
      </c>
      <c r="Y14" s="96" t="inlineStr">
        <is>
          <t>20250922~20261002</t>
        </is>
      </c>
      <c r="Z14" s="96" t="inlineStr"/>
      <c r="AA14">
        <f>IF(AND($J14&lt;&gt;"",OR(조회_주기="전체",$R14=조회_주기),$J14&gt;=조회_최소,$J14&lt;=조회_최대),1,0)</f>
        <v/>
      </c>
      <c r="AB14">
        <f>IF($AA14=1,$AB13+1,$AB13)</f>
        <v/>
      </c>
      <c r="AC14">
        <f>IF(검색어="",1,IF(ISNUMBER(SEARCH(검색어,$A14)),1,0))</f>
        <v/>
      </c>
      <c r="AD14">
        <f>IF($AC14=1,$AD13+1,$AD13)</f>
        <v/>
      </c>
      <c r="AE14">
        <f>IFERROR(INDEX($A$4:$A$594,MATCH(11,$AD$4:$AD$594,0)),"")</f>
        <v/>
      </c>
    </row>
    <row r="15">
      <c r="A15" s="96" t="inlineStr">
        <is>
          <t>TIGER 미국AI빅테크10타겟데일리커버드콜</t>
        </is>
      </c>
      <c r="B15" s="96" t="inlineStr">
        <is>
          <t>493810</t>
        </is>
      </c>
      <c r="C15" s="96" t="inlineStr">
        <is>
          <t>미래에셋자산운용</t>
        </is>
      </c>
      <c r="D15" s="97" t="n">
        <v>11310</v>
      </c>
      <c r="E15" s="97" t="n">
        <v>238641000000</v>
      </c>
      <c r="F15" s="97" t="n">
        <v>1685432658</v>
      </c>
      <c r="G15" s="74" t="n">
        <v>0.0025</v>
      </c>
      <c r="H15" s="74" t="n">
        <v>0.2192</v>
      </c>
      <c r="I15" s="74" t="n">
        <v>0.0124</v>
      </c>
      <c r="J15" s="74" t="n">
        <v>0.160566</v>
      </c>
      <c r="K15" s="97" t="n">
        <v>23</v>
      </c>
      <c r="L15" s="98" t="inlineStr">
        <is>
          <t>20260914</t>
        </is>
      </c>
      <c r="M15" s="96" t="inlineStr">
        <is>
          <t>채택</t>
        </is>
      </c>
      <c r="N15" s="96" t="inlineStr"/>
      <c r="O15" s="96" t="inlineStr">
        <is>
          <t>KEDI US AI Big Tech 10+15% Daily Premium Index TR</t>
        </is>
      </c>
      <c r="P15" s="96" t="inlineStr">
        <is>
          <t>커버드콜</t>
        </is>
      </c>
      <c r="Q15" s="96" t="inlineStr">
        <is>
          <t>주식</t>
        </is>
      </c>
      <c r="R15" s="96" t="inlineStr">
        <is>
          <t>월배당</t>
        </is>
      </c>
      <c r="S15" s="97" t="n">
        <v>11</v>
      </c>
      <c r="T15" s="74" t="n">
        <v>1</v>
      </c>
      <c r="U15" s="78" t="n">
        <v>0.1381</v>
      </c>
      <c r="V15" s="78" t="n">
        <v>-0.0199</v>
      </c>
      <c r="W15" s="78" t="n">
        <v>0.0159</v>
      </c>
      <c r="X15" s="78" t="n">
        <v>-0.08130000000000001</v>
      </c>
      <c r="Y15" s="96" t="inlineStr">
        <is>
          <t>20250922~20261002</t>
        </is>
      </c>
      <c r="Z15" s="96" t="inlineStr"/>
      <c r="AA15">
        <f>IF(AND($J15&lt;&gt;"",OR(조회_주기="전체",$R15=조회_주기),$J15&gt;=조회_최소,$J15&lt;=조회_최대),1,0)</f>
        <v/>
      </c>
      <c r="AB15">
        <f>IF($AA15=1,$AB14+1,$AB14)</f>
        <v/>
      </c>
      <c r="AC15">
        <f>IF(검색어="",1,IF(ISNUMBER(SEARCH(검색어,$A15)),1,0))</f>
        <v/>
      </c>
      <c r="AD15">
        <f>IF($AC15=1,$AD14+1,$AD14)</f>
        <v/>
      </c>
      <c r="AE15">
        <f>IFERROR(INDEX($A$4:$A$594,MATCH(12,$AD$4:$AD$594,0)),"")</f>
        <v/>
      </c>
    </row>
    <row r="16">
      <c r="A16" s="96" t="inlineStr">
        <is>
          <t>KODEX 미국AI테크TOP10타겟커버드콜</t>
        </is>
      </c>
      <c r="B16" s="96" t="inlineStr">
        <is>
          <t>483280</t>
        </is>
      </c>
      <c r="C16" s="96" t="inlineStr">
        <is>
          <t>삼성자산운용(ETF)</t>
        </is>
      </c>
      <c r="D16" s="97" t="n">
        <v>11715</v>
      </c>
      <c r="E16" s="97" t="n">
        <v>461571000000</v>
      </c>
      <c r="F16" s="97" t="n">
        <v>2565746916</v>
      </c>
      <c r="G16" s="74" t="n">
        <v>0.0039</v>
      </c>
      <c r="H16" s="74" t="n">
        <v>0.2464</v>
      </c>
      <c r="I16" s="74" t="n">
        <v>0.0126</v>
      </c>
      <c r="J16" s="74" t="n">
        <v>0.156808</v>
      </c>
      <c r="K16" s="97" t="n">
        <v>28</v>
      </c>
      <c r="L16" s="98" t="inlineStr">
        <is>
          <t>20260929</t>
        </is>
      </c>
      <c r="M16" s="96" t="inlineStr">
        <is>
          <t>채택</t>
        </is>
      </c>
      <c r="N16" s="96" t="inlineStr"/>
      <c r="O16" s="96" t="inlineStr">
        <is>
          <t>KEDI US AI Tech Top 10+15% Premium Index</t>
        </is>
      </c>
      <c r="P16" s="96" t="inlineStr">
        <is>
          <t>커버드콜</t>
        </is>
      </c>
      <c r="Q16" s="96" t="inlineStr">
        <is>
          <t>주식</t>
        </is>
      </c>
      <c r="R16" s="96" t="inlineStr">
        <is>
          <t>월배당</t>
        </is>
      </c>
      <c r="S16" s="97" t="n">
        <v>11</v>
      </c>
      <c r="T16" s="74" t="n">
        <v>1</v>
      </c>
      <c r="U16" s="78" t="n">
        <v>0.0959</v>
      </c>
      <c r="V16" s="78" t="n">
        <v>-0.0533</v>
      </c>
      <c r="W16" s="78" t="n">
        <v>0.008</v>
      </c>
      <c r="X16" s="78" t="n">
        <v>-0.07139999999999999</v>
      </c>
      <c r="Y16" s="96" t="inlineStr">
        <is>
          <t>20250922~20261002</t>
        </is>
      </c>
      <c r="Z16" s="96" t="inlineStr"/>
      <c r="AA16">
        <f>IF(AND($J16&lt;&gt;"",OR(조회_주기="전체",$R16=조회_주기),$J16&gt;=조회_최소,$J16&lt;=조회_최대),1,0)</f>
        <v/>
      </c>
      <c r="AB16">
        <f>IF($AA16=1,$AB15+1,$AB15)</f>
        <v/>
      </c>
      <c r="AC16">
        <f>IF(검색어="",1,IF(ISNUMBER(SEARCH(검색어,$A16)),1,0))</f>
        <v/>
      </c>
      <c r="AD16">
        <f>IF($AC16=1,$AD15+1,$AD15)</f>
        <v/>
      </c>
      <c r="AE16">
        <f>IFERROR(INDEX($A$4:$A$594,MATCH(13,$AD$4:$AD$594,0)),"")</f>
        <v/>
      </c>
    </row>
    <row r="17">
      <c r="A17" s="96" t="inlineStr">
        <is>
          <t>TIGER 미국나스닥100타겟데일리커버드콜</t>
        </is>
      </c>
      <c r="B17" s="96" t="inlineStr">
        <is>
          <t>486290</t>
        </is>
      </c>
      <c r="C17" s="96" t="inlineStr">
        <is>
          <t>미래에셋자산운용</t>
        </is>
      </c>
      <c r="D17" s="97" t="n">
        <v>10505</v>
      </c>
      <c r="E17" s="97" t="n">
        <v>2627300500000</v>
      </c>
      <c r="F17" s="97" t="n">
        <v>25774494369</v>
      </c>
      <c r="G17" s="74" t="n">
        <v>0.0025</v>
      </c>
      <c r="H17" s="74" t="n">
        <v>0.2085</v>
      </c>
      <c r="I17" s="74" t="n">
        <v>0.0126</v>
      </c>
      <c r="J17" s="74" t="n">
        <v>0.156307</v>
      </c>
      <c r="K17" s="97" t="n">
        <v>27</v>
      </c>
      <c r="L17" s="98" t="inlineStr">
        <is>
          <t>20260929</t>
        </is>
      </c>
      <c r="M17" s="96" t="inlineStr">
        <is>
          <t>채택</t>
        </is>
      </c>
      <c r="N17" s="96" t="inlineStr"/>
      <c r="O17" s="96" t="inlineStr">
        <is>
          <t>NASDAQ 100 Daily Covered Call Target Premium 15% Index</t>
        </is>
      </c>
      <c r="P17" s="96" t="inlineStr">
        <is>
          <t>커버드콜</t>
        </is>
      </c>
      <c r="Q17" s="96" t="inlineStr">
        <is>
          <t>주식</t>
        </is>
      </c>
      <c r="R17" s="96" t="inlineStr">
        <is>
          <t>월배당</t>
        </is>
      </c>
      <c r="S17" s="97" t="n">
        <v>11</v>
      </c>
      <c r="T17" s="74" t="n">
        <v>1</v>
      </c>
      <c r="U17" s="78" t="n">
        <v>0.1656</v>
      </c>
      <c r="V17" s="78" t="n">
        <v>0.0074</v>
      </c>
      <c r="W17" s="78" t="n">
        <v>0.0393</v>
      </c>
      <c r="X17" s="78" t="n">
        <v>-0.1155</v>
      </c>
      <c r="Y17" s="96" t="inlineStr">
        <is>
          <t>20250922~20261002</t>
        </is>
      </c>
      <c r="Z17" s="96" t="inlineStr"/>
      <c r="AA17">
        <f>IF(AND($J17&lt;&gt;"",OR(조회_주기="전체",$R17=조회_주기),$J17&gt;=조회_최소,$J17&lt;=조회_최대),1,0)</f>
        <v/>
      </c>
      <c r="AB17">
        <f>IF($AA17=1,$AB16+1,$AB16)</f>
        <v/>
      </c>
      <c r="AC17">
        <f>IF(검색어="",1,IF(ISNUMBER(SEARCH(검색어,$A17)),1,0))</f>
        <v/>
      </c>
      <c r="AD17">
        <f>IF($AC17=1,$AD16+1,$AD16)</f>
        <v/>
      </c>
      <c r="AE17">
        <f>IFERROR(INDEX($A$4:$A$594,MATCH(14,$AD$4:$AD$594,0)),"")</f>
        <v/>
      </c>
    </row>
    <row r="18">
      <c r="A18" s="96" t="inlineStr">
        <is>
          <t>TIGER 미국30년국채커버드콜액티브(H)</t>
        </is>
      </c>
      <c r="B18" s="96" t="inlineStr">
        <is>
          <t>476550</t>
        </is>
      </c>
      <c r="C18" s="96" t="inlineStr">
        <is>
          <t>미래에셋자산운용</t>
        </is>
      </c>
      <c r="D18" s="97" t="n">
        <v>6380</v>
      </c>
      <c r="E18" s="97" t="n">
        <v>740399000000</v>
      </c>
      <c r="F18" s="97" t="n">
        <v>7686742222</v>
      </c>
      <c r="G18" s="74" t="n">
        <v>0.0039</v>
      </c>
      <c r="H18" s="74" t="n">
        <v>0.0969</v>
      </c>
      <c r="I18" s="74" t="n">
        <v>0.0101</v>
      </c>
      <c r="J18" s="74" t="n">
        <v>0.139812</v>
      </c>
      <c r="K18" s="97" t="n">
        <v>31</v>
      </c>
      <c r="L18" s="98" t="inlineStr">
        <is>
          <t>20260929</t>
        </is>
      </c>
      <c r="M18" s="96" t="inlineStr">
        <is>
          <t>채택</t>
        </is>
      </c>
      <c r="N18" s="96" t="inlineStr"/>
      <c r="O18" s="96" t="inlineStr">
        <is>
          <t>KEDI US Treasury 30Y Weekly Covered Call 30 Index</t>
        </is>
      </c>
      <c r="P18" s="96" t="inlineStr">
        <is>
          <t>커버드콜</t>
        </is>
      </c>
      <c r="Q18" s="96" t="inlineStr">
        <is>
          <t>채권</t>
        </is>
      </c>
      <c r="R18" s="96" t="inlineStr">
        <is>
          <t>월배당</t>
        </is>
      </c>
      <c r="S18" s="97" t="n">
        <v>11</v>
      </c>
      <c r="T18" s="74" t="n">
        <v>0</v>
      </c>
      <c r="U18" s="78" t="n">
        <v>-0.0911</v>
      </c>
      <c r="V18" s="78" t="n">
        <v>-0.2025</v>
      </c>
      <c r="W18" s="78" t="n">
        <v>-0.1368</v>
      </c>
      <c r="X18" s="78" t="n">
        <v>-0.1077</v>
      </c>
      <c r="Y18" s="96" t="inlineStr">
        <is>
          <t>20250922~20261002</t>
        </is>
      </c>
      <c r="Z18" s="96" t="inlineStr"/>
      <c r="AA18">
        <f>IF(AND($J18&lt;&gt;"",OR(조회_주기="전체",$R18=조회_주기),$J18&gt;=조회_최소,$J18&lt;=조회_최대),1,0)</f>
        <v/>
      </c>
      <c r="AB18">
        <f>IF($AA18=1,$AB17+1,$AB17)</f>
        <v/>
      </c>
      <c r="AC18">
        <f>IF(검색어="",1,IF(ISNUMBER(SEARCH(검색어,$A18)),1,0))</f>
        <v/>
      </c>
      <c r="AD18">
        <f>IF($AC18=1,$AD17+1,$AD17)</f>
        <v/>
      </c>
      <c r="AE18">
        <f>IFERROR(INDEX($A$4:$A$594,MATCH(15,$AD$4:$AD$594,0)),"")</f>
        <v/>
      </c>
    </row>
    <row r="19">
      <c r="A19" s="96" t="inlineStr">
        <is>
          <t>SOL 미국30년국채커버드콜(합성)</t>
        </is>
      </c>
      <c r="B19" s="96" t="inlineStr">
        <is>
          <t>473330</t>
        </is>
      </c>
      <c r="C19" s="96" t="inlineStr">
        <is>
          <t>신한자산운용</t>
        </is>
      </c>
      <c r="D19" s="97" t="n">
        <v>7400</v>
      </c>
      <c r="E19" s="97" t="n">
        <v>267140000000</v>
      </c>
      <c r="F19" s="97" t="n">
        <v>2121333200</v>
      </c>
      <c r="G19" s="74" t="n">
        <v>0.0025</v>
      </c>
      <c r="H19" s="74" t="n">
        <v>0.1393</v>
      </c>
      <c r="I19" s="74" t="n">
        <v>0.007900000000000001</v>
      </c>
      <c r="J19" s="74" t="n">
        <v>0.134054</v>
      </c>
      <c r="K19" s="97" t="n">
        <v>33</v>
      </c>
      <c r="L19" s="98" t="inlineStr">
        <is>
          <t>20260929</t>
        </is>
      </c>
      <c r="M19" s="96" t="inlineStr">
        <is>
          <t>채택</t>
        </is>
      </c>
      <c r="N19" s="96" t="inlineStr"/>
      <c r="O19" s="96" t="inlineStr">
        <is>
          <t>KEDI US Treasury 20Y+ 2% OTM BuyWrite Index</t>
        </is>
      </c>
      <c r="P19" s="96" t="inlineStr">
        <is>
          <t>커버드콜</t>
        </is>
      </c>
      <c r="Q19" s="96" t="inlineStr">
        <is>
          <t>채권</t>
        </is>
      </c>
      <c r="R19" s="96" t="inlineStr">
        <is>
          <t>월배당</t>
        </is>
      </c>
      <c r="S19" s="97" t="n">
        <v>11</v>
      </c>
      <c r="T19" s="74" t="n">
        <v>0.749</v>
      </c>
      <c r="U19" s="78" t="n">
        <v>-0.0771</v>
      </c>
      <c r="V19" s="78" t="n">
        <v>-0.186</v>
      </c>
      <c r="W19" s="78" t="n">
        <v>-0.2106</v>
      </c>
      <c r="X19" s="78" t="n">
        <v>-0.1981</v>
      </c>
      <c r="Y19" s="96" t="inlineStr">
        <is>
          <t>20250922~20261002</t>
        </is>
      </c>
      <c r="Z19" s="96" t="inlineStr"/>
      <c r="AA19">
        <f>IF(AND($J19&lt;&gt;"",OR(조회_주기="전체",$R19=조회_주기),$J19&gt;=조회_최소,$J19&lt;=조회_최대),1,0)</f>
        <v/>
      </c>
      <c r="AB19">
        <f>IF($AA19=1,$AB18+1,$AB18)</f>
        <v/>
      </c>
      <c r="AC19">
        <f>IF(검색어="",1,IF(ISNUMBER(SEARCH(검색어,$A19)),1,0))</f>
        <v/>
      </c>
      <c r="AD19">
        <f>IF($AC19=1,$AD18+1,$AD18)</f>
        <v/>
      </c>
      <c r="AE19">
        <f>IFERROR(INDEX($A$4:$A$594,MATCH(16,$AD$4:$AD$594,0)),"")</f>
        <v/>
      </c>
    </row>
    <row r="20">
      <c r="A20" s="96" t="inlineStr">
        <is>
          <t>KODEX 미국배당다우존스타겟커버드콜</t>
        </is>
      </c>
      <c r="B20" s="96" t="inlineStr">
        <is>
          <t>483290</t>
        </is>
      </c>
      <c r="C20" s="96" t="inlineStr">
        <is>
          <t>삼성자산운용(ETF)</t>
        </is>
      </c>
      <c r="D20" s="97" t="n">
        <v>9595</v>
      </c>
      <c r="E20" s="97" t="n">
        <v>170791000000</v>
      </c>
      <c r="F20" s="97" t="n">
        <v>2270734018</v>
      </c>
      <c r="G20" s="74" t="n">
        <v>0.0039</v>
      </c>
      <c r="H20" s="74" t="n">
        <v>0.1582</v>
      </c>
      <c r="I20" s="74" t="n">
        <v>0.01</v>
      </c>
      <c r="J20" s="74" t="n">
        <v>0.130797</v>
      </c>
      <c r="K20" s="97" t="n">
        <v>28</v>
      </c>
      <c r="L20" s="98" t="inlineStr">
        <is>
          <t>20260929</t>
        </is>
      </c>
      <c r="M20" s="96" t="inlineStr">
        <is>
          <t>채택</t>
        </is>
      </c>
      <c r="N20" s="96" t="inlineStr"/>
      <c r="O20" s="96" t="inlineStr">
        <is>
          <t>Dow Jones US Dividend 100 10% Premium Covered Call Index(PR)</t>
        </is>
      </c>
      <c r="P20" s="96" t="inlineStr">
        <is>
          <t>커버드콜</t>
        </is>
      </c>
      <c r="Q20" s="96" t="inlineStr">
        <is>
          <t>주식</t>
        </is>
      </c>
      <c r="R20" s="96" t="inlineStr">
        <is>
          <t>월배당</t>
        </is>
      </c>
      <c r="S20" s="97" t="n">
        <v>11</v>
      </c>
      <c r="T20" s="74" t="n">
        <v>0.9267</v>
      </c>
      <c r="U20" s="78" t="n">
        <v>0.2011</v>
      </c>
      <c r="V20" s="78" t="n">
        <v>0.062</v>
      </c>
      <c r="W20" s="78" t="n">
        <v>-0.111</v>
      </c>
      <c r="X20" s="78" t="n">
        <v>-0.1302</v>
      </c>
      <c r="Y20" s="96" t="inlineStr">
        <is>
          <t>20250922~20261002</t>
        </is>
      </c>
      <c r="Z20" s="96" t="inlineStr"/>
      <c r="AA20">
        <f>IF(AND($J20&lt;&gt;"",OR(조회_주기="전체",$R20=조회_주기),$J20&gt;=조회_최소,$J20&lt;=조회_최대),1,0)</f>
        <v/>
      </c>
      <c r="AB20">
        <f>IF($AA20=1,$AB19+1,$AB19)</f>
        <v/>
      </c>
      <c r="AC20">
        <f>IF(검색어="",1,IF(ISNUMBER(SEARCH(검색어,$A20)),1,0))</f>
        <v/>
      </c>
      <c r="AD20">
        <f>IF($AC20=1,$AD19+1,$AD19)</f>
        <v/>
      </c>
      <c r="AE20">
        <f>IFERROR(INDEX($A$4:$A$594,MATCH(17,$AD$4:$AD$594,0)),"")</f>
        <v/>
      </c>
    </row>
    <row r="21">
      <c r="A21" s="96" t="inlineStr">
        <is>
          <t>TIGER 미국나스닥100커버드콜(합성)</t>
        </is>
      </c>
      <c r="B21" s="96" t="inlineStr">
        <is>
          <t>441680</t>
        </is>
      </c>
      <c r="C21" s="96" t="inlineStr">
        <is>
          <t>미래에셋자산운용</t>
        </is>
      </c>
      <c r="D21" s="97" t="n">
        <v>10705</v>
      </c>
      <c r="E21" s="97" t="n">
        <v>282076750000</v>
      </c>
      <c r="F21" s="97" t="n">
        <v>839368252</v>
      </c>
      <c r="G21" s="74" t="n">
        <v>0.0037</v>
      </c>
      <c r="H21" s="74" t="n">
        <v>0.1476</v>
      </c>
      <c r="I21" s="74" t="n">
        <v>0.01</v>
      </c>
      <c r="J21" s="74" t="n">
        <v>0.125642</v>
      </c>
      <c r="K21" s="97" t="n">
        <v>48</v>
      </c>
      <c r="L21" s="98" t="inlineStr">
        <is>
          <t>20260929</t>
        </is>
      </c>
      <c r="M21" s="96" t="inlineStr">
        <is>
          <t>채택</t>
        </is>
      </c>
      <c r="N21" s="96" t="inlineStr"/>
      <c r="O21" s="96" t="inlineStr">
        <is>
          <t>Cboe NASDAQ-100 BuyWrite V2 Index</t>
        </is>
      </c>
      <c r="P21" s="96" t="inlineStr">
        <is>
          <t>커버드콜</t>
        </is>
      </c>
      <c r="Q21" s="96" t="inlineStr">
        <is>
          <t>주식</t>
        </is>
      </c>
      <c r="R21" s="96" t="inlineStr">
        <is>
          <t>월배당</t>
        </is>
      </c>
      <c r="S21" s="97" t="n">
        <v>11</v>
      </c>
      <c r="T21" s="74" t="n">
        <v>1</v>
      </c>
      <c r="U21" s="78" t="n">
        <v>0.1704</v>
      </c>
      <c r="V21" s="78" t="n">
        <v>0.0396</v>
      </c>
      <c r="W21" s="78" t="n">
        <v>-0.0454</v>
      </c>
      <c r="X21" s="78" t="n">
        <v>-0.09880000000000001</v>
      </c>
      <c r="Y21" s="96" t="inlineStr">
        <is>
          <t>20250922~20261002</t>
        </is>
      </c>
      <c r="Z21" s="96" t="inlineStr"/>
      <c r="AA21">
        <f>IF(AND($J21&lt;&gt;"",OR(조회_주기="전체",$R21=조회_주기),$J21&gt;=조회_최소,$J21&lt;=조회_최대),1,0)</f>
        <v/>
      </c>
      <c r="AB21">
        <f>IF($AA21=1,$AB20+1,$AB20)</f>
        <v/>
      </c>
      <c r="AC21">
        <f>IF(검색어="",1,IF(ISNUMBER(SEARCH(검색어,$A21)),1,0))</f>
        <v/>
      </c>
      <c r="AD21">
        <f>IF($AC21=1,$AD20+1,$AD20)</f>
        <v/>
      </c>
      <c r="AE21">
        <f>IFERROR(INDEX($A$4:$A$594,MATCH(18,$AD$4:$AD$594,0)),"")</f>
        <v/>
      </c>
    </row>
    <row r="22">
      <c r="A22" s="96" t="inlineStr">
        <is>
          <t>TIGER 미국S&amp;P500타겟데일리커버드콜</t>
        </is>
      </c>
      <c r="B22" s="96" t="inlineStr">
        <is>
          <t>482730</t>
        </is>
      </c>
      <c r="C22" s="96" t="inlineStr">
        <is>
          <t>미래에셋자산운용</t>
        </is>
      </c>
      <c r="D22" s="97" t="n">
        <v>11440</v>
      </c>
      <c r="E22" s="97" t="n">
        <v>669812000000</v>
      </c>
      <c r="F22" s="97" t="n">
        <v>4581835132</v>
      </c>
      <c r="G22" s="74" t="n">
        <v>0.0025</v>
      </c>
      <c r="H22" s="74" t="n">
        <v>0.1488</v>
      </c>
      <c r="I22" s="74" t="n">
        <v>0.01</v>
      </c>
      <c r="J22" s="74" t="n">
        <v>0.10708</v>
      </c>
      <c r="K22" s="97" t="n">
        <v>28</v>
      </c>
      <c r="L22" s="98" t="inlineStr">
        <is>
          <t>20260914</t>
        </is>
      </c>
      <c r="M22" s="96" t="inlineStr">
        <is>
          <t>채택</t>
        </is>
      </c>
      <c r="N22" s="96" t="inlineStr"/>
      <c r="O22" s="96" t="inlineStr">
        <is>
          <t>S&amp;P 500 10% Daily Premium Covered Call Index (USD) PR</t>
        </is>
      </c>
      <c r="P22" s="96" t="inlineStr">
        <is>
          <t>커버드콜</t>
        </is>
      </c>
      <c r="Q22" s="96" t="inlineStr">
        <is>
          <t>주식</t>
        </is>
      </c>
      <c r="R22" s="96" t="inlineStr">
        <is>
          <t>월배당</t>
        </is>
      </c>
      <c r="S22" s="97" t="n">
        <v>11</v>
      </c>
      <c r="T22" s="74" t="n">
        <v>1</v>
      </c>
      <c r="U22" s="78" t="n">
        <v>0.1104</v>
      </c>
      <c r="V22" s="78" t="n">
        <v>0.0027</v>
      </c>
      <c r="W22" s="78" t="n">
        <v>-0.008399999999999999</v>
      </c>
      <c r="X22" s="78" t="n">
        <v>-0.1156</v>
      </c>
      <c r="Y22" s="96" t="inlineStr">
        <is>
          <t>20250922~20261002</t>
        </is>
      </c>
      <c r="Z22" s="96" t="inlineStr"/>
      <c r="AA22">
        <f>IF(AND($J22&lt;&gt;"",OR(조회_주기="전체",$R22=조회_주기),$J22&gt;=조회_최소,$J22&lt;=조회_최대),1,0)</f>
        <v/>
      </c>
      <c r="AB22">
        <f>IF($AA22=1,$AB21+1,$AB21)</f>
        <v/>
      </c>
      <c r="AC22">
        <f>IF(검색어="",1,IF(ISNUMBER(SEARCH(검색어,$A22)),1,0))</f>
        <v/>
      </c>
      <c r="AD22">
        <f>IF($AC22=1,$AD21+1,$AD21)</f>
        <v/>
      </c>
      <c r="AE22">
        <f>IFERROR(INDEX($A$4:$A$594,MATCH(19,$AD$4:$AD$594,0)),"")</f>
        <v/>
      </c>
    </row>
    <row r="23">
      <c r="A23" s="96" t="inlineStr">
        <is>
          <t>TIGER 미국배당다우존스타겟커버드콜2호</t>
        </is>
      </c>
      <c r="B23" s="96" t="inlineStr">
        <is>
          <t>458760</t>
        </is>
      </c>
      <c r="C23" s="96" t="inlineStr">
        <is>
          <t>미래에셋자산운용</t>
        </is>
      </c>
      <c r="D23" s="97" t="n">
        <v>10260</v>
      </c>
      <c r="E23" s="97" t="n">
        <v>660231000000</v>
      </c>
      <c r="F23" s="97" t="n">
        <v>3061823728</v>
      </c>
      <c r="G23" s="74" t="n">
        <v>0.0039</v>
      </c>
      <c r="H23" s="74" t="n">
        <v>0.1513</v>
      </c>
      <c r="I23" s="74" t="n">
        <v>0.0086</v>
      </c>
      <c r="J23" s="74" t="n">
        <v>0.10653</v>
      </c>
      <c r="K23" s="97" t="n">
        <v>39</v>
      </c>
      <c r="L23" s="98" t="inlineStr">
        <is>
          <t>20260929</t>
        </is>
      </c>
      <c r="M23" s="96" t="inlineStr">
        <is>
          <t>채택</t>
        </is>
      </c>
      <c r="N23" s="96" t="inlineStr"/>
      <c r="O23" s="96" t="inlineStr">
        <is>
          <t>Dow Jones U.S. Dividend 100 7% Premium Covered Call Index</t>
        </is>
      </c>
      <c r="P23" s="96" t="inlineStr">
        <is>
          <t>커버드콜</t>
        </is>
      </c>
      <c r="Q23" s="96" t="inlineStr">
        <is>
          <t>주식</t>
        </is>
      </c>
      <c r="R23" s="96" t="inlineStr">
        <is>
          <t>월배당</t>
        </is>
      </c>
      <c r="S23" s="97" t="n">
        <v>11</v>
      </c>
      <c r="T23" s="74" t="n">
        <v>1</v>
      </c>
      <c r="U23" s="78" t="n">
        <v>0.1975</v>
      </c>
      <c r="V23" s="78" t="n">
        <v>0.0818</v>
      </c>
      <c r="W23" s="78" t="n">
        <v>-0.0926</v>
      </c>
      <c r="X23" s="78" t="n">
        <v>-0.123</v>
      </c>
      <c r="Y23" s="96" t="inlineStr">
        <is>
          <t>20250922~20261002</t>
        </is>
      </c>
      <c r="Z23" s="96" t="inlineStr"/>
      <c r="AA23">
        <f>IF(AND($J23&lt;&gt;"",OR(조회_주기="전체",$R23=조회_주기),$J23&gt;=조회_최소,$J23&lt;=조회_최대),1,0)</f>
        <v/>
      </c>
      <c r="AB23">
        <f>IF($AA23=1,$AB22+1,$AB22)</f>
        <v/>
      </c>
      <c r="AC23">
        <f>IF(검색어="",1,IF(ISNUMBER(SEARCH(검색어,$A23)),1,0))</f>
        <v/>
      </c>
      <c r="AD23">
        <f>IF($AC23=1,$AD22+1,$AD22)</f>
        <v/>
      </c>
      <c r="AE23">
        <f>IFERROR(INDEX($A$4:$A$594,MATCH(20,$AD$4:$AD$594,0)),"")</f>
        <v/>
      </c>
    </row>
    <row r="24">
      <c r="A24" s="96" t="inlineStr">
        <is>
          <t>TIGER 미국테크TOP10타겟커버드콜</t>
        </is>
      </c>
      <c r="B24" s="96" t="inlineStr">
        <is>
          <t>474220</t>
        </is>
      </c>
      <c r="C24" s="96" t="inlineStr">
        <is>
          <t>미래에셋자산운용</t>
        </is>
      </c>
      <c r="D24" s="97" t="n">
        <v>14925</v>
      </c>
      <c r="E24" s="97" t="n">
        <v>420138750000</v>
      </c>
      <c r="F24" s="97" t="n">
        <v>1604795245</v>
      </c>
      <c r="G24" s="74" t="n">
        <v>0.005</v>
      </c>
      <c r="H24" s="74" t="n">
        <v>0.1955</v>
      </c>
      <c r="I24" s="74" t="n">
        <v>0.0083</v>
      </c>
      <c r="J24" s="74" t="n">
        <v>0.105059</v>
      </c>
      <c r="K24" s="97" t="n">
        <v>32</v>
      </c>
      <c r="L24" s="98" t="inlineStr">
        <is>
          <t>20260914</t>
        </is>
      </c>
      <c r="M24" s="96" t="inlineStr">
        <is>
          <t>채택</t>
        </is>
      </c>
      <c r="N24" s="96" t="inlineStr"/>
      <c r="O24" s="96" t="inlineStr">
        <is>
          <t>Bloomberg U.S. Tech Top10 + 10% Premium Covered Call Index</t>
        </is>
      </c>
      <c r="P24" s="96" t="inlineStr">
        <is>
          <t>커버드콜</t>
        </is>
      </c>
      <c r="Q24" s="96" t="inlineStr">
        <is>
          <t>주식</t>
        </is>
      </c>
      <c r="R24" s="96" t="inlineStr">
        <is>
          <t>월배당</t>
        </is>
      </c>
      <c r="S24" s="97" t="n">
        <v>11</v>
      </c>
      <c r="T24" s="74" t="n">
        <v>1</v>
      </c>
      <c r="U24" s="78" t="n">
        <v>0.096</v>
      </c>
      <c r="V24" s="78" t="n">
        <v>-0.0086</v>
      </c>
      <c r="W24" s="78" t="n">
        <v>0.0018</v>
      </c>
      <c r="X24" s="78" t="n">
        <v>-0.0614</v>
      </c>
      <c r="Y24" s="96" t="inlineStr">
        <is>
          <t>20250922~20261002</t>
        </is>
      </c>
      <c r="Z24" s="96" t="inlineStr"/>
      <c r="AA24">
        <f>IF(AND($J24&lt;&gt;"",OR(조회_주기="전체",$R24=조회_주기),$J24&gt;=조회_최소,$J24&lt;=조회_최대),1,0)</f>
        <v/>
      </c>
      <c r="AB24">
        <f>IF($AA24=1,$AB23+1,$AB23)</f>
        <v/>
      </c>
      <c r="AC24">
        <f>IF(검색어="",1,IF(ISNUMBER(SEARCH(검색어,$A24)),1,0))</f>
        <v/>
      </c>
      <c r="AD24">
        <f>IF($AC24=1,$AD23+1,$AD23)</f>
        <v/>
      </c>
      <c r="AE24">
        <f>IFERROR(INDEX($A$4:$A$594,MATCH(21,$AD$4:$AD$594,0)),"")</f>
        <v/>
      </c>
    </row>
    <row r="25">
      <c r="A25" s="96" t="inlineStr">
        <is>
          <t>TIGER 리츠부동산인프라</t>
        </is>
      </c>
      <c r="B25" s="96" t="inlineStr">
        <is>
          <t>329200</t>
        </is>
      </c>
      <c r="C25" s="96" t="inlineStr">
        <is>
          <t>미래에셋자산운용</t>
        </is>
      </c>
      <c r="D25" s="97" t="n">
        <v>4045</v>
      </c>
      <c r="E25" s="97" t="n">
        <v>1577145500000</v>
      </c>
      <c r="F25" s="97" t="n">
        <v>11833485434</v>
      </c>
      <c r="G25" s="74" t="n">
        <v>0.0008</v>
      </c>
      <c r="H25" s="74" t="n">
        <v>0.1777</v>
      </c>
      <c r="I25" s="74" t="n">
        <v>0.008100000000000001</v>
      </c>
      <c r="J25" s="74" t="n">
        <v>0.097899</v>
      </c>
      <c r="K25" s="97" t="n">
        <v>52</v>
      </c>
      <c r="L25" s="98" t="inlineStr">
        <is>
          <t>20260929</t>
        </is>
      </c>
      <c r="M25" s="96" t="inlineStr">
        <is>
          <t>채택</t>
        </is>
      </c>
      <c r="N25" s="96" t="inlineStr"/>
      <c r="O25" s="96" t="inlineStr">
        <is>
          <t>FnGuide 리츠부동산인프라</t>
        </is>
      </c>
      <c r="P25" s="96" t="inlineStr">
        <is>
          <t>일반</t>
        </is>
      </c>
      <c r="Q25" s="96" t="inlineStr">
        <is>
          <t>부동산</t>
        </is>
      </c>
      <c r="R25" s="96" t="inlineStr">
        <is>
          <t>월배당</t>
        </is>
      </c>
      <c r="S25" s="97" t="n">
        <v>11</v>
      </c>
      <c r="T25" s="74" t="n">
        <v>1</v>
      </c>
      <c r="U25" s="78" t="n">
        <v>0.0207</v>
      </c>
      <c r="V25" s="78" t="n">
        <v>-0.07000000000000001</v>
      </c>
      <c r="W25" s="78" t="n">
        <v>-0.1225</v>
      </c>
      <c r="X25" s="78" t="n">
        <v>0.0128</v>
      </c>
      <c r="Y25" s="96" t="inlineStr">
        <is>
          <t>20250922~20261002</t>
        </is>
      </c>
      <c r="Z25" s="96" t="inlineStr"/>
      <c r="AA25">
        <f>IF(AND($J25&lt;&gt;"",OR(조회_주기="전체",$R25=조회_주기),$J25&gt;=조회_최소,$J25&lt;=조회_최대),1,0)</f>
        <v/>
      </c>
      <c r="AB25">
        <f>IF($AA25=1,$AB24+1,$AB24)</f>
        <v/>
      </c>
      <c r="AC25">
        <f>IF(검색어="",1,IF(ISNUMBER(SEARCH(검색어,$A25)),1,0))</f>
        <v/>
      </c>
      <c r="AD25">
        <f>IF($AC25=1,$AD24+1,$AD24)</f>
        <v/>
      </c>
      <c r="AE25">
        <f>IFERROR(INDEX($A$4:$A$594,MATCH(22,$AD$4:$AD$594,0)),"")</f>
        <v/>
      </c>
    </row>
    <row r="26">
      <c r="A26" s="96" t="inlineStr">
        <is>
          <t>KODEX 한국부동산리츠인프라</t>
        </is>
      </c>
      <c r="B26" s="96" t="inlineStr">
        <is>
          <t>476800</t>
        </is>
      </c>
      <c r="C26" s="96" t="inlineStr">
        <is>
          <t>삼성자산운용(ETF)</t>
        </is>
      </c>
      <c r="D26" s="97" t="n">
        <v>4205</v>
      </c>
      <c r="E26" s="97" t="n">
        <v>488200500000</v>
      </c>
      <c r="F26" s="97" t="n">
        <v>2363556859</v>
      </c>
      <c r="G26" s="74" t="n">
        <v>0.0009</v>
      </c>
      <c r="H26" s="74" t="n">
        <v>0.1488</v>
      </c>
      <c r="I26" s="74" t="n">
        <v>0.0141</v>
      </c>
      <c r="J26" s="74" t="n">
        <v>0.092033</v>
      </c>
      <c r="K26" s="97" t="n">
        <v>30</v>
      </c>
      <c r="L26" s="98" t="inlineStr">
        <is>
          <t>20260914</t>
        </is>
      </c>
      <c r="M26" s="96" t="inlineStr">
        <is>
          <t>채택</t>
        </is>
      </c>
      <c r="N26" s="96" t="inlineStr"/>
      <c r="O26" s="96" t="inlineStr">
        <is>
          <t>KRX 부동산리츠인프라 지수</t>
        </is>
      </c>
      <c r="P26" s="96" t="inlineStr">
        <is>
          <t>일반</t>
        </is>
      </c>
      <c r="Q26" s="96" t="inlineStr">
        <is>
          <t>부동산</t>
        </is>
      </c>
      <c r="R26" s="96" t="inlineStr">
        <is>
          <t>월배당</t>
        </is>
      </c>
      <c r="S26" s="97" t="n">
        <v>11</v>
      </c>
      <c r="T26" s="74" t="n">
        <v>0.9121</v>
      </c>
      <c r="U26" s="78" t="n">
        <v>-0.0319</v>
      </c>
      <c r="V26" s="78" t="n">
        <v>-0.1134</v>
      </c>
      <c r="W26" s="78" t="n">
        <v>-0.1399</v>
      </c>
      <c r="X26" s="78" t="n">
        <v>-0.0159</v>
      </c>
      <c r="Y26" s="96" t="inlineStr">
        <is>
          <t>20250922~20261002</t>
        </is>
      </c>
      <c r="Z26" s="96" t="inlineStr"/>
      <c r="AA26">
        <f>IF(AND($J26&lt;&gt;"",OR(조회_주기="전체",$R26=조회_주기),$J26&gt;=조회_최소,$J26&lt;=조회_최대),1,0)</f>
        <v/>
      </c>
      <c r="AB26">
        <f>IF($AA26=1,$AB25+1,$AB25)</f>
        <v/>
      </c>
      <c r="AC26">
        <f>IF(검색어="",1,IF(ISNUMBER(SEARCH(검색어,$A26)),1,0))</f>
        <v/>
      </c>
      <c r="AD26">
        <f>IF($AC26=1,$AD25+1,$AD25)</f>
        <v/>
      </c>
      <c r="AE26">
        <f>IFERROR(INDEX($A$4:$A$594,MATCH(23,$AD$4:$AD$594,0)),"")</f>
        <v/>
      </c>
    </row>
    <row r="27">
      <c r="A27" s="96" t="inlineStr">
        <is>
          <t>ACE 글로벌인컴TOP10</t>
        </is>
      </c>
      <c r="B27" s="96" t="inlineStr">
        <is>
          <t>460960</t>
        </is>
      </c>
      <c r="C27" s="96" t="inlineStr">
        <is>
          <t>한국투신운용(ETF)</t>
        </is>
      </c>
      <c r="D27" s="97" t="n">
        <v>10395</v>
      </c>
      <c r="E27" s="97" t="n">
        <v>82120500000</v>
      </c>
      <c r="F27" s="97" t="n">
        <v>955805793</v>
      </c>
      <c r="G27" s="74" t="n">
        <v>0.0024</v>
      </c>
      <c r="H27" s="74" t="n">
        <v>0.1134</v>
      </c>
      <c r="I27" s="74" t="n">
        <v>0.0061</v>
      </c>
      <c r="J27" s="74" t="n">
        <v>0.082347</v>
      </c>
      <c r="K27" s="97" t="n">
        <v>38</v>
      </c>
      <c r="L27" s="98" t="inlineStr">
        <is>
          <t>20260929</t>
        </is>
      </c>
      <c r="M27" s="96" t="inlineStr">
        <is>
          <t>채택</t>
        </is>
      </c>
      <c r="N27" s="96" t="inlineStr"/>
      <c r="O27" s="96" t="inlineStr">
        <is>
          <t>Solactive Global Superior Income TOP 10 Index PR</t>
        </is>
      </c>
      <c r="P27" s="96" t="inlineStr">
        <is>
          <t>일반</t>
        </is>
      </c>
      <c r="Q27" s="96" t="inlineStr">
        <is>
          <t>멀티에셋</t>
        </is>
      </c>
      <c r="R27" s="96" t="inlineStr">
        <is>
          <t>월배당</t>
        </is>
      </c>
      <c r="S27" s="97" t="n">
        <v>11</v>
      </c>
      <c r="T27" s="74" t="n">
        <v>1</v>
      </c>
      <c r="U27" s="78" t="n">
        <v>0.0012</v>
      </c>
      <c r="V27" s="78" t="n">
        <v>-0.0751</v>
      </c>
      <c r="W27" s="78" t="n">
        <v>-0.1197</v>
      </c>
      <c r="X27" s="78" t="n">
        <v>-0.151</v>
      </c>
      <c r="Y27" s="96" t="inlineStr">
        <is>
          <t>20250922~20261002</t>
        </is>
      </c>
      <c r="Z27" s="96" t="inlineStr"/>
      <c r="AA27">
        <f>IF(AND($J27&lt;&gt;"",OR(조회_주기="전체",$R27=조회_주기),$J27&gt;=조회_최소,$J27&lt;=조회_최대),1,0)</f>
        <v/>
      </c>
      <c r="AB27">
        <f>IF($AA27=1,$AB26+1,$AB26)</f>
        <v/>
      </c>
      <c r="AC27">
        <f>IF(검색어="",1,IF(ISNUMBER(SEARCH(검색어,$A27)),1,0))</f>
        <v/>
      </c>
      <c r="AD27">
        <f>IF($AC27=1,$AD26+1,$AD26)</f>
        <v/>
      </c>
      <c r="AE27">
        <f>IFERROR(INDEX($A$4:$A$594,MATCH(24,$AD$4:$AD$594,0)),"")</f>
        <v/>
      </c>
    </row>
    <row r="28">
      <c r="A28" s="96" t="inlineStr">
        <is>
          <t>KODEX iShares미국하이일드액티브</t>
        </is>
      </c>
      <c r="B28" s="96" t="inlineStr">
        <is>
          <t>468380</t>
        </is>
      </c>
      <c r="C28" s="96" t="inlineStr">
        <is>
          <t>삼성자산운용(ETF)</t>
        </is>
      </c>
      <c r="D28" s="97" t="n">
        <v>10365</v>
      </c>
      <c r="E28" s="97" t="n">
        <v>87480600000</v>
      </c>
      <c r="F28" s="97" t="n">
        <v>722203366</v>
      </c>
      <c r="G28" s="74" t="n">
        <v>0.0015</v>
      </c>
      <c r="H28" s="74" t="n">
        <v>0.1038</v>
      </c>
      <c r="I28" s="74" t="n">
        <v>0.005699999999999999</v>
      </c>
      <c r="J28" s="74" t="n">
        <v>0.07467399999999999</v>
      </c>
      <c r="K28" s="97" t="n">
        <v>35</v>
      </c>
      <c r="L28" s="98" t="inlineStr">
        <is>
          <t>20260929</t>
        </is>
      </c>
      <c r="M28" s="96" t="inlineStr">
        <is>
          <t>채택</t>
        </is>
      </c>
      <c r="N28" s="96" t="inlineStr"/>
      <c r="O28" s="96" t="inlineStr">
        <is>
          <t>ICE BofAML US HY Constrained Index</t>
        </is>
      </c>
      <c r="P28" s="96" t="inlineStr">
        <is>
          <t>일반</t>
        </is>
      </c>
      <c r="Q28" s="96" t="inlineStr">
        <is>
          <t>채권</t>
        </is>
      </c>
      <c r="R28" s="96" t="inlineStr">
        <is>
          <t>월배당</t>
        </is>
      </c>
      <c r="S28" s="97" t="n">
        <v>11</v>
      </c>
      <c r="T28" s="74" t="n">
        <v>1</v>
      </c>
      <c r="U28" s="78" t="n">
        <v>-0.0231</v>
      </c>
      <c r="V28" s="78" t="n">
        <v>-0.0911</v>
      </c>
      <c r="W28" s="78" t="n">
        <v>-0.1346</v>
      </c>
      <c r="X28" s="78" t="n">
        <v>-0.1477</v>
      </c>
      <c r="Y28" s="96" t="inlineStr">
        <is>
          <t>20250922~20261002</t>
        </is>
      </c>
      <c r="Z28" s="96" t="inlineStr"/>
      <c r="AA28">
        <f>IF(AND($J28&lt;&gt;"",OR(조회_주기="전체",$R28=조회_주기),$J28&gt;=조회_최소,$J28&lt;=조회_최대),1,0)</f>
        <v/>
      </c>
      <c r="AB28">
        <f>IF($AA28=1,$AB27+1,$AB27)</f>
        <v/>
      </c>
      <c r="AC28">
        <f>IF(검색어="",1,IF(ISNUMBER(SEARCH(검색어,$A28)),1,0))</f>
        <v/>
      </c>
      <c r="AD28">
        <f>IF($AC28=1,$AD27+1,$AD27)</f>
        <v/>
      </c>
      <c r="AE28">
        <f>IFERROR(INDEX($A$4:$A$594,MATCH(25,$AD$4:$AD$594,0)),"")</f>
        <v/>
      </c>
    </row>
    <row r="29">
      <c r="A29" s="96" t="inlineStr">
        <is>
          <t>SOL 코리아고배당</t>
        </is>
      </c>
      <c r="B29" s="96" t="inlineStr">
        <is>
          <t>0105E0</t>
        </is>
      </c>
      <c r="C29" s="96" t="inlineStr">
        <is>
          <t>신한자산운용</t>
        </is>
      </c>
      <c r="D29" s="97" t="n">
        <v>12615</v>
      </c>
      <c r="E29" s="97" t="n">
        <v>524784000000</v>
      </c>
      <c r="F29" s="97" t="n">
        <v>5874730200</v>
      </c>
      <c r="G29" s="74" t="n">
        <v>0.0015</v>
      </c>
      <c r="H29" s="74" t="n">
        <v>0.3016</v>
      </c>
      <c r="I29" s="74" t="n">
        <v>0.0046</v>
      </c>
      <c r="J29" s="74" t="n">
        <v>0.055172</v>
      </c>
      <c r="K29" s="97" t="n">
        <v>11</v>
      </c>
      <c r="L29" s="98" t="inlineStr">
        <is>
          <t>20260914</t>
        </is>
      </c>
      <c r="M29" s="96" t="inlineStr">
        <is>
          <t>채택</t>
        </is>
      </c>
      <c r="N29" s="96" t="inlineStr"/>
      <c r="O29" s="96" t="inlineStr">
        <is>
          <t>FnGuide 코리아 고배당 지수</t>
        </is>
      </c>
      <c r="P29" s="96" t="inlineStr">
        <is>
          <t>일반</t>
        </is>
      </c>
      <c r="Q29" s="96" t="inlineStr">
        <is>
          <t>주식</t>
        </is>
      </c>
      <c r="R29" s="96" t="inlineStr">
        <is>
          <t>월배당</t>
        </is>
      </c>
      <c r="S29" s="97" t="n">
        <v>11</v>
      </c>
      <c r="T29" s="74" t="n">
        <v>0.6078</v>
      </c>
      <c r="U29" s="78" t="n">
        <v>0.3233</v>
      </c>
      <c r="V29" s="78" t="n">
        <v>0.2542</v>
      </c>
      <c r="W29" s="78" t="n">
        <v>-0.0022</v>
      </c>
      <c r="X29" s="78" t="n">
        <v>-0.0451</v>
      </c>
      <c r="Y29" s="96" t="inlineStr">
        <is>
          <t>20250923~20261002</t>
        </is>
      </c>
      <c r="Z29" s="96" t="inlineStr"/>
      <c r="AA29">
        <f>IF(AND($J29&lt;&gt;"",OR(조회_주기="전체",$R29=조회_주기),$J29&gt;=조회_최소,$J29&lt;=조회_최대),1,0)</f>
        <v/>
      </c>
      <c r="AB29">
        <f>IF($AA29=1,$AB28+1,$AB28)</f>
        <v/>
      </c>
      <c r="AC29">
        <f>IF(검색어="",1,IF(ISNUMBER(SEARCH(검색어,$A29)),1,0))</f>
        <v/>
      </c>
      <c r="AD29">
        <f>IF($AC29=1,$AD28+1,$AD28)</f>
        <v/>
      </c>
      <c r="AE29">
        <f>IFERROR(INDEX($A$4:$A$594,MATCH(26,$AD$4:$AD$594,0)),"")</f>
        <v/>
      </c>
    </row>
    <row r="30">
      <c r="A30" s="96" t="inlineStr">
        <is>
          <t>KODEX 미국30년국채액티브(H)</t>
        </is>
      </c>
      <c r="B30" s="96" t="inlineStr">
        <is>
          <t>484790</t>
        </is>
      </c>
      <c r="C30" s="96" t="inlineStr">
        <is>
          <t>삼성자산운용(ETF)</t>
        </is>
      </c>
      <c r="D30" s="97" t="n">
        <v>7810</v>
      </c>
      <c r="E30" s="97" t="n">
        <v>574581700000</v>
      </c>
      <c r="F30" s="97" t="n">
        <v>4362137267</v>
      </c>
      <c r="G30" s="74" t="n">
        <v>0.00015</v>
      </c>
      <c r="H30" s="74" t="n">
        <v>0.0965</v>
      </c>
      <c r="I30" s="74" t="n">
        <v>0.0044</v>
      </c>
      <c r="J30" s="74" t="n">
        <v>0.05493000000000001</v>
      </c>
      <c r="K30" s="97" t="n">
        <v>27</v>
      </c>
      <c r="L30" s="98" t="inlineStr">
        <is>
          <t>20260929</t>
        </is>
      </c>
      <c r="M30" s="96" t="inlineStr">
        <is>
          <t>채택</t>
        </is>
      </c>
      <c r="N30" s="96" t="inlineStr"/>
      <c r="O30" s="96" t="inlineStr">
        <is>
          <t>KEDI-KAP 미 국채 20년+ 지수(TR)</t>
        </is>
      </c>
      <c r="P30" s="96" t="inlineStr">
        <is>
          <t>일반</t>
        </is>
      </c>
      <c r="Q30" s="96" t="inlineStr">
        <is>
          <t>채권</t>
        </is>
      </c>
      <c r="R30" s="96" t="inlineStr">
        <is>
          <t>월배당</t>
        </is>
      </c>
      <c r="S30" s="97" t="n">
        <v>11</v>
      </c>
      <c r="T30" s="74" t="n">
        <v>0</v>
      </c>
      <c r="U30" s="78" t="n">
        <v>-0.09390000000000001</v>
      </c>
      <c r="V30" s="78" t="n">
        <v>-0.1411</v>
      </c>
      <c r="W30" s="78" t="n">
        <v>-0.1064</v>
      </c>
      <c r="X30" s="78" t="n">
        <v>-0.0901</v>
      </c>
      <c r="Y30" s="96" t="inlineStr">
        <is>
          <t>20250922~20261002</t>
        </is>
      </c>
      <c r="Z30" s="96" t="inlineStr"/>
      <c r="AA30">
        <f>IF(AND($J30&lt;&gt;"",OR(조회_주기="전체",$R30=조회_주기),$J30&gt;=조회_최소,$J30&lt;=조회_최대),1,0)</f>
        <v/>
      </c>
      <c r="AB30">
        <f>IF($AA30=1,$AB29+1,$AB29)</f>
        <v/>
      </c>
      <c r="AC30">
        <f>IF(검색어="",1,IF(ISNUMBER(SEARCH(검색어,$A30)),1,0))</f>
        <v/>
      </c>
      <c r="AD30">
        <f>IF($AC30=1,$AD29+1,$AD29)</f>
        <v/>
      </c>
      <c r="AE30">
        <f>IFERROR(INDEX($A$4:$A$594,MATCH(27,$AD$4:$AD$594,0)),"")</f>
        <v/>
      </c>
    </row>
    <row r="31">
      <c r="A31" s="96" t="inlineStr">
        <is>
          <t>PLUS 자사주매입고배당주</t>
        </is>
      </c>
      <c r="B31" s="96" t="inlineStr">
        <is>
          <t>0098N0</t>
        </is>
      </c>
      <c r="C31" s="96" t="inlineStr">
        <is>
          <t>한화자산운용</t>
        </is>
      </c>
      <c r="D31" s="97" t="n">
        <v>12810</v>
      </c>
      <c r="E31" s="97" t="n">
        <v>76860000000</v>
      </c>
      <c r="F31" s="97" t="n">
        <v>710268936</v>
      </c>
      <c r="G31" s="74" t="n">
        <v>0.003</v>
      </c>
      <c r="H31" s="74" t="n">
        <v>0.2816</v>
      </c>
      <c r="I31" s="74" t="n">
        <v>0.0053</v>
      </c>
      <c r="J31" s="74" t="n">
        <v>0.050351</v>
      </c>
      <c r="K31" s="97" t="n">
        <v>12</v>
      </c>
      <c r="L31" s="98" t="inlineStr">
        <is>
          <t>20260914</t>
        </is>
      </c>
      <c r="M31" s="96" t="inlineStr">
        <is>
          <t>채택</t>
        </is>
      </c>
      <c r="N31" s="96" t="inlineStr"/>
      <c r="O31" s="96" t="inlineStr">
        <is>
          <t>FnGuide 고배당주 플러스 자사주 지수</t>
        </is>
      </c>
      <c r="P31" s="96" t="inlineStr">
        <is>
          <t>일반</t>
        </is>
      </c>
      <c r="Q31" s="96" t="inlineStr">
        <is>
          <t>주식</t>
        </is>
      </c>
      <c r="R31" s="96" t="inlineStr">
        <is>
          <t>월배당</t>
        </is>
      </c>
      <c r="S31" s="97" t="n">
        <v>11</v>
      </c>
      <c r="T31" s="74" t="n">
        <v>0.6636</v>
      </c>
      <c r="U31" s="78" t="n">
        <v>0.3375</v>
      </c>
      <c r="V31" s="78" t="n">
        <v>0.2736</v>
      </c>
      <c r="W31" s="78" t="n">
        <v>0.0391</v>
      </c>
      <c r="X31" s="78" t="n">
        <v>0.0016</v>
      </c>
      <c r="Y31" s="96" t="inlineStr">
        <is>
          <t>20250922~20261002</t>
        </is>
      </c>
      <c r="Z31" s="96" t="inlineStr"/>
      <c r="AA31">
        <f>IF(AND($J31&lt;&gt;"",OR(조회_주기="전체",$R31=조회_주기),$J31&gt;=조회_최소,$J31&lt;=조회_최대),1,0)</f>
        <v/>
      </c>
      <c r="AB31">
        <f>IF($AA31=1,$AB30+1,$AB30)</f>
        <v/>
      </c>
      <c r="AC31">
        <f>IF(검색어="",1,IF(ISNUMBER(SEARCH(검색어,$A31)),1,0))</f>
        <v/>
      </c>
      <c r="AD31">
        <f>IF($AC31=1,$AD30+1,$AD30)</f>
        <v/>
      </c>
      <c r="AE31">
        <f>IFERROR(INDEX($A$4:$A$594,MATCH(28,$AD$4:$AD$594,0)),"")</f>
        <v/>
      </c>
    </row>
    <row r="32">
      <c r="A32" s="96" t="inlineStr">
        <is>
          <t>ACE 미국30년국채액티브</t>
        </is>
      </c>
      <c r="B32" s="96" t="inlineStr">
        <is>
          <t>476760</t>
        </is>
      </c>
      <c r="C32" s="96" t="inlineStr">
        <is>
          <t>한국투자신탁운용</t>
        </is>
      </c>
      <c r="D32" s="97" t="n">
        <v>8270</v>
      </c>
      <c r="E32" s="97" t="n">
        <v>398614000000</v>
      </c>
      <c r="F32" s="97" t="n">
        <v>5347196367</v>
      </c>
      <c r="G32" s="74" t="n">
        <v>0.0005</v>
      </c>
      <c r="H32" s="74" t="n">
        <v>0.1371</v>
      </c>
      <c r="I32" s="74" t="n">
        <v>0.0038</v>
      </c>
      <c r="J32" s="74" t="n">
        <v>0.048126</v>
      </c>
      <c r="K32" s="97" t="n">
        <v>30</v>
      </c>
      <c r="L32" s="98" t="inlineStr">
        <is>
          <t>20260929</t>
        </is>
      </c>
      <c r="M32" s="96" t="inlineStr">
        <is>
          <t>채택</t>
        </is>
      </c>
      <c r="N32" s="96" t="inlineStr"/>
      <c r="O32" s="96" t="inlineStr">
        <is>
          <t>Bloomberg US Treasury 20+ Year Total Return Index</t>
        </is>
      </c>
      <c r="P32" s="96" t="inlineStr">
        <is>
          <t>일반</t>
        </is>
      </c>
      <c r="Q32" s="96" t="inlineStr">
        <is>
          <t>채권</t>
        </is>
      </c>
      <c r="R32" s="96" t="inlineStr">
        <is>
          <t>월배당</t>
        </is>
      </c>
      <c r="S32" s="97" t="n">
        <v>11</v>
      </c>
      <c r="T32" s="74" t="n">
        <v>0.6734</v>
      </c>
      <c r="U32" s="78" t="n">
        <v>-0.1126</v>
      </c>
      <c r="V32" s="78" t="n">
        <v>-0.1534</v>
      </c>
      <c r="W32" s="78" t="n">
        <v>-0.1951</v>
      </c>
      <c r="X32" s="78" t="n">
        <v>-0.1951</v>
      </c>
      <c r="Y32" s="96" t="inlineStr">
        <is>
          <t>20250922~20261002</t>
        </is>
      </c>
      <c r="Z32" s="96" t="inlineStr"/>
      <c r="AA32">
        <f>IF(AND($J32&lt;&gt;"",OR(조회_주기="전체",$R32=조회_주기),$J32&gt;=조회_최소,$J32&lt;=조회_최대),1,0)</f>
        <v/>
      </c>
      <c r="AB32">
        <f>IF($AA32=1,$AB31+1,$AB31)</f>
        <v/>
      </c>
      <c r="AC32">
        <f>IF(검색어="",1,IF(ISNUMBER(SEARCH(검색어,$A32)),1,0))</f>
        <v/>
      </c>
      <c r="AD32">
        <f>IF($AC32=1,$AD31+1,$AD31)</f>
        <v/>
      </c>
      <c r="AE32">
        <f>IFERROR(INDEX($A$4:$A$594,MATCH(29,$AD$4:$AD$594,0)),"")</f>
        <v/>
      </c>
    </row>
    <row r="33">
      <c r="A33" s="96" t="inlineStr">
        <is>
          <t>KODEX 미국머니마켓액티브</t>
        </is>
      </c>
      <c r="B33" s="96" t="inlineStr">
        <is>
          <t>0048J0</t>
        </is>
      </c>
      <c r="C33" s="96" t="inlineStr">
        <is>
          <t>삼성자산운용(ETF)</t>
        </is>
      </c>
      <c r="D33" s="97" t="n">
        <v>13445</v>
      </c>
      <c r="E33" s="97" t="n">
        <v>924720210000</v>
      </c>
      <c r="F33" s="97" t="n">
        <v>8155166655</v>
      </c>
      <c r="G33" s="74" t="n">
        <v>0.0005</v>
      </c>
      <c r="H33" s="74" t="n">
        <v>0.107</v>
      </c>
      <c r="I33" s="74" t="n">
        <v>0.004500000000000001</v>
      </c>
      <c r="J33" s="74" t="n">
        <v>0.047527</v>
      </c>
      <c r="K33" s="97" t="n">
        <v>16</v>
      </c>
      <c r="L33" s="98" t="inlineStr">
        <is>
          <t>20260929</t>
        </is>
      </c>
      <c r="M33" s="96" t="inlineStr">
        <is>
          <t>채택</t>
        </is>
      </c>
      <c r="N33" s="96" t="inlineStr"/>
      <c r="O33" s="96" t="inlineStr">
        <is>
          <t>KAP 미국 머니마켓 지수</t>
        </is>
      </c>
      <c r="P33" s="96" t="inlineStr">
        <is>
          <t>일반</t>
        </is>
      </c>
      <c r="Q33" s="96" t="inlineStr">
        <is>
          <t>단기자금(파킹형)</t>
        </is>
      </c>
      <c r="R33" s="96" t="inlineStr">
        <is>
          <t>월배당</t>
        </is>
      </c>
      <c r="S33" s="97" t="n">
        <v>11</v>
      </c>
      <c r="T33" s="74" t="n">
        <v>0.8091</v>
      </c>
      <c r="U33" s="78" t="n">
        <v>0.007900000000000001</v>
      </c>
      <c r="V33" s="78" t="n">
        <v>-0.0379</v>
      </c>
      <c r="W33" s="78" t="n">
        <v>-0.1066</v>
      </c>
      <c r="X33" s="78" t="n">
        <v>-0.1184</v>
      </c>
      <c r="Y33" s="96" t="inlineStr">
        <is>
          <t>20250922~20261002</t>
        </is>
      </c>
      <c r="Z33" s="96" t="inlineStr"/>
      <c r="AA33">
        <f>IF(AND($J33&lt;&gt;"",OR(조회_주기="전체",$R33=조회_주기),$J33&gt;=조회_최소,$J33&lt;=조회_최대),1,0)</f>
        <v/>
      </c>
      <c r="AB33">
        <f>IF($AA33=1,$AB32+1,$AB32)</f>
        <v/>
      </c>
      <c r="AC33">
        <f>IF(검색어="",1,IF(ISNUMBER(SEARCH(검색어,$A33)),1,0))</f>
        <v/>
      </c>
      <c r="AD33">
        <f>IF($AC33=1,$AD32+1,$AD32)</f>
        <v/>
      </c>
      <c r="AE33">
        <f>IFERROR(INDEX($A$4:$A$594,MATCH(30,$AD$4:$AD$594,0)),"")</f>
        <v/>
      </c>
    </row>
    <row r="34">
      <c r="A34" s="96" t="inlineStr">
        <is>
          <t>SOL 국제금커버드콜액티브</t>
        </is>
      </c>
      <c r="B34" s="96" t="inlineStr">
        <is>
          <t>0022T0</t>
        </is>
      </c>
      <c r="C34" s="96" t="inlineStr">
        <is>
          <t>신한자산운용</t>
        </is>
      </c>
      <c r="D34" s="97" t="n">
        <v>12235</v>
      </c>
      <c r="E34" s="97" t="n">
        <v>69739500000</v>
      </c>
      <c r="F34" s="97" t="n">
        <v>952302235</v>
      </c>
      <c r="G34" s="74" t="n">
        <v>0.004500000000000001</v>
      </c>
      <c r="H34" s="74" t="n">
        <v>0.293</v>
      </c>
      <c r="I34" s="74" t="n">
        <v>0.0035</v>
      </c>
      <c r="J34" s="74" t="n">
        <v>0.047405</v>
      </c>
      <c r="K34" s="97" t="n">
        <v>18</v>
      </c>
      <c r="L34" s="98" t="inlineStr">
        <is>
          <t>20260929</t>
        </is>
      </c>
      <c r="M34" s="96" t="inlineStr">
        <is>
          <t>채택</t>
        </is>
      </c>
      <c r="N34" s="96" t="inlineStr"/>
      <c r="O34" s="96" t="inlineStr">
        <is>
          <t>KEDI Gold Income Premium Index (Net Total Return)</t>
        </is>
      </c>
      <c r="P34" s="96" t="inlineStr">
        <is>
          <t>커버드콜</t>
        </is>
      </c>
      <c r="Q34" s="96" t="inlineStr">
        <is>
          <t>원자재</t>
        </is>
      </c>
      <c r="R34" s="96" t="inlineStr">
        <is>
          <t>월배당</t>
        </is>
      </c>
      <c r="S34" s="97" t="n">
        <v>11</v>
      </c>
      <c r="T34" s="74" t="n">
        <v>1</v>
      </c>
      <c r="U34" s="78" t="n">
        <v>0.08990000000000001</v>
      </c>
      <c r="V34" s="78" t="n">
        <v>0.0404</v>
      </c>
      <c r="W34" s="78" t="n">
        <v>-0.2101</v>
      </c>
      <c r="X34" s="78" t="n">
        <v>-0.1152</v>
      </c>
      <c r="Y34" s="96" t="inlineStr">
        <is>
          <t>20250922~20261002</t>
        </is>
      </c>
      <c r="Z34" s="96" t="inlineStr"/>
      <c r="AA34">
        <f>IF(AND($J34&lt;&gt;"",OR(조회_주기="전체",$R34=조회_주기),$J34&gt;=조회_최소,$J34&lt;=조회_최대),1,0)</f>
        <v/>
      </c>
      <c r="AB34">
        <f>IF($AA34=1,$AB33+1,$AB33)</f>
        <v/>
      </c>
      <c r="AC34">
        <f>IF(검색어="",1,IF(ISNUMBER(SEARCH(검색어,$A34)),1,0))</f>
        <v/>
      </c>
      <c r="AD34">
        <f>IF($AC34=1,$AD33+1,$AD33)</f>
        <v/>
      </c>
      <c r="AE34">
        <f>IFERROR(INDEX($A$4:$A$594,MATCH(31,$AD$4:$AD$594,0)),"")</f>
        <v/>
      </c>
    </row>
    <row r="35">
      <c r="A35" s="96" t="inlineStr">
        <is>
          <t>RISE KIS국고채30년Enhanced</t>
        </is>
      </c>
      <c r="B35" s="96" t="inlineStr">
        <is>
          <t>385560</t>
        </is>
      </c>
      <c r="C35" s="96" t="inlineStr">
        <is>
          <t>KB자산운용</t>
        </is>
      </c>
      <c r="D35" s="97" t="n">
        <v>51675</v>
      </c>
      <c r="E35" s="97" t="n">
        <v>425336925000</v>
      </c>
      <c r="F35" s="97" t="n">
        <v>1646394021</v>
      </c>
      <c r="G35" s="74" t="n">
        <v>0.0005</v>
      </c>
      <c r="H35" s="74" t="n">
        <v>0.1814</v>
      </c>
      <c r="I35" s="74" t="n">
        <v>0.0224</v>
      </c>
      <c r="J35" s="74" t="n">
        <v>0.047005</v>
      </c>
      <c r="K35" s="97" t="n">
        <v>10</v>
      </c>
      <c r="L35" s="98" t="inlineStr">
        <is>
          <t>20260908</t>
        </is>
      </c>
      <c r="M35" s="96" t="inlineStr">
        <is>
          <t>채택</t>
        </is>
      </c>
      <c r="N35" s="96" t="inlineStr"/>
      <c r="O35" s="96" t="inlineStr">
        <is>
          <t>KIS 국고채30년 Enhanced 지수(시장가격지수)</t>
        </is>
      </c>
      <c r="P35" s="96" t="inlineStr">
        <is>
          <t>일반</t>
        </is>
      </c>
      <c r="Q35" s="96" t="inlineStr">
        <is>
          <t>채권</t>
        </is>
      </c>
      <c r="R35" s="96" t="inlineStr">
        <is>
          <t>반기배당</t>
        </is>
      </c>
      <c r="S35" s="97" t="n">
        <v>2</v>
      </c>
      <c r="T35" s="74" t="n">
        <v>0</v>
      </c>
      <c r="U35" s="78" t="n">
        <v>-0.3342</v>
      </c>
      <c r="V35" s="78" t="n">
        <v>-0.3641</v>
      </c>
      <c r="W35" s="78" t="n">
        <v>-0.1918</v>
      </c>
      <c r="X35" s="78" t="n">
        <v>-0.046</v>
      </c>
      <c r="Y35" s="96" t="inlineStr">
        <is>
          <t>20250922~20261002</t>
        </is>
      </c>
      <c r="Z35" s="96" t="inlineStr"/>
      <c r="AA35">
        <f>IF(AND($J35&lt;&gt;"",OR(조회_주기="전체",$R35=조회_주기),$J35&gt;=조회_최소,$J35&lt;=조회_최대),1,0)</f>
        <v/>
      </c>
      <c r="AB35">
        <f>IF($AA35=1,$AB34+1,$AB34)</f>
        <v/>
      </c>
      <c r="AC35">
        <f>IF(검색어="",1,IF(ISNUMBER(SEARCH(검색어,$A35)),1,0))</f>
        <v/>
      </c>
      <c r="AD35">
        <f>IF($AC35=1,$AD34+1,$AD34)</f>
        <v/>
      </c>
      <c r="AE35">
        <f>IFERROR(INDEX($A$4:$A$594,MATCH(32,$AD$4:$AD$594,0)),"")</f>
        <v/>
      </c>
    </row>
    <row r="36">
      <c r="A36" s="96" t="inlineStr">
        <is>
          <t>TIGER 코리아배당다우존스</t>
        </is>
      </c>
      <c r="B36" s="96" t="inlineStr">
        <is>
          <t>0052D0</t>
        </is>
      </c>
      <c r="C36" s="96" t="inlineStr">
        <is>
          <t>미래에셋자산운용</t>
        </is>
      </c>
      <c r="D36" s="97" t="n">
        <v>15230</v>
      </c>
      <c r="E36" s="97" t="n">
        <v>334298500000</v>
      </c>
      <c r="F36" s="97" t="n">
        <v>2151507477</v>
      </c>
      <c r="G36" s="74" t="n">
        <v>0.0025</v>
      </c>
      <c r="H36" s="74" t="n">
        <v>0.3054</v>
      </c>
      <c r="I36" s="74" t="n">
        <v>0.0042</v>
      </c>
      <c r="J36" s="74" t="n">
        <v>0.043926</v>
      </c>
      <c r="K36" s="97" t="n">
        <v>15</v>
      </c>
      <c r="L36" s="98" t="inlineStr">
        <is>
          <t>20260914</t>
        </is>
      </c>
      <c r="M36" s="96" t="inlineStr">
        <is>
          <t>채택</t>
        </is>
      </c>
      <c r="N36" s="96" t="inlineStr"/>
      <c r="O36" s="96" t="inlineStr">
        <is>
          <t>Dow Jones Korea Dividend 30 Index (KRW)</t>
        </is>
      </c>
      <c r="P36" s="96" t="inlineStr">
        <is>
          <t>일반</t>
        </is>
      </c>
      <c r="Q36" s="96" t="inlineStr">
        <is>
          <t>주식</t>
        </is>
      </c>
      <c r="R36" s="96" t="inlineStr">
        <is>
          <t>월배당</t>
        </is>
      </c>
      <c r="S36" s="97" t="n">
        <v>11</v>
      </c>
      <c r="T36" s="74" t="n">
        <v>0.7758</v>
      </c>
      <c r="U36" s="78" t="n">
        <v>0.2657</v>
      </c>
      <c r="V36" s="78" t="n">
        <v>0.2124</v>
      </c>
      <c r="W36" s="78" t="n">
        <v>-0.0262</v>
      </c>
      <c r="X36" s="78" t="n">
        <v>-0.0361</v>
      </c>
      <c r="Y36" s="96" t="inlineStr">
        <is>
          <t>20250922~20261002</t>
        </is>
      </c>
      <c r="Z36" s="96" t="inlineStr"/>
      <c r="AA36">
        <f>IF(AND($J36&lt;&gt;"",OR(조회_주기="전체",$R36=조회_주기),$J36&gt;=조회_최소,$J36&lt;=조회_최대),1,0)</f>
        <v/>
      </c>
      <c r="AB36">
        <f>IF($AA36=1,$AB35+1,$AB35)</f>
        <v/>
      </c>
      <c r="AC36">
        <f>IF(검색어="",1,IF(ISNUMBER(SEARCH(검색어,$A36)),1,0))</f>
        <v/>
      </c>
      <c r="AD36">
        <f>IF($AC36=1,$AD35+1,$AD35)</f>
        <v/>
      </c>
      <c r="AE36">
        <f>IFERROR(INDEX($A$4:$A$594,MATCH(33,$AD$4:$AD$594,0)),"")</f>
        <v/>
      </c>
    </row>
    <row r="37">
      <c r="A37" s="96" t="inlineStr">
        <is>
          <t>ACE 미국30년국채액티브(H)</t>
        </is>
      </c>
      <c r="B37" s="96" t="inlineStr">
        <is>
          <t>453850</t>
        </is>
      </c>
      <c r="C37" s="96" t="inlineStr">
        <is>
          <t>한국투자신탁운용</t>
        </is>
      </c>
      <c r="D37" s="97" t="n">
        <v>6780</v>
      </c>
      <c r="E37" s="97" t="n">
        <v>1408884000000</v>
      </c>
      <c r="F37" s="97" t="n">
        <v>6476816538</v>
      </c>
      <c r="G37" s="74" t="n">
        <v>0.0005</v>
      </c>
      <c r="H37" s="74" t="n">
        <v>0.09470000000000001</v>
      </c>
      <c r="I37" s="74" t="n">
        <v>0.0036</v>
      </c>
      <c r="J37" s="74" t="n">
        <v>0.043658</v>
      </c>
      <c r="K37" s="97" t="n">
        <v>42</v>
      </c>
      <c r="L37" s="98" t="inlineStr">
        <is>
          <t>20260929</t>
        </is>
      </c>
      <c r="M37" s="96" t="inlineStr">
        <is>
          <t>채택</t>
        </is>
      </c>
      <c r="N37" s="96" t="inlineStr"/>
      <c r="O37" s="96" t="inlineStr">
        <is>
          <t>Bloomberg US Treasury 20+ Year Total Return Index</t>
        </is>
      </c>
      <c r="P37" s="96" t="inlineStr">
        <is>
          <t>일반</t>
        </is>
      </c>
      <c r="Q37" s="96" t="inlineStr">
        <is>
          <t>채권</t>
        </is>
      </c>
      <c r="R37" s="96" t="inlineStr">
        <is>
          <t>월배당</t>
        </is>
      </c>
      <c r="S37" s="97" t="n">
        <v>11</v>
      </c>
      <c r="T37" s="74" t="n">
        <v>0</v>
      </c>
      <c r="U37" s="78" t="n">
        <v>-0.0977</v>
      </c>
      <c r="V37" s="78" t="n">
        <v>-0.1354</v>
      </c>
      <c r="W37" s="78" t="n">
        <v>-0.1058</v>
      </c>
      <c r="X37" s="78" t="n">
        <v>-0.0907</v>
      </c>
      <c r="Y37" s="96" t="inlineStr">
        <is>
          <t>20250922~20261002</t>
        </is>
      </c>
      <c r="Z37" s="96" t="inlineStr"/>
      <c r="AA37">
        <f>IF(AND($J37&lt;&gt;"",OR(조회_주기="전체",$R37=조회_주기),$J37&gt;=조회_최소,$J37&lt;=조회_최대),1,0)</f>
        <v/>
      </c>
      <c r="AB37">
        <f>IF($AA37=1,$AB36+1,$AB36)</f>
        <v/>
      </c>
      <c r="AC37">
        <f>IF(검색어="",1,IF(ISNUMBER(SEARCH(검색어,$A37)),1,0))</f>
        <v/>
      </c>
      <c r="AD37">
        <f>IF($AC37=1,$AD36+1,$AD36)</f>
        <v/>
      </c>
      <c r="AE37">
        <f>IFERROR(INDEX($A$4:$A$594,MATCH(34,$AD$4:$AD$594,0)),"")</f>
        <v/>
      </c>
    </row>
    <row r="38">
      <c r="A38" s="96" t="inlineStr">
        <is>
          <t>KODEX 고배당주</t>
        </is>
      </c>
      <c r="B38" s="96" t="inlineStr">
        <is>
          <t>279530</t>
        </is>
      </c>
      <c r="C38" s="96" t="inlineStr">
        <is>
          <t>삼성자산운용(ETF)</t>
        </is>
      </c>
      <c r="D38" s="97" t="n">
        <v>17310</v>
      </c>
      <c r="E38" s="97" t="n">
        <v>346200000000</v>
      </c>
      <c r="F38" s="97" t="n">
        <v>4339172585</v>
      </c>
      <c r="G38" s="74" t="n">
        <v>0.003</v>
      </c>
      <c r="H38" s="74" t="n">
        <v>0.2978</v>
      </c>
      <c r="I38" s="74" t="n">
        <v>0.0043</v>
      </c>
      <c r="J38" s="74" t="n">
        <v>0.043559</v>
      </c>
      <c r="K38" s="97" t="n">
        <v>37</v>
      </c>
      <c r="L38" s="98" t="inlineStr">
        <is>
          <t>20260929</t>
        </is>
      </c>
      <c r="M38" s="96" t="inlineStr">
        <is>
          <t>채택</t>
        </is>
      </c>
      <c r="N38" s="96" t="inlineStr"/>
      <c r="O38" s="96" t="inlineStr">
        <is>
          <t>FnGuide 고배당 Plus 지수</t>
        </is>
      </c>
      <c r="P38" s="96" t="inlineStr">
        <is>
          <t>일반</t>
        </is>
      </c>
      <c r="Q38" s="96" t="inlineStr">
        <is>
          <t>주식</t>
        </is>
      </c>
      <c r="R38" s="96" t="inlineStr">
        <is>
          <t>월배당</t>
        </is>
      </c>
      <c r="S38" s="97" t="n">
        <v>11</v>
      </c>
      <c r="T38" s="74" t="n">
        <v>1</v>
      </c>
      <c r="U38" s="78" t="n">
        <v>0.3567</v>
      </c>
      <c r="V38" s="78" t="n">
        <v>0.3002</v>
      </c>
      <c r="W38" s="78" t="n">
        <v>0.0367</v>
      </c>
      <c r="X38" s="78" t="n">
        <v>-0.0144</v>
      </c>
      <c r="Y38" s="96" t="inlineStr">
        <is>
          <t>20250922~20261002</t>
        </is>
      </c>
      <c r="Z38" s="96" t="inlineStr"/>
      <c r="AA38">
        <f>IF(AND($J38&lt;&gt;"",OR(조회_주기="전체",$R38=조회_주기),$J38&gt;=조회_최소,$J38&lt;=조회_최대),1,0)</f>
        <v/>
      </c>
      <c r="AB38">
        <f>IF($AA38=1,$AB37+1,$AB37)</f>
        <v/>
      </c>
      <c r="AC38">
        <f>IF(검색어="",1,IF(ISNUMBER(SEARCH(검색어,$A38)),1,0))</f>
        <v/>
      </c>
      <c r="AD38">
        <f>IF($AC38=1,$AD37+1,$AD37)</f>
        <v/>
      </c>
      <c r="AE38">
        <f>IFERROR(INDEX($A$4:$A$594,MATCH(35,$AD$4:$AD$594,0)),"")</f>
        <v/>
      </c>
    </row>
    <row r="39">
      <c r="A39" s="96" t="inlineStr">
        <is>
          <t>KODEX 미국10년국채액티브(H)</t>
        </is>
      </c>
      <c r="B39" s="96" t="inlineStr">
        <is>
          <t>0091C0</t>
        </is>
      </c>
      <c r="C39" s="96" t="inlineStr">
        <is>
          <t>삼성자산운용(ETF)</t>
        </is>
      </c>
      <c r="D39" s="97" t="n">
        <v>9250</v>
      </c>
      <c r="E39" s="97" t="n">
        <v>186110000000</v>
      </c>
      <c r="F39" s="97" t="n">
        <v>921787991</v>
      </c>
      <c r="G39" s="74" t="n">
        <v>0.0015</v>
      </c>
      <c r="H39" s="74" t="n">
        <v>0.0472</v>
      </c>
      <c r="I39" s="74" t="n">
        <v>0.0036</v>
      </c>
      <c r="J39" s="74" t="n">
        <v>0.043243</v>
      </c>
      <c r="K39" s="97" t="n">
        <v>12</v>
      </c>
      <c r="L39" s="98" t="inlineStr">
        <is>
          <t>20260914</t>
        </is>
      </c>
      <c r="M39" s="96" t="inlineStr">
        <is>
          <t>채택</t>
        </is>
      </c>
      <c r="N39" s="96" t="inlineStr"/>
      <c r="O39" s="96" t="inlineStr">
        <is>
          <t>KAP 미국 국채 10년 지수(총수익)</t>
        </is>
      </c>
      <c r="P39" s="96" t="inlineStr">
        <is>
          <t>일반</t>
        </is>
      </c>
      <c r="Q39" s="96" t="inlineStr">
        <is>
          <t>채권</t>
        </is>
      </c>
      <c r="R39" s="96" t="inlineStr">
        <is>
          <t>월배당</t>
        </is>
      </c>
      <c r="S39" s="97" t="n">
        <v>11</v>
      </c>
      <c r="T39" s="74" t="n">
        <v>0.495</v>
      </c>
      <c r="U39" s="78" t="n">
        <v>-0.0479</v>
      </c>
      <c r="V39" s="78" t="n">
        <v>-0.08740000000000001</v>
      </c>
      <c r="W39" s="78" t="n">
        <v>-0.06709999999999999</v>
      </c>
      <c r="X39" s="78" t="n">
        <v>-0.0529</v>
      </c>
      <c r="Y39" s="96" t="inlineStr">
        <is>
          <t>20250922~20261002</t>
        </is>
      </c>
      <c r="Z39" s="96" t="inlineStr"/>
      <c r="AA39">
        <f>IF(AND($J39&lt;&gt;"",OR(조회_주기="전체",$R39=조회_주기),$J39&gt;=조회_최소,$J39&lt;=조회_최대),1,0)</f>
        <v/>
      </c>
      <c r="AB39">
        <f>IF($AA39=1,$AB38+1,$AB38)</f>
        <v/>
      </c>
      <c r="AC39">
        <f>IF(검색어="",1,IF(ISNUMBER(SEARCH(검색어,$A39)),1,0))</f>
        <v/>
      </c>
      <c r="AD39">
        <f>IF($AC39=1,$AD38+1,$AD38)</f>
        <v/>
      </c>
      <c r="AE39">
        <f>IFERROR(INDEX($A$4:$A$594,MATCH(36,$AD$4:$AD$594,0)),"")</f>
        <v/>
      </c>
    </row>
    <row r="40">
      <c r="A40" s="96" t="inlineStr">
        <is>
          <t>PLUS 고배당주</t>
        </is>
      </c>
      <c r="B40" s="96" t="inlineStr">
        <is>
          <t>161510</t>
        </is>
      </c>
      <c r="C40" s="96" t="inlineStr">
        <is>
          <t>한화자산운용</t>
        </is>
      </c>
      <c r="D40" s="97" t="n">
        <v>24490</v>
      </c>
      <c r="E40" s="97" t="n">
        <v>2364264600000</v>
      </c>
      <c r="F40" s="97" t="n">
        <v>18509006119</v>
      </c>
      <c r="G40" s="74" t="n">
        <v>0.0023</v>
      </c>
      <c r="H40" s="74" t="n">
        <v>0.3059</v>
      </c>
      <c r="I40" s="74" t="n">
        <v>0.004099999999999999</v>
      </c>
      <c r="J40" s="74" t="n">
        <v>0.043242</v>
      </c>
      <c r="K40" s="97" t="n">
        <v>32</v>
      </c>
      <c r="L40" s="98" t="inlineStr">
        <is>
          <t>20260929</t>
        </is>
      </c>
      <c r="M40" s="96" t="inlineStr">
        <is>
          <t>채택</t>
        </is>
      </c>
      <c r="N40" s="96" t="inlineStr"/>
      <c r="O40" s="96" t="inlineStr">
        <is>
          <t>FnGuide 고배당주</t>
        </is>
      </c>
      <c r="P40" s="96" t="inlineStr">
        <is>
          <t>일반</t>
        </is>
      </c>
      <c r="Q40" s="96" t="inlineStr">
        <is>
          <t>주식</t>
        </is>
      </c>
      <c r="R40" s="96" t="inlineStr">
        <is>
          <t>월배당</t>
        </is>
      </c>
      <c r="S40" s="97" t="n">
        <v>11</v>
      </c>
      <c r="T40" s="74" t="n">
        <v>0.9603</v>
      </c>
      <c r="U40" s="78" t="n">
        <v>0.2811</v>
      </c>
      <c r="V40" s="78" t="n">
        <v>0.2281</v>
      </c>
      <c r="W40" s="78" t="n">
        <v>-0.0233</v>
      </c>
      <c r="X40" s="78" t="n">
        <v>-0.0272</v>
      </c>
      <c r="Y40" s="96" t="inlineStr">
        <is>
          <t>20250922~20261002</t>
        </is>
      </c>
      <c r="Z40" s="96" t="inlineStr"/>
      <c r="AA40">
        <f>IF(AND($J40&lt;&gt;"",OR(조회_주기="전체",$R40=조회_주기),$J40&gt;=조회_최소,$J40&lt;=조회_최대),1,0)</f>
        <v/>
      </c>
      <c r="AB40">
        <f>IF($AA40=1,$AB39+1,$AB39)</f>
        <v/>
      </c>
      <c r="AC40">
        <f>IF(검색어="",1,IF(ISNUMBER(SEARCH(검색어,$A40)),1,0))</f>
        <v/>
      </c>
      <c r="AD40">
        <f>IF($AC40=1,$AD39+1,$AD39)</f>
        <v/>
      </c>
      <c r="AE40">
        <f>IFERROR(INDEX($A$4:$A$594,MATCH(37,$AD$4:$AD$594,0)),"")</f>
        <v/>
      </c>
    </row>
    <row r="41">
      <c r="A41" s="96" t="inlineStr">
        <is>
          <t>KODEX 미국달러SOFR금리액티브(합성)</t>
        </is>
      </c>
      <c r="B41" s="96" t="inlineStr">
        <is>
          <t>455030</t>
        </is>
      </c>
      <c r="C41" s="96" t="inlineStr">
        <is>
          <t>삼성자산운용(ETF)</t>
        </is>
      </c>
      <c r="D41" s="97" t="n">
        <v>11580</v>
      </c>
      <c r="E41" s="97" t="n">
        <v>533838000000</v>
      </c>
      <c r="F41" s="97" t="n">
        <v>1560127659</v>
      </c>
      <c r="G41" s="74" t="n">
        <v>0.0015</v>
      </c>
      <c r="H41" s="74" t="n">
        <v>0.1077</v>
      </c>
      <c r="I41" s="74" t="n">
        <v>0.0037</v>
      </c>
      <c r="J41" s="74" t="n">
        <v>0.04274600000000001</v>
      </c>
      <c r="K41" s="97" t="n">
        <v>15</v>
      </c>
      <c r="L41" s="98" t="inlineStr">
        <is>
          <t>20260929</t>
        </is>
      </c>
      <c r="M41" s="96" t="inlineStr">
        <is>
          <t>채택</t>
        </is>
      </c>
      <c r="N41" s="96" t="inlineStr"/>
      <c r="O41" s="96" t="inlineStr">
        <is>
          <t>Bloomberg SOFR Index</t>
        </is>
      </c>
      <c r="P41" s="96" t="inlineStr">
        <is>
          <t>일반</t>
        </is>
      </c>
      <c r="Q41" s="96" t="inlineStr">
        <is>
          <t>단기자금(파킹형)</t>
        </is>
      </c>
      <c r="R41" s="96" t="inlineStr">
        <is>
          <t>월배당</t>
        </is>
      </c>
      <c r="S41" s="97" t="n">
        <v>11</v>
      </c>
      <c r="T41" s="74" t="n">
        <v>1</v>
      </c>
      <c r="U41" s="78" t="n">
        <v>0.0058</v>
      </c>
      <c r="V41" s="78" t="n">
        <v>-0.0355</v>
      </c>
      <c r="W41" s="78" t="n">
        <v>-0.1048</v>
      </c>
      <c r="X41" s="78" t="n">
        <v>-0.1163</v>
      </c>
      <c r="Y41" s="96" t="inlineStr">
        <is>
          <t>20250922~20261002</t>
        </is>
      </c>
      <c r="Z41" s="96" t="inlineStr"/>
      <c r="AA41">
        <f>IF(AND($J41&lt;&gt;"",OR(조회_주기="전체",$R41=조회_주기),$J41&gt;=조회_최소,$J41&lt;=조회_최대),1,0)</f>
        <v/>
      </c>
      <c r="AB41">
        <f>IF($AA41=1,$AB40+1,$AB40)</f>
        <v/>
      </c>
      <c r="AC41">
        <f>IF(검색어="",1,IF(ISNUMBER(SEARCH(검색어,$A41)),1,0))</f>
        <v/>
      </c>
      <c r="AD41">
        <f>IF($AC41=1,$AD40+1,$AD40)</f>
        <v/>
      </c>
      <c r="AE41">
        <f>IFERROR(INDEX($A$4:$A$594,MATCH(38,$AD$4:$AD$594,0)),"")</f>
        <v/>
      </c>
    </row>
    <row r="42">
      <c r="A42" s="96" t="inlineStr">
        <is>
          <t>ACE 미국10년국채액티브</t>
        </is>
      </c>
      <c r="B42" s="96" t="inlineStr">
        <is>
          <t>0085P0</t>
        </is>
      </c>
      <c r="C42" s="96" t="inlineStr">
        <is>
          <t>한국투신운용(ETF)</t>
        </is>
      </c>
      <c r="D42" s="97" t="n">
        <v>9295</v>
      </c>
      <c r="E42" s="97" t="n">
        <v>137566000000</v>
      </c>
      <c r="F42" s="97" t="n">
        <v>1975987259</v>
      </c>
      <c r="G42" s="74" t="n">
        <v>0.0015</v>
      </c>
      <c r="H42" s="74" t="n">
        <v>0.11</v>
      </c>
      <c r="I42" s="74" t="n">
        <v>0.0032</v>
      </c>
      <c r="J42" s="74" t="n">
        <v>0.040452</v>
      </c>
      <c r="K42" s="97" t="n">
        <v>14</v>
      </c>
      <c r="L42" s="98" t="inlineStr">
        <is>
          <t>20260929</t>
        </is>
      </c>
      <c r="M42" s="96" t="inlineStr">
        <is>
          <t>채택</t>
        </is>
      </c>
      <c r="N42" s="96" t="inlineStr"/>
      <c r="O42" s="96" t="inlineStr">
        <is>
          <t>ICE U.S.Treasury 7-10 Year Bond Index</t>
        </is>
      </c>
      <c r="P42" s="96" t="inlineStr">
        <is>
          <t>일반</t>
        </is>
      </c>
      <c r="Q42" s="96" t="inlineStr">
        <is>
          <t>채권</t>
        </is>
      </c>
      <c r="R42" s="96" t="inlineStr">
        <is>
          <t>월배당</t>
        </is>
      </c>
      <c r="S42" s="97" t="n">
        <v>11</v>
      </c>
      <c r="T42" s="74" t="n">
        <v>0.8378</v>
      </c>
      <c r="U42" s="78" t="n">
        <v>-0.0607</v>
      </c>
      <c r="V42" s="78" t="n">
        <v>-0.0973</v>
      </c>
      <c r="W42" s="78" t="n">
        <v>-0.1529</v>
      </c>
      <c r="X42" s="78" t="n">
        <v>-0.1565</v>
      </c>
      <c r="Y42" s="96" t="inlineStr">
        <is>
          <t>20250922~20261002</t>
        </is>
      </c>
      <c r="Z42" s="96" t="inlineStr"/>
      <c r="AA42">
        <f>IF(AND($J42&lt;&gt;"",OR(조회_주기="전체",$R42=조회_주기),$J42&gt;=조회_최소,$J42&lt;=조회_최대),1,0)</f>
        <v/>
      </c>
      <c r="AB42">
        <f>IF($AA42=1,$AB41+1,$AB41)</f>
        <v/>
      </c>
      <c r="AC42">
        <f>IF(검색어="",1,IF(ISNUMBER(SEARCH(검색어,$A42)),1,0))</f>
        <v/>
      </c>
      <c r="AD42">
        <f>IF($AC42=1,$AD41+1,$AD41)</f>
        <v/>
      </c>
      <c r="AE42">
        <f>IFERROR(INDEX($A$4:$A$594,MATCH(39,$AD$4:$AD$594,0)),"")</f>
        <v/>
      </c>
    </row>
    <row r="43">
      <c r="A43" s="96" t="inlineStr">
        <is>
          <t>KODEX 은행</t>
        </is>
      </c>
      <c r="B43" s="96" t="inlineStr">
        <is>
          <t>091170</t>
        </is>
      </c>
      <c r="C43" s="96" t="inlineStr">
        <is>
          <t>삼성자산운용(ETF)</t>
        </is>
      </c>
      <c r="D43" s="97" t="n">
        <v>15755</v>
      </c>
      <c r="E43" s="97" t="n">
        <v>280439000000</v>
      </c>
      <c r="F43" s="97" t="n">
        <v>23845225509</v>
      </c>
      <c r="G43" s="74" t="n">
        <v>0.003</v>
      </c>
      <c r="H43" s="74" t="n">
        <v>0.3456</v>
      </c>
      <c r="I43" s="74" t="n">
        <v>0.0037</v>
      </c>
      <c r="J43" s="74" t="n">
        <v>0.03986</v>
      </c>
      <c r="K43" s="97" t="n">
        <v>30</v>
      </c>
      <c r="L43" s="98" t="inlineStr">
        <is>
          <t>20260929</t>
        </is>
      </c>
      <c r="M43" s="96" t="inlineStr">
        <is>
          <t>채택</t>
        </is>
      </c>
      <c r="N43" s="96" t="inlineStr"/>
      <c r="O43" s="96" t="inlineStr">
        <is>
          <t>KRX 은행</t>
        </is>
      </c>
      <c r="P43" s="96" t="inlineStr">
        <is>
          <t>일반</t>
        </is>
      </c>
      <c r="Q43" s="96" t="inlineStr">
        <is>
          <t>주식</t>
        </is>
      </c>
      <c r="R43" s="96" t="inlineStr">
        <is>
          <t>월배당</t>
        </is>
      </c>
      <c r="S43" s="97" t="n">
        <v>11</v>
      </c>
      <c r="T43" s="74" t="n">
        <v>0.8089</v>
      </c>
      <c r="U43" s="78" t="n">
        <v>0.3558</v>
      </c>
      <c r="V43" s="78" t="n">
        <v>0.304</v>
      </c>
      <c r="W43" s="78" t="n">
        <v>0.0801</v>
      </c>
      <c r="X43" s="78" t="n">
        <v>-0.0039</v>
      </c>
      <c r="Y43" s="96" t="inlineStr">
        <is>
          <t>20250922~20261002</t>
        </is>
      </c>
      <c r="Z43" s="96" t="inlineStr"/>
      <c r="AA43">
        <f>IF(AND($J43&lt;&gt;"",OR(조회_주기="전체",$R43=조회_주기),$J43&gt;=조회_최소,$J43&lt;=조회_최대),1,0)</f>
        <v/>
      </c>
      <c r="AB43">
        <f>IF($AA43=1,$AB42+1,$AB42)</f>
        <v/>
      </c>
      <c r="AC43">
        <f>IF(검색어="",1,IF(ISNUMBER(SEARCH(검색어,$A43)),1,0))</f>
        <v/>
      </c>
      <c r="AD43">
        <f>IF($AC43=1,$AD42+1,$AD42)</f>
        <v/>
      </c>
      <c r="AE43">
        <f>IFERROR(INDEX($A$4:$A$594,MATCH(40,$AD$4:$AD$594,0)),"")</f>
        <v/>
      </c>
    </row>
    <row r="44">
      <c r="A44" s="96" t="inlineStr">
        <is>
          <t>TIGER 은행고배당플러스TOP10</t>
        </is>
      </c>
      <c r="B44" s="96" t="inlineStr">
        <is>
          <t>466940</t>
        </is>
      </c>
      <c r="C44" s="96" t="inlineStr">
        <is>
          <t>미래에셋자산운용</t>
        </is>
      </c>
      <c r="D44" s="97" t="n">
        <v>25900</v>
      </c>
      <c r="E44" s="97" t="n">
        <v>819735000000</v>
      </c>
      <c r="F44" s="97" t="n">
        <v>19567358075</v>
      </c>
      <c r="G44" s="74" t="n">
        <v>0.003</v>
      </c>
      <c r="H44" s="74" t="n">
        <v>0.337</v>
      </c>
      <c r="I44" s="74" t="n">
        <v>0.0038</v>
      </c>
      <c r="J44" s="74" t="n">
        <v>0.039691</v>
      </c>
      <c r="K44" s="97" t="n">
        <v>33</v>
      </c>
      <c r="L44" s="98" t="inlineStr">
        <is>
          <t>20260929</t>
        </is>
      </c>
      <c r="M44" s="96" t="inlineStr">
        <is>
          <t>채택</t>
        </is>
      </c>
      <c r="N44" s="96" t="inlineStr"/>
      <c r="O44" s="96" t="inlineStr">
        <is>
          <t>FnGuide 은행 고배당 플러스 TOP 10 지수</t>
        </is>
      </c>
      <c r="P44" s="96" t="inlineStr">
        <is>
          <t>일반</t>
        </is>
      </c>
      <c r="Q44" s="96" t="inlineStr">
        <is>
          <t>주식</t>
        </is>
      </c>
      <c r="R44" s="96" t="inlineStr">
        <is>
          <t>월배당</t>
        </is>
      </c>
      <c r="S44" s="97" t="n">
        <v>11</v>
      </c>
      <c r="T44" s="74" t="n">
        <v>0.9747</v>
      </c>
      <c r="U44" s="78" t="n">
        <v>0.3327000000000001</v>
      </c>
      <c r="V44" s="78" t="n">
        <v>0.2819</v>
      </c>
      <c r="W44" s="78" t="n">
        <v>0.0623</v>
      </c>
      <c r="X44" s="78" t="n">
        <v>-0.0173</v>
      </c>
      <c r="Y44" s="96" t="inlineStr">
        <is>
          <t>20250922~20261002</t>
        </is>
      </c>
      <c r="Z44" s="96" t="inlineStr"/>
      <c r="AA44">
        <f>IF(AND($J44&lt;&gt;"",OR(조회_주기="전체",$R44=조회_주기),$J44&gt;=조회_최소,$J44&lt;=조회_최대),1,0)</f>
        <v/>
      </c>
      <c r="AB44">
        <f>IF($AA44=1,$AB43+1,$AB43)</f>
        <v/>
      </c>
      <c r="AC44">
        <f>IF(검색어="",1,IF(ISNUMBER(SEARCH(검색어,$A44)),1,0))</f>
        <v/>
      </c>
      <c r="AD44">
        <f>IF($AC44=1,$AD43+1,$AD43)</f>
        <v/>
      </c>
      <c r="AE44">
        <f>IFERROR(INDEX($A$4:$A$594,MATCH(41,$AD$4:$AD$594,0)),"")</f>
        <v/>
      </c>
    </row>
    <row r="45">
      <c r="A45" s="96" t="inlineStr">
        <is>
          <t>PLUS 고배당주채권혼합</t>
        </is>
      </c>
      <c r="B45" s="96" t="inlineStr">
        <is>
          <t>251600</t>
        </is>
      </c>
      <c r="C45" s="96" t="inlineStr">
        <is>
          <t>한화자산운용</t>
        </is>
      </c>
      <c r="D45" s="97" t="n">
        <v>15210</v>
      </c>
      <c r="E45" s="97" t="n">
        <v>590148000000</v>
      </c>
      <c r="F45" s="97" t="n">
        <v>3185640992</v>
      </c>
      <c r="G45" s="74" t="n">
        <v>0.002</v>
      </c>
      <c r="H45" s="74" t="n">
        <v>0.154</v>
      </c>
      <c r="I45" s="74" t="n">
        <v>0.0033</v>
      </c>
      <c r="J45" s="74" t="n">
        <v>0.037673</v>
      </c>
      <c r="K45" s="97" t="n">
        <v>34</v>
      </c>
      <c r="L45" s="98" t="inlineStr">
        <is>
          <t>20260929</t>
        </is>
      </c>
      <c r="M45" s="96" t="inlineStr">
        <is>
          <t>채택</t>
        </is>
      </c>
      <c r="N45" s="96" t="inlineStr"/>
      <c r="O45" s="96" t="inlineStr">
        <is>
          <t>FnGuide 고배당 채권혼합 지수</t>
        </is>
      </c>
      <c r="P45" s="96" t="inlineStr">
        <is>
          <t>일반</t>
        </is>
      </c>
      <c r="Q45" s="96" t="inlineStr">
        <is>
          <t>멀티에셋</t>
        </is>
      </c>
      <c r="R45" s="96" t="inlineStr">
        <is>
          <t>월배당</t>
        </is>
      </c>
      <c r="S45" s="97" t="n">
        <v>11</v>
      </c>
      <c r="T45" s="74" t="n">
        <v>1</v>
      </c>
      <c r="U45" s="78" t="n">
        <v>0.1242</v>
      </c>
      <c r="V45" s="78" t="n">
        <v>0.08349999999999999</v>
      </c>
      <c r="W45" s="78" t="n">
        <v>-0.0129</v>
      </c>
      <c r="X45" s="78" t="n">
        <v>-0.0136</v>
      </c>
      <c r="Y45" s="96" t="inlineStr">
        <is>
          <t>20250922~20261002</t>
        </is>
      </c>
      <c r="Z45" s="96" t="inlineStr"/>
      <c r="AA45">
        <f>IF(AND($J45&lt;&gt;"",OR(조회_주기="전체",$R45=조회_주기),$J45&gt;=조회_최소,$J45&lt;=조회_최대),1,0)</f>
        <v/>
      </c>
      <c r="AB45">
        <f>IF($AA45=1,$AB44+1,$AB44)</f>
        <v/>
      </c>
      <c r="AC45">
        <f>IF(검색어="",1,IF(ISNUMBER(SEARCH(검색어,$A45)),1,0))</f>
        <v/>
      </c>
      <c r="AD45">
        <f>IF($AC45=1,$AD44+1,$AD44)</f>
        <v/>
      </c>
      <c r="AE45">
        <f>IFERROR(INDEX($A$4:$A$594,MATCH(42,$AD$4:$AD$594,0)),"")</f>
        <v/>
      </c>
    </row>
    <row r="46">
      <c r="A46" s="96" t="inlineStr">
        <is>
          <t>ACE 미국30년국채엔화노출액티브(H)</t>
        </is>
      </c>
      <c r="B46" s="96" t="inlineStr">
        <is>
          <t>476750</t>
        </is>
      </c>
      <c r="C46" s="96" t="inlineStr">
        <is>
          <t>한국투자신탁운용</t>
        </is>
      </c>
      <c r="D46" s="97" t="n">
        <v>6915</v>
      </c>
      <c r="E46" s="97" t="n">
        <v>56011500000</v>
      </c>
      <c r="F46" s="97" t="n">
        <v>676090167</v>
      </c>
      <c r="G46" s="74" t="n">
        <v>0.0015</v>
      </c>
      <c r="H46" s="74" t="n">
        <v>0.1333</v>
      </c>
      <c r="I46" s="74" t="n">
        <v>0.0031</v>
      </c>
      <c r="J46" s="74" t="n">
        <v>0.037021</v>
      </c>
      <c r="K46" s="97" t="n">
        <v>30</v>
      </c>
      <c r="L46" s="98" t="inlineStr">
        <is>
          <t>20260929</t>
        </is>
      </c>
      <c r="M46" s="96" t="inlineStr">
        <is>
          <t>채택</t>
        </is>
      </c>
      <c r="N46" s="96" t="inlineStr"/>
      <c r="O46" s="96" t="inlineStr">
        <is>
          <t>Bloomberg U.S. Treasury 20+ Year Index T1530 JPY Currency He</t>
        </is>
      </c>
      <c r="P46" s="96" t="inlineStr">
        <is>
          <t>일반</t>
        </is>
      </c>
      <c r="Q46" s="96" t="inlineStr">
        <is>
          <t>채권</t>
        </is>
      </c>
      <c r="R46" s="96" t="inlineStr">
        <is>
          <t>월배당</t>
        </is>
      </c>
      <c r="S46" s="97" t="n">
        <v>11</v>
      </c>
      <c r="T46" s="74" t="n">
        <v>0</v>
      </c>
      <c r="U46" s="78" t="n">
        <v>-0.2024</v>
      </c>
      <c r="V46" s="78" t="n">
        <v>-0.2309</v>
      </c>
      <c r="W46" s="78" t="n">
        <v>-0.1973</v>
      </c>
      <c r="X46" s="78" t="n">
        <v>-0.1898</v>
      </c>
      <c r="Y46" s="96" t="inlineStr">
        <is>
          <t>20250922~20261002</t>
        </is>
      </c>
      <c r="Z46" s="96" t="inlineStr"/>
      <c r="AA46">
        <f>IF(AND($J46&lt;&gt;"",OR(조회_주기="전체",$R46=조회_주기),$J46&gt;=조회_최소,$J46&lt;=조회_최대),1,0)</f>
        <v/>
      </c>
      <c r="AB46">
        <f>IF($AA46=1,$AB45+1,$AB45)</f>
        <v/>
      </c>
      <c r="AC46">
        <f>IF(검색어="",1,IF(ISNUMBER(SEARCH(검색어,$A46)),1,0))</f>
        <v/>
      </c>
      <c r="AD46">
        <f>IF($AC46=1,$AD45+1,$AD45)</f>
        <v/>
      </c>
      <c r="AE46">
        <f>IFERROR(INDEX($A$4:$A$594,MATCH(43,$AD$4:$AD$594,0)),"")</f>
        <v/>
      </c>
    </row>
    <row r="47">
      <c r="A47" s="96" t="inlineStr">
        <is>
          <t>RISE 미국30년국채엔화노출(합성 H)</t>
        </is>
      </c>
      <c r="B47" s="96" t="inlineStr">
        <is>
          <t>472870</t>
        </is>
      </c>
      <c r="C47" s="96" t="inlineStr">
        <is>
          <t>KB자산운용</t>
        </is>
      </c>
      <c r="D47" s="97" t="n">
        <v>6400</v>
      </c>
      <c r="E47" s="97" t="n">
        <v>155200000000</v>
      </c>
      <c r="F47" s="97" t="n">
        <v>1579357166</v>
      </c>
      <c r="G47" s="74" t="n">
        <v>0.0015</v>
      </c>
      <c r="H47" s="74" t="n">
        <v>0.1435</v>
      </c>
      <c r="I47" s="74" t="n">
        <v>0.0024</v>
      </c>
      <c r="J47" s="74" t="n">
        <v>0.036563</v>
      </c>
      <c r="K47" s="97" t="n">
        <v>30</v>
      </c>
      <c r="L47" s="98" t="inlineStr">
        <is>
          <t>20260929</t>
        </is>
      </c>
      <c r="M47" s="96" t="inlineStr">
        <is>
          <t>채택</t>
        </is>
      </c>
      <c r="N47" s="96" t="inlineStr"/>
      <c r="O47" s="96" t="inlineStr">
        <is>
          <t>KIS 미국채 30년 엔화노출 지수(USD/JPY 헤지)</t>
        </is>
      </c>
      <c r="P47" s="96" t="inlineStr">
        <is>
          <t>일반</t>
        </is>
      </c>
      <c r="Q47" s="96" t="inlineStr">
        <is>
          <t>채권</t>
        </is>
      </c>
      <c r="R47" s="96" t="inlineStr">
        <is>
          <t>월배당</t>
        </is>
      </c>
      <c r="S47" s="97" t="n">
        <v>11</v>
      </c>
      <c r="T47" s="74" t="n">
        <v>0</v>
      </c>
      <c r="U47" s="78" t="n">
        <v>-0.2057</v>
      </c>
      <c r="V47" s="78" t="n">
        <v>-0.2337</v>
      </c>
      <c r="W47" s="78" t="n">
        <v>-0.1921</v>
      </c>
      <c r="X47" s="78" t="n">
        <v>-0.1897</v>
      </c>
      <c r="Y47" s="96" t="inlineStr">
        <is>
          <t>20250922~20261002</t>
        </is>
      </c>
      <c r="Z47" s="96" t="inlineStr"/>
      <c r="AA47">
        <f>IF(AND($J47&lt;&gt;"",OR(조회_주기="전체",$R47=조회_주기),$J47&gt;=조회_최소,$J47&lt;=조회_최대),1,0)</f>
        <v/>
      </c>
      <c r="AB47">
        <f>IF($AA47=1,$AB46+1,$AB46)</f>
        <v/>
      </c>
      <c r="AC47">
        <f>IF(검색어="",1,IF(ISNUMBER(SEARCH(검색어,$A47)),1,0))</f>
        <v/>
      </c>
      <c r="AD47">
        <f>IF($AC47=1,$AD46+1,$AD46)</f>
        <v/>
      </c>
      <c r="AE47">
        <f>IFERROR(INDEX($A$4:$A$594,MATCH(44,$AD$4:$AD$594,0)),"")</f>
        <v/>
      </c>
    </row>
    <row r="48">
      <c r="A48" s="96" t="inlineStr">
        <is>
          <t>TIGER 미국초단기(3개월이하)국채</t>
        </is>
      </c>
      <c r="B48" s="96" t="inlineStr">
        <is>
          <t>0046A0</t>
        </is>
      </c>
      <c r="C48" s="96" t="inlineStr">
        <is>
          <t>미래에셋자산운용</t>
        </is>
      </c>
      <c r="D48" s="97" t="n">
        <v>9340</v>
      </c>
      <c r="E48" s="97" t="n">
        <v>391439400000</v>
      </c>
      <c r="F48" s="97" t="n">
        <v>7265714404</v>
      </c>
      <c r="G48" s="74" t="n">
        <v>0.0009</v>
      </c>
      <c r="H48" s="74" t="n">
        <v>0.1064</v>
      </c>
      <c r="I48" s="74" t="n">
        <v>0.0025</v>
      </c>
      <c r="J48" s="74" t="n">
        <v>0.035974</v>
      </c>
      <c r="K48" s="97" t="n">
        <v>17</v>
      </c>
      <c r="L48" s="98" t="inlineStr">
        <is>
          <t>20260929</t>
        </is>
      </c>
      <c r="M48" s="96" t="inlineStr">
        <is>
          <t>채택</t>
        </is>
      </c>
      <c r="N48" s="96" t="inlineStr"/>
      <c r="O48" s="96" t="inlineStr">
        <is>
          <t>ICE 0-3 Month US Treasury Securities Index</t>
        </is>
      </c>
      <c r="P48" s="96" t="inlineStr">
        <is>
          <t>일반</t>
        </is>
      </c>
      <c r="Q48" s="96" t="inlineStr">
        <is>
          <t>단기자금(파킹형)</t>
        </is>
      </c>
      <c r="R48" s="96" t="inlineStr">
        <is>
          <t>월배당</t>
        </is>
      </c>
      <c r="S48" s="97" t="n">
        <v>11</v>
      </c>
      <c r="T48" s="74" t="n">
        <v>0.8512</v>
      </c>
      <c r="U48" s="78" t="n">
        <v>0.0005999999999999999</v>
      </c>
      <c r="V48" s="78" t="n">
        <v>-0.0341</v>
      </c>
      <c r="W48" s="78" t="n">
        <v>-0.1025</v>
      </c>
      <c r="X48" s="78" t="n">
        <v>-0.1138</v>
      </c>
      <c r="Y48" s="96" t="inlineStr">
        <is>
          <t>20250922~20261002</t>
        </is>
      </c>
      <c r="Z48" s="96" t="inlineStr"/>
      <c r="AA48">
        <f>IF(AND($J48&lt;&gt;"",OR(조회_주기="전체",$R48=조회_주기),$J48&gt;=조회_최소,$J48&lt;=조회_최대),1,0)</f>
        <v/>
      </c>
      <c r="AB48">
        <f>IF($AA48=1,$AB47+1,$AB47)</f>
        <v/>
      </c>
      <c r="AC48">
        <f>IF(검색어="",1,IF(ISNUMBER(SEARCH(검색어,$A48)),1,0))</f>
        <v/>
      </c>
      <c r="AD48">
        <f>IF($AC48=1,$AD47+1,$AD47)</f>
        <v/>
      </c>
      <c r="AE48">
        <f>IFERROR(INDEX($A$4:$A$594,MATCH(45,$AD$4:$AD$594,0)),"")</f>
        <v/>
      </c>
    </row>
    <row r="49">
      <c r="A49" s="96" t="inlineStr">
        <is>
          <t>KIWOOM 국고채10년</t>
        </is>
      </c>
      <c r="B49" s="96" t="inlineStr">
        <is>
          <t>148070</t>
        </is>
      </c>
      <c r="C49" s="96" t="inlineStr">
        <is>
          <t>키움투자자산운용</t>
        </is>
      </c>
      <c r="D49" s="97" t="n">
        <v>104855</v>
      </c>
      <c r="E49" s="97" t="n">
        <v>394045090000</v>
      </c>
      <c r="F49" s="97" t="n">
        <v>1928782142</v>
      </c>
      <c r="G49" s="74" t="n">
        <v>0.0005</v>
      </c>
      <c r="H49" s="74" t="n">
        <v>0.07389999999999999</v>
      </c>
      <c r="I49" s="74" t="n">
        <v>0.0332</v>
      </c>
      <c r="J49" s="74" t="n">
        <v>0.035687</v>
      </c>
      <c r="K49" s="97" t="n">
        <v>4</v>
      </c>
      <c r="L49" s="98" t="inlineStr">
        <is>
          <t>20251229</t>
        </is>
      </c>
      <c r="M49" s="96" t="inlineStr">
        <is>
          <t>채택</t>
        </is>
      </c>
      <c r="N49" s="96" t="inlineStr"/>
      <c r="O49" s="96" t="inlineStr">
        <is>
          <t>KIS 10Y KTB</t>
        </is>
      </c>
      <c r="P49" s="96" t="inlineStr">
        <is>
          <t>일반</t>
        </is>
      </c>
      <c r="Q49" s="96" t="inlineStr">
        <is>
          <t>채권</t>
        </is>
      </c>
      <c r="R49" s="96" t="inlineStr">
        <is>
          <t>연배당</t>
        </is>
      </c>
      <c r="S49" s="97" t="n">
        <v>1</v>
      </c>
      <c r="T49" s="74" t="n">
        <v>1</v>
      </c>
      <c r="U49" s="78" t="n">
        <v>-0.07400000000000001</v>
      </c>
      <c r="V49" s="78" t="n">
        <v>-0.1059</v>
      </c>
      <c r="W49" s="78" t="n">
        <v>-0.0239</v>
      </c>
      <c r="X49" s="78" t="n">
        <v>-0.0013</v>
      </c>
      <c r="Y49" s="96" t="inlineStr">
        <is>
          <t>20250922~20261002</t>
        </is>
      </c>
      <c r="Z49" s="96" t="inlineStr"/>
      <c r="AA49">
        <f>IF(AND($J49&lt;&gt;"",OR(조회_주기="전체",$R49=조회_주기),$J49&gt;=조회_최소,$J49&lt;=조회_최대),1,0)</f>
        <v/>
      </c>
      <c r="AB49">
        <f>IF($AA49=1,$AB48+1,$AB48)</f>
        <v/>
      </c>
      <c r="AC49">
        <f>IF(검색어="",1,IF(ISNUMBER(SEARCH(검색어,$A49)),1,0))</f>
        <v/>
      </c>
      <c r="AD49">
        <f>IF($AC49=1,$AD48+1,$AD48)</f>
        <v/>
      </c>
      <c r="AE49">
        <f>IFERROR(INDEX($A$4:$A$594,MATCH(46,$AD$4:$AD$594,0)),"")</f>
        <v/>
      </c>
    </row>
    <row r="50">
      <c r="A50" s="96" t="inlineStr">
        <is>
          <t>ACE 미국달러단기채권액티브</t>
        </is>
      </c>
      <c r="B50" s="96" t="inlineStr">
        <is>
          <t>440650</t>
        </is>
      </c>
      <c r="C50" s="96" t="inlineStr">
        <is>
          <t>한국투자신탁운용</t>
        </is>
      </c>
      <c r="D50" s="97" t="n">
        <v>11350</v>
      </c>
      <c r="E50" s="97" t="n">
        <v>43130000000</v>
      </c>
      <c r="F50" s="97" t="n">
        <v>697444954</v>
      </c>
      <c r="G50" s="74" t="n">
        <v>0.003</v>
      </c>
      <c r="H50" s="74" t="n">
        <v>0.1103</v>
      </c>
      <c r="I50" s="74" t="n">
        <v>0.0303</v>
      </c>
      <c r="J50" s="74" t="n">
        <v>0.032599</v>
      </c>
      <c r="K50" s="97" t="n">
        <v>1</v>
      </c>
      <c r="L50" s="98" t="inlineStr">
        <is>
          <t>20251229</t>
        </is>
      </c>
      <c r="M50" s="96" t="inlineStr">
        <is>
          <t>채택</t>
        </is>
      </c>
      <c r="N50" s="96" t="inlineStr"/>
      <c r="O50" s="96" t="inlineStr">
        <is>
          <t>Bloomberg Short-term Treasury Total Return Index</t>
        </is>
      </c>
      <c r="P50" s="96" t="inlineStr">
        <is>
          <t>일반</t>
        </is>
      </c>
      <c r="Q50" s="96" t="inlineStr">
        <is>
          <t>채권</t>
        </is>
      </c>
      <c r="R50" s="96" t="inlineStr">
        <is>
          <t>연배당</t>
        </is>
      </c>
      <c r="S50" s="97" t="n">
        <v>1</v>
      </c>
      <c r="T50" s="74" t="n">
        <v>1</v>
      </c>
      <c r="U50" s="78" t="n">
        <v>0.0008</v>
      </c>
      <c r="V50" s="78" t="n">
        <v>-0.0308</v>
      </c>
      <c r="W50" s="78" t="n">
        <v>-0.0897</v>
      </c>
      <c r="X50" s="78" t="n">
        <v>-0.1085</v>
      </c>
      <c r="Y50" s="96" t="inlineStr">
        <is>
          <t>20250922~20261002</t>
        </is>
      </c>
      <c r="Z50" s="96" t="inlineStr"/>
      <c r="AA50">
        <f>IF(AND($J50&lt;&gt;"",OR(조회_주기="전체",$R50=조회_주기),$J50&gt;=조회_최소,$J50&lt;=조회_최대),1,0)</f>
        <v/>
      </c>
      <c r="AB50">
        <f>IF($AA50=1,$AB49+1,$AB49)</f>
        <v/>
      </c>
      <c r="AC50">
        <f>IF(검색어="",1,IF(ISNUMBER(SEARCH(검색어,$A50)),1,0))</f>
        <v/>
      </c>
      <c r="AD50">
        <f>IF($AC50=1,$AD49+1,$AD49)</f>
        <v/>
      </c>
      <c r="AE50">
        <f>IFERROR(INDEX($A$4:$A$594,MATCH(47,$AD$4:$AD$594,0)),"")</f>
        <v/>
      </c>
    </row>
    <row r="51">
      <c r="A51" s="96" t="inlineStr">
        <is>
          <t>ACE 국고채10년</t>
        </is>
      </c>
      <c r="B51" s="96" t="inlineStr">
        <is>
          <t>365780</t>
        </is>
      </c>
      <c r="C51" s="96" t="inlineStr">
        <is>
          <t>한국투신운용(ETF)</t>
        </is>
      </c>
      <c r="D51" s="97" t="n">
        <v>82655</v>
      </c>
      <c r="E51" s="97" t="n">
        <v>528661380000</v>
      </c>
      <c r="F51" s="97" t="n">
        <v>1141901906</v>
      </c>
      <c r="G51" s="74" t="n">
        <v>0.0002</v>
      </c>
      <c r="H51" s="74" t="n">
        <v>0.07200000000000001</v>
      </c>
      <c r="I51" s="74" t="n">
        <v>0.0301</v>
      </c>
      <c r="J51" s="74" t="n">
        <v>0.032303</v>
      </c>
      <c r="K51" s="97" t="n">
        <v>5</v>
      </c>
      <c r="L51" s="98" t="inlineStr">
        <is>
          <t>20251229</t>
        </is>
      </c>
      <c r="M51" s="96" t="inlineStr">
        <is>
          <t>채택</t>
        </is>
      </c>
      <c r="N51" s="96" t="inlineStr"/>
      <c r="O51" s="96" t="inlineStr">
        <is>
          <t>KIS 10Y KTB</t>
        </is>
      </c>
      <c r="P51" s="96" t="inlineStr">
        <is>
          <t>일반</t>
        </is>
      </c>
      <c r="Q51" s="96" t="inlineStr">
        <is>
          <t>채권</t>
        </is>
      </c>
      <c r="R51" s="96" t="inlineStr">
        <is>
          <t>연배당</t>
        </is>
      </c>
      <c r="S51" s="97" t="n">
        <v>1</v>
      </c>
      <c r="T51" s="74" t="n">
        <v>0</v>
      </c>
      <c r="U51" s="78" t="n">
        <v>-0.07339999999999999</v>
      </c>
      <c r="V51" s="78" t="n">
        <v>-0.1024</v>
      </c>
      <c r="W51" s="78" t="n">
        <v>-0.024</v>
      </c>
      <c r="X51" s="78" t="n">
        <v>-0.0014</v>
      </c>
      <c r="Y51" s="96" t="inlineStr">
        <is>
          <t>20250922~20261002</t>
        </is>
      </c>
      <c r="Z51" s="96" t="inlineStr"/>
      <c r="AA51">
        <f>IF(AND($J51&lt;&gt;"",OR(조회_주기="전체",$R51=조회_주기),$J51&gt;=조회_최소,$J51&lt;=조회_최대),1,0)</f>
        <v/>
      </c>
      <c r="AB51">
        <f>IF($AA51=1,$AB50+1,$AB50)</f>
        <v/>
      </c>
      <c r="AC51">
        <f>IF(검색어="",1,IF(ISNUMBER(SEARCH(검색어,$A51)),1,0))</f>
        <v/>
      </c>
      <c r="AD51">
        <f>IF($AC51=1,$AD50+1,$AD50)</f>
        <v/>
      </c>
      <c r="AE51">
        <f>IFERROR(INDEX($A$4:$A$594,MATCH(48,$AD$4:$AD$594,0)),"")</f>
        <v/>
      </c>
    </row>
    <row r="52">
      <c r="A52" s="96" t="inlineStr">
        <is>
          <t>SOL 미국배당다우존스</t>
        </is>
      </c>
      <c r="B52" s="96" t="inlineStr">
        <is>
          <t>446720</t>
        </is>
      </c>
      <c r="C52" s="96" t="inlineStr">
        <is>
          <t>신한자산운용</t>
        </is>
      </c>
      <c r="D52" s="97" t="n">
        <v>12875</v>
      </c>
      <c r="E52" s="97" t="n">
        <v>990087500000</v>
      </c>
      <c r="F52" s="97" t="n">
        <v>4385191953</v>
      </c>
      <c r="G52" s="74" t="n">
        <v>0.0001</v>
      </c>
      <c r="H52" s="74" t="n">
        <v>0.1422</v>
      </c>
      <c r="I52" s="74" t="n">
        <v>0.0028</v>
      </c>
      <c r="J52" s="74" t="n">
        <v>0.03168899999999999</v>
      </c>
      <c r="K52" s="97" t="n">
        <v>46</v>
      </c>
      <c r="L52" s="98" t="inlineStr">
        <is>
          <t>20260929</t>
        </is>
      </c>
      <c r="M52" s="96" t="inlineStr">
        <is>
          <t>채택</t>
        </is>
      </c>
      <c r="N52" s="96" t="inlineStr"/>
      <c r="O52" s="96" t="inlineStr">
        <is>
          <t>Dow Jones U.S. Dividend 100 Price Return Index</t>
        </is>
      </c>
      <c r="P52" s="96" t="inlineStr">
        <is>
          <t>일반</t>
        </is>
      </c>
      <c r="Q52" s="96" t="inlineStr">
        <is>
          <t>주식</t>
        </is>
      </c>
      <c r="R52" s="96" t="inlineStr">
        <is>
          <t>월배당</t>
        </is>
      </c>
      <c r="S52" s="97" t="n">
        <v>11</v>
      </c>
      <c r="T52" s="74" t="n">
        <v>1</v>
      </c>
      <c r="U52" s="78" t="n">
        <v>0.1959</v>
      </c>
      <c r="V52" s="78" t="n">
        <v>0.159</v>
      </c>
      <c r="W52" s="78" t="n">
        <v>-0.0425</v>
      </c>
      <c r="X52" s="78" t="n">
        <v>-0.1079</v>
      </c>
      <c r="Y52" s="96" t="inlineStr">
        <is>
          <t>20250922~20261002</t>
        </is>
      </c>
      <c r="Z52" s="96" t="inlineStr"/>
      <c r="AA52">
        <f>IF(AND($J52&lt;&gt;"",OR(조회_주기="전체",$R52=조회_주기),$J52&gt;=조회_최소,$J52&lt;=조회_최대),1,0)</f>
        <v/>
      </c>
      <c r="AB52">
        <f>IF($AA52=1,$AB51+1,$AB51)</f>
        <v/>
      </c>
      <c r="AC52">
        <f>IF(검색어="",1,IF(ISNUMBER(SEARCH(검색어,$A52)),1,0))</f>
        <v/>
      </c>
      <c r="AD52">
        <f>IF($AC52=1,$AD51+1,$AD51)</f>
        <v/>
      </c>
      <c r="AE52">
        <f>IFERROR(INDEX($A$4:$A$594,MATCH(49,$AD$4:$AD$594,0)),"")</f>
        <v/>
      </c>
    </row>
    <row r="53">
      <c r="A53" s="96" t="inlineStr">
        <is>
          <t>SOL CD금리&amp;머니마켓액티브</t>
        </is>
      </c>
      <c r="B53" s="96" t="inlineStr">
        <is>
          <t>497880</t>
        </is>
      </c>
      <c r="C53" s="96" t="inlineStr">
        <is>
          <t>신한자산운용</t>
        </is>
      </c>
      <c r="D53" s="97" t="n">
        <v>50045</v>
      </c>
      <c r="E53" s="97" t="n">
        <v>299569370000</v>
      </c>
      <c r="F53" s="97" t="n">
        <v>5672018434</v>
      </c>
      <c r="G53" s="74" t="n">
        <v>0.0005</v>
      </c>
      <c r="H53" s="74" t="n">
        <v>0.009399999999999999</v>
      </c>
      <c r="I53" s="74" t="n">
        <v>0.0028</v>
      </c>
      <c r="J53" s="74" t="n">
        <v>0.031671</v>
      </c>
      <c r="K53" s="97" t="n">
        <v>22</v>
      </c>
      <c r="L53" s="98" t="inlineStr">
        <is>
          <t>20260929</t>
        </is>
      </c>
      <c r="M53" s="96" t="inlineStr">
        <is>
          <t>채택</t>
        </is>
      </c>
      <c r="N53" s="96" t="inlineStr"/>
      <c r="O53" s="96" t="inlineStr">
        <is>
          <t>KAP CD &amp; 단기자금시장 지수</t>
        </is>
      </c>
      <c r="P53" s="96" t="inlineStr">
        <is>
          <t>일반</t>
        </is>
      </c>
      <c r="Q53" s="96" t="inlineStr">
        <is>
          <t>단기자금(파킹형)</t>
        </is>
      </c>
      <c r="R53" s="96" t="inlineStr">
        <is>
          <t>월배당</t>
        </is>
      </c>
      <c r="S53" s="97" t="n">
        <v>11</v>
      </c>
      <c r="T53" s="74" t="n">
        <v>1</v>
      </c>
      <c r="U53" s="78" t="n">
        <v>0.0306</v>
      </c>
      <c r="V53" s="78" t="n">
        <v>-0.001</v>
      </c>
      <c r="W53" s="78" t="n">
        <v>0.0002</v>
      </c>
      <c r="X53" s="78" t="n">
        <v>0.0002</v>
      </c>
      <c r="Y53" s="96" t="inlineStr">
        <is>
          <t>20250922~20261002</t>
        </is>
      </c>
      <c r="Z53" s="96" t="inlineStr"/>
      <c r="AA53">
        <f>IF(AND($J53&lt;&gt;"",OR(조회_주기="전체",$R53=조회_주기),$J53&gt;=조회_최소,$J53&lt;=조회_최대),1,0)</f>
        <v/>
      </c>
      <c r="AB53">
        <f>IF($AA53=1,$AB52+1,$AB52)</f>
        <v/>
      </c>
      <c r="AC53">
        <f>IF(검색어="",1,IF(ISNUMBER(SEARCH(검색어,$A53)),1,0))</f>
        <v/>
      </c>
      <c r="AD53">
        <f>IF($AC53=1,$AD52+1,$AD52)</f>
        <v/>
      </c>
      <c r="AE53">
        <f>IFERROR(INDEX($A$4:$A$594,MATCH(50,$AD$4:$AD$594,0)),"")</f>
        <v/>
      </c>
    </row>
    <row r="54">
      <c r="A54" s="96" t="inlineStr">
        <is>
          <t>TIGER 미국배당다우존스</t>
        </is>
      </c>
      <c r="B54" s="96" t="inlineStr">
        <is>
          <t>458730</t>
        </is>
      </c>
      <c r="C54" s="96" t="inlineStr">
        <is>
          <t>미래에셋자산운용</t>
        </is>
      </c>
      <c r="D54" s="97" t="n">
        <v>14055</v>
      </c>
      <c r="E54" s="97" t="n">
        <v>4188390000000</v>
      </c>
      <c r="F54" s="97" t="n">
        <v>31822680942</v>
      </c>
      <c r="G54" s="74" t="n">
        <v>0.0001</v>
      </c>
      <c r="H54" s="74" t="n">
        <v>0.1422</v>
      </c>
      <c r="I54" s="74" t="n">
        <v>0.0027</v>
      </c>
      <c r="J54" s="74" t="n">
        <v>0.030879</v>
      </c>
      <c r="K54" s="97" t="n">
        <v>39</v>
      </c>
      <c r="L54" s="98" t="inlineStr">
        <is>
          <t>20260929</t>
        </is>
      </c>
      <c r="M54" s="96" t="inlineStr">
        <is>
          <t>채택</t>
        </is>
      </c>
      <c r="N54" s="96" t="inlineStr"/>
      <c r="O54" s="96" t="inlineStr">
        <is>
          <t>Dow Jones U.S. Dividend 100 Price Return Index</t>
        </is>
      </c>
      <c r="P54" s="96" t="inlineStr">
        <is>
          <t>일반</t>
        </is>
      </c>
      <c r="Q54" s="96" t="inlineStr">
        <is>
          <t>주식</t>
        </is>
      </c>
      <c r="R54" s="96" t="inlineStr">
        <is>
          <t>월배당</t>
        </is>
      </c>
      <c r="S54" s="97" t="n">
        <v>11</v>
      </c>
      <c r="T54" s="74" t="n">
        <v>1</v>
      </c>
      <c r="U54" s="78" t="n">
        <v>0.1963</v>
      </c>
      <c r="V54" s="78" t="n">
        <v>0.1603</v>
      </c>
      <c r="W54" s="78" t="n">
        <v>-0.0421</v>
      </c>
      <c r="X54" s="78" t="n">
        <v>-0.1075</v>
      </c>
      <c r="Y54" s="96" t="inlineStr">
        <is>
          <t>20250922~20261002</t>
        </is>
      </c>
      <c r="Z54" s="96" t="inlineStr"/>
      <c r="AA54">
        <f>IF(AND($J54&lt;&gt;"",OR(조회_주기="전체",$R54=조회_주기),$J54&gt;=조회_최소,$J54&lt;=조회_최대),1,0)</f>
        <v/>
      </c>
      <c r="AB54">
        <f>IF($AA54=1,$AB53+1,$AB53)</f>
        <v/>
      </c>
      <c r="AC54">
        <f>IF(검색어="",1,IF(ISNUMBER(SEARCH(검색어,$A54)),1,0))</f>
        <v/>
      </c>
      <c r="AD54">
        <f>IF($AC54=1,$AD53+1,$AD53)</f>
        <v/>
      </c>
      <c r="AE54">
        <f>IFERROR(INDEX($A$4:$A$594,MATCH(51,$AD$4:$AD$594,0)),"")</f>
        <v/>
      </c>
    </row>
    <row r="55">
      <c r="A55" s="96" t="inlineStr">
        <is>
          <t>SOL 미국배당미국채혼합50</t>
        </is>
      </c>
      <c r="B55" s="96" t="inlineStr">
        <is>
          <t>490490</t>
        </is>
      </c>
      <c r="C55" s="96" t="inlineStr">
        <is>
          <t>신한자산운용</t>
        </is>
      </c>
      <c r="D55" s="97" t="n">
        <v>10450</v>
      </c>
      <c r="E55" s="97" t="n">
        <v>452485000000</v>
      </c>
      <c r="F55" s="97" t="n">
        <v>2418494195</v>
      </c>
      <c r="G55" s="74" t="n">
        <v>0.0015</v>
      </c>
      <c r="H55" s="74" t="n">
        <v>0.1083</v>
      </c>
      <c r="I55" s="74" t="n">
        <v>0.0026</v>
      </c>
      <c r="J55" s="74" t="n">
        <v>0.030813</v>
      </c>
      <c r="K55" s="97" t="n">
        <v>23</v>
      </c>
      <c r="L55" s="98" t="inlineStr">
        <is>
          <t>20260914</t>
        </is>
      </c>
      <c r="M55" s="96" t="inlineStr">
        <is>
          <t>채택</t>
        </is>
      </c>
      <c r="N55" s="96" t="inlineStr"/>
      <c r="O55" s="96" t="inlineStr">
        <is>
          <t>KRX 다우존스 미국배당국채 혼합지수</t>
        </is>
      </c>
      <c r="P55" s="96" t="inlineStr">
        <is>
          <t>일반</t>
        </is>
      </c>
      <c r="Q55" s="96" t="inlineStr">
        <is>
          <t>멀티에셋</t>
        </is>
      </c>
      <c r="R55" s="96" t="inlineStr">
        <is>
          <t>월배당</t>
        </is>
      </c>
      <c r="S55" s="97" t="n">
        <v>11</v>
      </c>
      <c r="T55" s="74" t="n">
        <v>1</v>
      </c>
      <c r="U55" s="78" t="n">
        <v>0.062</v>
      </c>
      <c r="V55" s="78" t="n">
        <v>0.0302</v>
      </c>
      <c r="W55" s="78" t="n">
        <v>-0.09669999999999999</v>
      </c>
      <c r="X55" s="78" t="n">
        <v>-0.1291</v>
      </c>
      <c r="Y55" s="96" t="inlineStr">
        <is>
          <t>20250922~20261002</t>
        </is>
      </c>
      <c r="Z55" s="96" t="inlineStr"/>
      <c r="AA55">
        <f>IF(AND($J55&lt;&gt;"",OR(조회_주기="전체",$R55=조회_주기),$J55&gt;=조회_최소,$J55&lt;=조회_최대),1,0)</f>
        <v/>
      </c>
      <c r="AB55">
        <f>IF($AA55=1,$AB54+1,$AB54)</f>
        <v/>
      </c>
      <c r="AC55">
        <f>IF(검색어="",1,IF(ISNUMBER(SEARCH(검색어,$A55)),1,0))</f>
        <v/>
      </c>
      <c r="AD55">
        <f>IF($AC55=1,$AD54+1,$AD54)</f>
        <v/>
      </c>
      <c r="AE55">
        <f>IFERROR(INDEX($A$4:$A$594,MATCH(52,$AD$4:$AD$594,0)),"")</f>
        <v/>
      </c>
    </row>
    <row r="56">
      <c r="A56" s="96" t="inlineStr">
        <is>
          <t>ACE 미국배당다우존스</t>
        </is>
      </c>
      <c r="B56" s="96" t="inlineStr">
        <is>
          <t>402970</t>
        </is>
      </c>
      <c r="C56" s="96" t="inlineStr">
        <is>
          <t>한국투신운용(ETF)</t>
        </is>
      </c>
      <c r="D56" s="97" t="n">
        <v>14330</v>
      </c>
      <c r="E56" s="97" t="n">
        <v>928584000000</v>
      </c>
      <c r="F56" s="97" t="n">
        <v>4584464345</v>
      </c>
      <c r="G56" s="74" t="n">
        <v>0.0001</v>
      </c>
      <c r="H56" s="74" t="n">
        <v>0.1413</v>
      </c>
      <c r="I56" s="74" t="n">
        <v>0.0024</v>
      </c>
      <c r="J56" s="74" t="n">
        <v>0.030775</v>
      </c>
      <c r="K56" s="97" t="n">
        <v>44</v>
      </c>
      <c r="L56" s="98" t="inlineStr">
        <is>
          <t>20260914</t>
        </is>
      </c>
      <c r="M56" s="96" t="inlineStr">
        <is>
          <t>채택</t>
        </is>
      </c>
      <c r="N56" s="96" t="inlineStr"/>
      <c r="O56" s="96" t="inlineStr">
        <is>
          <t>Dow Jones U.S. Dividend 100 Price Return Index</t>
        </is>
      </c>
      <c r="P56" s="96" t="inlineStr">
        <is>
          <t>일반</t>
        </is>
      </c>
      <c r="Q56" s="96" t="inlineStr">
        <is>
          <t>주식</t>
        </is>
      </c>
      <c r="R56" s="96" t="inlineStr">
        <is>
          <t>월배당</t>
        </is>
      </c>
      <c r="S56" s="97" t="n">
        <v>11</v>
      </c>
      <c r="T56" s="74" t="n">
        <v>1</v>
      </c>
      <c r="U56" s="78" t="n">
        <v>0.2018</v>
      </c>
      <c r="V56" s="78" t="n">
        <v>0.1658</v>
      </c>
      <c r="W56" s="78" t="n">
        <v>-0.0417</v>
      </c>
      <c r="X56" s="78" t="n">
        <v>-0.1075</v>
      </c>
      <c r="Y56" s="96" t="inlineStr">
        <is>
          <t>20250922~20261002</t>
        </is>
      </c>
      <c r="Z56" s="96" t="inlineStr"/>
      <c r="AA56">
        <f>IF(AND($J56&lt;&gt;"",OR(조회_주기="전체",$R56=조회_주기),$J56&gt;=조회_최소,$J56&lt;=조회_최대),1,0)</f>
        <v/>
      </c>
      <c r="AB56">
        <f>IF($AA56=1,$AB55+1,$AB55)</f>
        <v/>
      </c>
      <c r="AC56">
        <f>IF(검색어="",1,IF(ISNUMBER(SEARCH(검색어,$A56)),1,0))</f>
        <v/>
      </c>
      <c r="AD56">
        <f>IF($AC56=1,$AD55+1,$AD55)</f>
        <v/>
      </c>
      <c r="AE56">
        <f>IFERROR(INDEX($A$4:$A$594,MATCH(53,$AD$4:$AD$594,0)),"")</f>
        <v/>
      </c>
    </row>
    <row r="57">
      <c r="A57" s="96" t="inlineStr">
        <is>
          <t>KODEX 미국배당다우존스</t>
        </is>
      </c>
      <c r="B57" s="96" t="inlineStr">
        <is>
          <t>489250</t>
        </is>
      </c>
      <c r="C57" s="96" t="inlineStr">
        <is>
          <t>삼성자산운용(ETF)</t>
        </is>
      </c>
      <c r="D57" s="97" t="n">
        <v>12115</v>
      </c>
      <c r="E57" s="97" t="n">
        <v>593635000000</v>
      </c>
      <c r="F57" s="97" t="n">
        <v>5478065045</v>
      </c>
      <c r="G57" s="74" t="n">
        <v>9.900000000000001e-05</v>
      </c>
      <c r="H57" s="74" t="n">
        <v>0.1422</v>
      </c>
      <c r="I57" s="74" t="n">
        <v>0.0019</v>
      </c>
      <c r="J57" s="74" t="n">
        <v>0.030376</v>
      </c>
      <c r="K57" s="97" t="n">
        <v>25</v>
      </c>
      <c r="L57" s="98" t="inlineStr">
        <is>
          <t>20260914</t>
        </is>
      </c>
      <c r="M57" s="96" t="inlineStr">
        <is>
          <t>채택</t>
        </is>
      </c>
      <c r="N57" s="96" t="inlineStr"/>
      <c r="O57" s="96" t="inlineStr">
        <is>
          <t>Dow Jones U.S. Dividend 100 Price Return Index</t>
        </is>
      </c>
      <c r="P57" s="96" t="inlineStr">
        <is>
          <t>일반</t>
        </is>
      </c>
      <c r="Q57" s="96" t="inlineStr">
        <is>
          <t>주식</t>
        </is>
      </c>
      <c r="R57" s="96" t="inlineStr">
        <is>
          <t>월배당</t>
        </is>
      </c>
      <c r="S57" s="97" t="n">
        <v>11</v>
      </c>
      <c r="T57" s="74" t="n">
        <v>1</v>
      </c>
      <c r="U57" s="78" t="n">
        <v>0.2032</v>
      </c>
      <c r="V57" s="78" t="n">
        <v>0.1676</v>
      </c>
      <c r="W57" s="78" t="n">
        <v>-0.042</v>
      </c>
      <c r="X57" s="78" t="n">
        <v>-0.1078</v>
      </c>
      <c r="Y57" s="96" t="inlineStr">
        <is>
          <t>20250922~20261002</t>
        </is>
      </c>
      <c r="Z57" s="96" t="inlineStr"/>
      <c r="AA57">
        <f>IF(AND($J57&lt;&gt;"",OR(조회_주기="전체",$R57=조회_주기),$J57&gt;=조회_최소,$J57&lt;=조회_최대),1,0)</f>
        <v/>
      </c>
      <c r="AB57">
        <f>IF($AA57=1,$AB56+1,$AB56)</f>
        <v/>
      </c>
      <c r="AC57">
        <f>IF(검색어="",1,IF(ISNUMBER(SEARCH(검색어,$A57)),1,0))</f>
        <v/>
      </c>
      <c r="AD57">
        <f>IF($AC57=1,$AD56+1,$AD56)</f>
        <v/>
      </c>
      <c r="AE57">
        <f>IFERROR(INDEX($A$4:$A$594,MATCH(54,$AD$4:$AD$594,0)),"")</f>
        <v/>
      </c>
    </row>
    <row r="58">
      <c r="A58" s="96" t="inlineStr">
        <is>
          <t>KODEX 코리아배당성장채권혼합</t>
        </is>
      </c>
      <c r="B58" s="96" t="inlineStr">
        <is>
          <t>237370</t>
        </is>
      </c>
      <c r="C58" s="96" t="inlineStr">
        <is>
          <t>삼성자산운용(ETF)</t>
        </is>
      </c>
      <c r="D58" s="97" t="n">
        <v>15535</v>
      </c>
      <c r="E58" s="97" t="n">
        <v>161564000000</v>
      </c>
      <c r="F58" s="97" t="n">
        <v>904598682</v>
      </c>
      <c r="G58" s="74" t="n">
        <v>0.0019</v>
      </c>
      <c r="H58" s="74" t="n">
        <v>0.1083</v>
      </c>
      <c r="I58" s="74" t="n">
        <v>0.003</v>
      </c>
      <c r="J58" s="74" t="n">
        <v>0.029868</v>
      </c>
      <c r="K58" s="97" t="n">
        <v>24</v>
      </c>
      <c r="L58" s="98" t="inlineStr">
        <is>
          <t>20260914</t>
        </is>
      </c>
      <c r="M58" s="96" t="inlineStr">
        <is>
          <t>채택</t>
        </is>
      </c>
      <c r="N58" s="96" t="inlineStr"/>
      <c r="O58" s="96" t="inlineStr">
        <is>
          <t>배당성장채권혼합지수</t>
        </is>
      </c>
      <c r="P58" s="96" t="inlineStr">
        <is>
          <t>일반</t>
        </is>
      </c>
      <c r="Q58" s="96" t="inlineStr">
        <is>
          <t>멀티에셋</t>
        </is>
      </c>
      <c r="R58" s="96" t="inlineStr">
        <is>
          <t>월배당</t>
        </is>
      </c>
      <c r="S58" s="97" t="n">
        <v>11</v>
      </c>
      <c r="T58" s="74" t="n">
        <v>1</v>
      </c>
      <c r="U58" s="78" t="n">
        <v>0.1026</v>
      </c>
      <c r="V58" s="78" t="n">
        <v>0.0707</v>
      </c>
      <c r="W58" s="78" t="n">
        <v>-0.0069</v>
      </c>
      <c r="X58" s="78" t="n">
        <v>-0.0205</v>
      </c>
      <c r="Y58" s="96" t="inlineStr">
        <is>
          <t>20250922~20261002</t>
        </is>
      </c>
      <c r="Z58" s="96" t="inlineStr"/>
      <c r="AA58">
        <f>IF(AND($J58&lt;&gt;"",OR(조회_주기="전체",$R58=조회_주기),$J58&gt;=조회_최소,$J58&lt;=조회_최대),1,0)</f>
        <v/>
      </c>
      <c r="AB58">
        <f>IF($AA58=1,$AB57+1,$AB57)</f>
        <v/>
      </c>
      <c r="AC58">
        <f>IF(검색어="",1,IF(ISNUMBER(SEARCH(검색어,$A58)),1,0))</f>
        <v/>
      </c>
      <c r="AD58">
        <f>IF($AC58=1,$AD57+1,$AD57)</f>
        <v/>
      </c>
      <c r="AE58">
        <f>IFERROR(INDEX($A$4:$A$594,MATCH(55,$AD$4:$AD$594,0)),"")</f>
        <v/>
      </c>
    </row>
    <row r="59">
      <c r="A59" s="96" t="inlineStr">
        <is>
          <t>KODEX CD1년금리플러스액티브(합성)</t>
        </is>
      </c>
      <c r="B59" s="96" t="inlineStr">
        <is>
          <t>481050</t>
        </is>
      </c>
      <c r="C59" s="96" t="inlineStr">
        <is>
          <t>삼성자산운용(ETF)</t>
        </is>
      </c>
      <c r="D59" s="97" t="n">
        <v>1021990</v>
      </c>
      <c r="E59" s="97" t="n">
        <v>2663816935000</v>
      </c>
      <c r="F59" s="97" t="n">
        <v>26920311248</v>
      </c>
      <c r="G59" s="74" t="n">
        <v>0.0005</v>
      </c>
      <c r="H59" s="74" t="n">
        <v>0.008699999999999999</v>
      </c>
      <c r="I59" s="74" t="n">
        <v>0.0028</v>
      </c>
      <c r="J59" s="74" t="n">
        <v>0.029375</v>
      </c>
      <c r="K59" s="97" t="n">
        <v>22</v>
      </c>
      <c r="L59" s="98" t="inlineStr">
        <is>
          <t>20260929</t>
        </is>
      </c>
      <c r="M59" s="96" t="inlineStr">
        <is>
          <t>채택</t>
        </is>
      </c>
      <c r="N59" s="96" t="inlineStr"/>
      <c r="O59" s="96" t="inlineStr">
        <is>
          <t>KAP 1년은행CD+추가금리 지수</t>
        </is>
      </c>
      <c r="P59" s="96" t="inlineStr">
        <is>
          <t>일반</t>
        </is>
      </c>
      <c r="Q59" s="96" t="inlineStr">
        <is>
          <t>단기자금(파킹형)</t>
        </is>
      </c>
      <c r="R59" s="96" t="inlineStr">
        <is>
          <t>월배당</t>
        </is>
      </c>
      <c r="S59" s="97" t="n">
        <v>11</v>
      </c>
      <c r="T59" s="74" t="n">
        <v>1</v>
      </c>
      <c r="U59" s="78" t="n">
        <v>0.028</v>
      </c>
      <c r="V59" s="78" t="n">
        <v>-0.0013</v>
      </c>
      <c r="W59" s="78" t="n">
        <v>0.0001</v>
      </c>
      <c r="X59" s="78" t="n">
        <v>0</v>
      </c>
      <c r="Y59" s="96" t="inlineStr">
        <is>
          <t>20250922~20261002</t>
        </is>
      </c>
      <c r="Z59" s="96" t="inlineStr"/>
      <c r="AA59">
        <f>IF(AND($J59&lt;&gt;"",OR(조회_주기="전체",$R59=조회_주기),$J59&gt;=조회_최소,$J59&lt;=조회_최대),1,0)</f>
        <v/>
      </c>
      <c r="AB59">
        <f>IF($AA59=1,$AB58+1,$AB58)</f>
        <v/>
      </c>
      <c r="AC59">
        <f>IF(검색어="",1,IF(ISNUMBER(SEARCH(검색어,$A59)),1,0))</f>
        <v/>
      </c>
      <c r="AD59">
        <f>IF($AC59=1,$AD58+1,$AD58)</f>
        <v/>
      </c>
      <c r="AE59">
        <f>IFERROR(INDEX($A$4:$A$594,MATCH(56,$AD$4:$AD$594,0)),"")</f>
        <v/>
      </c>
    </row>
    <row r="60">
      <c r="A60" s="96" t="inlineStr">
        <is>
          <t>SOL 미국배당다우존스(H)</t>
        </is>
      </c>
      <c r="B60" s="96" t="inlineStr">
        <is>
          <t>452360</t>
        </is>
      </c>
      <c r="C60" s="96" t="inlineStr">
        <is>
          <t>신한자산운용</t>
        </is>
      </c>
      <c r="D60" s="97" t="n">
        <v>12850</v>
      </c>
      <c r="E60" s="97" t="n">
        <v>215880000000</v>
      </c>
      <c r="F60" s="97" t="n">
        <v>1962742979</v>
      </c>
      <c r="G60" s="74" t="n">
        <v>0.0005</v>
      </c>
      <c r="H60" s="74" t="n">
        <v>0.1113</v>
      </c>
      <c r="I60" s="74" t="n">
        <v>0.0028</v>
      </c>
      <c r="J60" s="74" t="n">
        <v>0.029183</v>
      </c>
      <c r="K60" s="97" t="n">
        <v>42</v>
      </c>
      <c r="L60" s="98" t="inlineStr">
        <is>
          <t>20260929</t>
        </is>
      </c>
      <c r="M60" s="96" t="inlineStr">
        <is>
          <t>채택</t>
        </is>
      </c>
      <c r="N60" s="96" t="inlineStr"/>
      <c r="O60" s="96" t="inlineStr">
        <is>
          <t>Dow Jones U.S. Dividend 100 Price Return Index</t>
        </is>
      </c>
      <c r="P60" s="96" t="inlineStr">
        <is>
          <t>일반</t>
        </is>
      </c>
      <c r="Q60" s="96" t="inlineStr">
        <is>
          <t>주식</t>
        </is>
      </c>
      <c r="R60" s="96" t="inlineStr">
        <is>
          <t>월배당</t>
        </is>
      </c>
      <c r="S60" s="97" t="n">
        <v>11</v>
      </c>
      <c r="T60" s="74" t="n">
        <v>1</v>
      </c>
      <c r="U60" s="78" t="n">
        <v>0.212</v>
      </c>
      <c r="V60" s="78" t="n">
        <v>0.1776</v>
      </c>
      <c r="W60" s="78" t="n">
        <v>0.0612</v>
      </c>
      <c r="X60" s="78" t="n">
        <v>0.005</v>
      </c>
      <c r="Y60" s="96" t="inlineStr">
        <is>
          <t>20250922~20261002</t>
        </is>
      </c>
      <c r="Z60" s="96" t="inlineStr"/>
      <c r="AA60">
        <f>IF(AND($J60&lt;&gt;"",OR(조회_주기="전체",$R60=조회_주기),$J60&gt;=조회_최소,$J60&lt;=조회_최대),1,0)</f>
        <v/>
      </c>
      <c r="AB60">
        <f>IF($AA60=1,$AB59+1,$AB59)</f>
        <v/>
      </c>
      <c r="AC60">
        <f>IF(검색어="",1,IF(ISNUMBER(SEARCH(검색어,$A60)),1,0))</f>
        <v/>
      </c>
      <c r="AD60">
        <f>IF($AC60=1,$AD59+1,$AD59)</f>
        <v/>
      </c>
      <c r="AE60">
        <f>IFERROR(INDEX($A$4:$A$594,MATCH(57,$AD$4:$AD$594,0)),"")</f>
        <v/>
      </c>
    </row>
    <row r="61">
      <c r="A61" s="96" t="inlineStr">
        <is>
          <t>TIGER CD금리플러스액티브(합성)</t>
        </is>
      </c>
      <c r="B61" s="96" t="inlineStr">
        <is>
          <t>499660</t>
        </is>
      </c>
      <c r="C61" s="96" t="inlineStr">
        <is>
          <t>미래에셋자산운용</t>
        </is>
      </c>
      <c r="D61" s="97" t="n">
        <v>1000470</v>
      </c>
      <c r="E61" s="97" t="n">
        <v>455714085000</v>
      </c>
      <c r="F61" s="97" t="n">
        <v>13842008410</v>
      </c>
      <c r="G61" s="74" t="n">
        <v>9.8e-05</v>
      </c>
      <c r="H61" s="74" t="n">
        <v>0.0086</v>
      </c>
      <c r="I61" s="74" t="n">
        <v>0.003</v>
      </c>
      <c r="J61" s="74" t="n">
        <v>0.028956</v>
      </c>
      <c r="K61" s="97" t="n">
        <v>22</v>
      </c>
      <c r="L61" s="98" t="inlineStr">
        <is>
          <t>20260929</t>
        </is>
      </c>
      <c r="M61" s="96" t="inlineStr">
        <is>
          <t>채택</t>
        </is>
      </c>
      <c r="N61" s="96" t="inlineStr"/>
      <c r="O61" s="96" t="inlineStr">
        <is>
          <t>KIS CD+CPI연동금리 월분배 지수(PR지수)</t>
        </is>
      </c>
      <c r="P61" s="96" t="inlineStr">
        <is>
          <t>일반</t>
        </is>
      </c>
      <c r="Q61" s="96" t="inlineStr">
        <is>
          <t>단기자금(파킹형)</t>
        </is>
      </c>
      <c r="R61" s="96" t="inlineStr">
        <is>
          <t>월배당</t>
        </is>
      </c>
      <c r="S61" s="97" t="n">
        <v>11</v>
      </c>
      <c r="T61" s="74" t="n">
        <v>0.9951</v>
      </c>
      <c r="U61" s="78" t="n">
        <v>0.0276</v>
      </c>
      <c r="V61" s="78" t="n">
        <v>-0.0014</v>
      </c>
      <c r="W61" s="78" t="n">
        <v>0</v>
      </c>
      <c r="X61" s="78" t="n">
        <v>-0.0001</v>
      </c>
      <c r="Y61" s="96" t="inlineStr">
        <is>
          <t>20250922~20261002</t>
        </is>
      </c>
      <c r="Z61" s="96" t="inlineStr"/>
      <c r="AA61">
        <f>IF(AND($J61&lt;&gt;"",OR(조회_주기="전체",$R61=조회_주기),$J61&gt;=조회_최소,$J61&lt;=조회_최대),1,0)</f>
        <v/>
      </c>
      <c r="AB61">
        <f>IF($AA61=1,$AB60+1,$AB60)</f>
        <v/>
      </c>
      <c r="AC61">
        <f>IF(검색어="",1,IF(ISNUMBER(SEARCH(검색어,$A61)),1,0))</f>
        <v/>
      </c>
      <c r="AD61">
        <f>IF($AC61=1,$AD60+1,$AD60)</f>
        <v/>
      </c>
      <c r="AE61">
        <f>IFERROR(INDEX($A$4:$A$594,MATCH(58,$AD$4:$AD$594,0)),"")</f>
        <v/>
      </c>
    </row>
    <row r="62">
      <c r="A62" s="96" t="inlineStr">
        <is>
          <t>KODEX CD금리액티브(합성)</t>
        </is>
      </c>
      <c r="B62" s="96" t="inlineStr">
        <is>
          <t>459580</t>
        </is>
      </c>
      <c r="C62" s="96" t="inlineStr">
        <is>
          <t>삼성자산운용(ETF)</t>
        </is>
      </c>
      <c r="D62" s="97" t="n">
        <v>1073765</v>
      </c>
      <c r="E62" s="97" t="n">
        <v>6985270831000</v>
      </c>
      <c r="F62" s="97" t="n">
        <v>604830690787</v>
      </c>
      <c r="G62" s="74" t="n">
        <v>0.0002</v>
      </c>
      <c r="H62" s="74" t="n">
        <v>0.0083</v>
      </c>
      <c r="I62" s="74" t="n">
        <v>0.0026</v>
      </c>
      <c r="J62" s="74" t="n">
        <v>0.027945</v>
      </c>
      <c r="K62" s="97" t="n">
        <v>15</v>
      </c>
      <c r="L62" s="98" t="inlineStr">
        <is>
          <t>20260929</t>
        </is>
      </c>
      <c r="M62" s="96" t="inlineStr">
        <is>
          <t>채택</t>
        </is>
      </c>
      <c r="N62" s="96" t="inlineStr"/>
      <c r="O62" s="96" t="inlineStr">
        <is>
          <t>KAP 양도성예금증서(CD) 금리 지수</t>
        </is>
      </c>
      <c r="P62" s="96" t="inlineStr">
        <is>
          <t>일반</t>
        </is>
      </c>
      <c r="Q62" s="96" t="inlineStr">
        <is>
          <t>단기자금(파킹형)</t>
        </is>
      </c>
      <c r="R62" s="96" t="inlineStr">
        <is>
          <t>월배당</t>
        </is>
      </c>
      <c r="S62" s="97" t="n">
        <v>11</v>
      </c>
      <c r="T62" s="74" t="n">
        <v>1</v>
      </c>
      <c r="U62" s="78" t="n">
        <v>0.0269</v>
      </c>
      <c r="V62" s="78" t="n">
        <v>-0.001</v>
      </c>
      <c r="W62" s="78" t="n">
        <v>0.0002</v>
      </c>
      <c r="X62" s="78" t="n">
        <v>0.0002</v>
      </c>
      <c r="Y62" s="96" t="inlineStr">
        <is>
          <t>20250922~20261002</t>
        </is>
      </c>
      <c r="Z62" s="96" t="inlineStr"/>
      <c r="AA62">
        <f>IF(AND($J62&lt;&gt;"",OR(조회_주기="전체",$R62=조회_주기),$J62&gt;=조회_최소,$J62&lt;=조회_최대),1,0)</f>
        <v/>
      </c>
      <c r="AB62">
        <f>IF($AA62=1,$AB61+1,$AB61)</f>
        <v/>
      </c>
      <c r="AC62">
        <f>IF(검색어="",1,IF(ISNUMBER(SEARCH(검색어,$A62)),1,0))</f>
        <v/>
      </c>
      <c r="AD62">
        <f>IF($AC62=1,$AD61+1,$AD61)</f>
        <v/>
      </c>
      <c r="AE62">
        <f>IFERROR(INDEX($A$4:$A$594,MATCH(59,$AD$4:$AD$594,0)),"")</f>
        <v/>
      </c>
    </row>
    <row r="63">
      <c r="A63" s="96" t="inlineStr">
        <is>
          <t>TIGER 차이나CSI300</t>
        </is>
      </c>
      <c r="B63" s="96" t="inlineStr">
        <is>
          <t>192090</t>
        </is>
      </c>
      <c r="C63" s="96" t="inlineStr">
        <is>
          <t>미래에셋자산운용</t>
        </is>
      </c>
      <c r="D63" s="97" t="n">
        <v>11405</v>
      </c>
      <c r="E63" s="97" t="n">
        <v>116901250000</v>
      </c>
      <c r="F63" s="97" t="n">
        <v>691820362</v>
      </c>
      <c r="G63" s="74" t="n">
        <v>0.0063</v>
      </c>
      <c r="H63" s="74" t="n">
        <v>0.2287</v>
      </c>
      <c r="I63" s="74" t="n">
        <v>0.0242</v>
      </c>
      <c r="J63" s="74" t="n">
        <v>0.027181</v>
      </c>
      <c r="K63" s="97" t="n">
        <v>5</v>
      </c>
      <c r="L63" s="98" t="inlineStr">
        <is>
          <t>20251229</t>
        </is>
      </c>
      <c r="M63" s="96" t="inlineStr">
        <is>
          <t>채택</t>
        </is>
      </c>
      <c r="N63" s="96" t="inlineStr"/>
      <c r="O63" s="96" t="inlineStr">
        <is>
          <t>CSI 300 INDEX</t>
        </is>
      </c>
      <c r="P63" s="96" t="inlineStr">
        <is>
          <t>일반</t>
        </is>
      </c>
      <c r="Q63" s="96" t="inlineStr">
        <is>
          <t>주식</t>
        </is>
      </c>
      <c r="R63" s="96" t="inlineStr">
        <is>
          <t>연배당</t>
        </is>
      </c>
      <c r="S63" s="97" t="n">
        <v>1</v>
      </c>
      <c r="T63" s="74" t="n">
        <v>1</v>
      </c>
      <c r="U63" s="78" t="n">
        <v>0.0138</v>
      </c>
      <c r="V63" s="78" t="n">
        <v>-0.0126</v>
      </c>
      <c r="W63" s="78" t="n">
        <v>-0.0987</v>
      </c>
      <c r="X63" s="78" t="n">
        <v>-0.191</v>
      </c>
      <c r="Y63" s="96" t="inlineStr">
        <is>
          <t>20250922~20261002</t>
        </is>
      </c>
      <c r="Z63" s="96" t="inlineStr"/>
      <c r="AA63">
        <f>IF(AND($J63&lt;&gt;"",OR(조회_주기="전체",$R63=조회_주기),$J63&gt;=조회_최소,$J63&lt;=조회_최대),1,0)</f>
        <v/>
      </c>
      <c r="AB63">
        <f>IF($AA63=1,$AB62+1,$AB62)</f>
        <v/>
      </c>
      <c r="AC63">
        <f>IF(검색어="",1,IF(ISNUMBER(SEARCH(검색어,$A63)),1,0))</f>
        <v/>
      </c>
      <c r="AD63">
        <f>IF($AC63=1,$AD62+1,$AD62)</f>
        <v/>
      </c>
      <c r="AE63">
        <f>IFERROR(INDEX($A$4:$A$594,MATCH(60,$AD$4:$AD$594,0)),"")</f>
        <v/>
      </c>
    </row>
    <row r="64">
      <c r="A64" s="96" t="inlineStr">
        <is>
          <t>KODEX 단기채권PLUS</t>
        </is>
      </c>
      <c r="B64" s="96" t="inlineStr">
        <is>
          <t>214980</t>
        </is>
      </c>
      <c r="C64" s="96" t="inlineStr">
        <is>
          <t>삼성자산운용(ETF)</t>
        </is>
      </c>
      <c r="D64" s="97" t="n">
        <v>114580</v>
      </c>
      <c r="E64" s="97" t="n">
        <v>1939266500000</v>
      </c>
      <c r="F64" s="97" t="n">
        <v>4150412942</v>
      </c>
      <c r="G64" s="74" t="n">
        <v>0.0015</v>
      </c>
      <c r="H64" s="74" t="n">
        <v>0.008100000000000001</v>
      </c>
      <c r="I64" s="74" t="n">
        <v>0.0025</v>
      </c>
      <c r="J64" s="74" t="n">
        <v>0.026924</v>
      </c>
      <c r="K64" s="97" t="n">
        <v>14</v>
      </c>
      <c r="L64" s="98" t="inlineStr">
        <is>
          <t>20260914</t>
        </is>
      </c>
      <c r="M64" s="96" t="inlineStr">
        <is>
          <t>채택</t>
        </is>
      </c>
      <c r="N64" s="96" t="inlineStr"/>
      <c r="O64" s="96" t="inlineStr">
        <is>
          <t>KRW Cash+PLUS Index</t>
        </is>
      </c>
      <c r="P64" s="96" t="inlineStr">
        <is>
          <t>일반</t>
        </is>
      </c>
      <c r="Q64" s="96" t="inlineStr">
        <is>
          <t>채권</t>
        </is>
      </c>
      <c r="R64" s="96" t="inlineStr">
        <is>
          <t>월배당</t>
        </is>
      </c>
      <c r="S64" s="97" t="n">
        <v>11</v>
      </c>
      <c r="T64" s="74" t="n">
        <v>1</v>
      </c>
      <c r="U64" s="78" t="n">
        <v>0.0232</v>
      </c>
      <c r="V64" s="78" t="n">
        <v>-0.0036</v>
      </c>
      <c r="W64" s="78" t="n">
        <v>-0.0017</v>
      </c>
      <c r="X64" s="78" t="n">
        <v>0.0002</v>
      </c>
      <c r="Y64" s="96" t="inlineStr">
        <is>
          <t>20250922~20261002</t>
        </is>
      </c>
      <c r="Z64" s="96" t="inlineStr"/>
      <c r="AA64">
        <f>IF(AND($J64&lt;&gt;"",OR(조회_주기="전체",$R64=조회_주기),$J64&gt;=조회_최소,$J64&lt;=조회_최대),1,0)</f>
        <v/>
      </c>
      <c r="AB64">
        <f>IF($AA64=1,$AB63+1,$AB63)</f>
        <v/>
      </c>
      <c r="AC64">
        <f>IF(검색어="",1,IF(ISNUMBER(SEARCH(검색어,$A64)),1,0))</f>
        <v/>
      </c>
      <c r="AD64">
        <f>IF($AC64=1,$AD63+1,$AD63)</f>
        <v/>
      </c>
      <c r="AE64">
        <f>IFERROR(INDEX($A$4:$A$594,MATCH(61,$AD$4:$AD$594,0)),"")</f>
        <v/>
      </c>
    </row>
    <row r="65">
      <c r="A65" s="96" t="inlineStr">
        <is>
          <t>RISE 국고채3년</t>
        </is>
      </c>
      <c r="B65" s="96" t="inlineStr">
        <is>
          <t>114100</t>
        </is>
      </c>
      <c r="C65" s="96" t="inlineStr">
        <is>
          <t>KB자산운용</t>
        </is>
      </c>
      <c r="D65" s="97" t="n">
        <v>106290</v>
      </c>
      <c r="E65" s="97" t="n">
        <v>89283600000</v>
      </c>
      <c r="F65" s="97" t="n">
        <v>855561077</v>
      </c>
      <c r="G65" s="74" t="n">
        <v>0.00115</v>
      </c>
      <c r="H65" s="74" t="n">
        <v>0.0258</v>
      </c>
      <c r="I65" s="74" t="n">
        <v>0.005600000000000001</v>
      </c>
      <c r="J65" s="74" t="n">
        <v>0.026691</v>
      </c>
      <c r="K65" s="97" t="n">
        <v>20</v>
      </c>
      <c r="L65" s="98" t="inlineStr">
        <is>
          <t>20260908</t>
        </is>
      </c>
      <c r="M65" s="96" t="inlineStr">
        <is>
          <t>채택</t>
        </is>
      </c>
      <c r="N65" s="96" t="inlineStr"/>
      <c r="O65" s="96" t="inlineStr">
        <is>
          <t>KTB Index</t>
        </is>
      </c>
      <c r="P65" s="96" t="inlineStr">
        <is>
          <t>일반</t>
        </is>
      </c>
      <c r="Q65" s="96" t="inlineStr">
        <is>
          <t>채권</t>
        </is>
      </c>
      <c r="R65" s="96" t="inlineStr">
        <is>
          <t>분기배당</t>
        </is>
      </c>
      <c r="S65" s="97" t="n">
        <v>4</v>
      </c>
      <c r="T65" s="74" t="n">
        <v>1</v>
      </c>
      <c r="U65" s="78" t="n">
        <v>-0.006500000000000001</v>
      </c>
      <c r="V65" s="78" t="n">
        <v>-0.0323</v>
      </c>
      <c r="W65" s="78" t="n">
        <v>-0.008699999999999999</v>
      </c>
      <c r="X65" s="78" t="n">
        <v>0.0001</v>
      </c>
      <c r="Y65" s="96" t="inlineStr">
        <is>
          <t>20250922~20261002</t>
        </is>
      </c>
      <c r="Z65" s="96" t="inlineStr"/>
      <c r="AA65">
        <f>IF(AND($J65&lt;&gt;"",OR(조회_주기="전체",$R65=조회_주기),$J65&gt;=조회_최소,$J65&lt;=조회_최대),1,0)</f>
        <v/>
      </c>
      <c r="AB65">
        <f>IF($AA65=1,$AB64+1,$AB64)</f>
        <v/>
      </c>
      <c r="AC65">
        <f>IF(검색어="",1,IF(ISNUMBER(SEARCH(검색어,$A65)),1,0))</f>
        <v/>
      </c>
      <c r="AD65">
        <f>IF($AC65=1,$AD64+1,$AD64)</f>
        <v/>
      </c>
      <c r="AE65">
        <f>IFERROR(INDEX($A$4:$A$594,MATCH(62,$AD$4:$AD$594,0)),"")</f>
        <v/>
      </c>
    </row>
    <row r="66">
      <c r="A66" s="96" t="inlineStr">
        <is>
          <t>KODEX KOFR금리액티브(합성)</t>
        </is>
      </c>
      <c r="B66" s="96" t="inlineStr">
        <is>
          <t>423160</t>
        </is>
      </c>
      <c r="C66" s="96" t="inlineStr">
        <is>
          <t>삼성자산운용(ETF)</t>
        </is>
      </c>
      <c r="D66" s="97" t="n">
        <v>110715</v>
      </c>
      <c r="E66" s="97" t="n">
        <v>3497708280000</v>
      </c>
      <c r="F66" s="97" t="n">
        <v>10963878976</v>
      </c>
      <c r="G66" s="74" t="n">
        <v>0.0005</v>
      </c>
      <c r="H66" s="74" t="n">
        <v>0.007800000000000001</v>
      </c>
      <c r="I66" s="74" t="n">
        <v>0.0024</v>
      </c>
      <c r="J66" s="74" t="n">
        <v>0.026383</v>
      </c>
      <c r="K66" s="97" t="n">
        <v>15</v>
      </c>
      <c r="L66" s="98" t="inlineStr">
        <is>
          <t>20260929</t>
        </is>
      </c>
      <c r="M66" s="96" t="inlineStr">
        <is>
          <t>채택</t>
        </is>
      </c>
      <c r="N66" s="96" t="inlineStr"/>
      <c r="O66" s="96" t="inlineStr">
        <is>
          <t>KOFR 인덱스</t>
        </is>
      </c>
      <c r="P66" s="96" t="inlineStr">
        <is>
          <t>일반</t>
        </is>
      </c>
      <c r="Q66" s="96" t="inlineStr">
        <is>
          <t>단기자금(파킹형)</t>
        </is>
      </c>
      <c r="R66" s="96" t="inlineStr">
        <is>
          <t>월배당</t>
        </is>
      </c>
      <c r="S66" s="97" t="n">
        <v>11</v>
      </c>
      <c r="T66" s="74" t="n">
        <v>1</v>
      </c>
      <c r="U66" s="78" t="n">
        <v>0.0253</v>
      </c>
      <c r="V66" s="78" t="n">
        <v>-0.0011</v>
      </c>
      <c r="W66" s="78" t="n">
        <v>0.0002</v>
      </c>
      <c r="X66" s="78" t="n">
        <v>0.0002</v>
      </c>
      <c r="Y66" s="96" t="inlineStr">
        <is>
          <t>20250922~20261002</t>
        </is>
      </c>
      <c r="Z66" s="96" t="inlineStr"/>
      <c r="AA66">
        <f>IF(AND($J66&lt;&gt;"",OR(조회_주기="전체",$R66=조회_주기),$J66&gt;=조회_최소,$J66&lt;=조회_최대),1,0)</f>
        <v/>
      </c>
      <c r="AB66">
        <f>IF($AA66=1,$AB65+1,$AB65)</f>
        <v/>
      </c>
      <c r="AC66">
        <f>IF(검색어="",1,IF(ISNUMBER(SEARCH(검색어,$A66)),1,0))</f>
        <v/>
      </c>
      <c r="AD66">
        <f>IF($AC66=1,$AD65+1,$AD65)</f>
        <v/>
      </c>
      <c r="AE66">
        <f>IFERROR(INDEX($A$4:$A$594,MATCH(63,$AD$4:$AD$594,0)),"")</f>
        <v/>
      </c>
    </row>
    <row r="67">
      <c r="A67" s="96" t="inlineStr">
        <is>
          <t>KODEX TRF3070</t>
        </is>
      </c>
      <c r="B67" s="96" t="inlineStr">
        <is>
          <t>329650</t>
        </is>
      </c>
      <c r="C67" s="96" t="inlineStr">
        <is>
          <t>삼성자산운용(ETF)</t>
        </is>
      </c>
      <c r="D67" s="97" t="n">
        <v>13980</v>
      </c>
      <c r="E67" s="97" t="n">
        <v>230670000000</v>
      </c>
      <c r="F67" s="97" t="n">
        <v>575127569</v>
      </c>
      <c r="G67" s="74" t="n">
        <v>0.0024</v>
      </c>
      <c r="H67" s="74" t="n">
        <v>0.049</v>
      </c>
      <c r="I67" s="74" t="n">
        <v>0.0022</v>
      </c>
      <c r="J67" s="74" t="n">
        <v>0.025966</v>
      </c>
      <c r="K67" s="97" t="n">
        <v>14</v>
      </c>
      <c r="L67" s="98" t="inlineStr">
        <is>
          <t>20260914</t>
        </is>
      </c>
      <c r="M67" s="96" t="inlineStr">
        <is>
          <t>채택</t>
        </is>
      </c>
      <c r="N67" s="96" t="inlineStr"/>
      <c r="O67" s="96" t="inlineStr">
        <is>
          <t>FnGuide TRF 3070 지수</t>
        </is>
      </c>
      <c r="P67" s="96" t="inlineStr">
        <is>
          <t>일반</t>
        </is>
      </c>
      <c r="Q67" s="96" t="inlineStr">
        <is>
          <t>멀티에셋</t>
        </is>
      </c>
      <c r="R67" s="96" t="inlineStr">
        <is>
          <t>월배당</t>
        </is>
      </c>
      <c r="S67" s="97" t="n">
        <v>11</v>
      </c>
      <c r="T67" s="74" t="n">
        <v>1</v>
      </c>
      <c r="U67" s="78" t="n">
        <v>0.0119</v>
      </c>
      <c r="V67" s="78" t="n">
        <v>-0.0137</v>
      </c>
      <c r="W67" s="78" t="n">
        <v>-0.0253</v>
      </c>
      <c r="X67" s="78" t="n">
        <v>-0.0369</v>
      </c>
      <c r="Y67" s="96" t="inlineStr">
        <is>
          <t>20250922~20261002</t>
        </is>
      </c>
      <c r="Z67" s="96" t="inlineStr"/>
      <c r="AA67">
        <f>IF(AND($J67&lt;&gt;"",OR(조회_주기="전체",$R67=조회_주기),$J67&gt;=조회_최소,$J67&lt;=조회_최대),1,0)</f>
        <v/>
      </c>
      <c r="AB67">
        <f>IF($AA67=1,$AB66+1,$AB66)</f>
        <v/>
      </c>
      <c r="AC67">
        <f>IF(검색어="",1,IF(ISNUMBER(SEARCH(검색어,$A67)),1,0))</f>
        <v/>
      </c>
      <c r="AD67">
        <f>IF($AC67=1,$AD66+1,$AD66)</f>
        <v/>
      </c>
      <c r="AE67">
        <f>IFERROR(INDEX($A$4:$A$594,MATCH(64,$AD$4:$AD$594,0)),"")</f>
        <v/>
      </c>
    </row>
    <row r="68">
      <c r="A68" s="96" t="inlineStr">
        <is>
          <t>RISE 중기우량회사채</t>
        </is>
      </c>
      <c r="B68" s="96" t="inlineStr">
        <is>
          <t>136340</t>
        </is>
      </c>
      <c r="C68" s="96" t="inlineStr">
        <is>
          <t>KB자산운용</t>
        </is>
      </c>
      <c r="D68" s="97" t="n">
        <v>104140</v>
      </c>
      <c r="E68" s="97" t="n">
        <v>291175440000</v>
      </c>
      <c r="F68" s="97" t="n">
        <v>730276417</v>
      </c>
      <c r="G68" s="74" t="n">
        <v>0.0007000000000000001</v>
      </c>
      <c r="H68" s="74" t="n">
        <v>0.0221</v>
      </c>
      <c r="I68" s="74" t="n">
        <v>0.0023</v>
      </c>
      <c r="J68" s="74" t="n">
        <v>0.025917</v>
      </c>
      <c r="K68" s="97" t="n">
        <v>46</v>
      </c>
      <c r="L68" s="98" t="inlineStr">
        <is>
          <t>20260929</t>
        </is>
      </c>
      <c r="M68" s="96" t="inlineStr">
        <is>
          <t>채택</t>
        </is>
      </c>
      <c r="N68" s="96" t="inlineStr"/>
      <c r="O68" s="96" t="inlineStr">
        <is>
          <t>KOBI Credit</t>
        </is>
      </c>
      <c r="P68" s="96" t="inlineStr">
        <is>
          <t>일반</t>
        </is>
      </c>
      <c r="Q68" s="96" t="inlineStr">
        <is>
          <t>채권</t>
        </is>
      </c>
      <c r="R68" s="96" t="inlineStr">
        <is>
          <t>월배당</t>
        </is>
      </c>
      <c r="S68" s="97" t="n">
        <v>11</v>
      </c>
      <c r="T68" s="74" t="n">
        <v>1</v>
      </c>
      <c r="U68" s="78" t="n">
        <v>-0.008399999999999999</v>
      </c>
      <c r="V68" s="78" t="n">
        <v>-0.0335</v>
      </c>
      <c r="W68" s="78" t="n">
        <v>-0.004500000000000001</v>
      </c>
      <c r="X68" s="78" t="n">
        <v>0.0015</v>
      </c>
      <c r="Y68" s="96" t="inlineStr">
        <is>
          <t>20250922~20261002</t>
        </is>
      </c>
      <c r="Z68" s="96" t="inlineStr"/>
      <c r="AA68">
        <f>IF(AND($J68&lt;&gt;"",OR(조회_주기="전체",$R68=조회_주기),$J68&gt;=조회_최소,$J68&lt;=조회_최대),1,0)</f>
        <v/>
      </c>
      <c r="AB68">
        <f>IF($AA68=1,$AB67+1,$AB67)</f>
        <v/>
      </c>
      <c r="AC68">
        <f>IF(검색어="",1,IF(ISNUMBER(SEARCH(검색어,$A68)),1,0))</f>
        <v/>
      </c>
      <c r="AD68">
        <f>IF($AC68=1,$AD67+1,$AD67)</f>
        <v/>
      </c>
      <c r="AE68">
        <f>IFERROR(INDEX($A$4:$A$594,MATCH(65,$AD$4:$AD$594,0)),"")</f>
        <v/>
      </c>
    </row>
    <row r="69">
      <c r="A69" s="96" t="inlineStr">
        <is>
          <t>ACE 단기통안채</t>
        </is>
      </c>
      <c r="B69" s="96" t="inlineStr">
        <is>
          <t>190620</t>
        </is>
      </c>
      <c r="C69" s="96" t="inlineStr">
        <is>
          <t>한국투신운용(ETF)</t>
        </is>
      </c>
      <c r="D69" s="97" t="n">
        <v>102235</v>
      </c>
      <c r="E69" s="97" t="n">
        <v>261312660000</v>
      </c>
      <c r="F69" s="97" t="n">
        <v>2143606187</v>
      </c>
      <c r="G69" s="74" t="n">
        <v>0.0007000000000000001</v>
      </c>
      <c r="H69" s="74" t="n">
        <v>0.0255</v>
      </c>
      <c r="I69" s="74" t="n">
        <v>0.0251</v>
      </c>
      <c r="J69" s="74" t="n">
        <v>0.025236</v>
      </c>
      <c r="K69" s="97" t="n">
        <v>5</v>
      </c>
      <c r="L69" s="98" t="inlineStr">
        <is>
          <t>20251229</t>
        </is>
      </c>
      <c r="M69" s="96" t="inlineStr">
        <is>
          <t>채택</t>
        </is>
      </c>
      <c r="N69" s="96" t="inlineStr"/>
      <c r="O69" s="96" t="inlineStr">
        <is>
          <t>KIS MSB 단기 Index</t>
        </is>
      </c>
      <c r="P69" s="96" t="inlineStr">
        <is>
          <t>일반</t>
        </is>
      </c>
      <c r="Q69" s="96" t="inlineStr">
        <is>
          <t>채권</t>
        </is>
      </c>
      <c r="R69" s="96" t="inlineStr">
        <is>
          <t>연배당</t>
        </is>
      </c>
      <c r="S69" s="97" t="n">
        <v>1</v>
      </c>
      <c r="T69" s="74" t="n">
        <v>1</v>
      </c>
      <c r="U69" s="78" t="n">
        <v>0.0238</v>
      </c>
      <c r="V69" s="78" t="n">
        <v>-0.0014</v>
      </c>
      <c r="W69" s="78" t="n">
        <v>0.0131</v>
      </c>
      <c r="X69" s="78" t="n">
        <v>0.0069</v>
      </c>
      <c r="Y69" s="96" t="inlineStr">
        <is>
          <t>20250922~20261002</t>
        </is>
      </c>
      <c r="Z69" s="96" t="inlineStr"/>
      <c r="AA69">
        <f>IF(AND($J69&lt;&gt;"",OR(조회_주기="전체",$R69=조회_주기),$J69&gt;=조회_최소,$J69&lt;=조회_최대),1,0)</f>
        <v/>
      </c>
      <c r="AB69">
        <f>IF($AA69=1,$AB68+1,$AB68)</f>
        <v/>
      </c>
      <c r="AC69">
        <f>IF(검색어="",1,IF(ISNUMBER(SEARCH(검색어,$A69)),1,0))</f>
        <v/>
      </c>
      <c r="AD69">
        <f>IF($AC69=1,$AD68+1,$AD68)</f>
        <v/>
      </c>
      <c r="AE69">
        <f>IFERROR(INDEX($A$4:$A$594,MATCH(66,$AD$4:$AD$594,0)),"")</f>
        <v/>
      </c>
    </row>
    <row r="70">
      <c r="A70" s="96" t="inlineStr">
        <is>
          <t>KODEX 단기채권</t>
        </is>
      </c>
      <c r="B70" s="96" t="inlineStr">
        <is>
          <t>153130</t>
        </is>
      </c>
      <c r="C70" s="96" t="inlineStr">
        <is>
          <t>삼성자산운용(ETF)</t>
        </is>
      </c>
      <c r="D70" s="97" t="n">
        <v>113265</v>
      </c>
      <c r="E70" s="97" t="n">
        <v>986311620000</v>
      </c>
      <c r="F70" s="97" t="n">
        <v>2888657001</v>
      </c>
      <c r="G70" s="74" t="n">
        <v>0.0015</v>
      </c>
      <c r="H70" s="74" t="n">
        <v>0.0074</v>
      </c>
      <c r="I70" s="74" t="n">
        <v>0.0022</v>
      </c>
      <c r="J70" s="74" t="n">
        <v>0.025145</v>
      </c>
      <c r="K70" s="97" t="n">
        <v>14</v>
      </c>
      <c r="L70" s="98" t="inlineStr">
        <is>
          <t>20260914</t>
        </is>
      </c>
      <c r="M70" s="96" t="inlineStr">
        <is>
          <t>채택</t>
        </is>
      </c>
      <c r="N70" s="96" t="inlineStr"/>
      <c r="O70" s="96" t="inlineStr">
        <is>
          <t>KRW Cash Index</t>
        </is>
      </c>
      <c r="P70" s="96" t="inlineStr">
        <is>
          <t>일반</t>
        </is>
      </c>
      <c r="Q70" s="96" t="inlineStr">
        <is>
          <t>채권</t>
        </is>
      </c>
      <c r="R70" s="96" t="inlineStr">
        <is>
          <t>월배당</t>
        </is>
      </c>
      <c r="S70" s="97" t="n">
        <v>11</v>
      </c>
      <c r="T70" s="74" t="n">
        <v>1</v>
      </c>
      <c r="U70" s="78" t="n">
        <v>0.0222</v>
      </c>
      <c r="V70" s="78" t="n">
        <v>-0.0028</v>
      </c>
      <c r="W70" s="78" t="n">
        <v>-0.0007000000000000001</v>
      </c>
      <c r="X70" s="78" t="n">
        <v>-0.0001</v>
      </c>
      <c r="Y70" s="96" t="inlineStr">
        <is>
          <t>20250922~20261002</t>
        </is>
      </c>
      <c r="Z70" s="96" t="inlineStr"/>
      <c r="AA70">
        <f>IF(AND($J70&lt;&gt;"",OR(조회_주기="전체",$R70=조회_주기),$J70&gt;=조회_최소,$J70&lt;=조회_최대),1,0)</f>
        <v/>
      </c>
      <c r="AB70">
        <f>IF($AA70=1,$AB69+1,$AB69)</f>
        <v/>
      </c>
      <c r="AC70">
        <f>IF(검색어="",1,IF(ISNUMBER(SEARCH(검색어,$A70)),1,0))</f>
        <v/>
      </c>
      <c r="AD70">
        <f>IF($AC70=1,$AD69+1,$AD69)</f>
        <v/>
      </c>
      <c r="AE70">
        <f>IFERROR(INDEX($A$4:$A$594,MATCH(67,$AD$4:$AD$594,0)),"")</f>
        <v/>
      </c>
    </row>
    <row r="71">
      <c r="A71" s="96" t="inlineStr">
        <is>
          <t>KODEX 차이나CSI300</t>
        </is>
      </c>
      <c r="B71" s="96" t="inlineStr">
        <is>
          <t>283580</t>
        </is>
      </c>
      <c r="C71" s="96" t="inlineStr">
        <is>
          <t>삼성자산운용(ETF)</t>
        </is>
      </c>
      <c r="D71" s="97" t="n">
        <v>14020</v>
      </c>
      <c r="E71" s="97" t="n">
        <v>229227000000</v>
      </c>
      <c r="F71" s="97" t="n">
        <v>1820691849</v>
      </c>
      <c r="G71" s="74" t="n">
        <v>0.0012</v>
      </c>
      <c r="H71" s="74" t="n">
        <v>0.2232</v>
      </c>
      <c r="I71" s="74" t="n">
        <v>0.007900000000000001</v>
      </c>
      <c r="J71" s="74" t="n">
        <v>0.02475</v>
      </c>
      <c r="K71" s="97" t="n">
        <v>7</v>
      </c>
      <c r="L71" s="98" t="inlineStr">
        <is>
          <t>20260730</t>
        </is>
      </c>
      <c r="M71" s="96" t="inlineStr">
        <is>
          <t>채택</t>
        </is>
      </c>
      <c r="N71" s="96" t="inlineStr"/>
      <c r="O71" s="96" t="inlineStr">
        <is>
          <t>CSI 300 INDEX</t>
        </is>
      </c>
      <c r="P71" s="96" t="inlineStr">
        <is>
          <t>일반</t>
        </is>
      </c>
      <c r="Q71" s="96" t="inlineStr">
        <is>
          <t>주식</t>
        </is>
      </c>
      <c r="R71" s="96" t="inlineStr">
        <is>
          <t>분기배당</t>
        </is>
      </c>
      <c r="S71" s="97" t="n">
        <v>3</v>
      </c>
      <c r="T71" s="74" t="n">
        <v>1</v>
      </c>
      <c r="U71" s="78" t="n">
        <v>0.0198</v>
      </c>
      <c r="V71" s="78" t="n">
        <v>-0.0044</v>
      </c>
      <c r="W71" s="78" t="n">
        <v>-0.0977</v>
      </c>
      <c r="X71" s="78" t="n">
        <v>-0.188</v>
      </c>
      <c r="Y71" s="96" t="inlineStr">
        <is>
          <t>20250922~20261002</t>
        </is>
      </c>
      <c r="Z71" s="96" t="inlineStr"/>
      <c r="AA71">
        <f>IF(AND($J71&lt;&gt;"",OR(조회_주기="전체",$R71=조회_주기),$J71&gt;=조회_최소,$J71&lt;=조회_최대),1,0)</f>
        <v/>
      </c>
      <c r="AB71">
        <f>IF($AA71=1,$AB70+1,$AB70)</f>
        <v/>
      </c>
      <c r="AC71">
        <f>IF(검색어="",1,IF(ISNUMBER(SEARCH(검색어,$A71)),1,0))</f>
        <v/>
      </c>
      <c r="AD71">
        <f>IF($AC71=1,$AD70+1,$AD70)</f>
        <v/>
      </c>
      <c r="AE71">
        <f>IFERROR(INDEX($A$4:$A$594,MATCH(68,$AD$4:$AD$594,0)),"")</f>
        <v/>
      </c>
    </row>
    <row r="72">
      <c r="A72" s="96" t="inlineStr">
        <is>
          <t>ACE 미국S&amp;P500미국채혼합50액티브</t>
        </is>
      </c>
      <c r="B72" s="96" t="inlineStr">
        <is>
          <t>438080</t>
        </is>
      </c>
      <c r="C72" s="96" t="inlineStr">
        <is>
          <t>한국투자신탁운용</t>
        </is>
      </c>
      <c r="D72" s="97" t="n">
        <v>13770</v>
      </c>
      <c r="E72" s="97" t="n">
        <v>1236546000000</v>
      </c>
      <c r="F72" s="97" t="n">
        <v>6219987377</v>
      </c>
      <c r="G72" s="74" t="n">
        <v>0.0015</v>
      </c>
      <c r="H72" s="74" t="n">
        <v>0.0999</v>
      </c>
      <c r="I72" s="74" t="n">
        <v>0.0236</v>
      </c>
      <c r="J72" s="74" t="n">
        <v>0.024256</v>
      </c>
      <c r="K72" s="97" t="n">
        <v>1</v>
      </c>
      <c r="L72" s="98" t="inlineStr">
        <is>
          <t>20251229</t>
        </is>
      </c>
      <c r="M72" s="96" t="inlineStr">
        <is>
          <t>채택</t>
        </is>
      </c>
      <c r="N72" s="96" t="inlineStr"/>
      <c r="O72" s="96" t="inlineStr">
        <is>
          <t>S&amp;P 500 and Short-Term Treasury 50/50 Blend Index (USD)</t>
        </is>
      </c>
      <c r="P72" s="96" t="inlineStr">
        <is>
          <t>일반</t>
        </is>
      </c>
      <c r="Q72" s="96" t="inlineStr">
        <is>
          <t>멀티에셋</t>
        </is>
      </c>
      <c r="R72" s="96" t="inlineStr">
        <is>
          <t>연배당</t>
        </is>
      </c>
      <c r="S72" s="97" t="n">
        <v>1</v>
      </c>
      <c r="T72" s="74" t="n">
        <v>1</v>
      </c>
      <c r="U72" s="78" t="n">
        <v>0.057</v>
      </c>
      <c r="V72" s="78" t="n">
        <v>0.0319</v>
      </c>
      <c r="W72" s="78" t="n">
        <v>-0.0218</v>
      </c>
      <c r="X72" s="78" t="n">
        <v>-0.1008</v>
      </c>
      <c r="Y72" s="96" t="inlineStr">
        <is>
          <t>20250922~20261002</t>
        </is>
      </c>
      <c r="Z72" s="96" t="inlineStr"/>
      <c r="AA72">
        <f>IF(AND($J72&lt;&gt;"",OR(조회_주기="전체",$R72=조회_주기),$J72&gt;=조회_최소,$J72&lt;=조회_최대),1,0)</f>
        <v/>
      </c>
      <c r="AB72">
        <f>IF($AA72=1,$AB71+1,$AB71)</f>
        <v/>
      </c>
      <c r="AC72">
        <f>IF(검색어="",1,IF(ISNUMBER(SEARCH(검색어,$A72)),1,0))</f>
        <v/>
      </c>
      <c r="AD72">
        <f>IF($AC72=1,$AD71+1,$AD71)</f>
        <v/>
      </c>
      <c r="AE72">
        <f>IFERROR(INDEX($A$4:$A$594,MATCH(69,$AD$4:$AD$594,0)),"")</f>
        <v/>
      </c>
    </row>
    <row r="73">
      <c r="A73" s="96" t="inlineStr">
        <is>
          <t>SOL 종합채권(AA-이상)액티브</t>
        </is>
      </c>
      <c r="B73" s="96" t="inlineStr">
        <is>
          <t>436140</t>
        </is>
      </c>
      <c r="C73" s="96" t="inlineStr">
        <is>
          <t>신한자산운용</t>
        </is>
      </c>
      <c r="D73" s="97" t="n">
        <v>106815</v>
      </c>
      <c r="E73" s="97" t="n">
        <v>1280284590000</v>
      </c>
      <c r="F73" s="97" t="n">
        <v>1214290026</v>
      </c>
      <c r="G73" s="74" t="n">
        <v>0.0004</v>
      </c>
      <c r="H73" s="74" t="n">
        <v>0.0464</v>
      </c>
      <c r="I73" s="74" t="n">
        <v>0.0212</v>
      </c>
      <c r="J73" s="74" t="n">
        <v>0.022282</v>
      </c>
      <c r="K73" s="97" t="n">
        <v>1</v>
      </c>
      <c r="L73" s="98" t="inlineStr">
        <is>
          <t>20251212</t>
        </is>
      </c>
      <c r="M73" s="96" t="inlineStr">
        <is>
          <t>채택</t>
        </is>
      </c>
      <c r="N73" s="96" t="inlineStr"/>
      <c r="O73" s="96" t="inlineStr">
        <is>
          <t>KAP K-종합채권지수(AA-이상, 총수익)</t>
        </is>
      </c>
      <c r="P73" s="96" t="inlineStr">
        <is>
          <t>일반</t>
        </is>
      </c>
      <c r="Q73" s="96" t="inlineStr">
        <is>
          <t>채권</t>
        </is>
      </c>
      <c r="R73" s="96" t="inlineStr">
        <is>
          <t>연배당</t>
        </is>
      </c>
      <c r="S73" s="97" t="n">
        <v>1</v>
      </c>
      <c r="T73" s="74" t="n">
        <v>1</v>
      </c>
      <c r="U73" s="78" t="n">
        <v>-0.0579</v>
      </c>
      <c r="V73" s="78" t="n">
        <v>-0.0784</v>
      </c>
      <c r="W73" s="78" t="n">
        <v>-0.0197</v>
      </c>
      <c r="X73" s="78" t="n">
        <v>0.0029</v>
      </c>
      <c r="Y73" s="96" t="inlineStr">
        <is>
          <t>20250922~20261002</t>
        </is>
      </c>
      <c r="Z73" s="96" t="inlineStr"/>
      <c r="AA73">
        <f>IF(AND($J73&lt;&gt;"",OR(조회_주기="전체",$R73=조회_주기),$J73&gt;=조회_최소,$J73&lt;=조회_최대),1,0)</f>
        <v/>
      </c>
      <c r="AB73">
        <f>IF($AA73=1,$AB72+1,$AB72)</f>
        <v/>
      </c>
      <c r="AC73">
        <f>IF(검색어="",1,IF(ISNUMBER(SEARCH(검색어,$A73)),1,0))</f>
        <v/>
      </c>
      <c r="AD73">
        <f>IF($AC73=1,$AD72+1,$AD72)</f>
        <v/>
      </c>
      <c r="AE73">
        <f>IFERROR(INDEX($A$4:$A$594,MATCH(70,$AD$4:$AD$594,0)),"")</f>
        <v/>
      </c>
    </row>
    <row r="74">
      <c r="A74" s="96" t="inlineStr">
        <is>
          <t>TIGER 미국S&amp;P500배당귀족</t>
        </is>
      </c>
      <c r="B74" s="96" t="inlineStr">
        <is>
          <t>429000</t>
        </is>
      </c>
      <c r="C74" s="96" t="inlineStr">
        <is>
          <t>미래에셋자산운용</t>
        </is>
      </c>
      <c r="D74" s="97" t="n">
        <v>12455</v>
      </c>
      <c r="E74" s="97" t="n">
        <v>179352000000</v>
      </c>
      <c r="F74" s="97" t="n">
        <v>1174193580</v>
      </c>
      <c r="G74" s="74" t="n">
        <v>0.0025</v>
      </c>
      <c r="H74" s="74" t="n">
        <v>0.1473</v>
      </c>
      <c r="I74" s="74" t="n">
        <v>0.002</v>
      </c>
      <c r="J74" s="74" t="n">
        <v>0.02216</v>
      </c>
      <c r="K74" s="97" t="n">
        <v>49</v>
      </c>
      <c r="L74" s="98" t="inlineStr">
        <is>
          <t>20260929</t>
        </is>
      </c>
      <c r="M74" s="96" t="inlineStr">
        <is>
          <t>채택</t>
        </is>
      </c>
      <c r="N74" s="96" t="inlineStr"/>
      <c r="O74" s="96" t="inlineStr">
        <is>
          <t>S&amp;P 500 Dividend Aristocrats Index</t>
        </is>
      </c>
      <c r="P74" s="96" t="inlineStr">
        <is>
          <t>일반</t>
        </is>
      </c>
      <c r="Q74" s="96" t="inlineStr">
        <is>
          <t>주식</t>
        </is>
      </c>
      <c r="R74" s="96" t="inlineStr">
        <is>
          <t>월배당</t>
        </is>
      </c>
      <c r="S74" s="97" t="n">
        <v>11</v>
      </c>
      <c r="T74" s="74" t="n">
        <v>1</v>
      </c>
      <c r="U74" s="78" t="n">
        <v>0.0406</v>
      </c>
      <c r="V74" s="78" t="n">
        <v>0.0179</v>
      </c>
      <c r="W74" s="78" t="n">
        <v>-0.08359999999999999</v>
      </c>
      <c r="X74" s="78" t="n">
        <v>-0.1691</v>
      </c>
      <c r="Y74" s="96" t="inlineStr">
        <is>
          <t>20250922~20261002</t>
        </is>
      </c>
      <c r="Z74" s="96" t="inlineStr"/>
      <c r="AA74">
        <f>IF(AND($J74&lt;&gt;"",OR(조회_주기="전체",$R74=조회_주기),$J74&gt;=조회_최소,$J74&lt;=조회_최대),1,0)</f>
        <v/>
      </c>
      <c r="AB74">
        <f>IF($AA74=1,$AB73+1,$AB73)</f>
        <v/>
      </c>
      <c r="AC74">
        <f>IF(검색어="",1,IF(ISNUMBER(SEARCH(검색어,$A74)),1,0))</f>
        <v/>
      </c>
      <c r="AD74">
        <f>IF($AC74=1,$AD73+1,$AD73)</f>
        <v/>
      </c>
      <c r="AE74">
        <f>IFERROR(INDEX($A$4:$A$594,MATCH(71,$AD$4:$AD$594,0)),"")</f>
        <v/>
      </c>
    </row>
    <row r="75">
      <c r="A75" s="96" t="inlineStr">
        <is>
          <t>TIGER 일본엔선물</t>
        </is>
      </c>
      <c r="B75" s="96" t="inlineStr">
        <is>
          <t>292560</t>
        </is>
      </c>
      <c r="C75" s="96" t="inlineStr">
        <is>
          <t>미래에셋자산운용</t>
        </is>
      </c>
      <c r="D75" s="97" t="n">
        <v>7925</v>
      </c>
      <c r="E75" s="97" t="n">
        <v>51512500000</v>
      </c>
      <c r="F75" s="97" t="n">
        <v>716182793</v>
      </c>
      <c r="G75" s="74" t="n">
        <v>0.0025</v>
      </c>
      <c r="H75" s="74" t="n">
        <v>0.1053</v>
      </c>
      <c r="I75" s="74" t="n">
        <v>0.0194</v>
      </c>
      <c r="J75" s="74" t="n">
        <v>0.021451</v>
      </c>
      <c r="K75" s="97" t="n">
        <v>1</v>
      </c>
      <c r="L75" s="98" t="inlineStr">
        <is>
          <t>20251229</t>
        </is>
      </c>
      <c r="M75" s="96" t="inlineStr">
        <is>
          <t>채택</t>
        </is>
      </c>
      <c r="N75" s="96" t="inlineStr"/>
      <c r="O75" s="96" t="inlineStr">
        <is>
          <t>엔선물 지수</t>
        </is>
      </c>
      <c r="P75" s="96" t="inlineStr">
        <is>
          <t>일반</t>
        </is>
      </c>
      <c r="Q75" s="96" t="inlineStr">
        <is>
          <t>통화</t>
        </is>
      </c>
      <c r="R75" s="96" t="inlineStr">
        <is>
          <t>연배당</t>
        </is>
      </c>
      <c r="S75" s="97" t="n">
        <v>1</v>
      </c>
      <c r="T75" s="74" t="n">
        <v>0</v>
      </c>
      <c r="U75" s="78" t="n">
        <v>-0.0919</v>
      </c>
      <c r="V75" s="78" t="n">
        <v>-0.111</v>
      </c>
      <c r="W75" s="78" t="n">
        <v>-0.094</v>
      </c>
      <c r="X75" s="78" t="n">
        <v>-0.09720000000000001</v>
      </c>
      <c r="Y75" s="96" t="inlineStr">
        <is>
          <t>20250922~20261002</t>
        </is>
      </c>
      <c r="Z75" s="96" t="inlineStr"/>
      <c r="AA75">
        <f>IF(AND($J75&lt;&gt;"",OR(조회_주기="전체",$R75=조회_주기),$J75&gt;=조회_최소,$J75&lt;=조회_최대),1,0)</f>
        <v/>
      </c>
      <c r="AB75">
        <f>IF($AA75=1,$AB74+1,$AB74)</f>
        <v/>
      </c>
      <c r="AC75">
        <f>IF(검색어="",1,IF(ISNUMBER(SEARCH(검색어,$A75)),1,0))</f>
        <v/>
      </c>
      <c r="AD75">
        <f>IF($AC75=1,$AD74+1,$AD74)</f>
        <v/>
      </c>
      <c r="AE75">
        <f>IFERROR(INDEX($A$4:$A$594,MATCH(72,$AD$4:$AD$594,0)),"")</f>
        <v/>
      </c>
    </row>
    <row r="76">
      <c r="A76" s="96" t="inlineStr">
        <is>
          <t>KODEX 삼성전자채권혼합</t>
        </is>
      </c>
      <c r="B76" s="96" t="inlineStr">
        <is>
          <t>448330</t>
        </is>
      </c>
      <c r="C76" s="96" t="inlineStr">
        <is>
          <t>삼성자산운용(ETF)</t>
        </is>
      </c>
      <c r="D76" s="97" t="n">
        <v>17700</v>
      </c>
      <c r="E76" s="97" t="n">
        <v>1308030000000</v>
      </c>
      <c r="F76" s="97" t="n">
        <v>11650624801</v>
      </c>
      <c r="G76" s="74" t="n">
        <v>0.0007000000000000001</v>
      </c>
      <c r="H76" s="74" t="n">
        <v>0.2316</v>
      </c>
      <c r="I76" s="74" t="n">
        <v>0.0021</v>
      </c>
      <c r="J76" s="74" t="n">
        <v>0.020452</v>
      </c>
      <c r="K76" s="97" t="n">
        <v>24</v>
      </c>
      <c r="L76" s="98" t="inlineStr">
        <is>
          <t>20260914</t>
        </is>
      </c>
      <c r="M76" s="96" t="inlineStr">
        <is>
          <t>채택</t>
        </is>
      </c>
      <c r="N76" s="96" t="inlineStr"/>
      <c r="O76" s="96" t="inlineStr">
        <is>
          <t>Wise 삼성전자 채권혼합 지수</t>
        </is>
      </c>
      <c r="P76" s="96" t="inlineStr">
        <is>
          <t>일반</t>
        </is>
      </c>
      <c r="Q76" s="96" t="inlineStr">
        <is>
          <t>멀티에셋</t>
        </is>
      </c>
      <c r="R76" s="96" t="inlineStr">
        <is>
          <t>월배당</t>
        </is>
      </c>
      <c r="S76" s="97" t="n">
        <v>11</v>
      </c>
      <c r="T76" s="74" t="n">
        <v>1</v>
      </c>
      <c r="U76" s="78" t="n">
        <v>0.5051</v>
      </c>
      <c r="V76" s="78" t="n">
        <v>0.4751</v>
      </c>
      <c r="W76" s="78" t="n">
        <v>0.1614</v>
      </c>
      <c r="X76" s="78" t="n">
        <v>-0.014</v>
      </c>
      <c r="Y76" s="96" t="inlineStr">
        <is>
          <t>20250922~20261002</t>
        </is>
      </c>
      <c r="Z76" s="96" t="inlineStr"/>
      <c r="AA76">
        <f>IF(AND($J76&lt;&gt;"",OR(조회_주기="전체",$R76=조회_주기),$J76&gt;=조회_최소,$J76&lt;=조회_최대),1,0)</f>
        <v/>
      </c>
      <c r="AB76">
        <f>IF($AA76=1,$AB75+1,$AB75)</f>
        <v/>
      </c>
      <c r="AC76">
        <f>IF(검색어="",1,IF(ISNUMBER(SEARCH(검색어,$A76)),1,0))</f>
        <v/>
      </c>
      <c r="AD76">
        <f>IF($AC76=1,$AD75+1,$AD75)</f>
        <v/>
      </c>
      <c r="AE76">
        <f>IFERROR(INDEX($A$4:$A$594,MATCH(73,$AD$4:$AD$594,0)),"")</f>
        <v/>
      </c>
    </row>
    <row r="77">
      <c r="A77" s="96" t="inlineStr">
        <is>
          <t>KODEX 미국S&amp;P500</t>
        </is>
      </c>
      <c r="B77" s="96" t="inlineStr">
        <is>
          <t>379800</t>
        </is>
      </c>
      <c r="C77" s="96" t="inlineStr">
        <is>
          <t>삼성자산운용(ETF)</t>
        </is>
      </c>
      <c r="D77" s="97" t="n">
        <v>23430</v>
      </c>
      <c r="E77" s="97" t="n">
        <v>10399405500000</v>
      </c>
      <c r="F77" s="97" t="n">
        <v>664545668165</v>
      </c>
      <c r="G77" s="74" t="n">
        <v>6.2e-05</v>
      </c>
      <c r="H77" s="74" t="n">
        <v>0.1475</v>
      </c>
      <c r="I77" s="74" t="n">
        <v>0.0054</v>
      </c>
      <c r="J77" s="74" t="n">
        <v>0.020444</v>
      </c>
      <c r="K77" s="97" t="n">
        <v>6</v>
      </c>
      <c r="L77" s="98" t="inlineStr">
        <is>
          <t>20260730</t>
        </is>
      </c>
      <c r="M77" s="96" t="inlineStr">
        <is>
          <t>채택</t>
        </is>
      </c>
      <c r="N77" s="96" t="inlineStr"/>
      <c r="O77" s="96" t="inlineStr">
        <is>
          <t>S&amp;P 500</t>
        </is>
      </c>
      <c r="P77" s="96" t="inlineStr">
        <is>
          <t>일반</t>
        </is>
      </c>
      <c r="Q77" s="96" t="inlineStr">
        <is>
          <t>주식</t>
        </is>
      </c>
      <c r="R77" s="96" t="inlineStr">
        <is>
          <t>분기배당</t>
        </is>
      </c>
      <c r="S77" s="97" t="n">
        <v>3</v>
      </c>
      <c r="T77" s="74" t="n">
        <v>1</v>
      </c>
      <c r="U77" s="78" t="n">
        <v>0.1253</v>
      </c>
      <c r="V77" s="78" t="n">
        <v>0.1027</v>
      </c>
      <c r="W77" s="78" t="n">
        <v>0.0385</v>
      </c>
      <c r="X77" s="78" t="n">
        <v>-0.09619999999999999</v>
      </c>
      <c r="Y77" s="96" t="inlineStr">
        <is>
          <t>20250922~20261002</t>
        </is>
      </c>
      <c r="Z77" s="96" t="inlineStr"/>
      <c r="AA77">
        <f>IF(AND($J77&lt;&gt;"",OR(조회_주기="전체",$R77=조회_주기),$J77&gt;=조회_최소,$J77&lt;=조회_최대),1,0)</f>
        <v/>
      </c>
      <c r="AB77">
        <f>IF($AA77=1,$AB76+1,$AB76)</f>
        <v/>
      </c>
      <c r="AC77">
        <f>IF(검색어="",1,IF(ISNUMBER(SEARCH(검색어,$A77)),1,0))</f>
        <v/>
      </c>
      <c r="AD77">
        <f>IF($AC77=1,$AD76+1,$AD76)</f>
        <v/>
      </c>
      <c r="AE77">
        <f>IFERROR(INDEX($A$4:$A$594,MATCH(74,$AD$4:$AD$594,0)),"")</f>
        <v/>
      </c>
    </row>
    <row r="78">
      <c r="A78" s="96" t="inlineStr">
        <is>
          <t>SOL 미국S&amp;P500미국채혼합50</t>
        </is>
      </c>
      <c r="B78" s="96" t="inlineStr">
        <is>
          <t>0080X0</t>
        </is>
      </c>
      <c r="C78" s="96" t="inlineStr">
        <is>
          <t>신한자산운용</t>
        </is>
      </c>
      <c r="D78" s="97" t="n">
        <v>10555</v>
      </c>
      <c r="E78" s="97" t="n">
        <v>73885000000</v>
      </c>
      <c r="F78" s="97" t="n">
        <v>673568081</v>
      </c>
      <c r="G78" s="74" t="n">
        <v>0.0015</v>
      </c>
      <c r="H78" s="74" t="n">
        <v>0.1102</v>
      </c>
      <c r="I78" s="74" t="n">
        <v>0.0019</v>
      </c>
      <c r="J78" s="74" t="n">
        <v>0.020369</v>
      </c>
      <c r="K78" s="97" t="n">
        <v>13</v>
      </c>
      <c r="L78" s="98" t="inlineStr">
        <is>
          <t>20260914</t>
        </is>
      </c>
      <c r="M78" s="96" t="inlineStr">
        <is>
          <t>채택</t>
        </is>
      </c>
      <c r="N78" s="96" t="inlineStr"/>
      <c r="O78" s="96" t="inlineStr">
        <is>
          <t>S&amp;P 500 and iBoxx $ Treasuries 7-10Y 50/50 Blend Index (USD)</t>
        </is>
      </c>
      <c r="P78" s="96" t="inlineStr">
        <is>
          <t>일반</t>
        </is>
      </c>
      <c r="Q78" s="96" t="inlineStr">
        <is>
          <t>멀티에셋</t>
        </is>
      </c>
      <c r="R78" s="96" t="inlineStr">
        <is>
          <t>월배당</t>
        </is>
      </c>
      <c r="S78" s="97" t="n">
        <v>11</v>
      </c>
      <c r="T78" s="74" t="n">
        <v>1</v>
      </c>
      <c r="U78" s="78" t="n">
        <v>0.0201</v>
      </c>
      <c r="V78" s="78" t="n">
        <v>-0.0003</v>
      </c>
      <c r="W78" s="78" t="n">
        <v>-0.0617</v>
      </c>
      <c r="X78" s="78" t="n">
        <v>-0.1264</v>
      </c>
      <c r="Y78" s="96" t="inlineStr">
        <is>
          <t>20250922~20261002</t>
        </is>
      </c>
      <c r="Z78" s="96" t="inlineStr"/>
      <c r="AA78">
        <f>IF(AND($J78&lt;&gt;"",OR(조회_주기="전체",$R78=조회_주기),$J78&gt;=조회_최소,$J78&lt;=조회_최대),1,0)</f>
        <v/>
      </c>
      <c r="AB78">
        <f>IF($AA78=1,$AB77+1,$AB77)</f>
        <v/>
      </c>
      <c r="AC78">
        <f>IF(검색어="",1,IF(ISNUMBER(SEARCH(검색어,$A78)),1,0))</f>
        <v/>
      </c>
      <c r="AD78">
        <f>IF($AC78=1,$AD77+1,$AD77)</f>
        <v/>
      </c>
      <c r="AE78">
        <f>IFERROR(INDEX($A$4:$A$594,MATCH(75,$AD$4:$AD$594,0)),"")</f>
        <v/>
      </c>
    </row>
    <row r="79">
      <c r="A79" s="96" t="inlineStr">
        <is>
          <t>KODEX 국고채30년액티브</t>
        </is>
      </c>
      <c r="B79" s="96" t="inlineStr">
        <is>
          <t>439870</t>
        </is>
      </c>
      <c r="C79" s="96" t="inlineStr">
        <is>
          <t>삼성자산운용(ETF)</t>
        </is>
      </c>
      <c r="D79" s="97" t="n">
        <v>88880</v>
      </c>
      <c r="E79" s="97" t="n">
        <v>271261760000</v>
      </c>
      <c r="F79" s="97" t="n">
        <v>655893903</v>
      </c>
      <c r="G79" s="74" t="n">
        <v>0.0005</v>
      </c>
      <c r="H79" s="74" t="n">
        <v>0.1422</v>
      </c>
      <c r="I79" s="74" t="n">
        <v>0.0154</v>
      </c>
      <c r="J79" s="74" t="n">
        <v>0.019161</v>
      </c>
      <c r="K79" s="97" t="n">
        <v>1</v>
      </c>
      <c r="L79" s="98" t="inlineStr">
        <is>
          <t>20251212</t>
        </is>
      </c>
      <c r="M79" s="96" t="inlineStr">
        <is>
          <t>채택</t>
        </is>
      </c>
      <c r="N79" s="96" t="inlineStr"/>
      <c r="O79" s="96" t="inlineStr">
        <is>
          <t>KAP 국고채 30년 총수익 지수</t>
        </is>
      </c>
      <c r="P79" s="96" t="inlineStr">
        <is>
          <t>일반</t>
        </is>
      </c>
      <c r="Q79" s="96" t="inlineStr">
        <is>
          <t>채권</t>
        </is>
      </c>
      <c r="R79" s="96" t="inlineStr">
        <is>
          <t>연배당</t>
        </is>
      </c>
      <c r="S79" s="97" t="n">
        <v>1</v>
      </c>
      <c r="T79" s="74" t="n">
        <v>1</v>
      </c>
      <c r="U79" s="78" t="n">
        <v>-0.2591</v>
      </c>
      <c r="V79" s="78" t="n">
        <v>-0.273</v>
      </c>
      <c r="W79" s="78" t="n">
        <v>-0.1348</v>
      </c>
      <c r="X79" s="78" t="n">
        <v>-0.0138</v>
      </c>
      <c r="Y79" s="96" t="inlineStr">
        <is>
          <t>20250922~20261002</t>
        </is>
      </c>
      <c r="Z79" s="96" t="inlineStr"/>
      <c r="AA79">
        <f>IF(AND($J79&lt;&gt;"",OR(조회_주기="전체",$R79=조회_주기),$J79&gt;=조회_최소,$J79&lt;=조회_최대),1,0)</f>
        <v/>
      </c>
      <c r="AB79">
        <f>IF($AA79=1,$AB78+1,$AB78)</f>
        <v/>
      </c>
      <c r="AC79">
        <f>IF(검색어="",1,IF(ISNUMBER(SEARCH(검색어,$A79)),1,0))</f>
        <v/>
      </c>
      <c r="AD79">
        <f>IF($AC79=1,$AD78+1,$AD78)</f>
        <v/>
      </c>
      <c r="AE79">
        <f>IFERROR(INDEX($A$4:$A$594,MATCH(76,$AD$4:$AD$594,0)),"")</f>
        <v/>
      </c>
    </row>
    <row r="80">
      <c r="A80" s="96" t="inlineStr">
        <is>
          <t>ACE 미국나스닥100미국채혼합50액티브</t>
        </is>
      </c>
      <c r="B80" s="96" t="inlineStr">
        <is>
          <t>438100</t>
        </is>
      </c>
      <c r="C80" s="96" t="inlineStr">
        <is>
          <t>한국투자신탁운용</t>
        </is>
      </c>
      <c r="D80" s="97" t="n">
        <v>15160</v>
      </c>
      <c r="E80" s="97" t="n">
        <v>949016000000</v>
      </c>
      <c r="F80" s="97" t="n">
        <v>4558567817</v>
      </c>
      <c r="G80" s="74" t="n">
        <v>0.0015</v>
      </c>
      <c r="H80" s="74" t="n">
        <v>0.1151</v>
      </c>
      <c r="I80" s="74" t="n">
        <v>0.0193</v>
      </c>
      <c r="J80" s="74" t="n">
        <v>0.018997</v>
      </c>
      <c r="K80" s="97" t="n">
        <v>1</v>
      </c>
      <c r="L80" s="98" t="inlineStr">
        <is>
          <t>20251229</t>
        </is>
      </c>
      <c r="M80" s="96" t="inlineStr">
        <is>
          <t>채택</t>
        </is>
      </c>
      <c r="N80" s="96" t="inlineStr"/>
      <c r="O80" s="96" t="inlineStr">
        <is>
          <t>Nasdaq-100 US T-Bills 30/70 Index</t>
        </is>
      </c>
      <c r="P80" s="96" t="inlineStr">
        <is>
          <t>일반</t>
        </is>
      </c>
      <c r="Q80" s="96" t="inlineStr">
        <is>
          <t>멀티에셋</t>
        </is>
      </c>
      <c r="R80" s="96" t="inlineStr">
        <is>
          <t>연배당</t>
        </is>
      </c>
      <c r="S80" s="97" t="n">
        <v>1</v>
      </c>
      <c r="T80" s="74" t="n">
        <v>1</v>
      </c>
      <c r="U80" s="78" t="n">
        <v>0.09970000000000001</v>
      </c>
      <c r="V80" s="78" t="n">
        <v>0.07919999999999999</v>
      </c>
      <c r="W80" s="78" t="n">
        <v>0.0217</v>
      </c>
      <c r="X80" s="78" t="n">
        <v>-0.0953</v>
      </c>
      <c r="Y80" s="96" t="inlineStr">
        <is>
          <t>20250922~20261002</t>
        </is>
      </c>
      <c r="Z80" s="96" t="inlineStr"/>
      <c r="AA80">
        <f>IF(AND($J80&lt;&gt;"",OR(조회_주기="전체",$R80=조회_주기),$J80&gt;=조회_최소,$J80&lt;=조회_최대),1,0)</f>
        <v/>
      </c>
      <c r="AB80">
        <f>IF($AA80=1,$AB79+1,$AB79)</f>
        <v/>
      </c>
      <c r="AC80">
        <f>IF(검색어="",1,IF(ISNUMBER(SEARCH(검색어,$A80)),1,0))</f>
        <v/>
      </c>
      <c r="AD80">
        <f>IF($AC80=1,$AD79+1,$AD79)</f>
        <v/>
      </c>
      <c r="AE80">
        <f>IFERROR(INDEX($A$4:$A$594,MATCH(77,$AD$4:$AD$594,0)),"")</f>
        <v/>
      </c>
    </row>
    <row r="81">
      <c r="A81" s="96" t="inlineStr">
        <is>
          <t>RISE 단기채권알파액티브</t>
        </is>
      </c>
      <c r="B81" s="96" t="inlineStr">
        <is>
          <t>385550</t>
        </is>
      </c>
      <c r="C81" s="96" t="inlineStr">
        <is>
          <t>KB자산운용</t>
        </is>
      </c>
      <c r="D81" s="97" t="n">
        <v>114210</v>
      </c>
      <c r="E81" s="97" t="n">
        <v>399163950000</v>
      </c>
      <c r="F81" s="97" t="n">
        <v>542867178</v>
      </c>
      <c r="G81" s="74" t="n">
        <v>0.0005</v>
      </c>
      <c r="H81" s="74" t="n">
        <v>0.0185</v>
      </c>
      <c r="I81" s="74" t="n">
        <v>0.018</v>
      </c>
      <c r="J81" s="74" t="n">
        <v>0.017967</v>
      </c>
      <c r="K81" s="97" t="n">
        <v>1</v>
      </c>
      <c r="L81" s="98" t="inlineStr">
        <is>
          <t>20251212</t>
        </is>
      </c>
      <c r="M81" s="96" t="inlineStr">
        <is>
          <t>채택</t>
        </is>
      </c>
      <c r="N81" s="96" t="inlineStr"/>
      <c r="O81" s="96" t="inlineStr">
        <is>
          <t>KIS 단기종합채권 지수(AA-이상)</t>
        </is>
      </c>
      <c r="P81" s="96" t="inlineStr">
        <is>
          <t>일반</t>
        </is>
      </c>
      <c r="Q81" s="96" t="inlineStr">
        <is>
          <t>채권</t>
        </is>
      </c>
      <c r="R81" s="96" t="inlineStr">
        <is>
          <t>연배당</t>
        </is>
      </c>
      <c r="S81" s="97" t="n">
        <v>1</v>
      </c>
      <c r="T81" s="74" t="n">
        <v>1</v>
      </c>
      <c r="U81" s="78" t="n">
        <v>0.0254</v>
      </c>
      <c r="V81" s="78" t="n">
        <v>0.0074</v>
      </c>
      <c r="W81" s="78" t="n">
        <v>0.0147</v>
      </c>
      <c r="X81" s="78" t="n">
        <v>0.008399999999999999</v>
      </c>
      <c r="Y81" s="96" t="inlineStr">
        <is>
          <t>20250922~20261002</t>
        </is>
      </c>
      <c r="Z81" s="96" t="inlineStr"/>
      <c r="AA81">
        <f>IF(AND($J81&lt;&gt;"",OR(조회_주기="전체",$R81=조회_주기),$J81&gt;=조회_최소,$J81&lt;=조회_최대),1,0)</f>
        <v/>
      </c>
      <c r="AB81">
        <f>IF($AA81=1,$AB80+1,$AB80)</f>
        <v/>
      </c>
      <c r="AC81">
        <f>IF(검색어="",1,IF(ISNUMBER(SEARCH(검색어,$A81)),1,0))</f>
        <v/>
      </c>
      <c r="AD81">
        <f>IF($AC81=1,$AD80+1,$AD80)</f>
        <v/>
      </c>
      <c r="AE81">
        <f>IFERROR(INDEX($A$4:$A$594,MATCH(78,$AD$4:$AD$594,0)),"")</f>
        <v/>
      </c>
    </row>
    <row r="82">
      <c r="A82" s="96" t="inlineStr">
        <is>
          <t>KODEX TDF2040액티브 적격</t>
        </is>
      </c>
      <c r="B82" s="96" t="inlineStr">
        <is>
          <t>433980</t>
        </is>
      </c>
      <c r="C82" s="96" t="inlineStr">
        <is>
          <t>삼성자산운용(ETF)</t>
        </is>
      </c>
      <c r="D82" s="97" t="n">
        <v>15650</v>
      </c>
      <c r="E82" s="97" t="n">
        <v>191712500000</v>
      </c>
      <c r="F82" s="97" t="n">
        <v>780613952</v>
      </c>
      <c r="G82" s="74" t="n">
        <v>0.0025</v>
      </c>
      <c r="H82" s="74" t="n">
        <v>0.1008</v>
      </c>
      <c r="I82" s="74" t="n">
        <v>0.006500000000000001</v>
      </c>
      <c r="J82" s="74" t="n">
        <v>0.017827</v>
      </c>
      <c r="K82" s="97" t="n">
        <v>11</v>
      </c>
      <c r="L82" s="98" t="inlineStr">
        <is>
          <t>20260730</t>
        </is>
      </c>
      <c r="M82" s="96" t="inlineStr">
        <is>
          <t>채택</t>
        </is>
      </c>
      <c r="N82" s="96" t="inlineStr"/>
      <c r="O82" s="96" t="inlineStr">
        <is>
          <t>Samsung Korea Target Date 2040 Index</t>
        </is>
      </c>
      <c r="P82" s="96" t="inlineStr">
        <is>
          <t>일반</t>
        </is>
      </c>
      <c r="Q82" s="96" t="inlineStr">
        <is>
          <t>멀티에셋</t>
        </is>
      </c>
      <c r="R82" s="96" t="inlineStr">
        <is>
          <t>분기배당</t>
        </is>
      </c>
      <c r="S82" s="97" t="n">
        <v>3</v>
      </c>
      <c r="T82" s="74" t="n">
        <v>1</v>
      </c>
      <c r="U82" s="78" t="n">
        <v>0.0799</v>
      </c>
      <c r="V82" s="78" t="n">
        <v>0.061</v>
      </c>
      <c r="W82" s="78" t="n">
        <v>0.0235</v>
      </c>
      <c r="X82" s="78" t="n">
        <v>-0.07150000000000001</v>
      </c>
      <c r="Y82" s="96" t="inlineStr">
        <is>
          <t>20250922~20261002</t>
        </is>
      </c>
      <c r="Z82" s="96" t="inlineStr"/>
      <c r="AA82">
        <f>IF(AND($J82&lt;&gt;"",OR(조회_주기="전체",$R82=조회_주기),$J82&gt;=조회_최소,$J82&lt;=조회_최대),1,0)</f>
        <v/>
      </c>
      <c r="AB82">
        <f>IF($AA82=1,$AB81+1,$AB81)</f>
        <v/>
      </c>
      <c r="AC82">
        <f>IF(검색어="",1,IF(ISNUMBER(SEARCH(검색어,$A82)),1,0))</f>
        <v/>
      </c>
      <c r="AD82">
        <f>IF($AC82=1,$AD81+1,$AD81)</f>
        <v/>
      </c>
      <c r="AE82">
        <f>IFERROR(INDEX($A$4:$A$594,MATCH(79,$AD$4:$AD$594,0)),"")</f>
        <v/>
      </c>
    </row>
    <row r="83">
      <c r="A83" s="96" t="inlineStr">
        <is>
          <t>KIWOOM 미국원유에너지기업</t>
        </is>
      </c>
      <c r="B83" s="96" t="inlineStr">
        <is>
          <t>474800</t>
        </is>
      </c>
      <c r="C83" s="96" t="inlineStr">
        <is>
          <t>키움투자자산운용</t>
        </is>
      </c>
      <c r="D83" s="97" t="n">
        <v>15375</v>
      </c>
      <c r="E83" s="97" t="n">
        <v>32287500000</v>
      </c>
      <c r="F83" s="97" t="n">
        <v>944986128</v>
      </c>
      <c r="G83" s="74" t="n">
        <v>0.0029</v>
      </c>
      <c r="H83" s="74" t="n">
        <v>0.245</v>
      </c>
      <c r="I83" s="74" t="n">
        <v>0.0046</v>
      </c>
      <c r="J83" s="74" t="n">
        <v>0.017626</v>
      </c>
      <c r="K83" s="97" t="n">
        <v>7</v>
      </c>
      <c r="L83" s="98" t="inlineStr">
        <is>
          <t>20260730</t>
        </is>
      </c>
      <c r="M83" s="96" t="inlineStr">
        <is>
          <t>채택</t>
        </is>
      </c>
      <c r="N83" s="96" t="inlineStr"/>
      <c r="O83" s="96" t="inlineStr">
        <is>
          <t>MSCI US IMI/ENERGY 25-50 Index(PR)</t>
        </is>
      </c>
      <c r="P83" s="96" t="inlineStr">
        <is>
          <t>일반</t>
        </is>
      </c>
      <c r="Q83" s="96" t="inlineStr">
        <is>
          <t>주식</t>
        </is>
      </c>
      <c r="R83" s="96" t="inlineStr">
        <is>
          <t>분기배당</t>
        </is>
      </c>
      <c r="S83" s="97" t="n">
        <v>3</v>
      </c>
      <c r="T83" s="74" t="n">
        <v>1</v>
      </c>
      <c r="U83" s="78" t="n">
        <v>0.3893</v>
      </c>
      <c r="V83" s="78" t="n">
        <v>0.3653</v>
      </c>
      <c r="W83" s="78" t="n">
        <v>-0.0643</v>
      </c>
      <c r="X83" s="78" t="n">
        <v>0.0314</v>
      </c>
      <c r="Y83" s="96" t="inlineStr">
        <is>
          <t>20250922~20261002</t>
        </is>
      </c>
      <c r="Z83" s="96" t="inlineStr"/>
      <c r="AA83">
        <f>IF(AND($J83&lt;&gt;"",OR(조회_주기="전체",$R83=조회_주기),$J83&gt;=조회_최소,$J83&lt;=조회_최대),1,0)</f>
        <v/>
      </c>
      <c r="AB83">
        <f>IF($AA83=1,$AB82+1,$AB82)</f>
        <v/>
      </c>
      <c r="AC83">
        <f>IF(검색어="",1,IF(ISNUMBER(SEARCH(검색어,$A83)),1,0))</f>
        <v/>
      </c>
      <c r="AD83">
        <f>IF($AC83=1,$AD82+1,$AD82)</f>
        <v/>
      </c>
      <c r="AE83">
        <f>IFERROR(INDEX($A$4:$A$594,MATCH(80,$AD$4:$AD$594,0)),"")</f>
        <v/>
      </c>
    </row>
    <row r="84">
      <c r="A84" s="96" t="inlineStr">
        <is>
          <t>TIGER 여행레저</t>
        </is>
      </c>
      <c r="B84" s="96" t="inlineStr">
        <is>
          <t>228800</t>
        </is>
      </c>
      <c r="C84" s="96" t="inlineStr">
        <is>
          <t>미래에셋자산운용</t>
        </is>
      </c>
      <c r="D84" s="97" t="n">
        <v>2600</v>
      </c>
      <c r="E84" s="97" t="n">
        <v>66846000000</v>
      </c>
      <c r="F84" s="97" t="n">
        <v>514001718</v>
      </c>
      <c r="G84" s="74" t="n">
        <v>0.005</v>
      </c>
      <c r="H84" s="74" t="n">
        <v>0.3285</v>
      </c>
      <c r="I84" s="74" t="n">
        <v>0.013</v>
      </c>
      <c r="J84" s="74" t="n">
        <v>0.017308</v>
      </c>
      <c r="K84" s="97" t="n">
        <v>5</v>
      </c>
      <c r="L84" s="98" t="inlineStr">
        <is>
          <t>20260429</t>
        </is>
      </c>
      <c r="M84" s="96" t="inlineStr">
        <is>
          <t>채택</t>
        </is>
      </c>
      <c r="N84" s="96" t="inlineStr"/>
      <c r="O84" s="96" t="inlineStr">
        <is>
          <t>WISE 여행레저 지수</t>
        </is>
      </c>
      <c r="P84" s="96" t="inlineStr">
        <is>
          <t>일반</t>
        </is>
      </c>
      <c r="Q84" s="96" t="inlineStr">
        <is>
          <t>주식</t>
        </is>
      </c>
      <c r="R84" s="96" t="inlineStr">
        <is>
          <t>연배당</t>
        </is>
      </c>
      <c r="S84" s="97" t="n">
        <v>1</v>
      </c>
      <c r="T84" s="74" t="n">
        <v>0.6</v>
      </c>
      <c r="U84" s="78" t="n">
        <v>-0.3108</v>
      </c>
      <c r="V84" s="78" t="n">
        <v>-0.3225</v>
      </c>
      <c r="W84" s="78" t="n">
        <v>-0.1417</v>
      </c>
      <c r="X84" s="78" t="n">
        <v>-0.07539999999999999</v>
      </c>
      <c r="Y84" s="96" t="inlineStr">
        <is>
          <t>20250922~20261002</t>
        </is>
      </c>
      <c r="Z84" s="96" t="inlineStr"/>
      <c r="AA84">
        <f>IF(AND($J84&lt;&gt;"",OR(조회_주기="전체",$R84=조회_주기),$J84&gt;=조회_최소,$J84&lt;=조회_최대),1,0)</f>
        <v/>
      </c>
      <c r="AB84">
        <f>IF($AA84=1,$AB83+1,$AB83)</f>
        <v/>
      </c>
      <c r="AC84">
        <f>IF(검색어="",1,IF(ISNUMBER(SEARCH(검색어,$A84)),1,0))</f>
        <v/>
      </c>
      <c r="AD84">
        <f>IF($AC84=1,$AD83+1,$AD83)</f>
        <v/>
      </c>
      <c r="AE84">
        <f>IFERROR(INDEX($A$4:$A$594,MATCH(81,$AD$4:$AD$594,0)),"")</f>
        <v/>
      </c>
    </row>
    <row r="85">
      <c r="A85" s="96" t="inlineStr">
        <is>
          <t>TIGER 국고채30년스트립액티브</t>
        </is>
      </c>
      <c r="B85" s="96" t="inlineStr">
        <is>
          <t>451530</t>
        </is>
      </c>
      <c r="C85" s="96" t="inlineStr">
        <is>
          <t>미래에셋자산운용</t>
        </is>
      </c>
      <c r="D85" s="97" t="n">
        <v>35930</v>
      </c>
      <c r="E85" s="97" t="n">
        <v>133587740000</v>
      </c>
      <c r="F85" s="97" t="n">
        <v>872055423</v>
      </c>
      <c r="G85" s="74" t="n">
        <v>0.0015</v>
      </c>
      <c r="H85" s="74" t="n">
        <v>0.2108</v>
      </c>
      <c r="I85" s="74" t="n">
        <v>0.0114</v>
      </c>
      <c r="J85" s="74" t="n">
        <v>0.017033</v>
      </c>
      <c r="K85" s="97" t="n">
        <v>1</v>
      </c>
      <c r="L85" s="98" t="inlineStr">
        <is>
          <t>20251127</t>
        </is>
      </c>
      <c r="M85" s="96" t="inlineStr">
        <is>
          <t>채택</t>
        </is>
      </c>
      <c r="N85" s="96" t="inlineStr"/>
      <c r="O85" s="96" t="inlineStr">
        <is>
          <t>KIS STRIP 30Y Index</t>
        </is>
      </c>
      <c r="P85" s="96" t="inlineStr">
        <is>
          <t>일반</t>
        </is>
      </c>
      <c r="Q85" s="96" t="inlineStr">
        <is>
          <t>채권</t>
        </is>
      </c>
      <c r="R85" s="96" t="inlineStr">
        <is>
          <t>연배당</t>
        </is>
      </c>
      <c r="S85" s="97" t="n">
        <v>1</v>
      </c>
      <c r="T85" s="74" t="n">
        <v>1</v>
      </c>
      <c r="U85" s="78" t="n">
        <v>-0.3997</v>
      </c>
      <c r="V85" s="78" t="n">
        <v>-0.4097</v>
      </c>
      <c r="W85" s="78" t="n">
        <v>-0.232</v>
      </c>
      <c r="X85" s="78" t="n">
        <v>-0.0375</v>
      </c>
      <c r="Y85" s="96" t="inlineStr">
        <is>
          <t>20250922~20261002</t>
        </is>
      </c>
      <c r="Z85" s="96" t="inlineStr"/>
      <c r="AA85">
        <f>IF(AND($J85&lt;&gt;"",OR(조회_주기="전체",$R85=조회_주기),$J85&gt;=조회_최소,$J85&lt;=조회_최대),1,0)</f>
        <v/>
      </c>
      <c r="AB85">
        <f>IF($AA85=1,$AB84+1,$AB84)</f>
        <v/>
      </c>
      <c r="AC85">
        <f>IF(검색어="",1,IF(ISNUMBER(SEARCH(검색어,$A85)),1,0))</f>
        <v/>
      </c>
      <c r="AD85">
        <f>IF($AC85=1,$AD84+1,$AD84)</f>
        <v/>
      </c>
      <c r="AE85">
        <f>IFERROR(INDEX($A$4:$A$594,MATCH(82,$AD$4:$AD$594,0)),"")</f>
        <v/>
      </c>
    </row>
    <row r="86">
      <c r="A86" s="96" t="inlineStr">
        <is>
          <t>RISE 버크셔포트폴리오TOP10</t>
        </is>
      </c>
      <c r="B86" s="96" t="inlineStr">
        <is>
          <t>475350</t>
        </is>
      </c>
      <c r="C86" s="96" t="inlineStr">
        <is>
          <t>KB자산운용</t>
        </is>
      </c>
      <c r="D86" s="97" t="n">
        <v>13975</v>
      </c>
      <c r="E86" s="97" t="n">
        <v>71272500000</v>
      </c>
      <c r="F86" s="97" t="n">
        <v>581737687</v>
      </c>
      <c r="G86" s="74" t="n">
        <v>0.0001</v>
      </c>
      <c r="H86" s="74" t="n">
        <v>0.1412</v>
      </c>
      <c r="I86" s="74" t="n">
        <v>0.0054</v>
      </c>
      <c r="J86" s="74" t="n">
        <v>0.016959</v>
      </c>
      <c r="K86" s="97" t="n">
        <v>2</v>
      </c>
      <c r="L86" s="98" t="inlineStr">
        <is>
          <t>20260730</t>
        </is>
      </c>
      <c r="M86" s="96" t="inlineStr">
        <is>
          <t>채택</t>
        </is>
      </c>
      <c r="N86" s="96" t="inlineStr"/>
      <c r="O86" s="96" t="inlineStr">
        <is>
          <t>Solactive Berkshire Portfolio Top10 Index PR</t>
        </is>
      </c>
      <c r="P86" s="96" t="inlineStr">
        <is>
          <t>일반</t>
        </is>
      </c>
      <c r="Q86" s="96" t="inlineStr">
        <is>
          <t>주식</t>
        </is>
      </c>
      <c r="R86" s="96" t="inlineStr">
        <is>
          <t>반기배당</t>
        </is>
      </c>
      <c r="S86" s="97" t="n">
        <v>2</v>
      </c>
      <c r="T86" s="74" t="n">
        <v>1</v>
      </c>
      <c r="U86" s="78" t="n">
        <v>0.07519999999999999</v>
      </c>
      <c r="V86" s="78" t="n">
        <v>0.0572</v>
      </c>
      <c r="W86" s="78" t="n">
        <v>-0.0259</v>
      </c>
      <c r="X86" s="78" t="n">
        <v>-0.126</v>
      </c>
      <c r="Y86" s="96" t="inlineStr">
        <is>
          <t>20250922~20261002</t>
        </is>
      </c>
      <c r="Z86" s="96" t="inlineStr"/>
      <c r="AA86">
        <f>IF(AND($J86&lt;&gt;"",OR(조회_주기="전체",$R86=조회_주기),$J86&gt;=조회_최소,$J86&lt;=조회_최대),1,0)</f>
        <v/>
      </c>
      <c r="AB86">
        <f>IF($AA86=1,$AB85+1,$AB85)</f>
        <v/>
      </c>
      <c r="AC86">
        <f>IF(검색어="",1,IF(ISNUMBER(SEARCH(검색어,$A86)),1,0))</f>
        <v/>
      </c>
      <c r="AD86">
        <f>IF($AC86=1,$AD85+1,$AD85)</f>
        <v/>
      </c>
      <c r="AE86">
        <f>IFERROR(INDEX($A$4:$A$594,MATCH(83,$AD$4:$AD$594,0)),"")</f>
        <v/>
      </c>
    </row>
    <row r="87">
      <c r="A87" s="96" t="inlineStr">
        <is>
          <t>PLUS 미국S&amp;P500미국채혼합50액티브</t>
        </is>
      </c>
      <c r="B87" s="96" t="inlineStr">
        <is>
          <t>0057H0</t>
        </is>
      </c>
      <c r="C87" s="96" t="inlineStr">
        <is>
          <t>한화자산운용</t>
        </is>
      </c>
      <c r="D87" s="97" t="n">
        <v>11415</v>
      </c>
      <c r="E87" s="97" t="n">
        <v>78763500000</v>
      </c>
      <c r="F87" s="97" t="n">
        <v>987564599</v>
      </c>
      <c r="G87" s="74" t="n">
        <v>0.0015</v>
      </c>
      <c r="H87" s="74" t="n">
        <v>0.1025</v>
      </c>
      <c r="I87" s="74" t="n">
        <v>0.0012</v>
      </c>
      <c r="J87" s="74" t="n">
        <v>0.016908</v>
      </c>
      <c r="K87" s="97" t="n">
        <v>11</v>
      </c>
      <c r="L87" s="98" t="inlineStr">
        <is>
          <t>20260929</t>
        </is>
      </c>
      <c r="M87" s="96" t="inlineStr">
        <is>
          <t>채택</t>
        </is>
      </c>
      <c r="N87" s="96" t="inlineStr"/>
      <c r="O87" s="96" t="inlineStr">
        <is>
          <t>S&amp;P500 and U.S. Treasury Bill 0-3 Month 50/50 Blend Index (U</t>
        </is>
      </c>
      <c r="P87" s="96" t="inlineStr">
        <is>
          <t>일반</t>
        </is>
      </c>
      <c r="Q87" s="96" t="inlineStr">
        <is>
          <t>멀티에셋</t>
        </is>
      </c>
      <c r="R87" s="96" t="inlineStr">
        <is>
          <t>월배당</t>
        </is>
      </c>
      <c r="S87" s="97" t="n">
        <v>10</v>
      </c>
      <c r="T87" s="74" t="n">
        <v>1</v>
      </c>
      <c r="U87" s="78" t="n">
        <v>0.0617</v>
      </c>
      <c r="V87" s="78" t="n">
        <v>0.044</v>
      </c>
      <c r="W87" s="78" t="n">
        <v>-0.0267</v>
      </c>
      <c r="X87" s="78" t="n">
        <v>-0.1028</v>
      </c>
      <c r="Y87" s="96" t="inlineStr">
        <is>
          <t>20250922~20261002</t>
        </is>
      </c>
      <c r="Z87" s="96" t="inlineStr"/>
      <c r="AA87">
        <f>IF(AND($J87&lt;&gt;"",OR(조회_주기="전체",$R87=조회_주기),$J87&gt;=조회_최소,$J87&lt;=조회_최대),1,0)</f>
        <v/>
      </c>
      <c r="AB87">
        <f>IF($AA87=1,$AB86+1,$AB86)</f>
        <v/>
      </c>
      <c r="AC87">
        <f>IF(검색어="",1,IF(ISNUMBER(SEARCH(검색어,$A87)),1,0))</f>
        <v/>
      </c>
      <c r="AD87">
        <f>IF($AC87=1,$AD86+1,$AD86)</f>
        <v/>
      </c>
      <c r="AE87">
        <f>IFERROR(INDEX($A$4:$A$594,MATCH(84,$AD$4:$AD$594,0)),"")</f>
        <v/>
      </c>
    </row>
    <row r="88">
      <c r="A88" s="96" t="inlineStr">
        <is>
          <t>KODEX 200미국채혼합50</t>
        </is>
      </c>
      <c r="B88" s="96" t="inlineStr">
        <is>
          <t>284430</t>
        </is>
      </c>
      <c r="C88" s="96" t="inlineStr">
        <is>
          <t>삼성자산운용(ETF)</t>
        </is>
      </c>
      <c r="D88" s="97" t="n">
        <v>20715</v>
      </c>
      <c r="E88" s="97" t="n">
        <v>1995268800000</v>
      </c>
      <c r="F88" s="97" t="n">
        <v>17604286189</v>
      </c>
      <c r="G88" s="74" t="n">
        <v>0.0035</v>
      </c>
      <c r="H88" s="74" t="n">
        <v>0.2517</v>
      </c>
      <c r="I88" s="74" t="n">
        <v>0.0013</v>
      </c>
      <c r="J88" s="74" t="n">
        <v>0.016896</v>
      </c>
      <c r="K88" s="97" t="n">
        <v>14</v>
      </c>
      <c r="L88" s="98" t="inlineStr">
        <is>
          <t>20260914</t>
        </is>
      </c>
      <c r="M88" s="96" t="inlineStr">
        <is>
          <t>채택</t>
        </is>
      </c>
      <c r="N88" s="96" t="inlineStr"/>
      <c r="O88" s="96" t="inlineStr">
        <is>
          <t>코스피 200 미국채 혼합지수</t>
        </is>
      </c>
      <c r="P88" s="96" t="inlineStr">
        <is>
          <t>일반</t>
        </is>
      </c>
      <c r="Q88" s="96" t="inlineStr">
        <is>
          <t>멀티에셋</t>
        </is>
      </c>
      <c r="R88" s="96" t="inlineStr">
        <is>
          <t>월배당</t>
        </is>
      </c>
      <c r="S88" s="97" t="n">
        <v>11</v>
      </c>
      <c r="T88" s="74" t="n">
        <v>1</v>
      </c>
      <c r="U88" s="78" t="n">
        <v>0.3949</v>
      </c>
      <c r="V88" s="78" t="n">
        <v>0.3717</v>
      </c>
      <c r="W88" s="78" t="n">
        <v>0.0608</v>
      </c>
      <c r="X88" s="78" t="n">
        <v>-0.1355</v>
      </c>
      <c r="Y88" s="96" t="inlineStr">
        <is>
          <t>20250922~20261002</t>
        </is>
      </c>
      <c r="Z88" s="96" t="inlineStr"/>
      <c r="AA88">
        <f>IF(AND($J88&lt;&gt;"",OR(조회_주기="전체",$R88=조회_주기),$J88&gt;=조회_최소,$J88&lt;=조회_최대),1,0)</f>
        <v/>
      </c>
      <c r="AB88">
        <f>IF($AA88=1,$AB87+1,$AB87)</f>
        <v/>
      </c>
      <c r="AC88">
        <f>IF(검색어="",1,IF(ISNUMBER(SEARCH(검색어,$A88)),1,0))</f>
        <v/>
      </c>
      <c r="AD88">
        <f>IF($AC88=1,$AD87+1,$AD87)</f>
        <v/>
      </c>
      <c r="AE88">
        <f>IFERROR(INDEX($A$4:$A$594,MATCH(85,$AD$4:$AD$594,0)),"")</f>
        <v/>
      </c>
    </row>
    <row r="89">
      <c r="A89" s="96" t="inlineStr">
        <is>
          <t>TIGER 토탈월드스탁액티브</t>
        </is>
      </c>
      <c r="B89" s="96" t="inlineStr">
        <is>
          <t>0060H0</t>
        </is>
      </c>
      <c r="C89" s="96" t="inlineStr">
        <is>
          <t>미래에셋자산운용</t>
        </is>
      </c>
      <c r="D89" s="97" t="n">
        <v>12345</v>
      </c>
      <c r="E89" s="97" t="n">
        <v>387633000000</v>
      </c>
      <c r="F89" s="97" t="n">
        <v>1866497104</v>
      </c>
      <c r="G89" s="74" t="n">
        <v>0.0025</v>
      </c>
      <c r="H89" s="74" t="n">
        <v>0.1361</v>
      </c>
      <c r="I89" s="74" t="n">
        <v>0.004099999999999999</v>
      </c>
      <c r="J89" s="74" t="n">
        <v>0.016687</v>
      </c>
      <c r="K89" s="97" t="n">
        <v>5</v>
      </c>
      <c r="L89" s="98" t="inlineStr">
        <is>
          <t>20260730</t>
        </is>
      </c>
      <c r="M89" s="96" t="inlineStr">
        <is>
          <t>채택</t>
        </is>
      </c>
      <c r="N89" s="96" t="inlineStr"/>
      <c r="O89" s="96" t="inlineStr">
        <is>
          <t>FTSE GLOBAL ALL CAP INDEX</t>
        </is>
      </c>
      <c r="P89" s="96" t="inlineStr">
        <is>
          <t>일반</t>
        </is>
      </c>
      <c r="Q89" s="96" t="inlineStr">
        <is>
          <t>주식</t>
        </is>
      </c>
      <c r="R89" s="96" t="inlineStr">
        <is>
          <t>분기배당</t>
        </is>
      </c>
      <c r="S89" s="97" t="n">
        <v>3</v>
      </c>
      <c r="T89" s="74" t="n">
        <v>1</v>
      </c>
      <c r="U89" s="78" t="n">
        <v>0.1298</v>
      </c>
      <c r="V89" s="78" t="n">
        <v>0.1112</v>
      </c>
      <c r="W89" s="78" t="n">
        <v>0.0189</v>
      </c>
      <c r="X89" s="78" t="n">
        <v>-0.1065</v>
      </c>
      <c r="Y89" s="96" t="inlineStr">
        <is>
          <t>20250922~20261002</t>
        </is>
      </c>
      <c r="Z89" s="96" t="inlineStr"/>
      <c r="AA89">
        <f>IF(AND($J89&lt;&gt;"",OR(조회_주기="전체",$R89=조회_주기),$J89&gt;=조회_최소,$J89&lt;=조회_최대),1,0)</f>
        <v/>
      </c>
      <c r="AB89">
        <f>IF($AA89=1,$AB88+1,$AB88)</f>
        <v/>
      </c>
      <c r="AC89">
        <f>IF(검색어="",1,IF(ISNUMBER(SEARCH(검색어,$A89)),1,0))</f>
        <v/>
      </c>
      <c r="AD89">
        <f>IF($AC89=1,$AD88+1,$AD88)</f>
        <v/>
      </c>
      <c r="AE89">
        <f>IFERROR(INDEX($A$4:$A$594,MATCH(86,$AD$4:$AD$594,0)),"")</f>
        <v/>
      </c>
    </row>
    <row r="90">
      <c r="A90" s="96" t="inlineStr">
        <is>
          <t>1Q 단기금융채액티브</t>
        </is>
      </c>
      <c r="B90" s="96" t="inlineStr">
        <is>
          <t>463290</t>
        </is>
      </c>
      <c r="C90" s="96" t="inlineStr">
        <is>
          <t>하나자산운용</t>
        </is>
      </c>
      <c r="D90" s="97" t="n">
        <v>109545</v>
      </c>
      <c r="E90" s="97" t="n">
        <v>126305385000</v>
      </c>
      <c r="F90" s="97" t="n">
        <v>528201270</v>
      </c>
      <c r="G90" s="74" t="n">
        <v>0.0008</v>
      </c>
      <c r="H90" s="74" t="n">
        <v>0.0168</v>
      </c>
      <c r="I90" s="74" t="n">
        <v>0.0167</v>
      </c>
      <c r="J90" s="74" t="n">
        <v>0.016605</v>
      </c>
      <c r="K90" s="97" t="n">
        <v>1</v>
      </c>
      <c r="L90" s="98" t="inlineStr">
        <is>
          <t>20251229</t>
        </is>
      </c>
      <c r="M90" s="96" t="inlineStr">
        <is>
          <t>채택</t>
        </is>
      </c>
      <c r="N90" s="96" t="inlineStr"/>
      <c r="O90" s="96" t="inlineStr">
        <is>
          <t>MK Money Market지수</t>
        </is>
      </c>
      <c r="P90" s="96" t="inlineStr">
        <is>
          <t>일반</t>
        </is>
      </c>
      <c r="Q90" s="96" t="inlineStr">
        <is>
          <t>채권</t>
        </is>
      </c>
      <c r="R90" s="96" t="inlineStr">
        <is>
          <t>연배당</t>
        </is>
      </c>
      <c r="S90" s="97" t="n">
        <v>1</v>
      </c>
      <c r="T90" s="74" t="n">
        <v>1</v>
      </c>
      <c r="U90" s="78" t="n">
        <v>0.028</v>
      </c>
      <c r="V90" s="78" t="n">
        <v>0.0112</v>
      </c>
      <c r="W90" s="78" t="n">
        <v>0.0151</v>
      </c>
      <c r="X90" s="78" t="n">
        <v>0.008100000000000001</v>
      </c>
      <c r="Y90" s="96" t="inlineStr">
        <is>
          <t>20250922~20261002</t>
        </is>
      </c>
      <c r="Z90" s="96" t="inlineStr"/>
      <c r="AA90">
        <f>IF(AND($J90&lt;&gt;"",OR(조회_주기="전체",$R90=조회_주기),$J90&gt;=조회_최소,$J90&lt;=조회_최대),1,0)</f>
        <v/>
      </c>
      <c r="AB90">
        <f>IF($AA90=1,$AB89+1,$AB89)</f>
        <v/>
      </c>
      <c r="AC90">
        <f>IF(검색어="",1,IF(ISNUMBER(SEARCH(검색어,$A90)),1,0))</f>
        <v/>
      </c>
      <c r="AD90">
        <f>IF($AC90=1,$AD89+1,$AD89)</f>
        <v/>
      </c>
      <c r="AE90">
        <f>IFERROR(INDEX($A$4:$A$594,MATCH(87,$AD$4:$AD$594,0)),"")</f>
        <v/>
      </c>
    </row>
    <row r="91">
      <c r="A91" s="96" t="inlineStr">
        <is>
          <t>1Q 미국S&amp;P500미국채혼합50액티브</t>
        </is>
      </c>
      <c r="B91" s="96" t="inlineStr">
        <is>
          <t>0052S0</t>
        </is>
      </c>
      <c r="C91" s="96" t="inlineStr">
        <is>
          <t>하나자산운용</t>
        </is>
      </c>
      <c r="D91" s="97" t="n">
        <v>11330</v>
      </c>
      <c r="E91" s="97" t="n">
        <v>319506000000</v>
      </c>
      <c r="F91" s="97" t="n">
        <v>2124213239</v>
      </c>
      <c r="G91" s="74" t="n">
        <v>0.0015</v>
      </c>
      <c r="H91" s="74" t="n">
        <v>0.1111</v>
      </c>
      <c r="I91" s="74" t="n">
        <v>0.005</v>
      </c>
      <c r="J91" s="74" t="n">
        <v>0.016505</v>
      </c>
      <c r="K91" s="97" t="n">
        <v>4</v>
      </c>
      <c r="L91" s="98" t="inlineStr">
        <is>
          <t>20260730</t>
        </is>
      </c>
      <c r="M91" s="96" t="inlineStr">
        <is>
          <t>채택</t>
        </is>
      </c>
      <c r="N91" s="96" t="inlineStr"/>
      <c r="O91" s="96" t="inlineStr">
        <is>
          <t>S&amp;P 500 and Short-Term Treasury 50/50 Blend Index (USD)</t>
        </is>
      </c>
      <c r="P91" s="96" t="inlineStr">
        <is>
          <t>일반</t>
        </is>
      </c>
      <c r="Q91" s="96" t="inlineStr">
        <is>
          <t>멀티에셋</t>
        </is>
      </c>
      <c r="R91" s="96" t="inlineStr">
        <is>
          <t>분기배당</t>
        </is>
      </c>
      <c r="S91" s="97" t="n">
        <v>3</v>
      </c>
      <c r="T91" s="74" t="n">
        <v>1</v>
      </c>
      <c r="U91" s="78" t="n">
        <v>0.06059999999999999</v>
      </c>
      <c r="V91" s="78" t="n">
        <v>0.0434</v>
      </c>
      <c r="W91" s="78" t="n">
        <v>-0.0293</v>
      </c>
      <c r="X91" s="78" t="n">
        <v>-0.1047</v>
      </c>
      <c r="Y91" s="96" t="inlineStr">
        <is>
          <t>20250922~20261002</t>
        </is>
      </c>
      <c r="Z91" s="96" t="inlineStr"/>
      <c r="AA91">
        <f>IF(AND($J91&lt;&gt;"",OR(조회_주기="전체",$R91=조회_주기),$J91&gt;=조회_최소,$J91&lt;=조회_최대),1,0)</f>
        <v/>
      </c>
      <c r="AB91">
        <f>IF($AA91=1,$AB90+1,$AB90)</f>
        <v/>
      </c>
      <c r="AC91">
        <f>IF(검색어="",1,IF(ISNUMBER(SEARCH(검색어,$A91)),1,0))</f>
        <v/>
      </c>
      <c r="AD91">
        <f>IF($AC91=1,$AD90+1,$AD90)</f>
        <v/>
      </c>
      <c r="AE91">
        <f>IFERROR(INDEX($A$4:$A$594,MATCH(88,$AD$4:$AD$594,0)),"")</f>
        <v/>
      </c>
    </row>
    <row r="92">
      <c r="A92" s="96" t="inlineStr">
        <is>
          <t>KODEX TDF2050액티브 적격</t>
        </is>
      </c>
      <c r="B92" s="96" t="inlineStr">
        <is>
          <t>434060</t>
        </is>
      </c>
      <c r="C92" s="96" t="inlineStr">
        <is>
          <t>삼성자산운용(ETF)</t>
        </is>
      </c>
      <c r="D92" s="97" t="n">
        <v>16685</v>
      </c>
      <c r="E92" s="97" t="n">
        <v>632361500000</v>
      </c>
      <c r="F92" s="97" t="n">
        <v>1997834774</v>
      </c>
      <c r="G92" s="74" t="n">
        <v>0.003</v>
      </c>
      <c r="H92" s="74" t="n">
        <v>0.1246</v>
      </c>
      <c r="I92" s="74" t="n">
        <v>0.006999999999999999</v>
      </c>
      <c r="J92" s="74" t="n">
        <v>0.016362</v>
      </c>
      <c r="K92" s="97" t="n">
        <v>11</v>
      </c>
      <c r="L92" s="98" t="inlineStr">
        <is>
          <t>20260730</t>
        </is>
      </c>
      <c r="M92" s="96" t="inlineStr">
        <is>
          <t>채택</t>
        </is>
      </c>
      <c r="N92" s="96" t="inlineStr"/>
      <c r="O92" s="96" t="inlineStr">
        <is>
          <t>Samsung Korea Target Date 2050 Index</t>
        </is>
      </c>
      <c r="P92" s="96" t="inlineStr">
        <is>
          <t>일반</t>
        </is>
      </c>
      <c r="Q92" s="96" t="inlineStr">
        <is>
          <t>멀티에셋</t>
        </is>
      </c>
      <c r="R92" s="96" t="inlineStr">
        <is>
          <t>분기배당</t>
        </is>
      </c>
      <c r="S92" s="97" t="n">
        <v>3</v>
      </c>
      <c r="T92" s="74" t="n">
        <v>1</v>
      </c>
      <c r="U92" s="78" t="n">
        <v>0.08470000000000001</v>
      </c>
      <c r="V92" s="78" t="n">
        <v>0.0672</v>
      </c>
      <c r="W92" s="78" t="n">
        <v>0.0102</v>
      </c>
      <c r="X92" s="78" t="n">
        <v>-0.08599999999999999</v>
      </c>
      <c r="Y92" s="96" t="inlineStr">
        <is>
          <t>20250922~20261002</t>
        </is>
      </c>
      <c r="Z92" s="96" t="inlineStr"/>
      <c r="AA92">
        <f>IF(AND($J92&lt;&gt;"",OR(조회_주기="전체",$R92=조회_주기),$J92&gt;=조회_최소,$J92&lt;=조회_최대),1,0)</f>
        <v/>
      </c>
      <c r="AB92">
        <f>IF($AA92=1,$AB91+1,$AB91)</f>
        <v/>
      </c>
      <c r="AC92">
        <f>IF(검색어="",1,IF(ISNUMBER(SEARCH(검색어,$A92)),1,0))</f>
        <v/>
      </c>
      <c r="AD92">
        <f>IF($AC92=1,$AD91+1,$AD91)</f>
        <v/>
      </c>
      <c r="AE92">
        <f>IFERROR(INDEX($A$4:$A$594,MATCH(89,$AD$4:$AD$594,0)),"")</f>
        <v/>
      </c>
    </row>
    <row r="93">
      <c r="A93" s="96" t="inlineStr">
        <is>
          <t>KODEX 인도Nifty50</t>
        </is>
      </c>
      <c r="B93" s="96" t="inlineStr">
        <is>
          <t>453810</t>
        </is>
      </c>
      <c r="C93" s="96" t="inlineStr">
        <is>
          <t>삼성자산운용(ETF)</t>
        </is>
      </c>
      <c r="D93" s="97" t="n">
        <v>10630</v>
      </c>
      <c r="E93" s="97" t="n">
        <v>307738500000</v>
      </c>
      <c r="F93" s="97" t="n">
        <v>1409346780</v>
      </c>
      <c r="G93" s="74" t="n">
        <v>0.0019</v>
      </c>
      <c r="H93" s="74" t="n">
        <v>0.1754</v>
      </c>
      <c r="I93" s="74" t="n">
        <v>0.0062</v>
      </c>
      <c r="J93" s="74" t="n">
        <v>0.016275</v>
      </c>
      <c r="K93" s="97" t="n">
        <v>13</v>
      </c>
      <c r="L93" s="98" t="inlineStr">
        <is>
          <t>20260730</t>
        </is>
      </c>
      <c r="M93" s="96" t="inlineStr">
        <is>
          <t>채택</t>
        </is>
      </c>
      <c r="N93" s="96" t="inlineStr"/>
      <c r="O93" s="96" t="inlineStr">
        <is>
          <t>CNX NIFTY INDEX</t>
        </is>
      </c>
      <c r="P93" s="96" t="inlineStr">
        <is>
          <t>일반</t>
        </is>
      </c>
      <c r="Q93" s="96" t="inlineStr">
        <is>
          <t>주식</t>
        </is>
      </c>
      <c r="R93" s="96" t="inlineStr">
        <is>
          <t>분기배당</t>
        </is>
      </c>
      <c r="S93" s="97" t="n">
        <v>3</v>
      </c>
      <c r="T93" s="74" t="n">
        <v>1</v>
      </c>
      <c r="U93" s="78" t="n">
        <v>-0.2155</v>
      </c>
      <c r="V93" s="78" t="n">
        <v>-0.2282</v>
      </c>
      <c r="W93" s="78" t="n">
        <v>-0.1553</v>
      </c>
      <c r="X93" s="78" t="n">
        <v>-0.1958</v>
      </c>
      <c r="Y93" s="96" t="inlineStr">
        <is>
          <t>20250922~20261002</t>
        </is>
      </c>
      <c r="Z93" s="96" t="inlineStr"/>
      <c r="AA93">
        <f>IF(AND($J93&lt;&gt;"",OR(조회_주기="전체",$R93=조회_주기),$J93&gt;=조회_최소,$J93&lt;=조회_최대),1,0)</f>
        <v/>
      </c>
      <c r="AB93">
        <f>IF($AA93=1,$AB92+1,$AB92)</f>
        <v/>
      </c>
      <c r="AC93">
        <f>IF(검색어="",1,IF(ISNUMBER(SEARCH(검색어,$A93)),1,0))</f>
        <v/>
      </c>
      <c r="AD93">
        <f>IF($AC93=1,$AD92+1,$AD92)</f>
        <v/>
      </c>
      <c r="AE93">
        <f>IFERROR(INDEX($A$4:$A$594,MATCH(90,$AD$4:$AD$594,0)),"")</f>
        <v/>
      </c>
    </row>
    <row r="94">
      <c r="A94" s="96" t="inlineStr">
        <is>
          <t>TIGER 차이나전기차SOLACTIVE</t>
        </is>
      </c>
      <c r="B94" s="96" t="inlineStr">
        <is>
          <t>371460</t>
        </is>
      </c>
      <c r="C94" s="96" t="inlineStr">
        <is>
          <t>미래에셋자산운용</t>
        </is>
      </c>
      <c r="D94" s="97" t="n">
        <v>8915</v>
      </c>
      <c r="E94" s="97" t="n">
        <v>639383800000</v>
      </c>
      <c r="F94" s="97" t="n">
        <v>1816782106</v>
      </c>
      <c r="G94" s="74" t="n">
        <v>0.0049</v>
      </c>
      <c r="H94" s="74" t="n">
        <v>0.2893</v>
      </c>
      <c r="I94" s="74" t="n">
        <v>0.011</v>
      </c>
      <c r="J94" s="74" t="n">
        <v>0.015704</v>
      </c>
      <c r="K94" s="97" t="n">
        <v>1</v>
      </c>
      <c r="L94" s="98" t="inlineStr">
        <is>
          <t>20251229</t>
        </is>
      </c>
      <c r="M94" s="96" t="inlineStr">
        <is>
          <t>채택</t>
        </is>
      </c>
      <c r="N94" s="96" t="inlineStr"/>
      <c r="O94" s="96" t="inlineStr">
        <is>
          <t>Solactive China Electric Vehicle and Battery Index PR</t>
        </is>
      </c>
      <c r="P94" s="96" t="inlineStr">
        <is>
          <t>일반</t>
        </is>
      </c>
      <c r="Q94" s="96" t="inlineStr">
        <is>
          <t>주식</t>
        </is>
      </c>
      <c r="R94" s="96" t="inlineStr">
        <is>
          <t>연배당</t>
        </is>
      </c>
      <c r="S94" s="97" t="n">
        <v>1</v>
      </c>
      <c r="T94" s="74" t="n">
        <v>1</v>
      </c>
      <c r="U94" s="78" t="n">
        <v>-0.2528</v>
      </c>
      <c r="V94" s="78" t="n">
        <v>-0.2642</v>
      </c>
      <c r="W94" s="78" t="n">
        <v>-0.3228</v>
      </c>
      <c r="X94" s="78" t="n">
        <v>-0.2763</v>
      </c>
      <c r="Y94" s="96" t="inlineStr">
        <is>
          <t>20250922~20261002</t>
        </is>
      </c>
      <c r="Z94" s="96" t="inlineStr"/>
      <c r="AA94">
        <f>IF(AND($J94&lt;&gt;"",OR(조회_주기="전체",$R94=조회_주기),$J94&gt;=조회_최소,$J94&lt;=조회_최대),1,0)</f>
        <v/>
      </c>
      <c r="AB94">
        <f>IF($AA94=1,$AB93+1,$AB93)</f>
        <v/>
      </c>
      <c r="AC94">
        <f>IF(검색어="",1,IF(ISNUMBER(SEARCH(검색어,$A94)),1,0))</f>
        <v/>
      </c>
      <c r="AD94">
        <f>IF($AC94=1,$AD93+1,$AD93)</f>
        <v/>
      </c>
      <c r="AE94">
        <f>IFERROR(INDEX($A$4:$A$594,MATCH(91,$AD$4:$AD$594,0)),"")</f>
        <v/>
      </c>
    </row>
    <row r="95">
      <c r="A95" s="96" t="inlineStr">
        <is>
          <t>KODEX 종합채권(AA-이상)액티브</t>
        </is>
      </c>
      <c r="B95" s="96" t="inlineStr">
        <is>
          <t>273130</t>
        </is>
      </c>
      <c r="C95" s="96" t="inlineStr">
        <is>
          <t>삼성자산운용(ETF)</t>
        </is>
      </c>
      <c r="D95" s="97" t="n">
        <v>110440</v>
      </c>
      <c r="E95" s="97" t="n">
        <v>3578145560000</v>
      </c>
      <c r="F95" s="97" t="n">
        <v>3122311038</v>
      </c>
      <c r="G95" s="74" t="n">
        <v>0.00045</v>
      </c>
      <c r="H95" s="74" t="n">
        <v>0.04190000000000001</v>
      </c>
      <c r="I95" s="74" t="n">
        <v>0.0149</v>
      </c>
      <c r="J95" s="74" t="n">
        <v>0.015637</v>
      </c>
      <c r="K95" s="97" t="n">
        <v>1</v>
      </c>
      <c r="L95" s="98" t="inlineStr">
        <is>
          <t>20251212</t>
        </is>
      </c>
      <c r="M95" s="96" t="inlineStr">
        <is>
          <t>채택</t>
        </is>
      </c>
      <c r="N95" s="96" t="inlineStr"/>
      <c r="O95" s="96" t="inlineStr">
        <is>
          <t>KAP 한국종합채권</t>
        </is>
      </c>
      <c r="P95" s="96" t="inlineStr">
        <is>
          <t>일반</t>
        </is>
      </c>
      <c r="Q95" s="96" t="inlineStr">
        <is>
          <t>채권</t>
        </is>
      </c>
      <c r="R95" s="96" t="inlineStr">
        <is>
          <t>연배당</t>
        </is>
      </c>
      <c r="S95" s="97" t="n">
        <v>1</v>
      </c>
      <c r="T95" s="74" t="n">
        <v>1</v>
      </c>
      <c r="U95" s="78" t="n">
        <v>-0.0608</v>
      </c>
      <c r="V95" s="78" t="n">
        <v>-0.07519999999999999</v>
      </c>
      <c r="W95" s="78" t="n">
        <v>-0.022</v>
      </c>
      <c r="X95" s="78" t="n">
        <v>0.0023</v>
      </c>
      <c r="Y95" s="96" t="inlineStr">
        <is>
          <t>20250922~20261002</t>
        </is>
      </c>
      <c r="Z95" s="96" t="inlineStr"/>
      <c r="AA95">
        <f>IF(AND($J95&lt;&gt;"",OR(조회_주기="전체",$R95=조회_주기),$J95&gt;=조회_최소,$J95&lt;=조회_최대),1,0)</f>
        <v/>
      </c>
      <c r="AB95">
        <f>IF($AA95=1,$AB94+1,$AB94)</f>
        <v/>
      </c>
      <c r="AC95">
        <f>IF(검색어="",1,IF(ISNUMBER(SEARCH(검색어,$A95)),1,0))</f>
        <v/>
      </c>
      <c r="AD95">
        <f>IF($AC95=1,$AD94+1,$AD94)</f>
        <v/>
      </c>
      <c r="AE95">
        <f>IFERROR(INDEX($A$4:$A$594,MATCH(92,$AD$4:$AD$594,0)),"")</f>
        <v/>
      </c>
    </row>
    <row r="96">
      <c r="A96" s="96" t="inlineStr">
        <is>
          <t>SOL 초단기채권액티브</t>
        </is>
      </c>
      <c r="B96" s="96" t="inlineStr">
        <is>
          <t>469830</t>
        </is>
      </c>
      <c r="C96" s="96" t="inlineStr">
        <is>
          <t>신한자산운용</t>
        </is>
      </c>
      <c r="D96" s="97" t="n">
        <v>54545</v>
      </c>
      <c r="E96" s="97" t="n">
        <v>1051082150000</v>
      </c>
      <c r="F96" s="97" t="n">
        <v>11363539030</v>
      </c>
      <c r="G96" s="74" t="n">
        <v>0.0005</v>
      </c>
      <c r="H96" s="74" t="n">
        <v>0.0161</v>
      </c>
      <c r="I96" s="74" t="n">
        <v>0.0158</v>
      </c>
      <c r="J96" s="74" t="n">
        <v>0.015583</v>
      </c>
      <c r="K96" s="97" t="n">
        <v>1</v>
      </c>
      <c r="L96" s="98" t="inlineStr">
        <is>
          <t>20251212</t>
        </is>
      </c>
      <c r="M96" s="96" t="inlineStr">
        <is>
          <t>채택</t>
        </is>
      </c>
      <c r="N96" s="96" t="inlineStr"/>
      <c r="O96" s="96" t="inlineStr">
        <is>
          <t>KAP 단기자금시장 지수</t>
        </is>
      </c>
      <c r="P96" s="96" t="inlineStr">
        <is>
          <t>일반</t>
        </is>
      </c>
      <c r="Q96" s="96" t="inlineStr">
        <is>
          <t>단기자금(파킹형)</t>
        </is>
      </c>
      <c r="R96" s="96" t="inlineStr">
        <is>
          <t>연배당</t>
        </is>
      </c>
      <c r="S96" s="97" t="n">
        <v>1</v>
      </c>
      <c r="T96" s="74" t="n">
        <v>1</v>
      </c>
      <c r="U96" s="78" t="n">
        <v>0.03240000000000001</v>
      </c>
      <c r="V96" s="78" t="n">
        <v>0.0165</v>
      </c>
      <c r="W96" s="78" t="n">
        <v>0.0169</v>
      </c>
      <c r="X96" s="78" t="n">
        <v>0.0089</v>
      </c>
      <c r="Y96" s="96" t="inlineStr">
        <is>
          <t>20250922~20261002</t>
        </is>
      </c>
      <c r="Z96" s="96" t="inlineStr"/>
      <c r="AA96">
        <f>IF(AND($J96&lt;&gt;"",OR(조회_주기="전체",$R96=조회_주기),$J96&gt;=조회_최소,$J96&lt;=조회_최대),1,0)</f>
        <v/>
      </c>
      <c r="AB96">
        <f>IF($AA96=1,$AB95+1,$AB95)</f>
        <v/>
      </c>
      <c r="AC96">
        <f>IF(검색어="",1,IF(ISNUMBER(SEARCH(검색어,$A96)),1,0))</f>
        <v/>
      </c>
      <c r="AD96">
        <f>IF($AC96=1,$AD95+1,$AD95)</f>
        <v/>
      </c>
      <c r="AE96">
        <f>IFERROR(INDEX($A$4:$A$594,MATCH(93,$AD$4:$AD$594,0)),"")</f>
        <v/>
      </c>
    </row>
    <row r="97">
      <c r="A97" s="96" t="inlineStr">
        <is>
          <t>KODEX 국고채10년액티브</t>
        </is>
      </c>
      <c r="B97" s="96" t="inlineStr">
        <is>
          <t>471230</t>
        </is>
      </c>
      <c r="C97" s="96" t="inlineStr">
        <is>
          <t>삼성자산운용(ETF)</t>
        </is>
      </c>
      <c r="D97" s="97" t="n">
        <v>104125</v>
      </c>
      <c r="E97" s="97" t="n">
        <v>463252125000</v>
      </c>
      <c r="F97" s="97" t="n">
        <v>1758681949</v>
      </c>
      <c r="G97" s="74" t="n">
        <v>0.00015</v>
      </c>
      <c r="H97" s="74" t="n">
        <v>0.0679</v>
      </c>
      <c r="I97" s="74" t="n">
        <v>0.0147</v>
      </c>
      <c r="J97" s="74" t="n">
        <v>0.015491</v>
      </c>
      <c r="K97" s="97" t="n">
        <v>1</v>
      </c>
      <c r="L97" s="98" t="inlineStr">
        <is>
          <t>20251212</t>
        </is>
      </c>
      <c r="M97" s="96" t="inlineStr">
        <is>
          <t>채택</t>
        </is>
      </c>
      <c r="N97" s="96" t="inlineStr"/>
      <c r="O97" s="96" t="inlineStr">
        <is>
          <t>KAP 국고채 10년 지수(TR)</t>
        </is>
      </c>
      <c r="P97" s="96" t="inlineStr">
        <is>
          <t>일반</t>
        </is>
      </c>
      <c r="Q97" s="96" t="inlineStr">
        <is>
          <t>채권</t>
        </is>
      </c>
      <c r="R97" s="96" t="inlineStr">
        <is>
          <t>연배당</t>
        </is>
      </c>
      <c r="S97" s="97" t="n">
        <v>1</v>
      </c>
      <c r="T97" s="74" t="n">
        <v>1</v>
      </c>
      <c r="U97" s="78" t="n">
        <v>-0.07969999999999999</v>
      </c>
      <c r="V97" s="78" t="n">
        <v>-0.09369999999999999</v>
      </c>
      <c r="W97" s="78" t="n">
        <v>-0.0262</v>
      </c>
      <c r="X97" s="78" t="n">
        <v>-0.0021</v>
      </c>
      <c r="Y97" s="96" t="inlineStr">
        <is>
          <t>20250922~20261002</t>
        </is>
      </c>
      <c r="Z97" s="96" t="inlineStr"/>
      <c r="AA97">
        <f>IF(AND($J97&lt;&gt;"",OR(조회_주기="전체",$R97=조회_주기),$J97&gt;=조회_최소,$J97&lt;=조회_최대),1,0)</f>
        <v/>
      </c>
      <c r="AB97">
        <f>IF($AA97=1,$AB96+1,$AB96)</f>
        <v/>
      </c>
      <c r="AC97">
        <f>IF(검색어="",1,IF(ISNUMBER(SEARCH(검색어,$A97)),1,0))</f>
        <v/>
      </c>
      <c r="AD97">
        <f>IF($AC97=1,$AD96+1,$AD96)</f>
        <v/>
      </c>
      <c r="AE97">
        <f>IFERROR(INDEX($A$4:$A$594,MATCH(94,$AD$4:$AD$594,0)),"")</f>
        <v/>
      </c>
    </row>
    <row r="98">
      <c r="A98" s="96" t="inlineStr">
        <is>
          <t>TIGER 미국S&amp;P500동일가중</t>
        </is>
      </c>
      <c r="B98" s="96" t="inlineStr">
        <is>
          <t>488500</t>
        </is>
      </c>
      <c r="C98" s="96" t="inlineStr">
        <is>
          <t>미래에셋자산운용</t>
        </is>
      </c>
      <c r="D98" s="97" t="n">
        <v>11950</v>
      </c>
      <c r="E98" s="97" t="n">
        <v>108147500000</v>
      </c>
      <c r="F98" s="97" t="n">
        <v>896580688</v>
      </c>
      <c r="G98" s="74" t="n">
        <v>0.002</v>
      </c>
      <c r="H98" s="74" t="n">
        <v>0.1387</v>
      </c>
      <c r="I98" s="74" t="n">
        <v>0.0037</v>
      </c>
      <c r="J98" s="74" t="n">
        <v>0.015314</v>
      </c>
      <c r="K98" s="97" t="n">
        <v>8</v>
      </c>
      <c r="L98" s="98" t="inlineStr">
        <is>
          <t>20260730</t>
        </is>
      </c>
      <c r="M98" s="96" t="inlineStr">
        <is>
          <t>채택</t>
        </is>
      </c>
      <c r="N98" s="96" t="inlineStr"/>
      <c r="O98" s="96" t="inlineStr">
        <is>
          <t>S&amp;P 500 EQUAL WEIGHTED</t>
        </is>
      </c>
      <c r="P98" s="96" t="inlineStr">
        <is>
          <t>일반</t>
        </is>
      </c>
      <c r="Q98" s="96" t="inlineStr">
        <is>
          <t>주식</t>
        </is>
      </c>
      <c r="R98" s="96" t="inlineStr">
        <is>
          <t>분기배당</t>
        </is>
      </c>
      <c r="S98" s="97" t="n">
        <v>3</v>
      </c>
      <c r="T98" s="74" t="n">
        <v>1</v>
      </c>
      <c r="U98" s="78" t="n">
        <v>0.08789999999999999</v>
      </c>
      <c r="V98" s="78" t="n">
        <v>0.07139999999999999</v>
      </c>
      <c r="W98" s="78" t="n">
        <v>-0.0312</v>
      </c>
      <c r="X98" s="78" t="n">
        <v>-0.1398</v>
      </c>
      <c r="Y98" s="96" t="inlineStr">
        <is>
          <t>20250922~20261002</t>
        </is>
      </c>
      <c r="Z98" s="96" t="inlineStr"/>
      <c r="AA98">
        <f>IF(AND($J98&lt;&gt;"",OR(조회_주기="전체",$R98=조회_주기),$J98&gt;=조회_최소,$J98&lt;=조회_최대),1,0)</f>
        <v/>
      </c>
      <c r="AB98">
        <f>IF($AA98=1,$AB97+1,$AB97)</f>
        <v/>
      </c>
      <c r="AC98">
        <f>IF(검색어="",1,IF(ISNUMBER(SEARCH(검색어,$A98)),1,0))</f>
        <v/>
      </c>
      <c r="AD98">
        <f>IF($AC98=1,$AD97+1,$AD97)</f>
        <v/>
      </c>
      <c r="AE98">
        <f>IFERROR(INDEX($A$4:$A$594,MATCH(95,$AD$4:$AD$594,0)),"")</f>
        <v/>
      </c>
    </row>
    <row r="99">
      <c r="A99" s="96" t="inlineStr">
        <is>
          <t>KODEX TDF2060액티브 적격</t>
        </is>
      </c>
      <c r="B99" s="96" t="inlineStr">
        <is>
          <t>0082V0</t>
        </is>
      </c>
      <c r="C99" s="96" t="inlineStr">
        <is>
          <t>삼성자산운용(ETF)</t>
        </is>
      </c>
      <c r="D99" s="97" t="n">
        <v>11230</v>
      </c>
      <c r="E99" s="97" t="n">
        <v>189225500000</v>
      </c>
      <c r="F99" s="97" t="n">
        <v>872862894</v>
      </c>
      <c r="G99" s="74" t="n">
        <v>0.003</v>
      </c>
      <c r="H99" s="74" t="n">
        <v>0.1206</v>
      </c>
      <c r="I99" s="74" t="n">
        <v>0.0071</v>
      </c>
      <c r="J99" s="74" t="n">
        <v>0.015138</v>
      </c>
      <c r="K99" s="97" t="n">
        <v>4</v>
      </c>
      <c r="L99" s="98" t="inlineStr">
        <is>
          <t>20260730</t>
        </is>
      </c>
      <c r="M99" s="96" t="inlineStr">
        <is>
          <t>채택</t>
        </is>
      </c>
      <c r="N99" s="96" t="inlineStr"/>
      <c r="O99" s="96" t="inlineStr">
        <is>
          <t>Samsung Korea Target Date 2060 Index</t>
        </is>
      </c>
      <c r="P99" s="96" t="inlineStr">
        <is>
          <t>일반</t>
        </is>
      </c>
      <c r="Q99" s="96" t="inlineStr">
        <is>
          <t>멀티에셋</t>
        </is>
      </c>
      <c r="R99" s="96" t="inlineStr">
        <is>
          <t>분기배당</t>
        </is>
      </c>
      <c r="S99" s="97" t="n">
        <v>3</v>
      </c>
      <c r="T99" s="74" t="n">
        <v>1</v>
      </c>
      <c r="U99" s="78" t="n">
        <v>0.07530000000000001</v>
      </c>
      <c r="V99" s="78" t="n">
        <v>0.0591</v>
      </c>
      <c r="W99" s="78" t="n">
        <v>0.0115</v>
      </c>
      <c r="X99" s="78" t="n">
        <v>-0.08599999999999999</v>
      </c>
      <c r="Y99" s="96" t="inlineStr">
        <is>
          <t>20250922~20261002</t>
        </is>
      </c>
      <c r="Z99" s="96" t="inlineStr"/>
      <c r="AA99">
        <f>IF(AND($J99&lt;&gt;"",OR(조회_주기="전체",$R99=조회_주기),$J99&gt;=조회_최소,$J99&lt;=조회_최대),1,0)</f>
        <v/>
      </c>
      <c r="AB99">
        <f>IF($AA99=1,$AB98+1,$AB98)</f>
        <v/>
      </c>
      <c r="AC99">
        <f>IF(검색어="",1,IF(ISNUMBER(SEARCH(검색어,$A99)),1,0))</f>
        <v/>
      </c>
      <c r="AD99">
        <f>IF($AC99=1,$AD98+1,$AD98)</f>
        <v/>
      </c>
      <c r="AE99">
        <f>IFERROR(INDEX($A$4:$A$594,MATCH(96,$AD$4:$AD$594,0)),"")</f>
        <v/>
      </c>
    </row>
    <row r="100">
      <c r="A100" s="96" t="inlineStr">
        <is>
          <t>KODEX 미국S&amp;P500헬스케어</t>
        </is>
      </c>
      <c r="B100" s="96" t="inlineStr">
        <is>
          <t>453640</t>
        </is>
      </c>
      <c r="C100" s="96" t="inlineStr">
        <is>
          <t>삼성자산운용(ETF)</t>
        </is>
      </c>
      <c r="D100" s="97" t="n">
        <v>13580</v>
      </c>
      <c r="E100" s="97" t="n">
        <v>58394000000</v>
      </c>
      <c r="F100" s="97" t="n">
        <v>513025968</v>
      </c>
      <c r="G100" s="74" t="n">
        <v>0.0025</v>
      </c>
      <c r="H100" s="74" t="n">
        <v>0.1844</v>
      </c>
      <c r="I100" s="74" t="n">
        <v>0.0038</v>
      </c>
      <c r="J100" s="74" t="n">
        <v>0.014948</v>
      </c>
      <c r="K100" s="97" t="n">
        <v>13</v>
      </c>
      <c r="L100" s="98" t="inlineStr">
        <is>
          <t>20260730</t>
        </is>
      </c>
      <c r="M100" s="96" t="inlineStr">
        <is>
          <t>채택</t>
        </is>
      </c>
      <c r="N100" s="96" t="inlineStr"/>
      <c r="O100" s="96" t="inlineStr">
        <is>
          <t>S&amp;P Health Care Select Sector Index</t>
        </is>
      </c>
      <c r="P100" s="96" t="inlineStr">
        <is>
          <t>일반</t>
        </is>
      </c>
      <c r="Q100" s="96" t="inlineStr">
        <is>
          <t>주식</t>
        </is>
      </c>
      <c r="R100" s="96" t="inlineStr">
        <is>
          <t>분기배당</t>
        </is>
      </c>
      <c r="S100" s="97" t="n">
        <v>3</v>
      </c>
      <c r="T100" s="74" t="n">
        <v>1</v>
      </c>
      <c r="U100" s="78" t="n">
        <v>0.1897</v>
      </c>
      <c r="V100" s="78" t="n">
        <v>0.1722</v>
      </c>
      <c r="W100" s="78" t="n">
        <v>0.0127</v>
      </c>
      <c r="X100" s="78" t="n">
        <v>-0.104</v>
      </c>
      <c r="Y100" s="96" t="inlineStr">
        <is>
          <t>20250922~20261002</t>
        </is>
      </c>
      <c r="Z100" s="96" t="inlineStr"/>
      <c r="AA100">
        <f>IF(AND($J100&lt;&gt;"",OR(조회_주기="전체",$R100=조회_주기),$J100&gt;=조회_최소,$J100&lt;=조회_최대),1,0)</f>
        <v/>
      </c>
      <c r="AB100">
        <f>IF($AA100=1,$AB99+1,$AB99)</f>
        <v/>
      </c>
      <c r="AC100">
        <f>IF(검색어="",1,IF(ISNUMBER(SEARCH(검색어,$A100)),1,0))</f>
        <v/>
      </c>
      <c r="AD100">
        <f>IF($AC100=1,$AD99+1,$AD99)</f>
        <v/>
      </c>
      <c r="AE100">
        <f>IFERROR(INDEX($A$4:$A$594,MATCH(97,$AD$4:$AD$594,0)),"")</f>
        <v/>
      </c>
    </row>
    <row r="101">
      <c r="A101" s="96" t="inlineStr">
        <is>
          <t>TIGER 테슬라채권혼합Fn</t>
        </is>
      </c>
      <c r="B101" s="96" t="inlineStr">
        <is>
          <t>447770</t>
        </is>
      </c>
      <c r="C101" s="96" t="inlineStr">
        <is>
          <t>미래에셋자산운용</t>
        </is>
      </c>
      <c r="D101" s="97" t="n">
        <v>13710</v>
      </c>
      <c r="E101" s="97" t="n">
        <v>433236000000</v>
      </c>
      <c r="F101" s="97" t="n">
        <v>1910649964</v>
      </c>
      <c r="G101" s="74" t="n">
        <v>0.0025</v>
      </c>
      <c r="H101" s="74" t="n">
        <v>0.1436</v>
      </c>
      <c r="I101" s="74" t="n">
        <v>0.0049</v>
      </c>
      <c r="J101" s="74" t="n">
        <v>0.014588</v>
      </c>
      <c r="K101" s="97" t="n">
        <v>11</v>
      </c>
      <c r="L101" s="98" t="inlineStr">
        <is>
          <t>20260730</t>
        </is>
      </c>
      <c r="M101" s="96" t="inlineStr">
        <is>
          <t>채택</t>
        </is>
      </c>
      <c r="N101" s="96" t="inlineStr"/>
      <c r="O101" s="96" t="inlineStr">
        <is>
          <t>FnGuide 테슬라채권혼합 지수</t>
        </is>
      </c>
      <c r="P101" s="96" t="inlineStr">
        <is>
          <t>일반</t>
        </is>
      </c>
      <c r="Q101" s="96" t="inlineStr">
        <is>
          <t>멀티에셋</t>
        </is>
      </c>
      <c r="R101" s="96" t="inlineStr">
        <is>
          <t>분기배당</t>
        </is>
      </c>
      <c r="S101" s="97" t="n">
        <v>3</v>
      </c>
      <c r="T101" s="74" t="n">
        <v>1</v>
      </c>
      <c r="U101" s="78" t="n">
        <v>-0.0659</v>
      </c>
      <c r="V101" s="78" t="n">
        <v>-0.0793</v>
      </c>
      <c r="W101" s="78" t="n">
        <v>-0.0375</v>
      </c>
      <c r="X101" s="78" t="n">
        <v>-0.0601</v>
      </c>
      <c r="Y101" s="96" t="inlineStr">
        <is>
          <t>20250922~20261002</t>
        </is>
      </c>
      <c r="Z101" s="96" t="inlineStr"/>
      <c r="AA101">
        <f>IF(AND($J101&lt;&gt;"",OR(조회_주기="전체",$R101=조회_주기),$J101&gt;=조회_최소,$J101&lt;=조회_최대),1,0)</f>
        <v/>
      </c>
      <c r="AB101">
        <f>IF($AA101=1,$AB100+1,$AB100)</f>
        <v/>
      </c>
      <c r="AC101">
        <f>IF(검색어="",1,IF(ISNUMBER(SEARCH(검색어,$A101)),1,0))</f>
        <v/>
      </c>
      <c r="AD101">
        <f>IF($AC101=1,$AD100+1,$AD100)</f>
        <v/>
      </c>
      <c r="AE101">
        <f>IFERROR(INDEX($A$4:$A$594,MATCH(98,$AD$4:$AD$594,0)),"")</f>
        <v/>
      </c>
    </row>
    <row r="102">
      <c r="A102" s="96" t="inlineStr">
        <is>
          <t>KODEX 머니마켓액티브</t>
        </is>
      </c>
      <c r="B102" s="96" t="inlineStr">
        <is>
          <t>488770</t>
        </is>
      </c>
      <c r="C102" s="96" t="inlineStr">
        <is>
          <t>삼성자산운용(ETF)</t>
        </is>
      </c>
      <c r="D102" s="97" t="n">
        <v>105725</v>
      </c>
      <c r="E102" s="97" t="n">
        <v>9870803175000</v>
      </c>
      <c r="F102" s="97" t="n">
        <v>74162558497</v>
      </c>
      <c r="G102" s="74" t="n">
        <v>0.0005</v>
      </c>
      <c r="H102" s="74" t="n">
        <v>0.0146</v>
      </c>
      <c r="I102" s="74" t="n">
        <v>0.0143</v>
      </c>
      <c r="J102" s="74" t="n">
        <v>0.014169</v>
      </c>
      <c r="K102" s="97" t="n">
        <v>1</v>
      </c>
      <c r="L102" s="98" t="inlineStr">
        <is>
          <t>20251212</t>
        </is>
      </c>
      <c r="M102" s="96" t="inlineStr">
        <is>
          <t>채택</t>
        </is>
      </c>
      <c r="N102" s="96" t="inlineStr"/>
      <c r="O102" s="96" t="inlineStr">
        <is>
          <t>KAP MMF 지수</t>
        </is>
      </c>
      <c r="P102" s="96" t="inlineStr">
        <is>
          <t>일반</t>
        </is>
      </c>
      <c r="Q102" s="96" t="inlineStr">
        <is>
          <t>단기자금(파킹형)</t>
        </is>
      </c>
      <c r="R102" s="96" t="inlineStr">
        <is>
          <t>연배당</t>
        </is>
      </c>
      <c r="S102" s="97" t="n">
        <v>1</v>
      </c>
      <c r="T102" s="74" t="n">
        <v>1</v>
      </c>
      <c r="U102" s="78" t="n">
        <v>0.0327</v>
      </c>
      <c r="V102" s="78" t="n">
        <v>0.0183</v>
      </c>
      <c r="W102" s="78" t="n">
        <v>0.0167</v>
      </c>
      <c r="X102" s="78" t="n">
        <v>0.008699999999999999</v>
      </c>
      <c r="Y102" s="96" t="inlineStr">
        <is>
          <t>20250922~20261002</t>
        </is>
      </c>
      <c r="Z102" s="96" t="inlineStr"/>
      <c r="AA102">
        <f>IF(AND($J102&lt;&gt;"",OR(조회_주기="전체",$R102=조회_주기),$J102&gt;=조회_최소,$J102&lt;=조회_최대),1,0)</f>
        <v/>
      </c>
      <c r="AB102">
        <f>IF($AA102=1,$AB101+1,$AB101)</f>
        <v/>
      </c>
      <c r="AC102">
        <f>IF(검색어="",1,IF(ISNUMBER(SEARCH(검색어,$A102)),1,0))</f>
        <v/>
      </c>
      <c r="AD102">
        <f>IF($AC102=1,$AD101+1,$AD101)</f>
        <v/>
      </c>
      <c r="AE102">
        <f>IFERROR(INDEX($A$4:$A$594,MATCH(99,$AD$4:$AD$594,0)),"")</f>
        <v/>
      </c>
    </row>
    <row r="103">
      <c r="A103" s="96" t="inlineStr">
        <is>
          <t>TIGER 미국다우존스30</t>
        </is>
      </c>
      <c r="B103" s="96" t="inlineStr">
        <is>
          <t>245340</t>
        </is>
      </c>
      <c r="C103" s="96" t="inlineStr">
        <is>
          <t>미래에셋자산운용</t>
        </is>
      </c>
      <c r="D103" s="97" t="n">
        <v>33550</v>
      </c>
      <c r="E103" s="97" t="n">
        <v>135542000000</v>
      </c>
      <c r="F103" s="97" t="n">
        <v>718319088</v>
      </c>
      <c r="G103" s="74" t="n">
        <v>0.0035</v>
      </c>
      <c r="H103" s="74" t="n">
        <v>0.1456</v>
      </c>
      <c r="I103" s="74" t="n">
        <v>0.0015</v>
      </c>
      <c r="J103" s="74" t="n">
        <v>0.014098</v>
      </c>
      <c r="K103" s="97" t="n">
        <v>53</v>
      </c>
      <c r="L103" s="98" t="inlineStr">
        <is>
          <t>20260929</t>
        </is>
      </c>
      <c r="M103" s="96" t="inlineStr">
        <is>
          <t>채택</t>
        </is>
      </c>
      <c r="N103" s="96" t="inlineStr"/>
      <c r="O103" s="96" t="inlineStr">
        <is>
          <t>DowJones Industrial Average Index</t>
        </is>
      </c>
      <c r="P103" s="96" t="inlineStr">
        <is>
          <t>일반</t>
        </is>
      </c>
      <c r="Q103" s="96" t="inlineStr">
        <is>
          <t>주식</t>
        </is>
      </c>
      <c r="R103" s="96" t="inlineStr">
        <is>
          <t>월배당</t>
        </is>
      </c>
      <c r="S103" s="97" t="n">
        <v>11</v>
      </c>
      <c r="T103" s="74" t="n">
        <v>1</v>
      </c>
      <c r="U103" s="78" t="n">
        <v>0.0764</v>
      </c>
      <c r="V103" s="78" t="n">
        <v>0.0614</v>
      </c>
      <c r="W103" s="78" t="n">
        <v>-0.0175</v>
      </c>
      <c r="X103" s="78" t="n">
        <v>-0.1478</v>
      </c>
      <c r="Y103" s="96" t="inlineStr">
        <is>
          <t>20250922~20261002</t>
        </is>
      </c>
      <c r="Z103" s="96" t="inlineStr"/>
      <c r="AA103">
        <f>IF(AND($J103&lt;&gt;"",OR(조회_주기="전체",$R103=조회_주기),$J103&gt;=조회_최소,$J103&lt;=조회_최대),1,0)</f>
        <v/>
      </c>
      <c r="AB103">
        <f>IF($AA103=1,$AB102+1,$AB102)</f>
        <v/>
      </c>
      <c r="AC103">
        <f>IF(검색어="",1,IF(ISNUMBER(SEARCH(검색어,$A103)),1,0))</f>
        <v/>
      </c>
      <c r="AD103">
        <f>IF($AC103=1,$AD102+1,$AD102)</f>
        <v/>
      </c>
      <c r="AE103">
        <f>IFERROR(INDEX($A$4:$A$594,MATCH(100,$AD$4:$AD$594,0)),"")</f>
        <v/>
      </c>
    </row>
    <row r="104">
      <c r="A104" s="96" t="inlineStr">
        <is>
          <t>KODEX MSCI선진국</t>
        </is>
      </c>
      <c r="B104" s="96" t="inlineStr">
        <is>
          <t>251350</t>
        </is>
      </c>
      <c r="C104" s="96" t="inlineStr">
        <is>
          <t>삼성자산운용(ETF)</t>
        </is>
      </c>
      <c r="D104" s="97" t="n">
        <v>37945</v>
      </c>
      <c r="E104" s="97" t="n">
        <v>485696000000</v>
      </c>
      <c r="F104" s="97" t="n">
        <v>1271297656</v>
      </c>
      <c r="G104" s="74" t="n">
        <v>0.003</v>
      </c>
      <c r="H104" s="74" t="n">
        <v>0.133</v>
      </c>
      <c r="I104" s="74" t="n">
        <v>0.004500000000000001</v>
      </c>
      <c r="J104" s="74" t="n">
        <v>0.013757</v>
      </c>
      <c r="K104" s="97" t="n">
        <v>14</v>
      </c>
      <c r="L104" s="98" t="inlineStr">
        <is>
          <t>20260730</t>
        </is>
      </c>
      <c r="M104" s="96" t="inlineStr">
        <is>
          <t>채택</t>
        </is>
      </c>
      <c r="N104" s="96" t="inlineStr"/>
      <c r="O104" s="96" t="inlineStr">
        <is>
          <t>MSCI World Markets Index</t>
        </is>
      </c>
      <c r="P104" s="96" t="inlineStr">
        <is>
          <t>일반</t>
        </is>
      </c>
      <c r="Q104" s="96" t="inlineStr">
        <is>
          <t>주식</t>
        </is>
      </c>
      <c r="R104" s="96" t="inlineStr">
        <is>
          <t>분기배당</t>
        </is>
      </c>
      <c r="S104" s="97" t="n">
        <v>3</v>
      </c>
      <c r="T104" s="74" t="n">
        <v>1</v>
      </c>
      <c r="U104" s="78" t="n">
        <v>0.1181</v>
      </c>
      <c r="V104" s="78" t="n">
        <v>0.1028</v>
      </c>
      <c r="W104" s="78" t="n">
        <v>0.0166</v>
      </c>
      <c r="X104" s="78" t="n">
        <v>-0.105</v>
      </c>
      <c r="Y104" s="96" t="inlineStr">
        <is>
          <t>20250922~20261002</t>
        </is>
      </c>
      <c r="Z104" s="96" t="inlineStr"/>
      <c r="AA104">
        <f>IF(AND($J104&lt;&gt;"",OR(조회_주기="전체",$R104=조회_주기),$J104&gt;=조회_최소,$J104&lt;=조회_최대),1,0)</f>
        <v/>
      </c>
      <c r="AB104">
        <f>IF($AA104=1,$AB103+1,$AB103)</f>
        <v/>
      </c>
      <c r="AC104">
        <f>IF(검색어="",1,IF(ISNUMBER(SEARCH(검색어,$A104)),1,0))</f>
        <v/>
      </c>
      <c r="AD104">
        <f>IF($AC104=1,$AD103+1,$AD103)</f>
        <v/>
      </c>
      <c r="AE104">
        <f>IFERROR(INDEX($A$4:$A$594,MATCH(101,$AD$4:$AD$594,0)),"")</f>
        <v/>
      </c>
    </row>
    <row r="105">
      <c r="A105" s="96" t="inlineStr">
        <is>
          <t>RISE 머니마켓액티브</t>
        </is>
      </c>
      <c r="B105" s="96" t="inlineStr">
        <is>
          <t>455890</t>
        </is>
      </c>
      <c r="C105" s="96" t="inlineStr">
        <is>
          <t>KB자산운용</t>
        </is>
      </c>
      <c r="D105" s="97" t="n">
        <v>55640</v>
      </c>
      <c r="E105" s="97" t="n">
        <v>2788120400000</v>
      </c>
      <c r="F105" s="97" t="n">
        <v>10754875295</v>
      </c>
      <c r="G105" s="74" t="n">
        <v>0.0005</v>
      </c>
      <c r="H105" s="74" t="n">
        <v>0.0142</v>
      </c>
      <c r="I105" s="74" t="n">
        <v>0.0139</v>
      </c>
      <c r="J105" s="74" t="n">
        <v>0.013749</v>
      </c>
      <c r="K105" s="97" t="n">
        <v>1</v>
      </c>
      <c r="L105" s="98" t="inlineStr">
        <is>
          <t>20251212</t>
        </is>
      </c>
      <c r="M105" s="96" t="inlineStr">
        <is>
          <t>채택</t>
        </is>
      </c>
      <c r="N105" s="96" t="inlineStr"/>
      <c r="O105" s="96" t="inlineStr">
        <is>
          <t>KIS 시가평가 MMF 지수</t>
        </is>
      </c>
      <c r="P105" s="96" t="inlineStr">
        <is>
          <t>일반</t>
        </is>
      </c>
      <c r="Q105" s="96" t="inlineStr">
        <is>
          <t>단기자금(파킹형)</t>
        </is>
      </c>
      <c r="R105" s="96" t="inlineStr">
        <is>
          <t>연배당</t>
        </is>
      </c>
      <c r="S105" s="97" t="n">
        <v>1</v>
      </c>
      <c r="T105" s="74" t="n">
        <v>1</v>
      </c>
      <c r="U105" s="78" t="n">
        <v>0.0312</v>
      </c>
      <c r="V105" s="78" t="n">
        <v>0.0172</v>
      </c>
      <c r="W105" s="78" t="n">
        <v>0.0161</v>
      </c>
      <c r="X105" s="78" t="n">
        <v>0.008500000000000001</v>
      </c>
      <c r="Y105" s="96" t="inlineStr">
        <is>
          <t>20250922~20261002</t>
        </is>
      </c>
      <c r="Z105" s="96" t="inlineStr"/>
      <c r="AA105">
        <f>IF(AND($J105&lt;&gt;"",OR(조회_주기="전체",$R105=조회_주기),$J105&gt;=조회_최소,$J105&lt;=조회_최대),1,0)</f>
        <v/>
      </c>
      <c r="AB105">
        <f>IF($AA105=1,$AB104+1,$AB104)</f>
        <v/>
      </c>
      <c r="AC105">
        <f>IF(검색어="",1,IF(ISNUMBER(SEARCH(검색어,$A105)),1,0))</f>
        <v/>
      </c>
      <c r="AD105">
        <f>IF($AC105=1,$AD104+1,$AD104)</f>
        <v/>
      </c>
      <c r="AE105">
        <f>IFERROR(INDEX($A$4:$A$594,MATCH(102,$AD$4:$AD$594,0)),"")</f>
        <v/>
      </c>
    </row>
    <row r="106">
      <c r="A106" s="96" t="inlineStr">
        <is>
          <t>TIGER 인도니프티50</t>
        </is>
      </c>
      <c r="B106" s="96" t="inlineStr">
        <is>
          <t>453870</t>
        </is>
      </c>
      <c r="C106" s="96" t="inlineStr">
        <is>
          <t>미래에셋자산운용</t>
        </is>
      </c>
      <c r="D106" s="97" t="n">
        <v>10410</v>
      </c>
      <c r="E106" s="97" t="n">
        <v>260770500000</v>
      </c>
      <c r="F106" s="97" t="n">
        <v>810460834</v>
      </c>
      <c r="G106" s="74" t="n">
        <v>0.0019</v>
      </c>
      <c r="H106" s="74" t="n">
        <v>0.179</v>
      </c>
      <c r="I106" s="74" t="n">
        <v>0.004099999999999999</v>
      </c>
      <c r="J106" s="74" t="n">
        <v>0.013449</v>
      </c>
      <c r="K106" s="97" t="n">
        <v>13</v>
      </c>
      <c r="L106" s="98" t="inlineStr">
        <is>
          <t>20260730</t>
        </is>
      </c>
      <c r="M106" s="96" t="inlineStr">
        <is>
          <t>채택</t>
        </is>
      </c>
      <c r="N106" s="96" t="inlineStr"/>
      <c r="O106" s="96" t="inlineStr">
        <is>
          <t>CNX NIFTY INDEX</t>
        </is>
      </c>
      <c r="P106" s="96" t="inlineStr">
        <is>
          <t>일반</t>
        </is>
      </c>
      <c r="Q106" s="96" t="inlineStr">
        <is>
          <t>주식</t>
        </is>
      </c>
      <c r="R106" s="96" t="inlineStr">
        <is>
          <t>분기배당</t>
        </is>
      </c>
      <c r="S106" s="97" t="n">
        <v>3</v>
      </c>
      <c r="T106" s="74" t="n">
        <v>1</v>
      </c>
      <c r="U106" s="78" t="n">
        <v>-0.2189</v>
      </c>
      <c r="V106" s="78" t="n">
        <v>-0.2293</v>
      </c>
      <c r="W106" s="78" t="n">
        <v>-0.1607</v>
      </c>
      <c r="X106" s="78" t="n">
        <v>-0.2031</v>
      </c>
      <c r="Y106" s="96" t="inlineStr">
        <is>
          <t>20250922~20261002</t>
        </is>
      </c>
      <c r="Z106" s="96" t="inlineStr"/>
      <c r="AA106">
        <f>IF(AND($J106&lt;&gt;"",OR(조회_주기="전체",$R106=조회_주기),$J106&gt;=조회_최소,$J106&lt;=조회_최대),1,0)</f>
        <v/>
      </c>
      <c r="AB106">
        <f>IF($AA106=1,$AB105+1,$AB105)</f>
        <v/>
      </c>
      <c r="AC106">
        <f>IF(검색어="",1,IF(ISNUMBER(SEARCH(검색어,$A106)),1,0))</f>
        <v/>
      </c>
      <c r="AD106">
        <f>IF($AC106=1,$AD105+1,$AD105)</f>
        <v/>
      </c>
      <c r="AE106">
        <f>IFERROR(INDEX($A$4:$A$594,MATCH(103,$AD$4:$AD$594,0)),"")</f>
        <v/>
      </c>
    </row>
    <row r="107">
      <c r="A107" s="96" t="inlineStr">
        <is>
          <t>TIGER 종합채권(AA-이상)액티브</t>
        </is>
      </c>
      <c r="B107" s="96" t="inlineStr">
        <is>
          <t>451540</t>
        </is>
      </c>
      <c r="C107" s="96" t="inlineStr">
        <is>
          <t>미래에셋자산운용</t>
        </is>
      </c>
      <c r="D107" s="97" t="n">
        <v>53120</v>
      </c>
      <c r="E107" s="97" t="n">
        <v>1077273600000</v>
      </c>
      <c r="F107" s="97" t="n">
        <v>809825168</v>
      </c>
      <c r="G107" s="74" t="n">
        <v>0.0003</v>
      </c>
      <c r="H107" s="74" t="n">
        <v>0.04389999999999999</v>
      </c>
      <c r="I107" s="74" t="n">
        <v>0.0125</v>
      </c>
      <c r="J107" s="74" t="n">
        <v>0.013178</v>
      </c>
      <c r="K107" s="97" t="n">
        <v>1</v>
      </c>
      <c r="L107" s="98" t="inlineStr">
        <is>
          <t>20251127</t>
        </is>
      </c>
      <c r="M107" s="96" t="inlineStr">
        <is>
          <t>채택</t>
        </is>
      </c>
      <c r="N107" s="96" t="inlineStr"/>
      <c r="O107" s="96" t="inlineStr">
        <is>
          <t>KIS 종합채권형 지수(AA-이상)</t>
        </is>
      </c>
      <c r="P107" s="96" t="inlineStr">
        <is>
          <t>일반</t>
        </is>
      </c>
      <c r="Q107" s="96" t="inlineStr">
        <is>
          <t>채권</t>
        </is>
      </c>
      <c r="R107" s="96" t="inlineStr">
        <is>
          <t>연배당</t>
        </is>
      </c>
      <c r="S107" s="97" t="n">
        <v>1</v>
      </c>
      <c r="T107" s="74" t="n">
        <v>1</v>
      </c>
      <c r="U107" s="78" t="n">
        <v>-0.0601</v>
      </c>
      <c r="V107" s="78" t="n">
        <v>-0.0723</v>
      </c>
      <c r="W107" s="78" t="n">
        <v>-0.0221</v>
      </c>
      <c r="X107" s="78" t="n">
        <v>0.003</v>
      </c>
      <c r="Y107" s="96" t="inlineStr">
        <is>
          <t>20250922~20261002</t>
        </is>
      </c>
      <c r="Z107" s="96" t="inlineStr"/>
      <c r="AA107">
        <f>IF(AND($J107&lt;&gt;"",OR(조회_주기="전체",$R107=조회_주기),$J107&gt;=조회_최소,$J107&lt;=조회_최대),1,0)</f>
        <v/>
      </c>
      <c r="AB107">
        <f>IF($AA107=1,$AB106+1,$AB106)</f>
        <v/>
      </c>
      <c r="AC107">
        <f>IF(검색어="",1,IF(ISNUMBER(SEARCH(검색어,$A107)),1,0))</f>
        <v/>
      </c>
      <c r="AD107">
        <f>IF($AC107=1,$AD106+1,$AD106)</f>
        <v/>
      </c>
      <c r="AE107">
        <f>IFERROR(INDEX($A$4:$A$594,MATCH(104,$AD$4:$AD$594,0)),"")</f>
        <v/>
      </c>
    </row>
    <row r="108">
      <c r="A108" s="96" t="inlineStr">
        <is>
          <t>SOL 중단기회사채(A-이상)액티브</t>
        </is>
      </c>
      <c r="B108" s="96" t="inlineStr">
        <is>
          <t>0016X0</t>
        </is>
      </c>
      <c r="C108" s="96" t="inlineStr">
        <is>
          <t>신한자산운용</t>
        </is>
      </c>
      <c r="D108" s="97" t="n">
        <v>51610</v>
      </c>
      <c r="E108" s="97" t="n">
        <v>422995560000</v>
      </c>
      <c r="F108" s="97" t="n">
        <v>521987210</v>
      </c>
      <c r="G108" s="74" t="n">
        <v>0.0005</v>
      </c>
      <c r="H108" s="74" t="n">
        <v>0.0159</v>
      </c>
      <c r="I108" s="74" t="n">
        <v>0.0132</v>
      </c>
      <c r="J108" s="74" t="n">
        <v>0.013079</v>
      </c>
      <c r="K108" s="97" t="n">
        <v>1</v>
      </c>
      <c r="L108" s="98" t="inlineStr">
        <is>
          <t>20251212</t>
        </is>
      </c>
      <c r="M108" s="96" t="inlineStr">
        <is>
          <t>채택</t>
        </is>
      </c>
      <c r="N108" s="96" t="inlineStr"/>
      <c r="O108" s="96" t="inlineStr">
        <is>
          <t>KIS 중단기크레딧플러스채권(AA+~A-)지수(총수익)</t>
        </is>
      </c>
      <c r="P108" s="96" t="inlineStr">
        <is>
          <t>일반</t>
        </is>
      </c>
      <c r="Q108" s="96" t="inlineStr">
        <is>
          <t>채권</t>
        </is>
      </c>
      <c r="R108" s="96" t="inlineStr">
        <is>
          <t>연배당</t>
        </is>
      </c>
      <c r="S108" s="97" t="n">
        <v>1</v>
      </c>
      <c r="T108" s="74" t="n">
        <v>1</v>
      </c>
      <c r="U108" s="78" t="n">
        <v>0.0211</v>
      </c>
      <c r="V108" s="78" t="n">
        <v>0.008</v>
      </c>
      <c r="W108" s="78" t="n">
        <v>0.0153</v>
      </c>
      <c r="X108" s="78" t="n">
        <v>0.01</v>
      </c>
      <c r="Y108" s="96" t="inlineStr">
        <is>
          <t>20250922~20261002</t>
        </is>
      </c>
      <c r="Z108" s="96" t="inlineStr"/>
      <c r="AA108">
        <f>IF(AND($J108&lt;&gt;"",OR(조회_주기="전체",$R108=조회_주기),$J108&gt;=조회_최소,$J108&lt;=조회_최대),1,0)</f>
        <v/>
      </c>
      <c r="AB108">
        <f>IF($AA108=1,$AB107+1,$AB107)</f>
        <v/>
      </c>
      <c r="AC108">
        <f>IF(검색어="",1,IF(ISNUMBER(SEARCH(검색어,$A108)),1,0))</f>
        <v/>
      </c>
      <c r="AD108">
        <f>IF($AC108=1,$AD107+1,$AD107)</f>
        <v/>
      </c>
      <c r="AE108">
        <f>IFERROR(INDEX($A$4:$A$594,MATCH(105,$AD$4:$AD$594,0)),"")</f>
        <v/>
      </c>
    </row>
    <row r="109">
      <c r="A109" s="96" t="inlineStr">
        <is>
          <t>KODEX 국고채3년</t>
        </is>
      </c>
      <c r="B109" s="96" t="inlineStr">
        <is>
          <t>114260</t>
        </is>
      </c>
      <c r="C109" s="96" t="inlineStr">
        <is>
          <t>삼성자산운용(ETF)</t>
        </is>
      </c>
      <c r="D109" s="97" t="n">
        <v>61915</v>
      </c>
      <c r="E109" s="97" t="n">
        <v>499654050000</v>
      </c>
      <c r="F109" s="97" t="n">
        <v>1305027367</v>
      </c>
      <c r="G109" s="74" t="n">
        <v>0.0015</v>
      </c>
      <c r="H109" s="74" t="n">
        <v>0.0263</v>
      </c>
      <c r="I109" s="74" t="n">
        <v>0.013</v>
      </c>
      <c r="J109" s="74" t="n">
        <v>0.013034</v>
      </c>
      <c r="K109" s="97" t="n">
        <v>1</v>
      </c>
      <c r="L109" s="98" t="inlineStr">
        <is>
          <t>20251212</t>
        </is>
      </c>
      <c r="M109" s="96" t="inlineStr">
        <is>
          <t>채택</t>
        </is>
      </c>
      <c r="N109" s="96" t="inlineStr"/>
      <c r="O109" s="96" t="inlineStr">
        <is>
          <t>MKF TB Index</t>
        </is>
      </c>
      <c r="P109" s="96" t="inlineStr">
        <is>
          <t>일반</t>
        </is>
      </c>
      <c r="Q109" s="96" t="inlineStr">
        <is>
          <t>채권</t>
        </is>
      </c>
      <c r="R109" s="96" t="inlineStr">
        <is>
          <t>연배당</t>
        </is>
      </c>
      <c r="S109" s="97" t="n">
        <v>1</v>
      </c>
      <c r="T109" s="74" t="n">
        <v>1</v>
      </c>
      <c r="U109" s="78" t="n">
        <v>-0.0059</v>
      </c>
      <c r="V109" s="78" t="n">
        <v>-0.0187</v>
      </c>
      <c r="W109" s="78" t="n">
        <v>0.0061</v>
      </c>
      <c r="X109" s="78" t="n">
        <v>0.0054</v>
      </c>
      <c r="Y109" s="96" t="inlineStr">
        <is>
          <t>20250922~20261002</t>
        </is>
      </c>
      <c r="Z109" s="96" t="inlineStr"/>
      <c r="AA109">
        <f>IF(AND($J109&lt;&gt;"",OR(조회_주기="전체",$R109=조회_주기),$J109&gt;=조회_최소,$J109&lt;=조회_최대),1,0)</f>
        <v/>
      </c>
      <c r="AB109">
        <f>IF($AA109=1,$AB108+1,$AB108)</f>
        <v/>
      </c>
      <c r="AC109">
        <f>IF(검색어="",1,IF(ISNUMBER(SEARCH(검색어,$A109)),1,0))</f>
        <v/>
      </c>
      <c r="AD109">
        <f>IF($AC109=1,$AD108+1,$AD108)</f>
        <v/>
      </c>
      <c r="AE109">
        <f>IFERROR(INDEX($A$4:$A$594,MATCH(106,$AD$4:$AD$594,0)),"")</f>
        <v/>
      </c>
    </row>
    <row r="110">
      <c r="A110" s="96" t="inlineStr">
        <is>
          <t>ACE 머니마켓액티브</t>
        </is>
      </c>
      <c r="B110" s="96" t="inlineStr">
        <is>
          <t>487340</t>
        </is>
      </c>
      <c r="C110" s="96" t="inlineStr">
        <is>
          <t>한국투신운용(ETF)</t>
        </is>
      </c>
      <c r="D110" s="97" t="n">
        <v>106200</v>
      </c>
      <c r="E110" s="97" t="n">
        <v>1221406200000</v>
      </c>
      <c r="F110" s="97" t="n">
        <v>1893217804</v>
      </c>
      <c r="G110" s="74" t="n">
        <v>0.0005</v>
      </c>
      <c r="H110" s="74" t="n">
        <v>0.0135</v>
      </c>
      <c r="I110" s="74" t="n">
        <v>0.0132</v>
      </c>
      <c r="J110" s="74" t="n">
        <v>0.012966</v>
      </c>
      <c r="K110" s="97" t="n">
        <v>1</v>
      </c>
      <c r="L110" s="98" t="inlineStr">
        <is>
          <t>20251127</t>
        </is>
      </c>
      <c r="M110" s="96" t="inlineStr">
        <is>
          <t>채택</t>
        </is>
      </c>
      <c r="N110" s="96" t="inlineStr"/>
      <c r="O110" s="96" t="inlineStr">
        <is>
          <t>MK-KAP 머니마켓 총수익 지수</t>
        </is>
      </c>
      <c r="P110" s="96" t="inlineStr">
        <is>
          <t>일반</t>
        </is>
      </c>
      <c r="Q110" s="96" t="inlineStr">
        <is>
          <t>단기자금(파킹형)</t>
        </is>
      </c>
      <c r="R110" s="96" t="inlineStr">
        <is>
          <t>연배당</t>
        </is>
      </c>
      <c r="S110" s="97" t="n">
        <v>1</v>
      </c>
      <c r="T110" s="74" t="n">
        <v>1</v>
      </c>
      <c r="U110" s="78" t="n">
        <v>0.0329</v>
      </c>
      <c r="V110" s="78" t="n">
        <v>0.0197</v>
      </c>
      <c r="W110" s="78" t="n">
        <v>0.0175</v>
      </c>
      <c r="X110" s="78" t="n">
        <v>0.0092</v>
      </c>
      <c r="Y110" s="96" t="inlineStr">
        <is>
          <t>20250922~20261002</t>
        </is>
      </c>
      <c r="Z110" s="96" t="inlineStr"/>
      <c r="AA110">
        <f>IF(AND($J110&lt;&gt;"",OR(조회_주기="전체",$R110=조회_주기),$J110&gt;=조회_최소,$J110&lt;=조회_최대),1,0)</f>
        <v/>
      </c>
      <c r="AB110">
        <f>IF($AA110=1,$AB109+1,$AB109)</f>
        <v/>
      </c>
      <c r="AC110">
        <f>IF(검색어="",1,IF(ISNUMBER(SEARCH(검색어,$A110)),1,0))</f>
        <v/>
      </c>
      <c r="AD110">
        <f>IF($AC110=1,$AD109+1,$AD109)</f>
        <v/>
      </c>
      <c r="AE110">
        <f>IFERROR(INDEX($A$4:$A$594,MATCH(107,$AD$4:$AD$594,0)),"")</f>
        <v/>
      </c>
    </row>
    <row r="111">
      <c r="A111" s="96" t="inlineStr">
        <is>
          <t>PLUS 머니마켓액티브</t>
        </is>
      </c>
      <c r="B111" s="96" t="inlineStr">
        <is>
          <t>477050</t>
        </is>
      </c>
      <c r="C111" s="96" t="inlineStr">
        <is>
          <t>한화자산운용</t>
        </is>
      </c>
      <c r="D111" s="97" t="n">
        <v>53665</v>
      </c>
      <c r="E111" s="97" t="n">
        <v>581621270000</v>
      </c>
      <c r="F111" s="97" t="n">
        <v>1473649440</v>
      </c>
      <c r="G111" s="74" t="n">
        <v>0.0005</v>
      </c>
      <c r="H111" s="74" t="n">
        <v>0.0133</v>
      </c>
      <c r="I111" s="74" t="n">
        <v>0.013</v>
      </c>
      <c r="J111" s="74" t="n">
        <v>0.012839</v>
      </c>
      <c r="K111" s="97" t="n">
        <v>1</v>
      </c>
      <c r="L111" s="98" t="inlineStr">
        <is>
          <t>20251212</t>
        </is>
      </c>
      <c r="M111" s="96" t="inlineStr">
        <is>
          <t>채택</t>
        </is>
      </c>
      <c r="N111" s="96" t="inlineStr"/>
      <c r="O111" s="96" t="inlineStr">
        <is>
          <t>KAP 시가평가 MMF 지수(총수익)</t>
        </is>
      </c>
      <c r="P111" s="96" t="inlineStr">
        <is>
          <t>일반</t>
        </is>
      </c>
      <c r="Q111" s="96" t="inlineStr">
        <is>
          <t>단기자금(파킹형)</t>
        </is>
      </c>
      <c r="R111" s="96" t="inlineStr">
        <is>
          <t>연배당</t>
        </is>
      </c>
      <c r="S111" s="97" t="n">
        <v>1</v>
      </c>
      <c r="T111" s="74" t="n">
        <v>1</v>
      </c>
      <c r="U111" s="78" t="n">
        <v>0.0315</v>
      </c>
      <c r="V111" s="78" t="n">
        <v>0.0184</v>
      </c>
      <c r="W111" s="78" t="n">
        <v>0.0166</v>
      </c>
      <c r="X111" s="78" t="n">
        <v>0.0091</v>
      </c>
      <c r="Y111" s="96" t="inlineStr">
        <is>
          <t>20250922~20261002</t>
        </is>
      </c>
      <c r="Z111" s="96" t="inlineStr"/>
      <c r="AA111">
        <f>IF(AND($J111&lt;&gt;"",OR(조회_주기="전체",$R111=조회_주기),$J111&gt;=조회_최소,$J111&lt;=조회_최대),1,0)</f>
        <v/>
      </c>
      <c r="AB111">
        <f>IF($AA111=1,$AB110+1,$AB110)</f>
        <v/>
      </c>
      <c r="AC111">
        <f>IF(검색어="",1,IF(ISNUMBER(SEARCH(검색어,$A111)),1,0))</f>
        <v/>
      </c>
      <c r="AD111">
        <f>IF($AC111=1,$AD110+1,$AD110)</f>
        <v/>
      </c>
      <c r="AE111">
        <f>IFERROR(INDEX($A$4:$A$594,MATCH(108,$AD$4:$AD$594,0)),"")</f>
        <v/>
      </c>
    </row>
    <row r="112">
      <c r="A112" s="96" t="inlineStr">
        <is>
          <t>RISE 단기국공채액티브</t>
        </is>
      </c>
      <c r="B112" s="96" t="inlineStr">
        <is>
          <t>272560</t>
        </is>
      </c>
      <c r="C112" s="96" t="inlineStr">
        <is>
          <t>KB자산운용</t>
        </is>
      </c>
      <c r="D112" s="97" t="n">
        <v>115035</v>
      </c>
      <c r="E112" s="97" t="n">
        <v>165995505000</v>
      </c>
      <c r="F112" s="97" t="n">
        <v>699303068</v>
      </c>
      <c r="G112" s="74" t="n">
        <v>0.0007000000000000001</v>
      </c>
      <c r="H112" s="74" t="n">
        <v>0.0135</v>
      </c>
      <c r="I112" s="74" t="n">
        <v>0.0129</v>
      </c>
      <c r="J112" s="74" t="n">
        <v>0.012831</v>
      </c>
      <c r="K112" s="97" t="n">
        <v>1</v>
      </c>
      <c r="L112" s="98" t="inlineStr">
        <is>
          <t>20251212</t>
        </is>
      </c>
      <c r="M112" s="96" t="inlineStr">
        <is>
          <t>채택</t>
        </is>
      </c>
      <c r="N112" s="96" t="inlineStr"/>
      <c r="O112" s="96" t="inlineStr">
        <is>
          <t>KIS 종합채권 국공채 3M-1.5Y</t>
        </is>
      </c>
      <c r="P112" s="96" t="inlineStr">
        <is>
          <t>일반</t>
        </is>
      </c>
      <c r="Q112" s="96" t="inlineStr">
        <is>
          <t>채권</t>
        </is>
      </c>
      <c r="R112" s="96" t="inlineStr">
        <is>
          <t>연배당</t>
        </is>
      </c>
      <c r="S112" s="97" t="n">
        <v>1</v>
      </c>
      <c r="T112" s="74" t="n">
        <v>1</v>
      </c>
      <c r="U112" s="78" t="n">
        <v>0.0217</v>
      </c>
      <c r="V112" s="78" t="n">
        <v>0.008800000000000001</v>
      </c>
      <c r="W112" s="78" t="n">
        <v>0.012</v>
      </c>
      <c r="X112" s="78" t="n">
        <v>0.0073</v>
      </c>
      <c r="Y112" s="96" t="inlineStr">
        <is>
          <t>20250922~20261002</t>
        </is>
      </c>
      <c r="Z112" s="96" t="inlineStr"/>
      <c r="AA112">
        <f>IF(AND($J112&lt;&gt;"",OR(조회_주기="전체",$R112=조회_주기),$J112&gt;=조회_최소,$J112&lt;=조회_최대),1,0)</f>
        <v/>
      </c>
      <c r="AB112">
        <f>IF($AA112=1,$AB111+1,$AB111)</f>
        <v/>
      </c>
      <c r="AC112">
        <f>IF(검색어="",1,IF(ISNUMBER(SEARCH(검색어,$A112)),1,0))</f>
        <v/>
      </c>
      <c r="AD112">
        <f>IF($AC112=1,$AD111+1,$AD111)</f>
        <v/>
      </c>
      <c r="AE112">
        <f>IFERROR(INDEX($A$4:$A$594,MATCH(109,$AD$4:$AD$594,0)),"")</f>
        <v/>
      </c>
    </row>
    <row r="113">
      <c r="A113" s="96" t="inlineStr">
        <is>
          <t>ACE 종합채권(AA-이상)액티브</t>
        </is>
      </c>
      <c r="B113" s="96" t="inlineStr">
        <is>
          <t>356540</t>
        </is>
      </c>
      <c r="C113" s="96" t="inlineStr">
        <is>
          <t>한국투신운용(ETF)</t>
        </is>
      </c>
      <c r="D113" s="97" t="n">
        <v>101740</v>
      </c>
      <c r="E113" s="97" t="n">
        <v>1178250940000</v>
      </c>
      <c r="F113" s="97" t="n">
        <v>1037986506</v>
      </c>
      <c r="G113" s="74" t="n">
        <v>0.0002</v>
      </c>
      <c r="H113" s="74" t="n">
        <v>0.0426</v>
      </c>
      <c r="I113" s="74" t="n">
        <v>0.0122</v>
      </c>
      <c r="J113" s="74" t="n">
        <v>0.012797</v>
      </c>
      <c r="K113" s="97" t="n">
        <v>1</v>
      </c>
      <c r="L113" s="98" t="inlineStr">
        <is>
          <t>20251127</t>
        </is>
      </c>
      <c r="M113" s="96" t="inlineStr">
        <is>
          <t>채택</t>
        </is>
      </c>
      <c r="N113" s="96" t="inlineStr"/>
      <c r="O113" s="96" t="inlineStr">
        <is>
          <t>KIS 종합채권AA-이상</t>
        </is>
      </c>
      <c r="P113" s="96" t="inlineStr">
        <is>
          <t>일반</t>
        </is>
      </c>
      <c r="Q113" s="96" t="inlineStr">
        <is>
          <t>채권</t>
        </is>
      </c>
      <c r="R113" s="96" t="inlineStr">
        <is>
          <t>연배당</t>
        </is>
      </c>
      <c r="S113" s="97" t="n">
        <v>1</v>
      </c>
      <c r="T113" s="74" t="n">
        <v>1</v>
      </c>
      <c r="U113" s="78" t="n">
        <v>-0.0578</v>
      </c>
      <c r="V113" s="78" t="n">
        <v>-0.0697</v>
      </c>
      <c r="W113" s="78" t="n">
        <v>-0.0207</v>
      </c>
      <c r="X113" s="78" t="n">
        <v>0.0032</v>
      </c>
      <c r="Y113" s="96" t="inlineStr">
        <is>
          <t>20250922~20261002</t>
        </is>
      </c>
      <c r="Z113" s="96" t="inlineStr"/>
      <c r="AA113">
        <f>IF(AND($J113&lt;&gt;"",OR(조회_주기="전체",$R113=조회_주기),$J113&gt;=조회_최소,$J113&lt;=조회_최대),1,0)</f>
        <v/>
      </c>
      <c r="AB113">
        <f>IF($AA113=1,$AB112+1,$AB112)</f>
        <v/>
      </c>
      <c r="AC113">
        <f>IF(검색어="",1,IF(ISNUMBER(SEARCH(검색어,$A113)),1,0))</f>
        <v/>
      </c>
      <c r="AD113">
        <f>IF($AC113=1,$AD112+1,$AD112)</f>
        <v/>
      </c>
      <c r="AE113">
        <f>IFERROR(INDEX($A$4:$A$594,MATCH(110,$AD$4:$AD$594,0)),"")</f>
        <v/>
      </c>
    </row>
    <row r="114">
      <c r="A114" s="96" t="inlineStr">
        <is>
          <t>RISE 단기통안채</t>
        </is>
      </c>
      <c r="B114" s="96" t="inlineStr">
        <is>
          <t>196230</t>
        </is>
      </c>
      <c r="C114" s="96" t="inlineStr">
        <is>
          <t>KB자산운용</t>
        </is>
      </c>
      <c r="D114" s="97" t="n">
        <v>117175</v>
      </c>
      <c r="E114" s="97" t="n">
        <v>269736850000</v>
      </c>
      <c r="F114" s="97" t="n">
        <v>549807577</v>
      </c>
      <c r="G114" s="74" t="n">
        <v>0.0013</v>
      </c>
      <c r="H114" s="74" t="n">
        <v>0.0127</v>
      </c>
      <c r="I114" s="74" t="n">
        <v>0.0125</v>
      </c>
      <c r="J114" s="74" t="n">
        <v>0.012443</v>
      </c>
      <c r="K114" s="97" t="n">
        <v>1</v>
      </c>
      <c r="L114" s="98" t="inlineStr">
        <is>
          <t>20251212</t>
        </is>
      </c>
      <c r="M114" s="96" t="inlineStr">
        <is>
          <t>채택</t>
        </is>
      </c>
      <c r="N114" s="96" t="inlineStr"/>
      <c r="O114" s="96" t="inlineStr">
        <is>
          <t>KIS MSB 5M Index</t>
        </is>
      </c>
      <c r="P114" s="96" t="inlineStr">
        <is>
          <t>일반</t>
        </is>
      </c>
      <c r="Q114" s="96" t="inlineStr">
        <is>
          <t>채권</t>
        </is>
      </c>
      <c r="R114" s="96" t="inlineStr">
        <is>
          <t>연배당</t>
        </is>
      </c>
      <c r="S114" s="97" t="n">
        <v>1</v>
      </c>
      <c r="T114" s="74" t="n">
        <v>1</v>
      </c>
      <c r="U114" s="78" t="n">
        <v>0.0226</v>
      </c>
      <c r="V114" s="78" t="n">
        <v>0.0101</v>
      </c>
      <c r="W114" s="78" t="n">
        <v>0.0122</v>
      </c>
      <c r="X114" s="78" t="n">
        <v>0.0063</v>
      </c>
      <c r="Y114" s="96" t="inlineStr">
        <is>
          <t>20250922~20261002</t>
        </is>
      </c>
      <c r="Z114" s="96" t="inlineStr"/>
      <c r="AA114">
        <f>IF(AND($J114&lt;&gt;"",OR(조회_주기="전체",$R114=조회_주기),$J114&gt;=조회_최소,$J114&lt;=조회_최대),1,0)</f>
        <v/>
      </c>
      <c r="AB114">
        <f>IF($AA114=1,$AB113+1,$AB113)</f>
        <v/>
      </c>
      <c r="AC114">
        <f>IF(검색어="",1,IF(ISNUMBER(SEARCH(검색어,$A114)),1,0))</f>
        <v/>
      </c>
      <c r="AD114">
        <f>IF($AC114=1,$AD113+1,$AD113)</f>
        <v/>
      </c>
      <c r="AE114">
        <f>IFERROR(INDEX($A$4:$A$594,MATCH(111,$AD$4:$AD$594,0)),"")</f>
        <v/>
      </c>
    </row>
    <row r="115">
      <c r="A115" s="96" t="inlineStr">
        <is>
          <t>KODEX 차이나항셍테크</t>
        </is>
      </c>
      <c r="B115" s="96" t="inlineStr">
        <is>
          <t>372330</t>
        </is>
      </c>
      <c r="C115" s="96" t="inlineStr">
        <is>
          <t>삼성자산운용(ETF)</t>
        </is>
      </c>
      <c r="D115" s="97" t="n">
        <v>6115</v>
      </c>
      <c r="E115" s="97" t="n">
        <v>101203250000</v>
      </c>
      <c r="F115" s="97" t="n">
        <v>934164351</v>
      </c>
      <c r="G115" s="74" t="n">
        <v>0.0012</v>
      </c>
      <c r="H115" s="74" t="n">
        <v>0.2925</v>
      </c>
      <c r="I115" s="74" t="n">
        <v>0.0066</v>
      </c>
      <c r="J115" s="74" t="n">
        <v>0.012428</v>
      </c>
      <c r="K115" s="97" t="n">
        <v>9</v>
      </c>
      <c r="L115" s="98" t="inlineStr">
        <is>
          <t>20260730</t>
        </is>
      </c>
      <c r="M115" s="96" t="inlineStr">
        <is>
          <t>채택</t>
        </is>
      </c>
      <c r="N115" s="96" t="inlineStr"/>
      <c r="O115" s="96" t="inlineStr">
        <is>
          <t>항셍 테크</t>
        </is>
      </c>
      <c r="P115" s="96" t="inlineStr">
        <is>
          <t>일반</t>
        </is>
      </c>
      <c r="Q115" s="96" t="inlineStr">
        <is>
          <t>주식</t>
        </is>
      </c>
      <c r="R115" s="96" t="inlineStr">
        <is>
          <t>분기배당</t>
        </is>
      </c>
      <c r="S115" s="97" t="n">
        <v>3</v>
      </c>
      <c r="T115" s="74" t="n">
        <v>0</v>
      </c>
      <c r="U115" s="78" t="n">
        <v>-0.3475</v>
      </c>
      <c r="V115" s="78" t="n">
        <v>-0.3554</v>
      </c>
      <c r="W115" s="78" t="n">
        <v>-0.1878</v>
      </c>
      <c r="X115" s="78" t="n">
        <v>-0.1613</v>
      </c>
      <c r="Y115" s="96" t="inlineStr">
        <is>
          <t>20250922~20261002</t>
        </is>
      </c>
      <c r="Z115" s="96" t="inlineStr"/>
      <c r="AA115">
        <f>IF(AND($J115&lt;&gt;"",OR(조회_주기="전체",$R115=조회_주기),$J115&gt;=조회_최소,$J115&lt;=조회_최대),1,0)</f>
        <v/>
      </c>
      <c r="AB115">
        <f>IF($AA115=1,$AB114+1,$AB114)</f>
        <v/>
      </c>
      <c r="AC115">
        <f>IF(검색어="",1,IF(ISNUMBER(SEARCH(검색어,$A115)),1,0))</f>
        <v/>
      </c>
      <c r="AD115">
        <f>IF($AC115=1,$AD114+1,$AD114)</f>
        <v/>
      </c>
      <c r="AE115">
        <f>IFERROR(INDEX($A$4:$A$594,MATCH(112,$AD$4:$AD$594,0)),"")</f>
        <v/>
      </c>
    </row>
    <row r="116">
      <c r="A116" s="96" t="inlineStr">
        <is>
          <t>PLUS 국공채머니마켓액티브</t>
        </is>
      </c>
      <c r="B116" s="96" t="inlineStr">
        <is>
          <t>491230</t>
        </is>
      </c>
      <c r="C116" s="96" t="inlineStr">
        <is>
          <t>한화자산운용</t>
        </is>
      </c>
      <c r="D116" s="97" t="n">
        <v>52645</v>
      </c>
      <c r="E116" s="97" t="n">
        <v>116134870000</v>
      </c>
      <c r="F116" s="97" t="n">
        <v>657529208</v>
      </c>
      <c r="G116" s="74" t="n">
        <v>0.0005</v>
      </c>
      <c r="H116" s="74" t="n">
        <v>0.0123</v>
      </c>
      <c r="I116" s="74" t="n">
        <v>0.0121</v>
      </c>
      <c r="J116" s="74" t="n">
        <v>0.01191</v>
      </c>
      <c r="K116" s="97" t="n">
        <v>1</v>
      </c>
      <c r="L116" s="98" t="inlineStr">
        <is>
          <t>20251212</t>
        </is>
      </c>
      <c r="M116" s="96" t="inlineStr">
        <is>
          <t>채택</t>
        </is>
      </c>
      <c r="N116" s="96" t="inlineStr"/>
      <c r="O116" s="96" t="inlineStr">
        <is>
          <t>KAP 국공채 MMF 지수(총수익)</t>
        </is>
      </c>
      <c r="P116" s="96" t="inlineStr">
        <is>
          <t>일반</t>
        </is>
      </c>
      <c r="Q116" s="96" t="inlineStr">
        <is>
          <t>단기자금(파킹형)</t>
        </is>
      </c>
      <c r="R116" s="96" t="inlineStr">
        <is>
          <t>연배당</t>
        </is>
      </c>
      <c r="S116" s="97" t="n">
        <v>1</v>
      </c>
      <c r="T116" s="74" t="n">
        <v>1</v>
      </c>
      <c r="U116" s="78" t="n">
        <v>0.0296</v>
      </c>
      <c r="V116" s="78" t="n">
        <v>0.0175</v>
      </c>
      <c r="W116" s="78" t="n">
        <v>0.015</v>
      </c>
      <c r="X116" s="78" t="n">
        <v>0.008100000000000001</v>
      </c>
      <c r="Y116" s="96" t="inlineStr">
        <is>
          <t>20250922~20261002</t>
        </is>
      </c>
      <c r="Z116" s="96" t="inlineStr"/>
      <c r="AA116">
        <f>IF(AND($J116&lt;&gt;"",OR(조회_주기="전체",$R116=조회_주기),$J116&gt;=조회_최소,$J116&lt;=조회_최대),1,0)</f>
        <v/>
      </c>
      <c r="AB116">
        <f>IF($AA116=1,$AB115+1,$AB115)</f>
        <v/>
      </c>
      <c r="AC116">
        <f>IF(검색어="",1,IF(ISNUMBER(SEARCH(검색어,$A116)),1,0))</f>
        <v/>
      </c>
      <c r="AD116">
        <f>IF($AC116=1,$AD115+1,$AD115)</f>
        <v/>
      </c>
      <c r="AE116">
        <f>IFERROR(INDEX($A$4:$A$594,MATCH(113,$AD$4:$AD$594,0)),"")</f>
        <v/>
      </c>
    </row>
    <row r="117">
      <c r="A117" s="96" t="inlineStr">
        <is>
          <t>TIGER TDF2045 적격</t>
        </is>
      </c>
      <c r="B117" s="96" t="inlineStr">
        <is>
          <t>0025N0</t>
        </is>
      </c>
      <c r="C117" s="96" t="inlineStr">
        <is>
          <t>미래에셋자산운용</t>
        </is>
      </c>
      <c r="D117" s="97" t="n">
        <v>11775</v>
      </c>
      <c r="E117" s="97" t="n">
        <v>776561250000</v>
      </c>
      <c r="F117" s="97" t="n">
        <v>3434863675</v>
      </c>
      <c r="G117" s="74" t="n">
        <v>0.0019</v>
      </c>
      <c r="H117" s="74" t="n">
        <v>0.1191</v>
      </c>
      <c r="I117" s="74" t="n">
        <v>0.012</v>
      </c>
      <c r="J117" s="74" t="n">
        <v>0.01189</v>
      </c>
      <c r="K117" s="97" t="n">
        <v>1</v>
      </c>
      <c r="L117" s="98" t="inlineStr">
        <is>
          <t>20251229</t>
        </is>
      </c>
      <c r="M117" s="96" t="inlineStr">
        <is>
          <t>채택</t>
        </is>
      </c>
      <c r="N117" s="96" t="inlineStr"/>
      <c r="O117" s="96" t="inlineStr">
        <is>
          <t>S&amp;P Korea Target Date 2045 Global Index</t>
        </is>
      </c>
      <c r="P117" s="96" t="inlineStr">
        <is>
          <t>일반</t>
        </is>
      </c>
      <c r="Q117" s="96" t="inlineStr">
        <is>
          <t>멀티에셋</t>
        </is>
      </c>
      <c r="R117" s="96" t="inlineStr">
        <is>
          <t>연배당</t>
        </is>
      </c>
      <c r="S117" s="97" t="n">
        <v>1</v>
      </c>
      <c r="T117" s="74" t="n">
        <v>1</v>
      </c>
      <c r="U117" s="78" t="n">
        <v>0.08460000000000001</v>
      </c>
      <c r="V117" s="78" t="n">
        <v>0.0718</v>
      </c>
      <c r="W117" s="78" t="n">
        <v>0.0267</v>
      </c>
      <c r="X117" s="78" t="n">
        <v>-0.0796</v>
      </c>
      <c r="Y117" s="96" t="inlineStr">
        <is>
          <t>20250922~20261002</t>
        </is>
      </c>
      <c r="Z117" s="96" t="inlineStr"/>
      <c r="AA117">
        <f>IF(AND($J117&lt;&gt;"",OR(조회_주기="전체",$R117=조회_주기),$J117&gt;=조회_최소,$J117&lt;=조회_최대),1,0)</f>
        <v/>
      </c>
      <c r="AB117">
        <f>IF($AA117=1,$AB116+1,$AB116)</f>
        <v/>
      </c>
      <c r="AC117">
        <f>IF(검색어="",1,IF(ISNUMBER(SEARCH(검색어,$A117)),1,0))</f>
        <v/>
      </c>
      <c r="AD117">
        <f>IF($AC117=1,$AD116+1,$AD116)</f>
        <v/>
      </c>
      <c r="AE117">
        <f>IFERROR(INDEX($A$4:$A$594,MATCH(114,$AD$4:$AD$594,0)),"")</f>
        <v/>
      </c>
    </row>
    <row r="118">
      <c r="A118" s="96" t="inlineStr">
        <is>
          <t>RISE 미국S&amp;P500</t>
        </is>
      </c>
      <c r="B118" s="96" t="inlineStr">
        <is>
          <t>379780</t>
        </is>
      </c>
      <c r="C118" s="96" t="inlineStr">
        <is>
          <t>KB자산운용</t>
        </is>
      </c>
      <c r="D118" s="97" t="n">
        <v>22485</v>
      </c>
      <c r="E118" s="97" t="n">
        <v>1481761500000</v>
      </c>
      <c r="F118" s="97" t="n">
        <v>5484468843</v>
      </c>
      <c r="G118" s="74" t="n">
        <v>4.7e-05</v>
      </c>
      <c r="H118" s="74" t="n">
        <v>0.1463</v>
      </c>
      <c r="I118" s="74" t="n">
        <v>0.0025</v>
      </c>
      <c r="J118" s="74" t="n">
        <v>0.011519</v>
      </c>
      <c r="K118" s="97" t="n">
        <v>19</v>
      </c>
      <c r="L118" s="98" t="inlineStr">
        <is>
          <t>20260929</t>
        </is>
      </c>
      <c r="M118" s="96" t="inlineStr">
        <is>
          <t>채택</t>
        </is>
      </c>
      <c r="N118" s="96" t="inlineStr"/>
      <c r="O118" s="96" t="inlineStr">
        <is>
          <t>S&amp;P 500</t>
        </is>
      </c>
      <c r="P118" s="96" t="inlineStr">
        <is>
          <t>일반</t>
        </is>
      </c>
      <c r="Q118" s="96" t="inlineStr">
        <is>
          <t>주식</t>
        </is>
      </c>
      <c r="R118" s="96" t="inlineStr">
        <is>
          <t>분기배당</t>
        </is>
      </c>
      <c r="S118" s="97" t="n">
        <v>4</v>
      </c>
      <c r="T118" s="74" t="n">
        <v>1</v>
      </c>
      <c r="U118" s="78" t="n">
        <v>0.1242</v>
      </c>
      <c r="V118" s="78" t="n">
        <v>0.1113</v>
      </c>
      <c r="W118" s="78" t="n">
        <v>0.0458</v>
      </c>
      <c r="X118" s="78" t="n">
        <v>-0.09329999999999999</v>
      </c>
      <c r="Y118" s="96" t="inlineStr">
        <is>
          <t>20250922~20261002</t>
        </is>
      </c>
      <c r="Z118" s="96" t="inlineStr"/>
      <c r="AA118">
        <f>IF(AND($J118&lt;&gt;"",OR(조회_주기="전체",$R118=조회_주기),$J118&gt;=조회_최소,$J118&lt;=조회_최대),1,0)</f>
        <v/>
      </c>
      <c r="AB118">
        <f>IF($AA118=1,$AB117+1,$AB117)</f>
        <v/>
      </c>
      <c r="AC118">
        <f>IF(검색어="",1,IF(ISNUMBER(SEARCH(검색어,$A118)),1,0))</f>
        <v/>
      </c>
      <c r="AD118">
        <f>IF($AC118=1,$AD117+1,$AD117)</f>
        <v/>
      </c>
      <c r="AE118">
        <f>IFERROR(INDEX($A$4:$A$594,MATCH(115,$AD$4:$AD$594,0)),"")</f>
        <v/>
      </c>
    </row>
    <row r="119">
      <c r="A119" s="96" t="inlineStr">
        <is>
          <t>RISE 국채선물10년인버스</t>
        </is>
      </c>
      <c r="B119" s="96" t="inlineStr">
        <is>
          <t>295020</t>
        </is>
      </c>
      <c r="C119" s="96" t="inlineStr">
        <is>
          <t>KB자산운용</t>
        </is>
      </c>
      <c r="D119" s="97" t="n">
        <v>60710</v>
      </c>
      <c r="E119" s="97" t="n">
        <v>49053680000</v>
      </c>
      <c r="F119" s="97" t="n">
        <v>2932799183</v>
      </c>
      <c r="G119" s="74" t="n">
        <v>0.0007000000000000001</v>
      </c>
      <c r="H119" s="74" t="n">
        <v>0.0708</v>
      </c>
      <c r="I119" s="74" t="n">
        <v>0.0121</v>
      </c>
      <c r="J119" s="74" t="n">
        <v>0.011497</v>
      </c>
      <c r="K119" s="97" t="n">
        <v>1</v>
      </c>
      <c r="L119" s="98" t="inlineStr">
        <is>
          <t>20251212</t>
        </is>
      </c>
      <c r="M119" s="96" t="inlineStr">
        <is>
          <t>채택</t>
        </is>
      </c>
      <c r="N119" s="96" t="inlineStr"/>
      <c r="O119" s="96" t="inlineStr">
        <is>
          <t>F-LKTB</t>
        </is>
      </c>
      <c r="P119" s="96" t="inlineStr">
        <is>
          <t>일반</t>
        </is>
      </c>
      <c r="Q119" s="96" t="inlineStr">
        <is>
          <t>채권</t>
        </is>
      </c>
      <c r="R119" s="96" t="inlineStr">
        <is>
          <t>연배당</t>
        </is>
      </c>
      <c r="S119" s="97" t="n">
        <v>1</v>
      </c>
      <c r="T119" s="74" t="n">
        <v>1</v>
      </c>
      <c r="U119" s="78" t="n">
        <v>0.1271</v>
      </c>
      <c r="V119" s="78" t="n">
        <v>0.1143</v>
      </c>
      <c r="W119" s="78" t="n">
        <v>0.0461</v>
      </c>
      <c r="X119" s="78" t="n">
        <v>0.0121</v>
      </c>
      <c r="Y119" s="96" t="inlineStr">
        <is>
          <t>20250922~20261002</t>
        </is>
      </c>
      <c r="Z119" s="96" t="inlineStr"/>
      <c r="AA119">
        <f>IF(AND($J119&lt;&gt;"",OR(조회_주기="전체",$R119=조회_주기),$J119&gt;=조회_최소,$J119&lt;=조회_최대),1,0)</f>
        <v/>
      </c>
      <c r="AB119">
        <f>IF($AA119=1,$AB118+1,$AB118)</f>
        <v/>
      </c>
      <c r="AC119">
        <f>IF(검색어="",1,IF(ISNUMBER(SEARCH(검색어,$A119)),1,0))</f>
        <v/>
      </c>
      <c r="AD119">
        <f>IF($AC119=1,$AD118+1,$AD118)</f>
        <v/>
      </c>
      <c r="AE119">
        <f>IFERROR(INDEX($A$4:$A$594,MATCH(116,$AD$4:$AD$594,0)),"")</f>
        <v/>
      </c>
    </row>
    <row r="120">
      <c r="A120" s="96" t="inlineStr">
        <is>
          <t>TIGER 차이나항셍테크</t>
        </is>
      </c>
      <c r="B120" s="96" t="inlineStr">
        <is>
          <t>371160</t>
        </is>
      </c>
      <c r="C120" s="96" t="inlineStr">
        <is>
          <t>미래에셋자산운용</t>
        </is>
      </c>
      <c r="D120" s="97" t="n">
        <v>6135</v>
      </c>
      <c r="E120" s="97" t="n">
        <v>497548500000</v>
      </c>
      <c r="F120" s="97" t="n">
        <v>3839172572</v>
      </c>
      <c r="G120" s="74" t="n">
        <v>0.0009</v>
      </c>
      <c r="H120" s="74" t="n">
        <v>0.2939</v>
      </c>
      <c r="I120" s="74" t="n">
        <v>0.0033</v>
      </c>
      <c r="J120" s="74" t="n">
        <v>0.01141</v>
      </c>
      <c r="K120" s="97" t="n">
        <v>6</v>
      </c>
      <c r="L120" s="98" t="inlineStr">
        <is>
          <t>20260730</t>
        </is>
      </c>
      <c r="M120" s="96" t="inlineStr">
        <is>
          <t>채택</t>
        </is>
      </c>
      <c r="N120" s="96" t="inlineStr"/>
      <c r="O120" s="96" t="inlineStr">
        <is>
          <t>항셍 테크</t>
        </is>
      </c>
      <c r="P120" s="96" t="inlineStr">
        <is>
          <t>일반</t>
        </is>
      </c>
      <c r="Q120" s="96" t="inlineStr">
        <is>
          <t>주식</t>
        </is>
      </c>
      <c r="R120" s="96" t="inlineStr">
        <is>
          <t>분기배당</t>
        </is>
      </c>
      <c r="S120" s="97" t="n">
        <v>3</v>
      </c>
      <c r="T120" s="74" t="n">
        <v>0</v>
      </c>
      <c r="U120" s="78" t="n">
        <v>-0.3488</v>
      </c>
      <c r="V120" s="78" t="n">
        <v>-0.3559</v>
      </c>
      <c r="W120" s="78" t="n">
        <v>-0.1883</v>
      </c>
      <c r="X120" s="78" t="n">
        <v>-0.1585</v>
      </c>
      <c r="Y120" s="96" t="inlineStr">
        <is>
          <t>20250922~20261002</t>
        </is>
      </c>
      <c r="Z120" s="96" t="inlineStr"/>
      <c r="AA120">
        <f>IF(AND($J120&lt;&gt;"",OR(조회_주기="전체",$R120=조회_주기),$J120&gt;=조회_최소,$J120&lt;=조회_최대),1,0)</f>
        <v/>
      </c>
      <c r="AB120">
        <f>IF($AA120=1,$AB119+1,$AB119)</f>
        <v/>
      </c>
      <c r="AC120">
        <f>IF(검색어="",1,IF(ISNUMBER(SEARCH(검색어,$A120)),1,0))</f>
        <v/>
      </c>
      <c r="AD120">
        <f>IF($AC120=1,$AD119+1,$AD119)</f>
        <v/>
      </c>
      <c r="AE120">
        <f>IFERROR(INDEX($A$4:$A$594,MATCH(117,$AD$4:$AD$594,0)),"")</f>
        <v/>
      </c>
    </row>
    <row r="121">
      <c r="A121" s="96" t="inlineStr">
        <is>
          <t>TIGER 미국나스닥100채권혼합50</t>
        </is>
      </c>
      <c r="B121" s="96" t="inlineStr">
        <is>
          <t>435420</t>
        </is>
      </c>
      <c r="C121" s="96" t="inlineStr">
        <is>
          <t>미래에셋자산운용</t>
        </is>
      </c>
      <c r="D121" s="97" t="n">
        <v>14150</v>
      </c>
      <c r="E121" s="97" t="n">
        <v>517890000000</v>
      </c>
      <c r="F121" s="97" t="n">
        <v>3552929203</v>
      </c>
      <c r="G121" s="74" t="n">
        <v>0.0025</v>
      </c>
      <c r="H121" s="74" t="n">
        <v>0.09660000000000001</v>
      </c>
      <c r="I121" s="74" t="n">
        <v>0.003</v>
      </c>
      <c r="J121" s="74" t="n">
        <v>0.011307</v>
      </c>
      <c r="K121" s="97" t="n">
        <v>11</v>
      </c>
      <c r="L121" s="98" t="inlineStr">
        <is>
          <t>20260730</t>
        </is>
      </c>
      <c r="M121" s="96" t="inlineStr">
        <is>
          <t>채택</t>
        </is>
      </c>
      <c r="N121" s="96" t="inlineStr"/>
      <c r="O121" s="96" t="inlineStr">
        <is>
          <t>FnGuide 나스닥100채권혼합50 지수</t>
        </is>
      </c>
      <c r="P121" s="96" t="inlineStr">
        <is>
          <t>일반</t>
        </is>
      </c>
      <c r="Q121" s="96" t="inlineStr">
        <is>
          <t>멀티에셋</t>
        </is>
      </c>
      <c r="R121" s="96" t="inlineStr">
        <is>
          <t>분기배당</t>
        </is>
      </c>
      <c r="S121" s="97" t="n">
        <v>3</v>
      </c>
      <c r="T121" s="74" t="n">
        <v>1</v>
      </c>
      <c r="U121" s="78" t="n">
        <v>0.0588</v>
      </c>
      <c r="V121" s="78" t="n">
        <v>0.0469</v>
      </c>
      <c r="W121" s="78" t="n">
        <v>0.0545</v>
      </c>
      <c r="X121" s="78" t="n">
        <v>-0.0384</v>
      </c>
      <c r="Y121" s="96" t="inlineStr">
        <is>
          <t>20250922~20261002</t>
        </is>
      </c>
      <c r="Z121" s="96" t="inlineStr"/>
      <c r="AA121">
        <f>IF(AND($J121&lt;&gt;"",OR(조회_주기="전체",$R121=조회_주기),$J121&gt;=조회_최소,$J121&lt;=조회_최대),1,0)</f>
        <v/>
      </c>
      <c r="AB121">
        <f>IF($AA121=1,$AB120+1,$AB120)</f>
        <v/>
      </c>
      <c r="AC121">
        <f>IF(검색어="",1,IF(ISNUMBER(SEARCH(검색어,$A121)),1,0))</f>
        <v/>
      </c>
      <c r="AD121">
        <f>IF($AC121=1,$AD120+1,$AD120)</f>
        <v/>
      </c>
      <c r="AE121">
        <f>IFERROR(INDEX($A$4:$A$594,MATCH(118,$AD$4:$AD$594,0)),"")</f>
        <v/>
      </c>
    </row>
    <row r="122">
      <c r="A122" s="96" t="inlineStr">
        <is>
          <t>KODEX 국채선물3년인버스</t>
        </is>
      </c>
      <c r="B122" s="96" t="inlineStr">
        <is>
          <t>292770</t>
        </is>
      </c>
      <c r="C122" s="96" t="inlineStr">
        <is>
          <t>삼성자산운용(ETF)</t>
        </is>
      </c>
      <c r="D122" s="97" t="n">
        <v>57915</v>
      </c>
      <c r="E122" s="97" t="n">
        <v>72433920000</v>
      </c>
      <c r="F122" s="97" t="n">
        <v>912908089</v>
      </c>
      <c r="G122" s="74" t="n">
        <v>0.0007000000000000001</v>
      </c>
      <c r="H122" s="74" t="n">
        <v>0.0266</v>
      </c>
      <c r="I122" s="74" t="n">
        <v>0.011</v>
      </c>
      <c r="J122" s="74" t="n">
        <v>0.010792</v>
      </c>
      <c r="K122" s="97" t="n">
        <v>1</v>
      </c>
      <c r="L122" s="98" t="inlineStr">
        <is>
          <t>20251229</t>
        </is>
      </c>
      <c r="M122" s="96" t="inlineStr">
        <is>
          <t>채택</t>
        </is>
      </c>
      <c r="N122" s="96" t="inlineStr"/>
      <c r="O122" s="96" t="inlineStr">
        <is>
          <t>F-KTB</t>
        </is>
      </c>
      <c r="P122" s="96" t="inlineStr">
        <is>
          <t>일반</t>
        </is>
      </c>
      <c r="Q122" s="96" t="inlineStr">
        <is>
          <t>채권</t>
        </is>
      </c>
      <c r="R122" s="96" t="inlineStr">
        <is>
          <t>연배당</t>
        </is>
      </c>
      <c r="S122" s="97" t="n">
        <v>1</v>
      </c>
      <c r="T122" s="74" t="n">
        <v>1</v>
      </c>
      <c r="U122" s="78" t="n">
        <v>0.0503</v>
      </c>
      <c r="V122" s="78" t="n">
        <v>0.0391</v>
      </c>
      <c r="W122" s="78" t="n">
        <v>0.0145</v>
      </c>
      <c r="X122" s="78" t="n">
        <v>0.0062</v>
      </c>
      <c r="Y122" s="96" t="inlineStr">
        <is>
          <t>20250922~20261002</t>
        </is>
      </c>
      <c r="Z122" s="96" t="inlineStr"/>
      <c r="AA122">
        <f>IF(AND($J122&lt;&gt;"",OR(조회_주기="전체",$R122=조회_주기),$J122&gt;=조회_최소,$J122&lt;=조회_최대),1,0)</f>
        <v/>
      </c>
      <c r="AB122">
        <f>IF($AA122=1,$AB121+1,$AB121)</f>
        <v/>
      </c>
      <c r="AC122">
        <f>IF(검색어="",1,IF(ISNUMBER(SEARCH(검색어,$A122)),1,0))</f>
        <v/>
      </c>
      <c r="AD122">
        <f>IF($AC122=1,$AD121+1,$AD121)</f>
        <v/>
      </c>
      <c r="AE122">
        <f>IFERROR(INDEX($A$4:$A$594,MATCH(119,$AD$4:$AD$594,0)),"")</f>
        <v/>
      </c>
    </row>
    <row r="123">
      <c r="A123" s="96" t="inlineStr">
        <is>
          <t>PLUS 국채선물3년</t>
        </is>
      </c>
      <c r="B123" s="96" t="inlineStr">
        <is>
          <t>298340</t>
        </is>
      </c>
      <c r="C123" s="96" t="inlineStr">
        <is>
          <t>한화자산운용</t>
        </is>
      </c>
      <c r="D123" s="97" t="n">
        <v>56635</v>
      </c>
      <c r="E123" s="97" t="n">
        <v>73625500000</v>
      </c>
      <c r="F123" s="97" t="n">
        <v>1194562850</v>
      </c>
      <c r="G123" s="74" t="n">
        <v>0.001</v>
      </c>
      <c r="H123" s="74" t="n">
        <v>0.0267</v>
      </c>
      <c r="I123" s="74" t="n">
        <v>0.0106</v>
      </c>
      <c r="J123" s="74" t="n">
        <v>0.010629</v>
      </c>
      <c r="K123" s="97" t="n">
        <v>1</v>
      </c>
      <c r="L123" s="98" t="inlineStr">
        <is>
          <t>20251212</t>
        </is>
      </c>
      <c r="M123" s="96" t="inlineStr">
        <is>
          <t>채택</t>
        </is>
      </c>
      <c r="N123" s="96" t="inlineStr"/>
      <c r="O123" s="96" t="inlineStr">
        <is>
          <t>F-KTB</t>
        </is>
      </c>
      <c r="P123" s="96" t="inlineStr">
        <is>
          <t>일반</t>
        </is>
      </c>
      <c r="Q123" s="96" t="inlineStr">
        <is>
          <t>채권</t>
        </is>
      </c>
      <c r="R123" s="96" t="inlineStr">
        <is>
          <t>연배당</t>
        </is>
      </c>
      <c r="S123" s="97" t="n">
        <v>1</v>
      </c>
      <c r="T123" s="74" t="n">
        <v>1</v>
      </c>
      <c r="U123" s="78" t="n">
        <v>-0.0023</v>
      </c>
      <c r="V123" s="78" t="n">
        <v>-0.0128</v>
      </c>
      <c r="W123" s="78" t="n">
        <v>0.009599999999999999</v>
      </c>
      <c r="X123" s="78" t="n">
        <v>0.0073</v>
      </c>
      <c r="Y123" s="96" t="inlineStr">
        <is>
          <t>20250922~20261002</t>
        </is>
      </c>
      <c r="Z123" s="96" t="inlineStr"/>
      <c r="AA123">
        <f>IF(AND($J123&lt;&gt;"",OR(조회_주기="전체",$R123=조회_주기),$J123&gt;=조회_최소,$J123&lt;=조회_최대),1,0)</f>
        <v/>
      </c>
      <c r="AB123">
        <f>IF($AA123=1,$AB122+1,$AB122)</f>
        <v/>
      </c>
      <c r="AC123">
        <f>IF(검색어="",1,IF(ISNUMBER(SEARCH(검색어,$A123)),1,0))</f>
        <v/>
      </c>
      <c r="AD123">
        <f>IF($AC123=1,$AD122+1,$AD122)</f>
        <v/>
      </c>
      <c r="AE123">
        <f>IFERROR(INDEX($A$4:$A$594,MATCH(120,$AD$4:$AD$594,0)),"")</f>
        <v/>
      </c>
    </row>
    <row r="124">
      <c r="A124" s="96" t="inlineStr">
        <is>
          <t>KIWOOM 미국S&amp;P500</t>
        </is>
      </c>
      <c r="B124" s="96" t="inlineStr">
        <is>
          <t>449770</t>
        </is>
      </c>
      <c r="C124" s="96" t="inlineStr">
        <is>
          <t>키움투자자산운용</t>
        </is>
      </c>
      <c r="D124" s="97" t="n">
        <v>20575</v>
      </c>
      <c r="E124" s="97" t="n">
        <v>80242500000</v>
      </c>
      <c r="F124" s="97" t="n">
        <v>1877927730</v>
      </c>
      <c r="G124" s="74" t="n">
        <v>0.00021</v>
      </c>
      <c r="H124" s="74" t="n">
        <v>0.1465</v>
      </c>
      <c r="I124" s="74" t="n">
        <v>0.0022</v>
      </c>
      <c r="J124" s="74" t="n">
        <v>0.010304</v>
      </c>
      <c r="K124" s="97" t="n">
        <v>13</v>
      </c>
      <c r="L124" s="98" t="inlineStr">
        <is>
          <t>20260730</t>
        </is>
      </c>
      <c r="M124" s="96" t="inlineStr">
        <is>
          <t>채택</t>
        </is>
      </c>
      <c r="N124" s="96" t="inlineStr"/>
      <c r="O124" s="96" t="inlineStr">
        <is>
          <t>S&amp;P 500</t>
        </is>
      </c>
      <c r="P124" s="96" t="inlineStr">
        <is>
          <t>일반</t>
        </is>
      </c>
      <c r="Q124" s="96" t="inlineStr">
        <is>
          <t>주식</t>
        </is>
      </c>
      <c r="R124" s="96" t="inlineStr">
        <is>
          <t>분기배당</t>
        </is>
      </c>
      <c r="S124" s="97" t="n">
        <v>3</v>
      </c>
      <c r="T124" s="74" t="n">
        <v>1</v>
      </c>
      <c r="U124" s="78" t="n">
        <v>0.1209</v>
      </c>
      <c r="V124" s="78" t="n">
        <v>0.1094</v>
      </c>
      <c r="W124" s="78" t="n">
        <v>0.0421</v>
      </c>
      <c r="X124" s="78" t="n">
        <v>-0.09359999999999999</v>
      </c>
      <c r="Y124" s="96" t="inlineStr">
        <is>
          <t>20250922~20261002</t>
        </is>
      </c>
      <c r="Z124" s="96" t="inlineStr"/>
      <c r="AA124">
        <f>IF(AND($J124&lt;&gt;"",OR(조회_주기="전체",$R124=조회_주기),$J124&gt;=조회_최소,$J124&lt;=조회_최대),1,0)</f>
        <v/>
      </c>
      <c r="AB124">
        <f>IF($AA124=1,$AB123+1,$AB123)</f>
        <v/>
      </c>
      <c r="AC124">
        <f>IF(검색어="",1,IF(ISNUMBER(SEARCH(검색어,$A124)),1,0))</f>
        <v/>
      </c>
      <c r="AD124">
        <f>IF($AC124=1,$AD123+1,$AD123)</f>
        <v/>
      </c>
      <c r="AE124">
        <f>IFERROR(INDEX($A$4:$A$594,MATCH(121,$AD$4:$AD$594,0)),"")</f>
        <v/>
      </c>
    </row>
    <row r="125">
      <c r="A125" s="96" t="inlineStr">
        <is>
          <t>KODEX 미국나스닥100</t>
        </is>
      </c>
      <c r="B125" s="96" t="inlineStr">
        <is>
          <t>379810</t>
        </is>
      </c>
      <c r="C125" s="96" t="inlineStr">
        <is>
          <t>삼성자산운용(ETF)</t>
        </is>
      </c>
      <c r="D125" s="97" t="n">
        <v>27385</v>
      </c>
      <c r="E125" s="97" t="n">
        <v>9933908750000</v>
      </c>
      <c r="F125" s="97" t="n">
        <v>451087818020</v>
      </c>
      <c r="G125" s="74" t="n">
        <v>6.2e-05</v>
      </c>
      <c r="H125" s="74" t="n">
        <v>0.2074</v>
      </c>
      <c r="I125" s="74" t="n">
        <v>0.0031</v>
      </c>
      <c r="J125" s="74" t="n">
        <v>0.010298</v>
      </c>
      <c r="K125" s="97" t="n">
        <v>6</v>
      </c>
      <c r="L125" s="98" t="inlineStr">
        <is>
          <t>20260730</t>
        </is>
      </c>
      <c r="M125" s="96" t="inlineStr">
        <is>
          <t>채택</t>
        </is>
      </c>
      <c r="N125" s="96" t="inlineStr"/>
      <c r="O125" s="96" t="inlineStr">
        <is>
          <t>나스닥 100</t>
        </is>
      </c>
      <c r="P125" s="96" t="inlineStr">
        <is>
          <t>일반</t>
        </is>
      </c>
      <c r="Q125" s="96" t="inlineStr">
        <is>
          <t>주식</t>
        </is>
      </c>
      <c r="R125" s="96" t="inlineStr">
        <is>
          <t>분기배당</t>
        </is>
      </c>
      <c r="S125" s="97" t="n">
        <v>3</v>
      </c>
      <c r="T125" s="74" t="n">
        <v>1</v>
      </c>
      <c r="U125" s="78" t="n">
        <v>0.2055</v>
      </c>
      <c r="V125" s="78" t="n">
        <v>0.1932</v>
      </c>
      <c r="W125" s="78" t="n">
        <v>0.1344</v>
      </c>
      <c r="X125" s="78" t="n">
        <v>-0.08119999999999999</v>
      </c>
      <c r="Y125" s="96" t="inlineStr">
        <is>
          <t>20250922~20261002</t>
        </is>
      </c>
      <c r="Z125" s="96" t="inlineStr"/>
      <c r="AA125">
        <f>IF(AND($J125&lt;&gt;"",OR(조회_주기="전체",$R125=조회_주기),$J125&gt;=조회_최소,$J125&lt;=조회_최대),1,0)</f>
        <v/>
      </c>
      <c r="AB125">
        <f>IF($AA125=1,$AB124+1,$AB124)</f>
        <v/>
      </c>
      <c r="AC125">
        <f>IF(검색어="",1,IF(ISNUMBER(SEARCH(검색어,$A125)),1,0))</f>
        <v/>
      </c>
      <c r="AD125">
        <f>IF($AC125=1,$AD124+1,$AD124)</f>
        <v/>
      </c>
      <c r="AE125">
        <f>IFERROR(INDEX($A$4:$A$594,MATCH(122,$AD$4:$AD$594,0)),"")</f>
        <v/>
      </c>
    </row>
    <row r="126">
      <c r="A126" s="96" t="inlineStr">
        <is>
          <t>TIGER 단기통안채</t>
        </is>
      </c>
      <c r="B126" s="96" t="inlineStr">
        <is>
          <t>157450</t>
        </is>
      </c>
      <c r="C126" s="96" t="inlineStr">
        <is>
          <t>미래에셋자산운용</t>
        </is>
      </c>
      <c r="D126" s="97" t="n">
        <v>112795</v>
      </c>
      <c r="E126" s="97" t="n">
        <v>1287442130000</v>
      </c>
      <c r="F126" s="97" t="n">
        <v>1798784762</v>
      </c>
      <c r="G126" s="74" t="n">
        <v>0.0009</v>
      </c>
      <c r="H126" s="74" t="n">
        <v>0.0104</v>
      </c>
      <c r="I126" s="74" t="n">
        <v>0.0101</v>
      </c>
      <c r="J126" s="74" t="n">
        <v>0.010027</v>
      </c>
      <c r="K126" s="97" t="n">
        <v>1</v>
      </c>
      <c r="L126" s="98" t="inlineStr">
        <is>
          <t>20251127</t>
        </is>
      </c>
      <c r="M126" s="96" t="inlineStr">
        <is>
          <t>채택</t>
        </is>
      </c>
      <c r="N126" s="96" t="inlineStr"/>
      <c r="O126" s="96" t="inlineStr">
        <is>
          <t>KIS 통안채 6개월 지수</t>
        </is>
      </c>
      <c r="P126" s="96" t="inlineStr">
        <is>
          <t>일반</t>
        </is>
      </c>
      <c r="Q126" s="96" t="inlineStr">
        <is>
          <t>채권</t>
        </is>
      </c>
      <c r="R126" s="96" t="inlineStr">
        <is>
          <t>연배당</t>
        </is>
      </c>
      <c r="S126" s="97" t="n">
        <v>1</v>
      </c>
      <c r="T126" s="74" t="n">
        <v>1</v>
      </c>
      <c r="U126" s="78" t="n">
        <v>0.0236</v>
      </c>
      <c r="V126" s="78" t="n">
        <v>0.0134</v>
      </c>
      <c r="W126" s="78" t="n">
        <v>0.0127</v>
      </c>
      <c r="X126" s="78" t="n">
        <v>0.006500000000000001</v>
      </c>
      <c r="Y126" s="96" t="inlineStr">
        <is>
          <t>20250922~20261002</t>
        </is>
      </c>
      <c r="Z126" s="96" t="inlineStr"/>
      <c r="AA126">
        <f>IF(AND($J126&lt;&gt;"",OR(조회_주기="전체",$R126=조회_주기),$J126&gt;=조회_최소,$J126&lt;=조회_최대),1,0)</f>
        <v/>
      </c>
      <c r="AB126">
        <f>IF($AA126=1,$AB125+1,$AB125)</f>
        <v/>
      </c>
      <c r="AC126">
        <f>IF(검색어="",1,IF(ISNUMBER(SEARCH(검색어,$A126)),1,0))</f>
        <v/>
      </c>
      <c r="AD126">
        <f>IF($AC126=1,$AD125+1,$AD125)</f>
        <v/>
      </c>
      <c r="AE126">
        <f>IFERROR(INDEX($A$4:$A$594,MATCH(123,$AD$4:$AD$594,0)),"")</f>
        <v/>
      </c>
    </row>
    <row r="127">
      <c r="A127" s="96" t="inlineStr">
        <is>
          <t>TIGER 일본니케이225</t>
        </is>
      </c>
      <c r="B127" s="96" t="inlineStr">
        <is>
          <t>241180</t>
        </is>
      </c>
      <c r="C127" s="96" t="inlineStr">
        <is>
          <t>미래에셋자산운용</t>
        </is>
      </c>
      <c r="D127" s="97" t="n">
        <v>35485</v>
      </c>
      <c r="E127" s="97" t="n">
        <v>397432000000</v>
      </c>
      <c r="F127" s="97" t="n">
        <v>1884628343</v>
      </c>
      <c r="G127" s="74" t="n">
        <v>0.0035</v>
      </c>
      <c r="H127" s="74" t="n">
        <v>0.3273</v>
      </c>
      <c r="I127" s="74" t="n">
        <v>0.0122</v>
      </c>
      <c r="J127" s="74" t="n">
        <v>0.009863</v>
      </c>
      <c r="K127" s="97" t="n">
        <v>4</v>
      </c>
      <c r="L127" s="98" t="inlineStr">
        <is>
          <t>20251229</t>
        </is>
      </c>
      <c r="M127" s="96" t="inlineStr">
        <is>
          <t>채택</t>
        </is>
      </c>
      <c r="N127" s="96" t="inlineStr"/>
      <c r="O127" s="96" t="inlineStr">
        <is>
          <t>니케이225</t>
        </is>
      </c>
      <c r="P127" s="96" t="inlineStr">
        <is>
          <t>일반</t>
        </is>
      </c>
      <c r="Q127" s="96" t="inlineStr">
        <is>
          <t>주식</t>
        </is>
      </c>
      <c r="R127" s="96" t="inlineStr">
        <is>
          <t>연배당</t>
        </is>
      </c>
      <c r="S127" s="97" t="n">
        <v>1</v>
      </c>
      <c r="T127" s="74" t="n">
        <v>1</v>
      </c>
      <c r="U127" s="78" t="n">
        <v>0.4143</v>
      </c>
      <c r="V127" s="78" t="n">
        <v>0.4006</v>
      </c>
      <c r="W127" s="78" t="n">
        <v>0.2009</v>
      </c>
      <c r="X127" s="78" t="n">
        <v>-0.09039999999999999</v>
      </c>
      <c r="Y127" s="96" t="inlineStr">
        <is>
          <t>20250922~20261002</t>
        </is>
      </c>
      <c r="Z127" s="96" t="inlineStr"/>
      <c r="AA127">
        <f>IF(AND($J127&lt;&gt;"",OR(조회_주기="전체",$R127=조회_주기),$J127&gt;=조회_최소,$J127&lt;=조회_최대),1,0)</f>
        <v/>
      </c>
      <c r="AB127">
        <f>IF($AA127=1,$AB126+1,$AB126)</f>
        <v/>
      </c>
      <c r="AC127">
        <f>IF(검색어="",1,IF(ISNUMBER(SEARCH(검색어,$A127)),1,0))</f>
        <v/>
      </c>
      <c r="AD127">
        <f>IF($AC127=1,$AD126+1,$AD126)</f>
        <v/>
      </c>
      <c r="AE127">
        <f>IFERROR(INDEX($A$4:$A$594,MATCH(124,$AD$4:$AD$594,0)),"")</f>
        <v/>
      </c>
    </row>
    <row r="128">
      <c r="A128" s="96" t="inlineStr">
        <is>
          <t>TIGER 미국S&amp;P500</t>
        </is>
      </c>
      <c r="B128" s="96" t="inlineStr">
        <is>
          <t>360750</t>
        </is>
      </c>
      <c r="C128" s="96" t="inlineStr">
        <is>
          <t>미래에셋자산운용</t>
        </is>
      </c>
      <c r="D128" s="97" t="n">
        <v>25780</v>
      </c>
      <c r="E128" s="97" t="n">
        <v>20825084000000</v>
      </c>
      <c r="F128" s="97" t="n">
        <v>988518201919</v>
      </c>
      <c r="G128" s="74" t="n">
        <v>6.8e-05</v>
      </c>
      <c r="H128" s="74" t="n">
        <v>0.1466</v>
      </c>
      <c r="I128" s="74" t="n">
        <v>0.0025</v>
      </c>
      <c r="J128" s="74" t="n">
        <v>0.009814</v>
      </c>
      <c r="K128" s="97" t="n">
        <v>20</v>
      </c>
      <c r="L128" s="98" t="inlineStr">
        <is>
          <t>20260730</t>
        </is>
      </c>
      <c r="M128" s="96" t="inlineStr">
        <is>
          <t>채택</t>
        </is>
      </c>
      <c r="N128" s="96" t="inlineStr"/>
      <c r="O128" s="96" t="inlineStr">
        <is>
          <t>S&amp;P 500</t>
        </is>
      </c>
      <c r="P128" s="96" t="inlineStr">
        <is>
          <t>일반</t>
        </is>
      </c>
      <c r="Q128" s="96" t="inlineStr">
        <is>
          <t>주식</t>
        </is>
      </c>
      <c r="R128" s="96" t="inlineStr">
        <is>
          <t>분기배당</t>
        </is>
      </c>
      <c r="S128" s="97" t="n">
        <v>3</v>
      </c>
      <c r="T128" s="74" t="n">
        <v>1</v>
      </c>
      <c r="U128" s="78" t="n">
        <v>0.1249</v>
      </c>
      <c r="V128" s="78" t="n">
        <v>0.114</v>
      </c>
      <c r="W128" s="78" t="n">
        <v>0.0442</v>
      </c>
      <c r="X128" s="78" t="n">
        <v>-0.0935</v>
      </c>
      <c r="Y128" s="96" t="inlineStr">
        <is>
          <t>20250922~20261002</t>
        </is>
      </c>
      <c r="Z128" s="96" t="inlineStr"/>
      <c r="AA128">
        <f>IF(AND($J128&lt;&gt;"",OR(조회_주기="전체",$R128=조회_주기),$J128&gt;=조회_최소,$J128&lt;=조회_최대),1,0)</f>
        <v/>
      </c>
      <c r="AB128">
        <f>IF($AA128=1,$AB127+1,$AB127)</f>
        <v/>
      </c>
      <c r="AC128">
        <f>IF(검색어="",1,IF(ISNUMBER(SEARCH(검색어,$A128)),1,0))</f>
        <v/>
      </c>
      <c r="AD128">
        <f>IF($AC128=1,$AD127+1,$AD127)</f>
        <v/>
      </c>
      <c r="AE128">
        <f>IFERROR(INDEX($A$4:$A$594,MATCH(125,$AD$4:$AD$594,0)),"")</f>
        <v/>
      </c>
    </row>
    <row r="129">
      <c r="A129" s="96" t="inlineStr">
        <is>
          <t>ACE 미국S&amp;P500</t>
        </is>
      </c>
      <c r="B129" s="96" t="inlineStr">
        <is>
          <t>360200</t>
        </is>
      </c>
      <c r="C129" s="96" t="inlineStr">
        <is>
          <t>한국투신운용(ETF)</t>
        </is>
      </c>
      <c r="D129" s="97" t="n">
        <v>26055</v>
      </c>
      <c r="E129" s="97" t="n">
        <v>3962965500000</v>
      </c>
      <c r="F129" s="97" t="n">
        <v>20504191506</v>
      </c>
      <c r="G129" s="74" t="n">
        <v>4.7e-05</v>
      </c>
      <c r="H129" s="74" t="n">
        <v>0.1466</v>
      </c>
      <c r="I129" s="74" t="n">
        <v>0.0024</v>
      </c>
      <c r="J129" s="74" t="n">
        <v>0.00971</v>
      </c>
      <c r="K129" s="97" t="n">
        <v>20</v>
      </c>
      <c r="L129" s="98" t="inlineStr">
        <is>
          <t>20260730</t>
        </is>
      </c>
      <c r="M129" s="96" t="inlineStr">
        <is>
          <t>채택</t>
        </is>
      </c>
      <c r="N129" s="96" t="inlineStr"/>
      <c r="O129" s="96" t="inlineStr">
        <is>
          <t>S&amp;P 500</t>
        </is>
      </c>
      <c r="P129" s="96" t="inlineStr">
        <is>
          <t>일반</t>
        </is>
      </c>
      <c r="Q129" s="96" t="inlineStr">
        <is>
          <t>주식</t>
        </is>
      </c>
      <c r="R129" s="96" t="inlineStr">
        <is>
          <t>분기배당</t>
        </is>
      </c>
      <c r="S129" s="97" t="n">
        <v>3</v>
      </c>
      <c r="T129" s="74" t="n">
        <v>1</v>
      </c>
      <c r="U129" s="78" t="n">
        <v>0.1251</v>
      </c>
      <c r="V129" s="78" t="n">
        <v>0.1143</v>
      </c>
      <c r="W129" s="78" t="n">
        <v>0.0443</v>
      </c>
      <c r="X129" s="78" t="n">
        <v>-0.09329999999999999</v>
      </c>
      <c r="Y129" s="96" t="inlineStr">
        <is>
          <t>20250922~20261002</t>
        </is>
      </c>
      <c r="Z129" s="96" t="inlineStr"/>
      <c r="AA129">
        <f>IF(AND($J129&lt;&gt;"",OR(조회_주기="전체",$R129=조회_주기),$J129&gt;=조회_최소,$J129&lt;=조회_최대),1,0)</f>
        <v/>
      </c>
      <c r="AB129">
        <f>IF($AA129=1,$AB128+1,$AB128)</f>
        <v/>
      </c>
      <c r="AC129">
        <f>IF(검색어="",1,IF(ISNUMBER(SEARCH(검색어,$A129)),1,0))</f>
        <v/>
      </c>
      <c r="AD129">
        <f>IF($AC129=1,$AD128+1,$AD128)</f>
        <v/>
      </c>
      <c r="AE129">
        <f>IFERROR(INDEX($A$4:$A$594,MATCH(126,$AD$4:$AD$594,0)),"")</f>
        <v/>
      </c>
    </row>
    <row r="130">
      <c r="A130" s="96" t="inlineStr">
        <is>
          <t>1Q 미국S&amp;P500</t>
        </is>
      </c>
      <c r="B130" s="96" t="inlineStr">
        <is>
          <t>0026S0</t>
        </is>
      </c>
      <c r="C130" s="96" t="inlineStr">
        <is>
          <t>하나자산운용</t>
        </is>
      </c>
      <c r="D130" s="97" t="n">
        <v>12570</v>
      </c>
      <c r="E130" s="97" t="n">
        <v>338133000000</v>
      </c>
      <c r="F130" s="97" t="n">
        <v>2527271155</v>
      </c>
      <c r="G130" s="74" t="n">
        <v>5.5e-05</v>
      </c>
      <c r="H130" s="74" t="n">
        <v>0.1462</v>
      </c>
      <c r="I130" s="74" t="n">
        <v>0.0022</v>
      </c>
      <c r="J130" s="74" t="n">
        <v>0.009705999999999999</v>
      </c>
      <c r="K130" s="97" t="n">
        <v>6</v>
      </c>
      <c r="L130" s="98" t="inlineStr">
        <is>
          <t>20260914</t>
        </is>
      </c>
      <c r="M130" s="96" t="inlineStr">
        <is>
          <t>채택</t>
        </is>
      </c>
      <c r="N130" s="96" t="inlineStr"/>
      <c r="O130" s="96" t="inlineStr">
        <is>
          <t>S&amp;P 500</t>
        </is>
      </c>
      <c r="P130" s="96" t="inlineStr">
        <is>
          <t>일반</t>
        </is>
      </c>
      <c r="Q130" s="96" t="inlineStr">
        <is>
          <t>주식</t>
        </is>
      </c>
      <c r="R130" s="96" t="inlineStr">
        <is>
          <t>분기배당</t>
        </is>
      </c>
      <c r="S130" s="97" t="n">
        <v>4</v>
      </c>
      <c r="T130" s="74" t="n">
        <v>1</v>
      </c>
      <c r="U130" s="78" t="n">
        <v>0.1212</v>
      </c>
      <c r="V130" s="78" t="n">
        <v>0.1104</v>
      </c>
      <c r="W130" s="78" t="n">
        <v>0.0429</v>
      </c>
      <c r="X130" s="78" t="n">
        <v>-0.09329999999999999</v>
      </c>
      <c r="Y130" s="96" t="inlineStr">
        <is>
          <t>20250922~20261002</t>
        </is>
      </c>
      <c r="Z130" s="96" t="inlineStr"/>
      <c r="AA130">
        <f>IF(AND($J130&lt;&gt;"",OR(조회_주기="전체",$R130=조회_주기),$J130&gt;=조회_최소,$J130&lt;=조회_최대),1,0)</f>
        <v/>
      </c>
      <c r="AB130">
        <f>IF($AA130=1,$AB129+1,$AB129)</f>
        <v/>
      </c>
      <c r="AC130">
        <f>IF(검색어="",1,IF(ISNUMBER(SEARCH(검색어,$A130)),1,0))</f>
        <v/>
      </c>
      <c r="AD130">
        <f>IF($AC130=1,$AD129+1,$AD129)</f>
        <v/>
      </c>
      <c r="AE130">
        <f>IFERROR(INDEX($A$4:$A$594,MATCH(127,$AD$4:$AD$594,0)),"")</f>
        <v/>
      </c>
    </row>
    <row r="131">
      <c r="A131" s="96" t="inlineStr">
        <is>
          <t>KODEX 미국달러선물</t>
        </is>
      </c>
      <c r="B131" s="96" t="inlineStr">
        <is>
          <t>261240</t>
        </is>
      </c>
      <c r="C131" s="96" t="inlineStr">
        <is>
          <t>삼성자산운용(ETF)</t>
        </is>
      </c>
      <c r="D131" s="97" t="n">
        <v>13965</v>
      </c>
      <c r="E131" s="97" t="n">
        <v>62563200000</v>
      </c>
      <c r="F131" s="97" t="n">
        <v>1280835706</v>
      </c>
      <c r="G131" s="74" t="n">
        <v>0.0025</v>
      </c>
      <c r="H131" s="74" t="n">
        <v>0.1064</v>
      </c>
      <c r="I131" s="74" t="n">
        <v>0.0092</v>
      </c>
      <c r="J131" s="74" t="n">
        <v>0.009667</v>
      </c>
      <c r="K131" s="97" t="n">
        <v>1</v>
      </c>
      <c r="L131" s="98" t="inlineStr">
        <is>
          <t>20251229</t>
        </is>
      </c>
      <c r="M131" s="96" t="inlineStr">
        <is>
          <t>채택</t>
        </is>
      </c>
      <c r="N131" s="96" t="inlineStr"/>
      <c r="O131" s="96" t="inlineStr">
        <is>
          <t>F-USDKRW</t>
        </is>
      </c>
      <c r="P131" s="96" t="inlineStr">
        <is>
          <t>일반</t>
        </is>
      </c>
      <c r="Q131" s="96" t="inlineStr">
        <is>
          <t>통화</t>
        </is>
      </c>
      <c r="R131" s="96" t="inlineStr">
        <is>
          <t>연배당</t>
        </is>
      </c>
      <c r="S131" s="97" t="n">
        <v>1</v>
      </c>
      <c r="T131" s="74" t="n">
        <v>1</v>
      </c>
      <c r="U131" s="78" t="n">
        <v>0.0031</v>
      </c>
      <c r="V131" s="78" t="n">
        <v>-0.006500000000000001</v>
      </c>
      <c r="W131" s="78" t="n">
        <v>-0.09029999999999999</v>
      </c>
      <c r="X131" s="78" t="n">
        <v>-0.1081</v>
      </c>
      <c r="Y131" s="96" t="inlineStr">
        <is>
          <t>20250922~20261002</t>
        </is>
      </c>
      <c r="Z131" s="96" t="inlineStr"/>
      <c r="AA131">
        <f>IF(AND($J131&lt;&gt;"",OR(조회_주기="전체",$R131=조회_주기),$J131&gt;=조회_최소,$J131&lt;=조회_최대),1,0)</f>
        <v/>
      </c>
      <c r="AB131">
        <f>IF($AA131=1,$AB130+1,$AB130)</f>
        <v/>
      </c>
      <c r="AC131">
        <f>IF(검색어="",1,IF(ISNUMBER(SEARCH(검색어,$A131)),1,0))</f>
        <v/>
      </c>
      <c r="AD131">
        <f>IF($AC131=1,$AD130+1,$AD130)</f>
        <v/>
      </c>
      <c r="AE131">
        <f>IFERROR(INDEX($A$4:$A$594,MATCH(128,$AD$4:$AD$594,0)),"")</f>
        <v/>
      </c>
    </row>
    <row r="132">
      <c r="A132" s="96" t="inlineStr">
        <is>
          <t>PLUS 미국S&amp;P500</t>
        </is>
      </c>
      <c r="B132" s="96" t="inlineStr">
        <is>
          <t>429760</t>
        </is>
      </c>
      <c r="C132" s="96" t="inlineStr">
        <is>
          <t>한화자산운용</t>
        </is>
      </c>
      <c r="D132" s="97" t="n">
        <v>19165</v>
      </c>
      <c r="E132" s="97" t="n">
        <v>80493000000</v>
      </c>
      <c r="F132" s="97" t="n">
        <v>1020141190</v>
      </c>
      <c r="G132" s="74" t="n">
        <v>6.2e-05</v>
      </c>
      <c r="H132" s="74" t="n">
        <v>0.1456</v>
      </c>
      <c r="I132" s="74" t="n">
        <v>0.002</v>
      </c>
      <c r="J132" s="74" t="n">
        <v>0.009495999999999999</v>
      </c>
      <c r="K132" s="97" t="n">
        <v>11</v>
      </c>
      <c r="L132" s="98" t="inlineStr">
        <is>
          <t>20260730</t>
        </is>
      </c>
      <c r="M132" s="96" t="inlineStr">
        <is>
          <t>채택</t>
        </is>
      </c>
      <c r="N132" s="96" t="inlineStr"/>
      <c r="O132" s="96" t="inlineStr">
        <is>
          <t>S&amp;P 500</t>
        </is>
      </c>
      <c r="P132" s="96" t="inlineStr">
        <is>
          <t>일반</t>
        </is>
      </c>
      <c r="Q132" s="96" t="inlineStr">
        <is>
          <t>주식</t>
        </is>
      </c>
      <c r="R132" s="96" t="inlineStr">
        <is>
          <t>분기배당</t>
        </is>
      </c>
      <c r="S132" s="97" t="n">
        <v>3</v>
      </c>
      <c r="T132" s="74" t="n">
        <v>1</v>
      </c>
      <c r="U132" s="78" t="n">
        <v>0.1243</v>
      </c>
      <c r="V132" s="78" t="n">
        <v>0.1137</v>
      </c>
      <c r="W132" s="78" t="n">
        <v>0.0444</v>
      </c>
      <c r="X132" s="78" t="n">
        <v>-0.09369999999999999</v>
      </c>
      <c r="Y132" s="96" t="inlineStr">
        <is>
          <t>20250922~20261002</t>
        </is>
      </c>
      <c r="Z132" s="96" t="inlineStr"/>
      <c r="AA132">
        <f>IF(AND($J132&lt;&gt;"",OR(조회_주기="전체",$R132=조회_주기),$J132&gt;=조회_최소,$J132&lt;=조회_최대),1,0)</f>
        <v/>
      </c>
      <c r="AB132">
        <f>IF($AA132=1,$AB131+1,$AB131)</f>
        <v/>
      </c>
      <c r="AC132">
        <f>IF(검색어="",1,IF(ISNUMBER(SEARCH(검색어,$A132)),1,0))</f>
        <v/>
      </c>
      <c r="AD132">
        <f>IF($AC132=1,$AD131+1,$AD131)</f>
        <v/>
      </c>
      <c r="AE132">
        <f>IFERROR(INDEX($A$4:$A$594,MATCH(129,$AD$4:$AD$594,0)),"")</f>
        <v/>
      </c>
    </row>
    <row r="133">
      <c r="A133" s="96" t="inlineStr">
        <is>
          <t>KODEX 미국S&amp;P500(H)</t>
        </is>
      </c>
      <c r="B133" s="96" t="inlineStr">
        <is>
          <t>449180</t>
        </is>
      </c>
      <c r="C133" s="96" t="inlineStr">
        <is>
          <t>삼성자산운용(ETF)</t>
        </is>
      </c>
      <c r="D133" s="97" t="n">
        <v>17160</v>
      </c>
      <c r="E133" s="97" t="n">
        <v>1029600000000</v>
      </c>
      <c r="F133" s="97" t="n">
        <v>7789133172</v>
      </c>
      <c r="G133" s="74" t="n">
        <v>9.900000000000001e-05</v>
      </c>
      <c r="H133" s="74" t="n">
        <v>0.1309</v>
      </c>
      <c r="I133" s="74" t="n">
        <v>0.0024</v>
      </c>
      <c r="J133" s="74" t="n">
        <v>0.009324000000000001</v>
      </c>
      <c r="K133" s="97" t="n">
        <v>14</v>
      </c>
      <c r="L133" s="98" t="inlineStr">
        <is>
          <t>20260730</t>
        </is>
      </c>
      <c r="M133" s="96" t="inlineStr">
        <is>
          <t>채택</t>
        </is>
      </c>
      <c r="N133" s="96" t="inlineStr"/>
      <c r="O133" s="96" t="inlineStr">
        <is>
          <t>S&amp;P 500</t>
        </is>
      </c>
      <c r="P133" s="96" t="inlineStr">
        <is>
          <t>일반</t>
        </is>
      </c>
      <c r="Q133" s="96" t="inlineStr">
        <is>
          <t>주식</t>
        </is>
      </c>
      <c r="R133" s="96" t="inlineStr">
        <is>
          <t>분기배당</t>
        </is>
      </c>
      <c r="S133" s="97" t="n">
        <v>3</v>
      </c>
      <c r="T133" s="74" t="n">
        <v>1</v>
      </c>
      <c r="U133" s="78" t="n">
        <v>0.1359</v>
      </c>
      <c r="V133" s="78" t="n">
        <v>0.1253</v>
      </c>
      <c r="W133" s="78" t="n">
        <v>0.1543</v>
      </c>
      <c r="X133" s="78" t="n">
        <v>0.0211</v>
      </c>
      <c r="Y133" s="96" t="inlineStr">
        <is>
          <t>20250922~20261002</t>
        </is>
      </c>
      <c r="Z133" s="96" t="inlineStr"/>
      <c r="AA133">
        <f>IF(AND($J133&lt;&gt;"",OR(조회_주기="전체",$R133=조회_주기),$J133&gt;=조회_최소,$J133&lt;=조회_최대),1,0)</f>
        <v/>
      </c>
      <c r="AB133">
        <f>IF($AA133=1,$AB132+1,$AB132)</f>
        <v/>
      </c>
      <c r="AC133">
        <f>IF(검색어="",1,IF(ISNUMBER(SEARCH(검색어,$A133)),1,0))</f>
        <v/>
      </c>
      <c r="AD133">
        <f>IF($AC133=1,$AD132+1,$AD132)</f>
        <v/>
      </c>
      <c r="AE133">
        <f>IFERROR(INDEX($A$4:$A$594,MATCH(130,$AD$4:$AD$594,0)),"")</f>
        <v/>
      </c>
    </row>
    <row r="134">
      <c r="A134" s="96" t="inlineStr">
        <is>
          <t>RISE TDF2050액티브 적격</t>
        </is>
      </c>
      <c r="B134" s="96" t="inlineStr">
        <is>
          <t>442570</t>
        </is>
      </c>
      <c r="C134" s="96" t="inlineStr">
        <is>
          <t>KB자산운용</t>
        </is>
      </c>
      <c r="D134" s="97" t="n">
        <v>17365</v>
      </c>
      <c r="E134" s="97" t="n">
        <v>351641250000</v>
      </c>
      <c r="F134" s="97" t="n">
        <v>2398130107</v>
      </c>
      <c r="G134" s="74" t="n">
        <v>0.0001</v>
      </c>
      <c r="H134" s="74" t="n">
        <v>0.1337</v>
      </c>
      <c r="I134" s="74" t="n">
        <v>0.0032</v>
      </c>
      <c r="J134" s="74" t="n">
        <v>0.009272000000000001</v>
      </c>
      <c r="K134" s="97" t="n">
        <v>2</v>
      </c>
      <c r="L134" s="98" t="inlineStr">
        <is>
          <t>20260730</t>
        </is>
      </c>
      <c r="M134" s="96" t="inlineStr">
        <is>
          <t>채택</t>
        </is>
      </c>
      <c r="N134" s="96" t="inlineStr"/>
      <c r="O134" s="96" t="inlineStr">
        <is>
          <t>iSelect Tactical Asset Allocation TDF 2050 PR Index</t>
        </is>
      </c>
      <c r="P134" s="96" t="inlineStr">
        <is>
          <t>일반</t>
        </is>
      </c>
      <c r="Q134" s="96" t="inlineStr">
        <is>
          <t>멀티에셋</t>
        </is>
      </c>
      <c r="R134" s="96" t="inlineStr">
        <is>
          <t>반기배당</t>
        </is>
      </c>
      <c r="S134" s="97" t="n">
        <v>2</v>
      </c>
      <c r="T134" s="74" t="n">
        <v>1</v>
      </c>
      <c r="U134" s="78" t="n">
        <v>0.1834</v>
      </c>
      <c r="V134" s="78" t="n">
        <v>0.1725</v>
      </c>
      <c r="W134" s="78" t="n">
        <v>0.0801</v>
      </c>
      <c r="X134" s="78" t="n">
        <v>-0.0809</v>
      </c>
      <c r="Y134" s="96" t="inlineStr">
        <is>
          <t>20250922~20261002</t>
        </is>
      </c>
      <c r="Z134" s="96" t="inlineStr"/>
      <c r="AA134">
        <f>IF(AND($J134&lt;&gt;"",OR(조회_주기="전체",$R134=조회_주기),$J134&gt;=조회_최소,$J134&lt;=조회_최대),1,0)</f>
        <v/>
      </c>
      <c r="AB134">
        <f>IF($AA134=1,$AB133+1,$AB133)</f>
        <v/>
      </c>
      <c r="AC134">
        <f>IF(검색어="",1,IF(ISNUMBER(SEARCH(검색어,$A134)),1,0))</f>
        <v/>
      </c>
      <c r="AD134">
        <f>IF($AC134=1,$AD133+1,$AD133)</f>
        <v/>
      </c>
      <c r="AE134">
        <f>IFERROR(INDEX($A$4:$A$594,MATCH(131,$AD$4:$AD$594,0)),"")</f>
        <v/>
      </c>
    </row>
    <row r="135">
      <c r="A135" s="96" t="inlineStr">
        <is>
          <t>TIGER 미국S&amp;P500(H)</t>
        </is>
      </c>
      <c r="B135" s="96" t="inlineStr">
        <is>
          <t>448290</t>
        </is>
      </c>
      <c r="C135" s="96" t="inlineStr">
        <is>
          <t>미래에셋자산운용</t>
        </is>
      </c>
      <c r="D135" s="97" t="n">
        <v>17785</v>
      </c>
      <c r="E135" s="97" t="n">
        <v>484641250000</v>
      </c>
      <c r="F135" s="97" t="n">
        <v>2308434455</v>
      </c>
      <c r="G135" s="74" t="n">
        <v>0.0007000000000000001</v>
      </c>
      <c r="H135" s="74" t="n">
        <v>0.1307</v>
      </c>
      <c r="I135" s="74" t="n">
        <v>0.0024</v>
      </c>
      <c r="J135" s="74" t="n">
        <v>0.009165</v>
      </c>
      <c r="K135" s="97" t="n">
        <v>6</v>
      </c>
      <c r="L135" s="98" t="inlineStr">
        <is>
          <t>20260730</t>
        </is>
      </c>
      <c r="M135" s="96" t="inlineStr">
        <is>
          <t>채택</t>
        </is>
      </c>
      <c r="N135" s="96" t="inlineStr"/>
      <c r="O135" s="96" t="inlineStr">
        <is>
          <t>S&amp;P 500</t>
        </is>
      </c>
      <c r="P135" s="96" t="inlineStr">
        <is>
          <t>일반</t>
        </is>
      </c>
      <c r="Q135" s="96" t="inlineStr">
        <is>
          <t>주식</t>
        </is>
      </c>
      <c r="R135" s="96" t="inlineStr">
        <is>
          <t>분기배당</t>
        </is>
      </c>
      <c r="S135" s="97" t="n">
        <v>3</v>
      </c>
      <c r="T135" s="74" t="n">
        <v>1</v>
      </c>
      <c r="U135" s="78" t="n">
        <v>0.1356</v>
      </c>
      <c r="V135" s="78" t="n">
        <v>0.1252</v>
      </c>
      <c r="W135" s="78" t="n">
        <v>0.1515</v>
      </c>
      <c r="X135" s="78" t="n">
        <v>0.018</v>
      </c>
      <c r="Y135" s="96" t="inlineStr">
        <is>
          <t>20250922~20261002</t>
        </is>
      </c>
      <c r="Z135" s="96" t="inlineStr"/>
      <c r="AA135">
        <f>IF(AND($J135&lt;&gt;"",OR(조회_주기="전체",$R135=조회_주기),$J135&gt;=조회_최소,$J135&lt;=조회_최대),1,0)</f>
        <v/>
      </c>
      <c r="AB135">
        <f>IF($AA135=1,$AB134+1,$AB134)</f>
        <v/>
      </c>
      <c r="AC135">
        <f>IF(검색어="",1,IF(ISNUMBER(SEARCH(검색어,$A135)),1,0))</f>
        <v/>
      </c>
      <c r="AD135">
        <f>IF($AC135=1,$AD134+1,$AD134)</f>
        <v/>
      </c>
      <c r="AE135">
        <f>IFERROR(INDEX($A$4:$A$594,MATCH(132,$AD$4:$AD$594,0)),"")</f>
        <v/>
      </c>
    </row>
    <row r="136">
      <c r="A136" s="96" t="inlineStr">
        <is>
          <t>SOL 미국S&amp;P500</t>
        </is>
      </c>
      <c r="B136" s="96" t="inlineStr">
        <is>
          <t>433330</t>
        </is>
      </c>
      <c r="C136" s="96" t="inlineStr">
        <is>
          <t>신한자산운용</t>
        </is>
      </c>
      <c r="D136" s="97" t="n">
        <v>21500</v>
      </c>
      <c r="E136" s="97" t="n">
        <v>296700000000</v>
      </c>
      <c r="F136" s="97" t="n">
        <v>1847353954</v>
      </c>
      <c r="G136" s="74" t="n">
        <v>4.7e-05</v>
      </c>
      <c r="H136" s="74" t="n">
        <v>0.146</v>
      </c>
      <c r="I136" s="74" t="n">
        <v>0.0009</v>
      </c>
      <c r="J136" s="74" t="n">
        <v>0.009162999999999999</v>
      </c>
      <c r="K136" s="97" t="n">
        <v>51</v>
      </c>
      <c r="L136" s="98" t="inlineStr">
        <is>
          <t>20260929</t>
        </is>
      </c>
      <c r="M136" s="96" t="inlineStr">
        <is>
          <t>채택</t>
        </is>
      </c>
      <c r="N136" s="96" t="inlineStr"/>
      <c r="O136" s="96" t="inlineStr">
        <is>
          <t>S&amp;P 500</t>
        </is>
      </c>
      <c r="P136" s="96" t="inlineStr">
        <is>
          <t>일반</t>
        </is>
      </c>
      <c r="Q136" s="96" t="inlineStr">
        <is>
          <t>주식</t>
        </is>
      </c>
      <c r="R136" s="96" t="inlineStr">
        <is>
          <t>월배당</t>
        </is>
      </c>
      <c r="S136" s="97" t="n">
        <v>11</v>
      </c>
      <c r="T136" s="74" t="n">
        <v>1</v>
      </c>
      <c r="U136" s="78" t="n">
        <v>0.1218</v>
      </c>
      <c r="V136" s="78" t="n">
        <v>0.1116</v>
      </c>
      <c r="W136" s="78" t="n">
        <v>0.0433</v>
      </c>
      <c r="X136" s="78" t="n">
        <v>-0.0935</v>
      </c>
      <c r="Y136" s="96" t="inlineStr">
        <is>
          <t>20250922~20261002</t>
        </is>
      </c>
      <c r="Z136" s="96" t="inlineStr"/>
      <c r="AA136">
        <f>IF(AND($J136&lt;&gt;"",OR(조회_주기="전체",$R136=조회_주기),$J136&gt;=조회_최소,$J136&lt;=조회_최대),1,0)</f>
        <v/>
      </c>
      <c r="AB136">
        <f>IF($AA136=1,$AB135+1,$AB135)</f>
        <v/>
      </c>
      <c r="AC136">
        <f>IF(검색어="",1,IF(ISNUMBER(SEARCH(검색어,$A136)),1,0))</f>
        <v/>
      </c>
      <c r="AD136">
        <f>IF($AC136=1,$AD135+1,$AD135)</f>
        <v/>
      </c>
      <c r="AE136">
        <f>IFERROR(INDEX($A$4:$A$594,MATCH(133,$AD$4:$AD$594,0)),"")</f>
        <v/>
      </c>
    </row>
    <row r="137">
      <c r="A137" s="96" t="inlineStr">
        <is>
          <t>KODEX 미국달러선물레버리지</t>
        </is>
      </c>
      <c r="B137" s="96" t="inlineStr">
        <is>
          <t>261250</t>
        </is>
      </c>
      <c r="C137" s="96" t="inlineStr">
        <is>
          <t>삼성자산운용(ETF)</t>
        </is>
      </c>
      <c r="D137" s="97" t="n">
        <v>15250</v>
      </c>
      <c r="E137" s="97" t="n">
        <v>33245000000</v>
      </c>
      <c r="F137" s="97" t="n">
        <v>1573314446</v>
      </c>
      <c r="G137" s="74" t="n">
        <v>0.004500000000000001</v>
      </c>
      <c r="H137" s="74" t="n">
        <v>0.2099</v>
      </c>
      <c r="I137" s="74" t="n">
        <v>0.007800000000000001</v>
      </c>
      <c r="J137" s="74" t="n">
        <v>0.008852</v>
      </c>
      <c r="K137" s="97" t="n">
        <v>1</v>
      </c>
      <c r="L137" s="98" t="inlineStr">
        <is>
          <t>20251229</t>
        </is>
      </c>
      <c r="M137" s="96" t="inlineStr">
        <is>
          <t>채택</t>
        </is>
      </c>
      <c r="N137" s="96" t="inlineStr"/>
      <c r="O137" s="96" t="inlineStr">
        <is>
          <t>F-USDKRW</t>
        </is>
      </c>
      <c r="P137" s="96" t="inlineStr">
        <is>
          <t>일반</t>
        </is>
      </c>
      <c r="Q137" s="96" t="inlineStr">
        <is>
          <t>통화</t>
        </is>
      </c>
      <c r="R137" s="96" t="inlineStr">
        <is>
          <t>연배당</t>
        </is>
      </c>
      <c r="S137" s="97" t="n">
        <v>1</v>
      </c>
      <c r="T137" s="74" t="n">
        <v>1</v>
      </c>
      <c r="U137" s="78" t="n">
        <v>-0.0285</v>
      </c>
      <c r="V137" s="78" t="n">
        <v>-0.03700000000000001</v>
      </c>
      <c r="W137" s="78" t="n">
        <v>-0.1867</v>
      </c>
      <c r="X137" s="78" t="n">
        <v>-0.2121</v>
      </c>
      <c r="Y137" s="96" t="inlineStr">
        <is>
          <t>20250922~20261002</t>
        </is>
      </c>
      <c r="Z137" s="96" t="inlineStr"/>
      <c r="AA137">
        <f>IF(AND($J137&lt;&gt;"",OR(조회_주기="전체",$R137=조회_주기),$J137&gt;=조회_최소,$J137&lt;=조회_최대),1,0)</f>
        <v/>
      </c>
      <c r="AB137">
        <f>IF($AA137=1,$AB136+1,$AB136)</f>
        <v/>
      </c>
      <c r="AC137">
        <f>IF(검색어="",1,IF(ISNUMBER(SEARCH(검색어,$A137)),1,0))</f>
        <v/>
      </c>
      <c r="AD137">
        <f>IF($AC137=1,$AD136+1,$AD136)</f>
        <v/>
      </c>
      <c r="AE137">
        <f>IFERROR(INDEX($A$4:$A$594,MATCH(134,$AD$4:$AD$594,0)),"")</f>
        <v/>
      </c>
    </row>
    <row r="138">
      <c r="A138" s="96" t="inlineStr">
        <is>
          <t>ACE 엔비디아채권혼합</t>
        </is>
      </c>
      <c r="B138" s="96" t="inlineStr">
        <is>
          <t>448540</t>
        </is>
      </c>
      <c r="C138" s="96" t="inlineStr">
        <is>
          <t>한국투신운용(ETF)</t>
        </is>
      </c>
      <c r="D138" s="97" t="n">
        <v>26765</v>
      </c>
      <c r="E138" s="97" t="n">
        <v>208767000000</v>
      </c>
      <c r="F138" s="97" t="n">
        <v>802937699</v>
      </c>
      <c r="G138" s="74" t="n">
        <v>0.0007000000000000001</v>
      </c>
      <c r="H138" s="74" t="n">
        <v>0.1183</v>
      </c>
      <c r="I138" s="74" t="n">
        <v>0.0092</v>
      </c>
      <c r="J138" s="74" t="n">
        <v>0.008705000000000001</v>
      </c>
      <c r="K138" s="97" t="n">
        <v>1</v>
      </c>
      <c r="L138" s="98" t="inlineStr">
        <is>
          <t>20251229</t>
        </is>
      </c>
      <c r="M138" s="96" t="inlineStr">
        <is>
          <t>채택</t>
        </is>
      </c>
      <c r="N138" s="96" t="inlineStr"/>
      <c r="O138" s="96" t="inlineStr">
        <is>
          <t>Bloomberg Blended NVIDIA and Korean Bond Index</t>
        </is>
      </c>
      <c r="P138" s="96" t="inlineStr">
        <is>
          <t>일반</t>
        </is>
      </c>
      <c r="Q138" s="96" t="inlineStr">
        <is>
          <t>멀티에셋</t>
        </is>
      </c>
      <c r="R138" s="96" t="inlineStr">
        <is>
          <t>연배당</t>
        </is>
      </c>
      <c r="S138" s="97" t="n">
        <v>1</v>
      </c>
      <c r="T138" s="74" t="n">
        <v>1</v>
      </c>
      <c r="U138" s="78" t="n">
        <v>0.1009</v>
      </c>
      <c r="V138" s="78" t="n">
        <v>0.09140000000000001</v>
      </c>
      <c r="W138" s="78" t="n">
        <v>0.06320000000000001</v>
      </c>
      <c r="X138" s="78" t="n">
        <v>0.0193</v>
      </c>
      <c r="Y138" s="96" t="inlineStr">
        <is>
          <t>20250922~20261002</t>
        </is>
      </c>
      <c r="Z138" s="96" t="inlineStr"/>
      <c r="AA138">
        <f>IF(AND($J138&lt;&gt;"",OR(조회_주기="전체",$R138=조회_주기),$J138&gt;=조회_최소,$J138&lt;=조회_최대),1,0)</f>
        <v/>
      </c>
      <c r="AB138">
        <f>IF($AA138=1,$AB137+1,$AB137)</f>
        <v/>
      </c>
      <c r="AC138">
        <f>IF(검색어="",1,IF(ISNUMBER(SEARCH(검색어,$A138)),1,0))</f>
        <v/>
      </c>
      <c r="AD138">
        <f>IF($AC138=1,$AD137+1,$AD137)</f>
        <v/>
      </c>
      <c r="AE138">
        <f>IFERROR(INDEX($A$4:$A$594,MATCH(135,$AD$4:$AD$594,0)),"")</f>
        <v/>
      </c>
    </row>
    <row r="139">
      <c r="A139" s="96" t="inlineStr">
        <is>
          <t>1Q 머니마켓액티브</t>
        </is>
      </c>
      <c r="B139" s="96" t="inlineStr">
        <is>
          <t>479080</t>
        </is>
      </c>
      <c r="C139" s="96" t="inlineStr">
        <is>
          <t>하나자산운용</t>
        </is>
      </c>
      <c r="D139" s="97" t="n">
        <v>53930</v>
      </c>
      <c r="E139" s="97" t="n">
        <v>868057280000</v>
      </c>
      <c r="F139" s="97" t="n">
        <v>2523234373</v>
      </c>
      <c r="G139" s="74" t="n">
        <v>0.0005</v>
      </c>
      <c r="H139" s="74" t="n">
        <v>0.0089</v>
      </c>
      <c r="I139" s="74" t="n">
        <v>0.0086</v>
      </c>
      <c r="J139" s="74" t="n">
        <v>0.008437</v>
      </c>
      <c r="K139" s="97" t="n">
        <v>1</v>
      </c>
      <c r="L139" s="98" t="inlineStr">
        <is>
          <t>20251113</t>
        </is>
      </c>
      <c r="M139" s="96" t="inlineStr">
        <is>
          <t>채택</t>
        </is>
      </c>
      <c r="N139" s="96" t="inlineStr"/>
      <c r="O139" s="96" t="inlineStr">
        <is>
          <t>KIS-하나 MMF지수</t>
        </is>
      </c>
      <c r="P139" s="96" t="inlineStr">
        <is>
          <t>일반</t>
        </is>
      </c>
      <c r="Q139" s="96" t="inlineStr">
        <is>
          <t>단기자금(파킹형)</t>
        </is>
      </c>
      <c r="R139" s="96" t="inlineStr">
        <is>
          <t>연배당</t>
        </is>
      </c>
      <c r="S139" s="97" t="n">
        <v>1</v>
      </c>
      <c r="T139" s="74" t="n">
        <v>1</v>
      </c>
      <c r="U139" s="78" t="n">
        <v>0.0321</v>
      </c>
      <c r="V139" s="78" t="n">
        <v>0.0235</v>
      </c>
      <c r="W139" s="78" t="n">
        <v>0.0167</v>
      </c>
      <c r="X139" s="78" t="n">
        <v>0.008800000000000001</v>
      </c>
      <c r="Y139" s="96" t="inlineStr">
        <is>
          <t>20250922~20261002</t>
        </is>
      </c>
      <c r="Z139" s="96" t="inlineStr"/>
      <c r="AA139">
        <f>IF(AND($J139&lt;&gt;"",OR(조회_주기="전체",$R139=조회_주기),$J139&gt;=조회_최소,$J139&lt;=조회_최대),1,0)</f>
        <v/>
      </c>
      <c r="AB139">
        <f>IF($AA139=1,$AB138+1,$AB138)</f>
        <v/>
      </c>
      <c r="AC139">
        <f>IF(검색어="",1,IF(ISNUMBER(SEARCH(검색어,$A139)),1,0))</f>
        <v/>
      </c>
      <c r="AD139">
        <f>IF($AC139=1,$AD138+1,$AD138)</f>
        <v/>
      </c>
      <c r="AE139">
        <f>IFERROR(INDEX($A$4:$A$594,MATCH(136,$AD$4:$AD$594,0)),"")</f>
        <v/>
      </c>
    </row>
    <row r="140">
      <c r="A140" s="96" t="inlineStr">
        <is>
          <t>TIGER 미국달러단기채권액티브</t>
        </is>
      </c>
      <c r="B140" s="96" t="inlineStr">
        <is>
          <t>329750</t>
        </is>
      </c>
      <c r="C140" s="96" t="inlineStr">
        <is>
          <t>미래에셋자산운용</t>
        </is>
      </c>
      <c r="D140" s="97" t="n">
        <v>12775</v>
      </c>
      <c r="E140" s="97" t="n">
        <v>772504250000</v>
      </c>
      <c r="F140" s="97" t="n">
        <v>4882938354</v>
      </c>
      <c r="G140" s="74" t="n">
        <v>0.003</v>
      </c>
      <c r="H140" s="74" t="n">
        <v>0.1056</v>
      </c>
      <c r="I140" s="74" t="n">
        <v>0.007800000000000001</v>
      </c>
      <c r="J140" s="74" t="n">
        <v>0.008297000000000001</v>
      </c>
      <c r="K140" s="97" t="n">
        <v>4</v>
      </c>
      <c r="L140" s="98" t="inlineStr">
        <is>
          <t>20251127</t>
        </is>
      </c>
      <c r="M140" s="96" t="inlineStr">
        <is>
          <t>채택</t>
        </is>
      </c>
      <c r="N140" s="96" t="inlineStr"/>
      <c r="O140" s="96" t="inlineStr">
        <is>
          <t>KIS U.S. TREASURY BOND 0-1Y</t>
        </is>
      </c>
      <c r="P140" s="96" t="inlineStr">
        <is>
          <t>일반</t>
        </is>
      </c>
      <c r="Q140" s="96" t="inlineStr">
        <is>
          <t>채권</t>
        </is>
      </c>
      <c r="R140" s="96" t="inlineStr">
        <is>
          <t>연배당</t>
        </is>
      </c>
      <c r="S140" s="97" t="n">
        <v>1</v>
      </c>
      <c r="T140" s="74" t="n">
        <v>1</v>
      </c>
      <c r="U140" s="78" t="n">
        <v>0.0024</v>
      </c>
      <c r="V140" s="78" t="n">
        <v>-0.0059</v>
      </c>
      <c r="W140" s="78" t="n">
        <v>-0.09089999999999999</v>
      </c>
      <c r="X140" s="78" t="n">
        <v>-0.1099</v>
      </c>
      <c r="Y140" s="96" t="inlineStr">
        <is>
          <t>20250922~20261002</t>
        </is>
      </c>
      <c r="Z140" s="96" t="inlineStr"/>
      <c r="AA140">
        <f>IF(AND($J140&lt;&gt;"",OR(조회_주기="전체",$R140=조회_주기),$J140&gt;=조회_최소,$J140&lt;=조회_최대),1,0)</f>
        <v/>
      </c>
      <c r="AB140">
        <f>IF($AA140=1,$AB139+1,$AB139)</f>
        <v/>
      </c>
      <c r="AC140">
        <f>IF(검색어="",1,IF(ISNUMBER(SEARCH(검색어,$A140)),1,0))</f>
        <v/>
      </c>
      <c r="AD140">
        <f>IF($AC140=1,$AD139+1,$AD139)</f>
        <v/>
      </c>
      <c r="AE140">
        <f>IFERROR(INDEX($A$4:$A$594,MATCH(137,$AD$4:$AD$594,0)),"")</f>
        <v/>
      </c>
    </row>
    <row r="141">
      <c r="A141" s="96" t="inlineStr">
        <is>
          <t>1Q 미국나스닥100미국채혼합50액티브</t>
        </is>
      </c>
      <c r="B141" s="96" t="inlineStr">
        <is>
          <t>0111P0</t>
        </is>
      </c>
      <c r="C141" s="96" t="inlineStr">
        <is>
          <t>하나자산운용</t>
        </is>
      </c>
      <c r="D141" s="97" t="n">
        <v>10775</v>
      </c>
      <c r="E141" s="97" t="n">
        <v>308165000000</v>
      </c>
      <c r="F141" s="97" t="n">
        <v>1607266029</v>
      </c>
      <c r="G141" s="74" t="n">
        <v>0.0005</v>
      </c>
      <c r="H141" s="74" t="n">
        <v>0.1309</v>
      </c>
      <c r="I141" s="74" t="n">
        <v>0.0026</v>
      </c>
      <c r="J141" s="74" t="n">
        <v>0.008074</v>
      </c>
      <c r="K141" s="97" t="n">
        <v>3</v>
      </c>
      <c r="L141" s="98" t="inlineStr">
        <is>
          <t>20260730</t>
        </is>
      </c>
      <c r="M141" s="96" t="inlineStr">
        <is>
          <t>채택</t>
        </is>
      </c>
      <c r="N141" s="96" t="inlineStr"/>
      <c r="O141" s="96" t="inlineStr">
        <is>
          <t>Nasdaq-100 US T-Bills 0-6 Month 50/50 Index</t>
        </is>
      </c>
      <c r="P141" s="96" t="inlineStr">
        <is>
          <t>일반</t>
        </is>
      </c>
      <c r="Q141" s="96" t="inlineStr">
        <is>
          <t>멀티에셋</t>
        </is>
      </c>
      <c r="R141" s="96" t="inlineStr">
        <is>
          <t>분기배당</t>
        </is>
      </c>
      <c r="S141" s="97" t="n">
        <v>3</v>
      </c>
      <c r="T141" s="74" t="n">
        <v>1</v>
      </c>
      <c r="U141" s="78" t="n">
        <v>0.0902</v>
      </c>
      <c r="V141" s="78" t="n">
        <v>0.0814</v>
      </c>
      <c r="W141" s="78" t="n">
        <v>0.0176</v>
      </c>
      <c r="X141" s="78" t="n">
        <v>-0.0951</v>
      </c>
      <c r="Y141" s="96" t="inlineStr">
        <is>
          <t>20250930~20261002</t>
        </is>
      </c>
      <c r="Z141" s="96" t="inlineStr"/>
      <c r="AA141">
        <f>IF(AND($J141&lt;&gt;"",OR(조회_주기="전체",$R141=조회_주기),$J141&gt;=조회_최소,$J141&lt;=조회_최대),1,0)</f>
        <v/>
      </c>
      <c r="AB141">
        <f>IF($AA141=1,$AB140+1,$AB140)</f>
        <v/>
      </c>
      <c r="AC141">
        <f>IF(검색어="",1,IF(ISNUMBER(SEARCH(검색어,$A141)),1,0))</f>
        <v/>
      </c>
      <c r="AD141">
        <f>IF($AC141=1,$AD140+1,$AD140)</f>
        <v/>
      </c>
      <c r="AE141">
        <f>IFERROR(INDEX($A$4:$A$594,MATCH(138,$AD$4:$AD$594,0)),"")</f>
        <v/>
      </c>
    </row>
    <row r="142">
      <c r="A142" s="96" t="inlineStr">
        <is>
          <t>RISE 글로벌자산배분액티브</t>
        </is>
      </c>
      <c r="B142" s="96" t="inlineStr">
        <is>
          <t>461490</t>
        </is>
      </c>
      <c r="C142" s="96" t="inlineStr">
        <is>
          <t>KB자산운용</t>
        </is>
      </c>
      <c r="D142" s="97" t="n">
        <v>14495</v>
      </c>
      <c r="E142" s="97" t="n">
        <v>278304000000</v>
      </c>
      <c r="F142" s="97" t="n">
        <v>845045736</v>
      </c>
      <c r="G142" s="74" t="n">
        <v>0.0001</v>
      </c>
      <c r="H142" s="74" t="n">
        <v>0.0793</v>
      </c>
      <c r="I142" s="74" t="n">
        <v>0.0009</v>
      </c>
      <c r="J142" s="74" t="n">
        <v>0.007796</v>
      </c>
      <c r="K142" s="97" t="n">
        <v>2</v>
      </c>
      <c r="L142" s="98" t="inlineStr">
        <is>
          <t>20260429</t>
        </is>
      </c>
      <c r="M142" s="96" t="inlineStr">
        <is>
          <t>채택</t>
        </is>
      </c>
      <c r="N142" s="96" t="inlineStr"/>
      <c r="O142" s="96" t="inlineStr">
        <is>
          <t>Bloomberg Multi-Asset Weighted KRW ETFs Index</t>
        </is>
      </c>
      <c r="P142" s="96" t="inlineStr">
        <is>
          <t>일반</t>
        </is>
      </c>
      <c r="Q142" s="96" t="inlineStr">
        <is>
          <t>멀티에셋</t>
        </is>
      </c>
      <c r="R142" s="96" t="inlineStr">
        <is>
          <t>연배당</t>
        </is>
      </c>
      <c r="S142" s="97" t="n">
        <v>2</v>
      </c>
      <c r="T142" s="74" t="n">
        <v>1</v>
      </c>
      <c r="U142" s="78" t="n">
        <v>0.0383</v>
      </c>
      <c r="V142" s="78" t="n">
        <v>0.0303</v>
      </c>
      <c r="W142" s="78" t="n">
        <v>-0.0227</v>
      </c>
      <c r="X142" s="78" t="n">
        <v>-0.04190000000000001</v>
      </c>
      <c r="Y142" s="96" t="inlineStr">
        <is>
          <t>20250922~20261002</t>
        </is>
      </c>
      <c r="Z142" s="96" t="inlineStr"/>
      <c r="AA142">
        <f>IF(AND($J142&lt;&gt;"",OR(조회_주기="전체",$R142=조회_주기),$J142&gt;=조회_최소,$J142&lt;=조회_최대),1,0)</f>
        <v/>
      </c>
      <c r="AB142">
        <f>IF($AA142=1,$AB141+1,$AB141)</f>
        <v/>
      </c>
      <c r="AC142">
        <f>IF(검색어="",1,IF(ISNUMBER(SEARCH(검색어,$A142)),1,0))</f>
        <v/>
      </c>
      <c r="AD142">
        <f>IF($AC142=1,$AD141+1,$AD141)</f>
        <v/>
      </c>
      <c r="AE142">
        <f>IFERROR(INDEX($A$4:$A$594,MATCH(139,$AD$4:$AD$594,0)),"")</f>
        <v/>
      </c>
    </row>
    <row r="143">
      <c r="A143" s="96" t="inlineStr">
        <is>
          <t>TIGER 단기채권액티브</t>
        </is>
      </c>
      <c r="B143" s="96" t="inlineStr">
        <is>
          <t>272580</t>
        </is>
      </c>
      <c r="C143" s="96" t="inlineStr">
        <is>
          <t>미래에셋자산운용</t>
        </is>
      </c>
      <c r="D143" s="97" t="n">
        <v>57240</v>
      </c>
      <c r="E143" s="97" t="n">
        <v>795407040000</v>
      </c>
      <c r="F143" s="97" t="n">
        <v>1945766748</v>
      </c>
      <c r="G143" s="74" t="n">
        <v>0.0007000000000000001</v>
      </c>
      <c r="H143" s="74" t="n">
        <v>0.008</v>
      </c>
      <c r="I143" s="74" t="n">
        <v>0.007800000000000001</v>
      </c>
      <c r="J143" s="74" t="n">
        <v>0.007634999999999999</v>
      </c>
      <c r="K143" s="97" t="n">
        <v>1</v>
      </c>
      <c r="L143" s="98" t="inlineStr">
        <is>
          <t>20251127</t>
        </is>
      </c>
      <c r="M143" s="96" t="inlineStr">
        <is>
          <t>채택</t>
        </is>
      </c>
      <c r="N143" s="96" t="inlineStr"/>
      <c r="O143" s="96" t="inlineStr">
        <is>
          <t>KIS 통안채 6개월 플러스 지수</t>
        </is>
      </c>
      <c r="P143" s="96" t="inlineStr">
        <is>
          <t>일반</t>
        </is>
      </c>
      <c r="Q143" s="96" t="inlineStr">
        <is>
          <t>채권</t>
        </is>
      </c>
      <c r="R143" s="96" t="inlineStr">
        <is>
          <t>연배당</t>
        </is>
      </c>
      <c r="S143" s="97" t="n">
        <v>1</v>
      </c>
      <c r="T143" s="74" t="n">
        <v>1</v>
      </c>
      <c r="U143" s="78" t="n">
        <v>0.0267</v>
      </c>
      <c r="V143" s="78" t="n">
        <v>0.019</v>
      </c>
      <c r="W143" s="78" t="n">
        <v>0.0137</v>
      </c>
      <c r="X143" s="78" t="n">
        <v>0.007900000000000001</v>
      </c>
      <c r="Y143" s="96" t="inlineStr">
        <is>
          <t>20250922~20261002</t>
        </is>
      </c>
      <c r="Z143" s="96" t="inlineStr"/>
      <c r="AA143">
        <f>IF(AND($J143&lt;&gt;"",OR(조회_주기="전체",$R143=조회_주기),$J143&gt;=조회_최소,$J143&lt;=조회_최대),1,0)</f>
        <v/>
      </c>
      <c r="AB143">
        <f>IF($AA143=1,$AB142+1,$AB142)</f>
        <v/>
      </c>
      <c r="AC143">
        <f>IF(검색어="",1,IF(ISNUMBER(SEARCH(검색어,$A143)),1,0))</f>
        <v/>
      </c>
      <c r="AD143">
        <f>IF($AC143=1,$AD142+1,$AD142)</f>
        <v/>
      </c>
      <c r="AE143">
        <f>IFERROR(INDEX($A$4:$A$594,MATCH(140,$AD$4:$AD$594,0)),"")</f>
        <v/>
      </c>
    </row>
    <row r="144">
      <c r="A144" s="96" t="inlineStr">
        <is>
          <t>ACE 우량회사채(AA-이상)액티브</t>
        </is>
      </c>
      <c r="B144" s="96" t="inlineStr">
        <is>
          <t>0099L0</t>
        </is>
      </c>
      <c r="C144" s="96" t="inlineStr">
        <is>
          <t>한국투신운용(ETF)</t>
        </is>
      </c>
      <c r="D144" s="97" t="n">
        <v>99835</v>
      </c>
      <c r="E144" s="97" t="n">
        <v>175110590000</v>
      </c>
      <c r="F144" s="97" t="n">
        <v>1560805182</v>
      </c>
      <c r="G144" s="74" t="n">
        <v>0.00095</v>
      </c>
      <c r="H144" s="74" t="n">
        <v>0.019</v>
      </c>
      <c r="I144" s="74" t="n">
        <v>0.0075</v>
      </c>
      <c r="J144" s="74" t="n">
        <v>0.007451999999999999</v>
      </c>
      <c r="K144" s="97" t="n">
        <v>1</v>
      </c>
      <c r="L144" s="98" t="inlineStr">
        <is>
          <t>20251127</t>
        </is>
      </c>
      <c r="M144" s="96" t="inlineStr">
        <is>
          <t>채택</t>
        </is>
      </c>
      <c r="N144" s="96" t="inlineStr"/>
      <c r="O144" s="96" t="inlineStr">
        <is>
          <t>KIS 1~3년 우량크레딧(AA-이상) 총수익지수</t>
        </is>
      </c>
      <c r="P144" s="96" t="inlineStr">
        <is>
          <t>일반</t>
        </is>
      </c>
      <c r="Q144" s="96" t="inlineStr">
        <is>
          <t>채권</t>
        </is>
      </c>
      <c r="R144" s="96" t="inlineStr">
        <is>
          <t>연배당</t>
        </is>
      </c>
      <c r="S144" s="97" t="n">
        <v>1</v>
      </c>
      <c r="T144" s="74" t="n">
        <v>0</v>
      </c>
      <c r="U144" s="78" t="n">
        <v>0.0048</v>
      </c>
      <c r="V144" s="78" t="n">
        <v>-0.0026</v>
      </c>
      <c r="W144" s="78" t="n">
        <v>0.0125</v>
      </c>
      <c r="X144" s="78" t="n">
        <v>0.0106</v>
      </c>
      <c r="Y144" s="96" t="inlineStr">
        <is>
          <t>20250922~20261002</t>
        </is>
      </c>
      <c r="Z144" s="96" t="inlineStr"/>
      <c r="AA144">
        <f>IF(AND($J144&lt;&gt;"",OR(조회_주기="전체",$R144=조회_주기),$J144&gt;=조회_최소,$J144&lt;=조회_최대),1,0)</f>
        <v/>
      </c>
      <c r="AB144">
        <f>IF($AA144=1,$AB143+1,$AB143)</f>
        <v/>
      </c>
      <c r="AC144">
        <f>IF(검색어="",1,IF(ISNUMBER(SEARCH(검색어,$A144)),1,0))</f>
        <v/>
      </c>
      <c r="AD144">
        <f>IF($AC144=1,$AD143+1,$AD143)</f>
        <v/>
      </c>
      <c r="AE144">
        <f>IFERROR(INDEX($A$4:$A$594,MATCH(141,$AD$4:$AD$594,0)),"")</f>
        <v/>
      </c>
    </row>
    <row r="145">
      <c r="A145" s="96" t="inlineStr">
        <is>
          <t>KODEX 미국S&amp;P500액티브</t>
        </is>
      </c>
      <c r="B145" s="96" t="inlineStr">
        <is>
          <t>0041E0</t>
        </is>
      </c>
      <c r="C145" s="96" t="inlineStr">
        <is>
          <t>삼성자산운용(ETF)</t>
        </is>
      </c>
      <c r="D145" s="97" t="n">
        <v>16125</v>
      </c>
      <c r="E145" s="97" t="n">
        <v>140287500000</v>
      </c>
      <c r="F145" s="97" t="n">
        <v>1800562186</v>
      </c>
      <c r="G145" s="74" t="n">
        <v>0.004500000000000001</v>
      </c>
      <c r="H145" s="74" t="n">
        <v>0.223</v>
      </c>
      <c r="I145" s="74" t="n">
        <v>0.0012</v>
      </c>
      <c r="J145" s="74" t="n">
        <v>0.007442</v>
      </c>
      <c r="K145" s="97" t="n">
        <v>5</v>
      </c>
      <c r="L145" s="98" t="inlineStr">
        <is>
          <t>20260730</t>
        </is>
      </c>
      <c r="M145" s="96" t="inlineStr">
        <is>
          <t>채택</t>
        </is>
      </c>
      <c r="N145" s="96" t="inlineStr"/>
      <c r="O145" s="96" t="inlineStr">
        <is>
          <t>S&amp;P 500</t>
        </is>
      </c>
      <c r="P145" s="96" t="inlineStr">
        <is>
          <t>일반</t>
        </is>
      </c>
      <c r="Q145" s="96" t="inlineStr">
        <is>
          <t>주식</t>
        </is>
      </c>
      <c r="R145" s="96" t="inlineStr">
        <is>
          <t>분기배당</t>
        </is>
      </c>
      <c r="S145" s="97" t="n">
        <v>3</v>
      </c>
      <c r="T145" s="74" t="n">
        <v>1</v>
      </c>
      <c r="U145" s="78" t="n">
        <v>0.2518</v>
      </c>
      <c r="V145" s="78" t="n">
        <v>0.2425</v>
      </c>
      <c r="W145" s="78" t="n">
        <v>0.1311</v>
      </c>
      <c r="X145" s="78" t="n">
        <v>-0.107</v>
      </c>
      <c r="Y145" s="96" t="inlineStr">
        <is>
          <t>20250922~20261002</t>
        </is>
      </c>
      <c r="Z145" s="96" t="inlineStr"/>
      <c r="AA145">
        <f>IF(AND($J145&lt;&gt;"",OR(조회_주기="전체",$R145=조회_주기),$J145&gt;=조회_최소,$J145&lt;=조회_최대),1,0)</f>
        <v/>
      </c>
      <c r="AB145">
        <f>IF($AA145=1,$AB144+1,$AB144)</f>
        <v/>
      </c>
      <c r="AC145">
        <f>IF(검색어="",1,IF(ISNUMBER(SEARCH(검색어,$A145)),1,0))</f>
        <v/>
      </c>
      <c r="AD145">
        <f>IF($AC145=1,$AD144+1,$AD144)</f>
        <v/>
      </c>
      <c r="AE145">
        <f>IFERROR(INDEX($A$4:$A$594,MATCH(142,$AD$4:$AD$594,0)),"")</f>
        <v/>
      </c>
    </row>
    <row r="146">
      <c r="A146" s="96" t="inlineStr">
        <is>
          <t>1Q CD금리액티브(합성)</t>
        </is>
      </c>
      <c r="B146" s="96" t="inlineStr">
        <is>
          <t>491610</t>
        </is>
      </c>
      <c r="C146" s="96" t="inlineStr">
        <is>
          <t>하나자산운용</t>
        </is>
      </c>
      <c r="D146" s="97" t="n">
        <v>105150</v>
      </c>
      <c r="E146" s="97" t="n">
        <v>145422450000</v>
      </c>
      <c r="F146" s="97" t="n">
        <v>667275887</v>
      </c>
      <c r="G146" s="74" t="n">
        <v>0.0002</v>
      </c>
      <c r="H146" s="74" t="n">
        <v>0.0075</v>
      </c>
      <c r="I146" s="74" t="n">
        <v>0.0072</v>
      </c>
      <c r="J146" s="74" t="n">
        <v>0.007057</v>
      </c>
      <c r="K146" s="97" t="n">
        <v>1</v>
      </c>
      <c r="L146" s="98" t="inlineStr">
        <is>
          <t>20251113</t>
        </is>
      </c>
      <c r="M146" s="96" t="inlineStr">
        <is>
          <t>채택</t>
        </is>
      </c>
      <c r="N146" s="96" t="inlineStr"/>
      <c r="O146" s="96" t="inlineStr">
        <is>
          <t>KIS-하나 CD금리 총수익지수</t>
        </is>
      </c>
      <c r="P146" s="96" t="inlineStr">
        <is>
          <t>일반</t>
        </is>
      </c>
      <c r="Q146" s="96" t="inlineStr">
        <is>
          <t>단기자금(파킹형)</t>
        </is>
      </c>
      <c r="R146" s="96" t="inlineStr">
        <is>
          <t>연배당</t>
        </is>
      </c>
      <c r="S146" s="97" t="n">
        <v>1</v>
      </c>
      <c r="T146" s="74" t="n">
        <v>1</v>
      </c>
      <c r="U146" s="78" t="n">
        <v>0.0285</v>
      </c>
      <c r="V146" s="78" t="n">
        <v>0.0213</v>
      </c>
      <c r="W146" s="78" t="n">
        <v>0.0142</v>
      </c>
      <c r="X146" s="78" t="n">
        <v>0.0074</v>
      </c>
      <c r="Y146" s="96" t="inlineStr">
        <is>
          <t>20250922~20261002</t>
        </is>
      </c>
      <c r="Z146" s="96" t="inlineStr"/>
      <c r="AA146">
        <f>IF(AND($J146&lt;&gt;"",OR(조회_주기="전체",$R146=조회_주기),$J146&gt;=조회_최소,$J146&lt;=조회_최대),1,0)</f>
        <v/>
      </c>
      <c r="AB146">
        <f>IF($AA146=1,$AB145+1,$AB145)</f>
        <v/>
      </c>
      <c r="AC146">
        <f>IF(검색어="",1,IF(ISNUMBER(SEARCH(검색어,$A146)),1,0))</f>
        <v/>
      </c>
      <c r="AD146">
        <f>IF($AC146=1,$AD145+1,$AD145)</f>
        <v/>
      </c>
      <c r="AE146">
        <f>IFERROR(INDEX($A$4:$A$594,MATCH(143,$AD$4:$AD$594,0)),"")</f>
        <v/>
      </c>
    </row>
    <row r="147">
      <c r="A147" s="96" t="inlineStr">
        <is>
          <t>TIGER 머니마켓액티브</t>
        </is>
      </c>
      <c r="B147" s="96" t="inlineStr">
        <is>
          <t>0043B0</t>
        </is>
      </c>
      <c r="C147" s="96" t="inlineStr">
        <is>
          <t>미래에셋자산운용</t>
        </is>
      </c>
      <c r="D147" s="97" t="n">
        <v>103860</v>
      </c>
      <c r="E147" s="97" t="n">
        <v>3231188460000</v>
      </c>
      <c r="F147" s="97" t="n">
        <v>15121116184</v>
      </c>
      <c r="G147" s="74" t="n">
        <v>0.0004</v>
      </c>
      <c r="H147" s="74" t="n">
        <v>0.0073</v>
      </c>
      <c r="I147" s="74" t="n">
        <v>0.0071</v>
      </c>
      <c r="J147" s="74" t="n">
        <v>0.006942</v>
      </c>
      <c r="K147" s="97" t="n">
        <v>1</v>
      </c>
      <c r="L147" s="98" t="inlineStr">
        <is>
          <t>20251127</t>
        </is>
      </c>
      <c r="M147" s="96" t="inlineStr">
        <is>
          <t>채택</t>
        </is>
      </c>
      <c r="N147" s="96" t="inlineStr"/>
      <c r="O147" s="96" t="inlineStr">
        <is>
          <t>KIS-미래에셋 MMF지수</t>
        </is>
      </c>
      <c r="P147" s="96" t="inlineStr">
        <is>
          <t>일반</t>
        </is>
      </c>
      <c r="Q147" s="96" t="inlineStr">
        <is>
          <t>단기자금(파킹형)</t>
        </is>
      </c>
      <c r="R147" s="96" t="inlineStr">
        <is>
          <t>연배당</t>
        </is>
      </c>
      <c r="S147" s="97" t="n">
        <v>1</v>
      </c>
      <c r="T147" s="74" t="n">
        <v>1</v>
      </c>
      <c r="U147" s="78" t="n">
        <v>0.033</v>
      </c>
      <c r="V147" s="78" t="n">
        <v>0.0259</v>
      </c>
      <c r="W147" s="78" t="n">
        <v>0.0174</v>
      </c>
      <c r="X147" s="78" t="n">
        <v>0.009399999999999999</v>
      </c>
      <c r="Y147" s="96" t="inlineStr">
        <is>
          <t>20250922~20261002</t>
        </is>
      </c>
      <c r="Z147" s="96" t="inlineStr"/>
      <c r="AA147">
        <f>IF(AND($J147&lt;&gt;"",OR(조회_주기="전체",$R147=조회_주기),$J147&gt;=조회_최소,$J147&lt;=조회_최대),1,0)</f>
        <v/>
      </c>
      <c r="AB147">
        <f>IF($AA147=1,$AB146+1,$AB146)</f>
        <v/>
      </c>
      <c r="AC147">
        <f>IF(검색어="",1,IF(ISNUMBER(SEARCH(검색어,$A147)),1,0))</f>
        <v/>
      </c>
      <c r="AD147">
        <f>IF($AC147=1,$AD146+1,$AD146)</f>
        <v/>
      </c>
      <c r="AE147">
        <f>IFERROR(INDEX($A$4:$A$594,MATCH(144,$AD$4:$AD$594,0)),"")</f>
        <v/>
      </c>
    </row>
    <row r="148">
      <c r="A148" s="96" t="inlineStr">
        <is>
          <t>TIGER KOFR금리액티브(합성)</t>
        </is>
      </c>
      <c r="B148" s="96" t="inlineStr">
        <is>
          <t>449170</t>
        </is>
      </c>
      <c r="C148" s="96" t="inlineStr">
        <is>
          <t>미래에셋자산운용</t>
        </is>
      </c>
      <c r="D148" s="97" t="n">
        <v>112060</v>
      </c>
      <c r="E148" s="97" t="n">
        <v>2387102120000</v>
      </c>
      <c r="F148" s="97" t="n">
        <v>7941401244</v>
      </c>
      <c r="G148" s="74" t="n">
        <v>0.0003</v>
      </c>
      <c r="H148" s="74" t="n">
        <v>0.0064</v>
      </c>
      <c r="I148" s="74" t="n">
        <v>0.0062</v>
      </c>
      <c r="J148" s="74" t="n">
        <v>0.006068</v>
      </c>
      <c r="K148" s="97" t="n">
        <v>1</v>
      </c>
      <c r="L148" s="98" t="inlineStr">
        <is>
          <t>20251127</t>
        </is>
      </c>
      <c r="M148" s="96" t="inlineStr">
        <is>
          <t>채택</t>
        </is>
      </c>
      <c r="N148" s="96" t="inlineStr"/>
      <c r="O148" s="96" t="inlineStr">
        <is>
          <t>KOFR 인덱스</t>
        </is>
      </c>
      <c r="P148" s="96" t="inlineStr">
        <is>
          <t>일반</t>
        </is>
      </c>
      <c r="Q148" s="96" t="inlineStr">
        <is>
          <t>단기자금(파킹형)</t>
        </is>
      </c>
      <c r="R148" s="96" t="inlineStr">
        <is>
          <t>연배당</t>
        </is>
      </c>
      <c r="S148" s="97" t="n">
        <v>1</v>
      </c>
      <c r="T148" s="74" t="n">
        <v>1</v>
      </c>
      <c r="U148" s="78" t="n">
        <v>0.0269</v>
      </c>
      <c r="V148" s="78" t="n">
        <v>0.0207</v>
      </c>
      <c r="W148" s="78" t="n">
        <v>0.0133</v>
      </c>
      <c r="X148" s="78" t="n">
        <v>0.006999999999999999</v>
      </c>
      <c r="Y148" s="96" t="inlineStr">
        <is>
          <t>20250922~20261002</t>
        </is>
      </c>
      <c r="Z148" s="96" t="inlineStr"/>
      <c r="AA148">
        <f>IF(AND($J148&lt;&gt;"",OR(조회_주기="전체",$R148=조회_주기),$J148&gt;=조회_최소,$J148&lt;=조회_최대),1,0)</f>
        <v/>
      </c>
      <c r="AB148">
        <f>IF($AA148=1,$AB147+1,$AB147)</f>
        <v/>
      </c>
      <c r="AC148">
        <f>IF(검색어="",1,IF(ISNUMBER(SEARCH(검색어,$A148)),1,0))</f>
        <v/>
      </c>
      <c r="AD148">
        <f>IF($AC148=1,$AD147+1,$AD147)</f>
        <v/>
      </c>
      <c r="AE148">
        <f>IFERROR(INDEX($A$4:$A$594,MATCH(145,$AD$4:$AD$594,0)),"")</f>
        <v/>
      </c>
    </row>
    <row r="149">
      <c r="A149" s="96" t="inlineStr">
        <is>
          <t>RISE 미국나스닥100</t>
        </is>
      </c>
      <c r="B149" s="96" t="inlineStr">
        <is>
          <t>368590</t>
        </is>
      </c>
      <c r="C149" s="96" t="inlineStr">
        <is>
          <t>KB자산운용</t>
        </is>
      </c>
      <c r="D149" s="97" t="n">
        <v>30515</v>
      </c>
      <c r="E149" s="97" t="n">
        <v>1632552500000</v>
      </c>
      <c r="F149" s="97" t="n">
        <v>7643802246</v>
      </c>
      <c r="G149" s="74" t="n">
        <v>6.2e-05</v>
      </c>
      <c r="H149" s="74" t="n">
        <v>0.2069</v>
      </c>
      <c r="I149" s="74" t="n">
        <v>0.0014</v>
      </c>
      <c r="J149" s="74" t="n">
        <v>0.005932</v>
      </c>
      <c r="K149" s="97" t="n">
        <v>19</v>
      </c>
      <c r="L149" s="98" t="inlineStr">
        <is>
          <t>20260929</t>
        </is>
      </c>
      <c r="M149" s="96" t="inlineStr">
        <is>
          <t>채택</t>
        </is>
      </c>
      <c r="N149" s="96" t="inlineStr"/>
      <c r="O149" s="96" t="inlineStr">
        <is>
          <t>나스닥 100</t>
        </is>
      </c>
      <c r="P149" s="96" t="inlineStr">
        <is>
          <t>일반</t>
        </is>
      </c>
      <c r="Q149" s="96" t="inlineStr">
        <is>
          <t>주식</t>
        </is>
      </c>
      <c r="R149" s="96" t="inlineStr">
        <is>
          <t>분기배당</t>
        </is>
      </c>
      <c r="S149" s="97" t="n">
        <v>4</v>
      </c>
      <c r="T149" s="74" t="n">
        <v>1</v>
      </c>
      <c r="U149" s="78" t="n">
        <v>0.2049</v>
      </c>
      <c r="V149" s="78" t="n">
        <v>0.1978</v>
      </c>
      <c r="W149" s="78" t="n">
        <v>0.1378</v>
      </c>
      <c r="X149" s="78" t="n">
        <v>-0.0796</v>
      </c>
      <c r="Y149" s="96" t="inlineStr">
        <is>
          <t>20250922~20261002</t>
        </is>
      </c>
      <c r="Z149" s="96" t="inlineStr"/>
      <c r="AA149">
        <f>IF(AND($J149&lt;&gt;"",OR(조회_주기="전체",$R149=조회_주기),$J149&gt;=조회_최소,$J149&lt;=조회_최대),1,0)</f>
        <v/>
      </c>
      <c r="AB149">
        <f>IF($AA149=1,$AB148+1,$AB148)</f>
        <v/>
      </c>
      <c r="AC149">
        <f>IF(검색어="",1,IF(ISNUMBER(SEARCH(검색어,$A149)),1,0))</f>
        <v/>
      </c>
      <c r="AD149">
        <f>IF($AC149=1,$AD148+1,$AD148)</f>
        <v/>
      </c>
      <c r="AE149">
        <f>IFERROR(INDEX($A$4:$A$594,MATCH(146,$AD$4:$AD$594,0)),"")</f>
        <v/>
      </c>
    </row>
    <row r="150">
      <c r="A150" s="96" t="inlineStr">
        <is>
          <t>TIGER 미국30년국채스트립액티브(합성 H)</t>
        </is>
      </c>
      <c r="B150" s="96" t="inlineStr">
        <is>
          <t>458250</t>
        </is>
      </c>
      <c r="C150" s="96" t="inlineStr">
        <is>
          <t>미래에셋자산운용</t>
        </is>
      </c>
      <c r="D150" s="97" t="n">
        <v>31550</v>
      </c>
      <c r="E150" s="97" t="n">
        <v>347870300000</v>
      </c>
      <c r="F150" s="97" t="n">
        <v>2761851101</v>
      </c>
      <c r="G150" s="74" t="n">
        <v>0.0015</v>
      </c>
      <c r="H150" s="74" t="n">
        <v>0.1603</v>
      </c>
      <c r="I150" s="74" t="n">
        <v>0.004699999999999999</v>
      </c>
      <c r="J150" s="74" t="n">
        <v>0.005927</v>
      </c>
      <c r="K150" s="97" t="n">
        <v>1</v>
      </c>
      <c r="L150" s="98" t="inlineStr">
        <is>
          <t>20251127</t>
        </is>
      </c>
      <c r="M150" s="96" t="inlineStr">
        <is>
          <t>채택</t>
        </is>
      </c>
      <c r="N150" s="96" t="inlineStr"/>
      <c r="O150" s="96" t="inlineStr">
        <is>
          <t>ICE BofA Long US Treasury Principal STRIPS Index</t>
        </is>
      </c>
      <c r="P150" s="96" t="inlineStr">
        <is>
          <t>일반</t>
        </is>
      </c>
      <c r="Q150" s="96" t="inlineStr">
        <is>
          <t>채권</t>
        </is>
      </c>
      <c r="R150" s="96" t="inlineStr">
        <is>
          <t>연배당</t>
        </is>
      </c>
      <c r="S150" s="97" t="n">
        <v>1</v>
      </c>
      <c r="T150" s="74" t="n">
        <v>0</v>
      </c>
      <c r="U150" s="78" t="n">
        <v>-0.1867</v>
      </c>
      <c r="V150" s="78" t="n">
        <v>-0.1915</v>
      </c>
      <c r="W150" s="78" t="n">
        <v>-0.1585</v>
      </c>
      <c r="X150" s="78" t="n">
        <v>-0.1448</v>
      </c>
      <c r="Y150" s="96" t="inlineStr">
        <is>
          <t>20250922~20261002</t>
        </is>
      </c>
      <c r="Z150" s="96" t="inlineStr"/>
      <c r="AA150">
        <f>IF(AND($J150&lt;&gt;"",OR(조회_주기="전체",$R150=조회_주기),$J150&gt;=조회_최소,$J150&lt;=조회_최대),1,0)</f>
        <v/>
      </c>
      <c r="AB150">
        <f>IF($AA150=1,$AB149+1,$AB149)</f>
        <v/>
      </c>
      <c r="AC150">
        <f>IF(검색어="",1,IF(ISNUMBER(SEARCH(검색어,$A150)),1,0))</f>
        <v/>
      </c>
      <c r="AD150">
        <f>IF($AC150=1,$AD149+1,$AD149)</f>
        <v/>
      </c>
      <c r="AE150">
        <f>IFERROR(INDEX($A$4:$A$594,MATCH(147,$AD$4:$AD$594,0)),"")</f>
        <v/>
      </c>
    </row>
    <row r="151">
      <c r="A151" s="96" t="inlineStr">
        <is>
          <t>TIGER CD1년금리액티브(합성)</t>
        </is>
      </c>
      <c r="B151" s="96" t="inlineStr">
        <is>
          <t>475630</t>
        </is>
      </c>
      <c r="C151" s="96" t="inlineStr">
        <is>
          <t>미래에셋자산운용</t>
        </is>
      </c>
      <c r="D151" s="97" t="n">
        <v>1079240</v>
      </c>
      <c r="E151" s="97" t="n">
        <v>1332753476000</v>
      </c>
      <c r="F151" s="97" t="n">
        <v>60853646724</v>
      </c>
      <c r="G151" s="74" t="n">
        <v>9.8e-05</v>
      </c>
      <c r="H151" s="74" t="n">
        <v>0.006</v>
      </c>
      <c r="I151" s="74" t="n">
        <v>0.0058</v>
      </c>
      <c r="J151" s="74" t="n">
        <v>0.005683000000000001</v>
      </c>
      <c r="K151" s="97" t="n">
        <v>1</v>
      </c>
      <c r="L151" s="98" t="inlineStr">
        <is>
          <t>20251127</t>
        </is>
      </c>
      <c r="M151" s="96" t="inlineStr">
        <is>
          <t>채택</t>
        </is>
      </c>
      <c r="N151" s="96" t="inlineStr"/>
      <c r="O151" s="96" t="inlineStr">
        <is>
          <t>KIS CD 1Y 총수익지수</t>
        </is>
      </c>
      <c r="P151" s="96" t="inlineStr">
        <is>
          <t>일반</t>
        </is>
      </c>
      <c r="Q151" s="96" t="inlineStr">
        <is>
          <t>단기자금(파킹형)</t>
        </is>
      </c>
      <c r="R151" s="96" t="inlineStr">
        <is>
          <t>연배당</t>
        </is>
      </c>
      <c r="S151" s="97" t="n">
        <v>1</v>
      </c>
      <c r="T151" s="74" t="n">
        <v>1</v>
      </c>
      <c r="U151" s="78" t="n">
        <v>0.0301</v>
      </c>
      <c r="V151" s="78" t="n">
        <v>0.0242</v>
      </c>
      <c r="W151" s="78" t="n">
        <v>0.0153</v>
      </c>
      <c r="X151" s="78" t="n">
        <v>0.008</v>
      </c>
      <c r="Y151" s="96" t="inlineStr">
        <is>
          <t>20250922~20261002</t>
        </is>
      </c>
      <c r="Z151" s="96" t="inlineStr"/>
      <c r="AA151">
        <f>IF(AND($J151&lt;&gt;"",OR(조회_주기="전체",$R151=조회_주기),$J151&gt;=조회_최소,$J151&lt;=조회_최대),1,0)</f>
        <v/>
      </c>
      <c r="AB151">
        <f>IF($AA151=1,$AB150+1,$AB150)</f>
        <v/>
      </c>
      <c r="AC151">
        <f>IF(검색어="",1,IF(ISNUMBER(SEARCH(검색어,$A151)),1,0))</f>
        <v/>
      </c>
      <c r="AD151">
        <f>IF($AC151=1,$AD150+1,$AD150)</f>
        <v/>
      </c>
      <c r="AE151">
        <f>IFERROR(INDEX($A$4:$A$594,MATCH(148,$AD$4:$AD$594,0)),"")</f>
        <v/>
      </c>
    </row>
    <row r="152">
      <c r="A152" s="96" t="inlineStr">
        <is>
          <t>TIGER 미국채10년선물</t>
        </is>
      </c>
      <c r="B152" s="96" t="inlineStr">
        <is>
          <t>305080</t>
        </is>
      </c>
      <c r="C152" s="96" t="inlineStr">
        <is>
          <t>미래에셋자산운용</t>
        </is>
      </c>
      <c r="D152" s="97" t="n">
        <v>11675</v>
      </c>
      <c r="E152" s="97" t="n">
        <v>211317500000</v>
      </c>
      <c r="F152" s="97" t="n">
        <v>950105471</v>
      </c>
      <c r="G152" s="74" t="n">
        <v>0.0029</v>
      </c>
      <c r="H152" s="74" t="n">
        <v>0.1094</v>
      </c>
      <c r="I152" s="74" t="n">
        <v>0.0048</v>
      </c>
      <c r="J152" s="74" t="n">
        <v>0.005567</v>
      </c>
      <c r="K152" s="97" t="n">
        <v>1</v>
      </c>
      <c r="L152" s="98" t="inlineStr">
        <is>
          <t>20251127</t>
        </is>
      </c>
      <c r="M152" s="96" t="inlineStr">
        <is>
          <t>채택</t>
        </is>
      </c>
      <c r="N152" s="96" t="inlineStr"/>
      <c r="O152" s="96" t="inlineStr">
        <is>
          <t>S&amp;P 10-Year U.S. Treasury Note Futures Excess Return Index</t>
        </is>
      </c>
      <c r="P152" s="96" t="inlineStr">
        <is>
          <t>일반</t>
        </is>
      </c>
      <c r="Q152" s="96" t="inlineStr">
        <is>
          <t>채권</t>
        </is>
      </c>
      <c r="R152" s="96" t="inlineStr">
        <is>
          <t>연배당</t>
        </is>
      </c>
      <c r="S152" s="97" t="n">
        <v>1</v>
      </c>
      <c r="T152" s="74" t="n">
        <v>1</v>
      </c>
      <c r="U152" s="78" t="n">
        <v>-0.07679999999999999</v>
      </c>
      <c r="V152" s="78" t="n">
        <v>-0.08199999999999999</v>
      </c>
      <c r="W152" s="78" t="n">
        <v>-0.1442</v>
      </c>
      <c r="X152" s="78" t="n">
        <v>-0.1507</v>
      </c>
      <c r="Y152" s="96" t="inlineStr">
        <is>
          <t>20250922~20261002</t>
        </is>
      </c>
      <c r="Z152" s="96" t="inlineStr"/>
      <c r="AA152">
        <f>IF(AND($J152&lt;&gt;"",OR(조회_주기="전체",$R152=조회_주기),$J152&gt;=조회_최소,$J152&lt;=조회_최대),1,0)</f>
        <v/>
      </c>
      <c r="AB152">
        <f>IF($AA152=1,$AB151+1,$AB151)</f>
        <v/>
      </c>
      <c r="AC152">
        <f>IF(검색어="",1,IF(ISNUMBER(SEARCH(검색어,$A152)),1,0))</f>
        <v/>
      </c>
      <c r="AD152">
        <f>IF($AC152=1,$AD151+1,$AD151)</f>
        <v/>
      </c>
      <c r="AE152">
        <f>IFERROR(INDEX($A$4:$A$594,MATCH(149,$AD$4:$AD$594,0)),"")</f>
        <v/>
      </c>
    </row>
    <row r="153">
      <c r="A153" s="96" t="inlineStr">
        <is>
          <t>KODEX 골드선물(H)</t>
        </is>
      </c>
      <c r="B153" s="96" t="inlineStr">
        <is>
          <t>132030</t>
        </is>
      </c>
      <c r="C153" s="96" t="inlineStr">
        <is>
          <t>삼성자산운용(ETF)</t>
        </is>
      </c>
      <c r="D153" s="97" t="n">
        <v>23440</v>
      </c>
      <c r="E153" s="97" t="n">
        <v>344568000000</v>
      </c>
      <c r="F153" s="97" t="n">
        <v>2981235188</v>
      </c>
      <c r="G153" s="74" t="n">
        <v>0.0068</v>
      </c>
      <c r="H153" s="74" t="n">
        <v>0.2919</v>
      </c>
      <c r="I153" s="74" t="n">
        <v>0.0049</v>
      </c>
      <c r="J153" s="74" t="n">
        <v>0.005546</v>
      </c>
      <c r="K153" s="97" t="n">
        <v>1</v>
      </c>
      <c r="L153" s="98" t="inlineStr">
        <is>
          <t>20251229</t>
        </is>
      </c>
      <c r="M153" s="96" t="inlineStr">
        <is>
          <t>채택</t>
        </is>
      </c>
      <c r="N153" s="96" t="inlineStr"/>
      <c r="O153" s="96" t="inlineStr">
        <is>
          <t>S&amp;P GSCI Gold Index TR CME</t>
        </is>
      </c>
      <c r="P153" s="96" t="inlineStr">
        <is>
          <t>일반</t>
        </is>
      </c>
      <c r="Q153" s="96" t="inlineStr">
        <is>
          <t>원자재</t>
        </is>
      </c>
      <c r="R153" s="96" t="inlineStr">
        <is>
          <t>연배당</t>
        </is>
      </c>
      <c r="S153" s="97" t="n">
        <v>1</v>
      </c>
      <c r="T153" s="74" t="n">
        <v>1</v>
      </c>
      <c r="U153" s="78" t="n">
        <v>0.08900000000000001</v>
      </c>
      <c r="V153" s="78" t="n">
        <v>0.083</v>
      </c>
      <c r="W153" s="78" t="n">
        <v>-0.1168</v>
      </c>
      <c r="X153" s="78" t="n">
        <v>0.0083</v>
      </c>
      <c r="Y153" s="96" t="inlineStr">
        <is>
          <t>20250922~20261002</t>
        </is>
      </c>
      <c r="Z153" s="96" t="inlineStr"/>
      <c r="AA153">
        <f>IF(AND($J153&lt;&gt;"",OR(조회_주기="전체",$R153=조회_주기),$J153&gt;=조회_최소,$J153&lt;=조회_최대),1,0)</f>
        <v/>
      </c>
      <c r="AB153">
        <f>IF($AA153=1,$AB152+1,$AB152)</f>
        <v/>
      </c>
      <c r="AC153">
        <f>IF(검색어="",1,IF(ISNUMBER(SEARCH(검색어,$A153)),1,0))</f>
        <v/>
      </c>
      <c r="AD153">
        <f>IF($AC153=1,$AD152+1,$AD152)</f>
        <v/>
      </c>
      <c r="AE153">
        <f>IFERROR(INDEX($A$4:$A$594,MATCH(150,$AD$4:$AD$594,0)),"")</f>
        <v/>
      </c>
    </row>
    <row r="154">
      <c r="A154" s="96" t="inlineStr">
        <is>
          <t>TIGER 국채3년</t>
        </is>
      </c>
      <c r="B154" s="96" t="inlineStr">
        <is>
          <t>114820</t>
        </is>
      </c>
      <c r="C154" s="96" t="inlineStr">
        <is>
          <t>미래에셋자산운용</t>
        </is>
      </c>
      <c r="D154" s="97" t="n">
        <v>105300</v>
      </c>
      <c r="E154" s="97" t="n">
        <v>117936000000</v>
      </c>
      <c r="F154" s="97" t="n">
        <v>937984515</v>
      </c>
      <c r="G154" s="74" t="n">
        <v>0.0015</v>
      </c>
      <c r="H154" s="74" t="n">
        <v>0.0228</v>
      </c>
      <c r="I154" s="74" t="n">
        <v>0.0052</v>
      </c>
      <c r="J154" s="74" t="n">
        <v>0.005252</v>
      </c>
      <c r="K154" s="97" t="n">
        <v>17</v>
      </c>
      <c r="L154" s="98" t="inlineStr">
        <is>
          <t>20251127</t>
        </is>
      </c>
      <c r="M154" s="96" t="inlineStr">
        <is>
          <t>채택</t>
        </is>
      </c>
      <c r="N154" s="96" t="inlineStr"/>
      <c r="O154" s="96" t="inlineStr">
        <is>
          <t>KTB Index</t>
        </is>
      </c>
      <c r="P154" s="96" t="inlineStr">
        <is>
          <t>일반</t>
        </is>
      </c>
      <c r="Q154" s="96" t="inlineStr">
        <is>
          <t>채권</t>
        </is>
      </c>
      <c r="R154" s="96" t="inlineStr">
        <is>
          <t>연배당</t>
        </is>
      </c>
      <c r="S154" s="97" t="n">
        <v>1</v>
      </c>
      <c r="T154" s="74" t="n">
        <v>1</v>
      </c>
      <c r="U154" s="78" t="n">
        <v>-0.0061</v>
      </c>
      <c r="V154" s="78" t="n">
        <v>-0.0113</v>
      </c>
      <c r="W154" s="78" t="n">
        <v>0.005600000000000001</v>
      </c>
      <c r="X154" s="78" t="n">
        <v>0.0054</v>
      </c>
      <c r="Y154" s="96" t="inlineStr">
        <is>
          <t>20250922~20261002</t>
        </is>
      </c>
      <c r="Z154" s="96" t="inlineStr"/>
      <c r="AA154">
        <f>IF(AND($J154&lt;&gt;"",OR(조회_주기="전체",$R154=조회_주기),$J154&gt;=조회_최소,$J154&lt;=조회_최대),1,0)</f>
        <v/>
      </c>
      <c r="AB154">
        <f>IF($AA154=1,$AB153+1,$AB153)</f>
        <v/>
      </c>
      <c r="AC154">
        <f>IF(검색어="",1,IF(ISNUMBER(SEARCH(검색어,$A154)),1,0))</f>
        <v/>
      </c>
      <c r="AD154">
        <f>IF($AC154=1,$AD153+1,$AD153)</f>
        <v/>
      </c>
      <c r="AE154">
        <f>IFERROR(INDEX($A$4:$A$594,MATCH(151,$AD$4:$AD$594,0)),"")</f>
        <v/>
      </c>
    </row>
    <row r="155">
      <c r="A155" s="96" t="inlineStr">
        <is>
          <t>KODEX 미국나스닥100(H)</t>
        </is>
      </c>
      <c r="B155" s="96" t="inlineStr">
        <is>
          <t>449190</t>
        </is>
      </c>
      <c r="C155" s="96" t="inlineStr">
        <is>
          <t>삼성자산운용(ETF)</t>
        </is>
      </c>
      <c r="D155" s="97" t="n">
        <v>23035</v>
      </c>
      <c r="E155" s="97" t="n">
        <v>563205750000</v>
      </c>
      <c r="F155" s="97" t="n">
        <v>5845304637</v>
      </c>
      <c r="G155" s="74" t="n">
        <v>9.900000000000001e-05</v>
      </c>
      <c r="H155" s="74" t="n">
        <v>0.2014</v>
      </c>
      <c r="I155" s="74" t="n">
        <v>0.0016</v>
      </c>
      <c r="J155" s="74" t="n">
        <v>0.005123</v>
      </c>
      <c r="K155" s="97" t="n">
        <v>14</v>
      </c>
      <c r="L155" s="98" t="inlineStr">
        <is>
          <t>20260730</t>
        </is>
      </c>
      <c r="M155" s="96" t="inlineStr">
        <is>
          <t>채택</t>
        </is>
      </c>
      <c r="N155" s="96" t="inlineStr"/>
      <c r="O155" s="96" t="inlineStr">
        <is>
          <t>나스닥 100</t>
        </is>
      </c>
      <c r="P155" s="96" t="inlineStr">
        <is>
          <t>일반</t>
        </is>
      </c>
      <c r="Q155" s="96" t="inlineStr">
        <is>
          <t>주식</t>
        </is>
      </c>
      <c r="R155" s="96" t="inlineStr">
        <is>
          <t>분기배당</t>
        </is>
      </c>
      <c r="S155" s="97" t="n">
        <v>3</v>
      </c>
      <c r="T155" s="74" t="n">
        <v>1</v>
      </c>
      <c r="U155" s="78" t="n">
        <v>0.2141</v>
      </c>
      <c r="V155" s="78" t="n">
        <v>0.2079</v>
      </c>
      <c r="W155" s="78" t="n">
        <v>0.2551</v>
      </c>
      <c r="X155" s="78" t="n">
        <v>0.0354</v>
      </c>
      <c r="Y155" s="96" t="inlineStr">
        <is>
          <t>20250922~20261002</t>
        </is>
      </c>
      <c r="Z155" s="96" t="inlineStr"/>
      <c r="AA155">
        <f>IF(AND($J155&lt;&gt;"",OR(조회_주기="전체",$R155=조회_주기),$J155&gt;=조회_최소,$J155&lt;=조회_최대),1,0)</f>
        <v/>
      </c>
      <c r="AB155">
        <f>IF($AA155=1,$AB154+1,$AB154)</f>
        <v/>
      </c>
      <c r="AC155">
        <f>IF(검색어="",1,IF(ISNUMBER(SEARCH(검색어,$A155)),1,0))</f>
        <v/>
      </c>
      <c r="AD155">
        <f>IF($AC155=1,$AD154+1,$AD154)</f>
        <v/>
      </c>
      <c r="AE155">
        <f>IFERROR(INDEX($A$4:$A$594,MATCH(152,$AD$4:$AD$594,0)),"")</f>
        <v/>
      </c>
    </row>
    <row r="156">
      <c r="A156" s="96" t="inlineStr">
        <is>
          <t>TIGER 미국나스닥100</t>
        </is>
      </c>
      <c r="B156" s="96" t="inlineStr">
        <is>
          <t>133690</t>
        </is>
      </c>
      <c r="C156" s="96" t="inlineStr">
        <is>
          <t>미래에셋자산운용</t>
        </is>
      </c>
      <c r="D156" s="97" t="n">
        <v>183055</v>
      </c>
      <c r="E156" s="97" t="n">
        <v>12085291100000</v>
      </c>
      <c r="F156" s="97" t="n">
        <v>594360533440</v>
      </c>
      <c r="G156" s="74" t="n">
        <v>6.8e-05</v>
      </c>
      <c r="H156" s="74" t="n">
        <v>0.2071</v>
      </c>
      <c r="I156" s="74" t="n">
        <v>0.0014</v>
      </c>
      <c r="J156" s="74" t="n">
        <v>0.005119</v>
      </c>
      <c r="K156" s="97" t="n">
        <v>20</v>
      </c>
      <c r="L156" s="98" t="inlineStr">
        <is>
          <t>20260730</t>
        </is>
      </c>
      <c r="M156" s="96" t="inlineStr">
        <is>
          <t>채택</t>
        </is>
      </c>
      <c r="N156" s="96" t="inlineStr"/>
      <c r="O156" s="96" t="inlineStr">
        <is>
          <t>나스닥 100</t>
        </is>
      </c>
      <c r="P156" s="96" t="inlineStr">
        <is>
          <t>일반</t>
        </is>
      </c>
      <c r="Q156" s="96" t="inlineStr">
        <is>
          <t>주식</t>
        </is>
      </c>
      <c r="R156" s="96" t="inlineStr">
        <is>
          <t>분기배당</t>
        </is>
      </c>
      <c r="S156" s="97" t="n">
        <v>3</v>
      </c>
      <c r="T156" s="74" t="n">
        <v>1</v>
      </c>
      <c r="U156" s="78" t="n">
        <v>0.2047</v>
      </c>
      <c r="V156" s="78" t="n">
        <v>0.1985</v>
      </c>
      <c r="W156" s="78" t="n">
        <v>0.1369</v>
      </c>
      <c r="X156" s="78" t="n">
        <v>-0.0799</v>
      </c>
      <c r="Y156" s="96" t="inlineStr">
        <is>
          <t>20250922~20261002</t>
        </is>
      </c>
      <c r="Z156" s="96" t="inlineStr"/>
      <c r="AA156">
        <f>IF(AND($J156&lt;&gt;"",OR(조회_주기="전체",$R156=조회_주기),$J156&gt;=조회_최소,$J156&lt;=조회_최대),1,0)</f>
        <v/>
      </c>
      <c r="AB156">
        <f>IF($AA156=1,$AB155+1,$AB155)</f>
        <v/>
      </c>
      <c r="AC156">
        <f>IF(검색어="",1,IF(ISNUMBER(SEARCH(검색어,$A156)),1,0))</f>
        <v/>
      </c>
      <c r="AD156">
        <f>IF($AC156=1,$AD155+1,$AD155)</f>
        <v/>
      </c>
      <c r="AE156">
        <f>IFERROR(INDEX($A$4:$A$594,MATCH(153,$AD$4:$AD$594,0)),"")</f>
        <v/>
      </c>
    </row>
    <row r="157">
      <c r="A157" s="96" t="inlineStr">
        <is>
          <t>ACE 미국나스닥100</t>
        </is>
      </c>
      <c r="B157" s="96" t="inlineStr">
        <is>
          <t>367380</t>
        </is>
      </c>
      <c r="C157" s="96" t="inlineStr">
        <is>
          <t>한국투신운용(ETF)</t>
        </is>
      </c>
      <c r="D157" s="97" t="n">
        <v>31500</v>
      </c>
      <c r="E157" s="97" t="n">
        <v>3581550000000</v>
      </c>
      <c r="F157" s="97" t="n">
        <v>20476896745</v>
      </c>
      <c r="G157" s="74" t="n">
        <v>6.2e-05</v>
      </c>
      <c r="H157" s="74" t="n">
        <v>0.207</v>
      </c>
      <c r="I157" s="74" t="n">
        <v>0.0015</v>
      </c>
      <c r="J157" s="74" t="n">
        <v>0.005111</v>
      </c>
      <c r="K157" s="97" t="n">
        <v>20</v>
      </c>
      <c r="L157" s="98" t="inlineStr">
        <is>
          <t>20260730</t>
        </is>
      </c>
      <c r="M157" s="96" t="inlineStr">
        <is>
          <t>채택</t>
        </is>
      </c>
      <c r="N157" s="96" t="inlineStr"/>
      <c r="O157" s="96" t="inlineStr">
        <is>
          <t>나스닥 100</t>
        </is>
      </c>
      <c r="P157" s="96" t="inlineStr">
        <is>
          <t>일반</t>
        </is>
      </c>
      <c r="Q157" s="96" t="inlineStr">
        <is>
          <t>주식</t>
        </is>
      </c>
      <c r="R157" s="96" t="inlineStr">
        <is>
          <t>분기배당</t>
        </is>
      </c>
      <c r="S157" s="97" t="n">
        <v>3</v>
      </c>
      <c r="T157" s="74" t="n">
        <v>1</v>
      </c>
      <c r="U157" s="78" t="n">
        <v>0.2043</v>
      </c>
      <c r="V157" s="78" t="n">
        <v>0.1982</v>
      </c>
      <c r="W157" s="78" t="n">
        <v>0.1366</v>
      </c>
      <c r="X157" s="78" t="n">
        <v>-0.0799</v>
      </c>
      <c r="Y157" s="96" t="inlineStr">
        <is>
          <t>20250922~20261002</t>
        </is>
      </c>
      <c r="Z157" s="96" t="inlineStr"/>
      <c r="AA157">
        <f>IF(AND($J157&lt;&gt;"",OR(조회_주기="전체",$R157=조회_주기),$J157&gt;=조회_최소,$J157&lt;=조회_최대),1,0)</f>
        <v/>
      </c>
      <c r="AB157">
        <f>IF($AA157=1,$AB156+1,$AB156)</f>
        <v/>
      </c>
      <c r="AC157">
        <f>IF(검색어="",1,IF(ISNUMBER(SEARCH(검색어,$A157)),1,0))</f>
        <v/>
      </c>
      <c r="AD157">
        <f>IF($AC157=1,$AD156+1,$AD156)</f>
        <v/>
      </c>
      <c r="AE157">
        <f>IFERROR(INDEX($A$4:$A$594,MATCH(154,$AD$4:$AD$594,0)),"")</f>
        <v/>
      </c>
    </row>
    <row r="158">
      <c r="A158" s="96" t="inlineStr">
        <is>
          <t>1Q 미국나스닥100</t>
        </is>
      </c>
      <c r="B158" s="96" t="inlineStr">
        <is>
          <t>0069M0</t>
        </is>
      </c>
      <c r="C158" s="96" t="inlineStr">
        <is>
          <t>하나자산운용</t>
        </is>
      </c>
      <c r="D158" s="97" t="n">
        <v>13685</v>
      </c>
      <c r="E158" s="97" t="n">
        <v>198432500000</v>
      </c>
      <c r="F158" s="97" t="n">
        <v>2068063835</v>
      </c>
      <c r="G158" s="74" t="n">
        <v>5.5e-05</v>
      </c>
      <c r="H158" s="74" t="n">
        <v>0.2065</v>
      </c>
      <c r="I158" s="74" t="n">
        <v>0.0011</v>
      </c>
      <c r="J158" s="74" t="n">
        <v>0.004896</v>
      </c>
      <c r="K158" s="97" t="n">
        <v>5</v>
      </c>
      <c r="L158" s="98" t="inlineStr">
        <is>
          <t>20260914</t>
        </is>
      </c>
      <c r="M158" s="96" t="inlineStr">
        <is>
          <t>채택</t>
        </is>
      </c>
      <c r="N158" s="96" t="inlineStr"/>
      <c r="O158" s="96" t="inlineStr">
        <is>
          <t>나스닥 100</t>
        </is>
      </c>
      <c r="P158" s="96" t="inlineStr">
        <is>
          <t>일반</t>
        </is>
      </c>
      <c r="Q158" s="96" t="inlineStr">
        <is>
          <t>주식</t>
        </is>
      </c>
      <c r="R158" s="96" t="inlineStr">
        <is>
          <t>분기배당</t>
        </is>
      </c>
      <c r="S158" s="97" t="n">
        <v>4</v>
      </c>
      <c r="T158" s="74" t="n">
        <v>1</v>
      </c>
      <c r="U158" s="78" t="n">
        <v>0.1993</v>
      </c>
      <c r="V158" s="78" t="n">
        <v>0.1934</v>
      </c>
      <c r="W158" s="78" t="n">
        <v>0.1355</v>
      </c>
      <c r="X158" s="78" t="n">
        <v>-0.07969999999999999</v>
      </c>
      <c r="Y158" s="96" t="inlineStr">
        <is>
          <t>20250922~20261002</t>
        </is>
      </c>
      <c r="Z158" s="96" t="inlineStr"/>
      <c r="AA158">
        <f>IF(AND($J158&lt;&gt;"",OR(조회_주기="전체",$R158=조회_주기),$J158&gt;=조회_최소,$J158&lt;=조회_최대),1,0)</f>
        <v/>
      </c>
      <c r="AB158">
        <f>IF($AA158=1,$AB157+1,$AB157)</f>
        <v/>
      </c>
      <c r="AC158">
        <f>IF(검색어="",1,IF(ISNUMBER(SEARCH(검색어,$A158)),1,0))</f>
        <v/>
      </c>
      <c r="AD158">
        <f>IF($AC158=1,$AD157+1,$AD157)</f>
        <v/>
      </c>
      <c r="AE158">
        <f>IFERROR(INDEX($A$4:$A$594,MATCH(155,$AD$4:$AD$594,0)),"")</f>
        <v/>
      </c>
    </row>
    <row r="159">
      <c r="A159" s="96" t="inlineStr">
        <is>
          <t>TIME 글로벌우주테크&amp;방산액티브</t>
        </is>
      </c>
      <c r="B159" s="96" t="inlineStr">
        <is>
          <t>478150</t>
        </is>
      </c>
      <c r="C159" s="96" t="inlineStr">
        <is>
          <t>타임폴리오자산운용</t>
        </is>
      </c>
      <c r="D159" s="97" t="n">
        <v>17450</v>
      </c>
      <c r="E159" s="97" t="n">
        <v>210272500000</v>
      </c>
      <c r="F159" s="97" t="n">
        <v>1723258250</v>
      </c>
      <c r="G159" s="74" t="n">
        <v>0.008</v>
      </c>
      <c r="H159" s="74" t="n">
        <v>0.2708</v>
      </c>
      <c r="I159" s="74" t="n">
        <v>0.0042</v>
      </c>
      <c r="J159" s="74" t="n">
        <v>0.004870999999999999</v>
      </c>
      <c r="K159" s="97" t="n">
        <v>1</v>
      </c>
      <c r="L159" s="98" t="inlineStr">
        <is>
          <t>20251229</t>
        </is>
      </c>
      <c r="M159" s="96" t="inlineStr">
        <is>
          <t>채택</t>
        </is>
      </c>
      <c r="N159" s="96" t="inlineStr"/>
      <c r="O159" s="96" t="inlineStr">
        <is>
          <t>Solactive Aerospace and Defense USD Index PR</t>
        </is>
      </c>
      <c r="P159" s="96" t="inlineStr">
        <is>
          <t>일반</t>
        </is>
      </c>
      <c r="Q159" s="96" t="inlineStr">
        <is>
          <t>주식</t>
        </is>
      </c>
      <c r="R159" s="96" t="inlineStr">
        <is>
          <t>연배당</t>
        </is>
      </c>
      <c r="S159" s="97" t="n">
        <v>1</v>
      </c>
      <c r="T159" s="74" t="n">
        <v>1</v>
      </c>
      <c r="U159" s="78" t="n">
        <v>-0.07769999999999999</v>
      </c>
      <c r="V159" s="78" t="n">
        <v>-0.08210000000000001</v>
      </c>
      <c r="W159" s="78" t="n">
        <v>-0.2214</v>
      </c>
      <c r="X159" s="78" t="n">
        <v>-0.2572</v>
      </c>
      <c r="Y159" s="96" t="inlineStr">
        <is>
          <t>20250922~20261002</t>
        </is>
      </c>
      <c r="Z159" s="96" t="inlineStr"/>
      <c r="AA159">
        <f>IF(AND($J159&lt;&gt;"",OR(조회_주기="전체",$R159=조회_주기),$J159&gt;=조회_최소,$J159&lt;=조회_최대),1,0)</f>
        <v/>
      </c>
      <c r="AB159">
        <f>IF($AA159=1,$AB158+1,$AB158)</f>
        <v/>
      </c>
      <c r="AC159">
        <f>IF(검색어="",1,IF(ISNUMBER(SEARCH(검색어,$A159)),1,0))</f>
        <v/>
      </c>
      <c r="AD159">
        <f>IF($AC159=1,$AD158+1,$AD158)</f>
        <v/>
      </c>
      <c r="AE159">
        <f>IFERROR(INDEX($A$4:$A$594,MATCH(156,$AD$4:$AD$594,0)),"")</f>
        <v/>
      </c>
    </row>
    <row r="160">
      <c r="A160" s="96" t="inlineStr">
        <is>
          <t>TIGER 미국나스닥100(H)</t>
        </is>
      </c>
      <c r="B160" s="96" t="inlineStr">
        <is>
          <t>448300</t>
        </is>
      </c>
      <c r="C160" s="96" t="inlineStr">
        <is>
          <t>미래에셋자산운용</t>
        </is>
      </c>
      <c r="D160" s="97" t="n">
        <v>23760</v>
      </c>
      <c r="E160" s="97" t="n">
        <v>422928000000</v>
      </c>
      <c r="F160" s="97" t="n">
        <v>2527051366</v>
      </c>
      <c r="G160" s="74" t="n">
        <v>0.0007000000000000001</v>
      </c>
      <c r="H160" s="74" t="n">
        <v>0.2008</v>
      </c>
      <c r="I160" s="74" t="n">
        <v>0.0014</v>
      </c>
      <c r="J160" s="74" t="n">
        <v>0.004798</v>
      </c>
      <c r="K160" s="97" t="n">
        <v>6</v>
      </c>
      <c r="L160" s="98" t="inlineStr">
        <is>
          <t>20260730</t>
        </is>
      </c>
      <c r="M160" s="96" t="inlineStr">
        <is>
          <t>채택</t>
        </is>
      </c>
      <c r="N160" s="96" t="inlineStr"/>
      <c r="O160" s="96" t="inlineStr">
        <is>
          <t>나스닥 100</t>
        </is>
      </c>
      <c r="P160" s="96" t="inlineStr">
        <is>
          <t>일반</t>
        </is>
      </c>
      <c r="Q160" s="96" t="inlineStr">
        <is>
          <t>주식</t>
        </is>
      </c>
      <c r="R160" s="96" t="inlineStr">
        <is>
          <t>분기배당</t>
        </is>
      </c>
      <c r="S160" s="97" t="n">
        <v>3</v>
      </c>
      <c r="T160" s="74" t="n">
        <v>1</v>
      </c>
      <c r="U160" s="78" t="n">
        <v>0.2137</v>
      </c>
      <c r="V160" s="78" t="n">
        <v>0.2078</v>
      </c>
      <c r="W160" s="78" t="n">
        <v>0.2538</v>
      </c>
      <c r="X160" s="78" t="n">
        <v>0.0339</v>
      </c>
      <c r="Y160" s="96" t="inlineStr">
        <is>
          <t>20250922~20261002</t>
        </is>
      </c>
      <c r="Z160" s="96" t="inlineStr"/>
      <c r="AA160">
        <f>IF(AND($J160&lt;&gt;"",OR(조회_주기="전체",$R160=조회_주기),$J160&gt;=조회_최소,$J160&lt;=조회_최대),1,0)</f>
        <v/>
      </c>
      <c r="AB160">
        <f>IF($AA160=1,$AB159+1,$AB159)</f>
        <v/>
      </c>
      <c r="AC160">
        <f>IF(검색어="",1,IF(ISNUMBER(SEARCH(검색어,$A160)),1,0))</f>
        <v/>
      </c>
      <c r="AD160">
        <f>IF($AC160=1,$AD159+1,$AD159)</f>
        <v/>
      </c>
      <c r="AE160">
        <f>IFERROR(INDEX($A$4:$A$594,MATCH(157,$AD$4:$AD$594,0)),"")</f>
        <v/>
      </c>
    </row>
    <row r="161">
      <c r="A161" s="96" t="inlineStr">
        <is>
          <t>TIGER 미국나스닥바이오</t>
        </is>
      </c>
      <c r="B161" s="96" t="inlineStr">
        <is>
          <t>203780</t>
        </is>
      </c>
      <c r="C161" s="96" t="inlineStr">
        <is>
          <t>미래에셋자산운용</t>
        </is>
      </c>
      <c r="D161" s="97" t="n">
        <v>34310</v>
      </c>
      <c r="E161" s="97" t="n">
        <v>104302400000</v>
      </c>
      <c r="F161" s="97" t="n">
        <v>1007473963</v>
      </c>
      <c r="G161" s="74" t="n">
        <v>0.003</v>
      </c>
      <c r="H161" s="74" t="n">
        <v>0.22</v>
      </c>
      <c r="I161" s="74" t="n">
        <v>0.0052</v>
      </c>
      <c r="J161" s="74" t="n">
        <v>0.004663</v>
      </c>
      <c r="K161" s="97" t="n">
        <v>5</v>
      </c>
      <c r="L161" s="98" t="inlineStr">
        <is>
          <t>20251229</t>
        </is>
      </c>
      <c r="M161" s="96" t="inlineStr">
        <is>
          <t>채택</t>
        </is>
      </c>
      <c r="N161" s="96" t="inlineStr"/>
      <c r="O161" s="96" t="inlineStr">
        <is>
          <t>나스닥 생명과학</t>
        </is>
      </c>
      <c r="P161" s="96" t="inlineStr">
        <is>
          <t>일반</t>
        </is>
      </c>
      <c r="Q161" s="96" t="inlineStr">
        <is>
          <t>주식</t>
        </is>
      </c>
      <c r="R161" s="96" t="inlineStr">
        <is>
          <t>연배당</t>
        </is>
      </c>
      <c r="S161" s="97" t="n">
        <v>1</v>
      </c>
      <c r="T161" s="74" t="n">
        <v>1</v>
      </c>
      <c r="U161" s="78" t="n">
        <v>0.3945</v>
      </c>
      <c r="V161" s="78" t="n">
        <v>0.388</v>
      </c>
      <c r="W161" s="78" t="n">
        <v>0.0659</v>
      </c>
      <c r="X161" s="78" t="n">
        <v>-0.08869999999999999</v>
      </c>
      <c r="Y161" s="96" t="inlineStr">
        <is>
          <t>20250922~20261002</t>
        </is>
      </c>
      <c r="Z161" s="96" t="inlineStr"/>
      <c r="AA161">
        <f>IF(AND($J161&lt;&gt;"",OR(조회_주기="전체",$R161=조회_주기),$J161&gt;=조회_최소,$J161&lt;=조회_최대),1,0)</f>
        <v/>
      </c>
      <c r="AB161">
        <f>IF($AA161=1,$AB160+1,$AB160)</f>
        <v/>
      </c>
      <c r="AC161">
        <f>IF(검색어="",1,IF(ISNUMBER(SEARCH(검색어,$A161)),1,0))</f>
        <v/>
      </c>
      <c r="AD161">
        <f>IF($AC161=1,$AD160+1,$AD160)</f>
        <v/>
      </c>
      <c r="AE161">
        <f>IFERROR(INDEX($A$4:$A$594,MATCH(158,$AD$4:$AD$594,0)),"")</f>
        <v/>
      </c>
    </row>
    <row r="162">
      <c r="A162" s="96" t="inlineStr">
        <is>
          <t>KODEX 미국빅테크10(H)</t>
        </is>
      </c>
      <c r="B162" s="96" t="inlineStr">
        <is>
          <t>314250</t>
        </is>
      </c>
      <c r="C162" s="96" t="inlineStr">
        <is>
          <t>삼성자산운용(ETF)</t>
        </is>
      </c>
      <c r="D162" s="97" t="n">
        <v>64245</v>
      </c>
      <c r="E162" s="97" t="n">
        <v>668148000000</v>
      </c>
      <c r="F162" s="97" t="n">
        <v>3509883411</v>
      </c>
      <c r="G162" s="74" t="n">
        <v>0.004500000000000001</v>
      </c>
      <c r="H162" s="74" t="n">
        <v>0.231</v>
      </c>
      <c r="I162" s="74" t="n">
        <v>0.0013</v>
      </c>
      <c r="J162" s="74" t="n">
        <v>0.004436</v>
      </c>
      <c r="K162" s="97" t="n">
        <v>4</v>
      </c>
      <c r="L162" s="98" t="inlineStr">
        <is>
          <t>20260730</t>
        </is>
      </c>
      <c r="M162" s="96" t="inlineStr">
        <is>
          <t>채택</t>
        </is>
      </c>
      <c r="N162" s="96" t="inlineStr"/>
      <c r="O162" s="96" t="inlineStr">
        <is>
          <t>NYSE FANG+TM Index</t>
        </is>
      </c>
      <c r="P162" s="96" t="inlineStr">
        <is>
          <t>일반</t>
        </is>
      </c>
      <c r="Q162" s="96" t="inlineStr">
        <is>
          <t>주식</t>
        </is>
      </c>
      <c r="R162" s="96" t="inlineStr">
        <is>
          <t>분기배당</t>
        </is>
      </c>
      <c r="S162" s="97" t="n">
        <v>3</v>
      </c>
      <c r="T162" s="74" t="n">
        <v>1</v>
      </c>
      <c r="U162" s="78" t="n">
        <v>0.1255</v>
      </c>
      <c r="V162" s="78" t="n">
        <v>0.1206</v>
      </c>
      <c r="W162" s="78" t="n">
        <v>0.332</v>
      </c>
      <c r="X162" s="78" t="n">
        <v>0.1106</v>
      </c>
      <c r="Y162" s="96" t="inlineStr">
        <is>
          <t>20250922~20261002</t>
        </is>
      </c>
      <c r="Z162" s="96" t="inlineStr"/>
      <c r="AA162">
        <f>IF(AND($J162&lt;&gt;"",OR(조회_주기="전체",$R162=조회_주기),$J162&gt;=조회_최소,$J162&lt;=조회_최대),1,0)</f>
        <v/>
      </c>
      <c r="AB162">
        <f>IF($AA162=1,$AB161+1,$AB161)</f>
        <v/>
      </c>
      <c r="AC162">
        <f>IF(검색어="",1,IF(ISNUMBER(SEARCH(검색어,$A162)),1,0))</f>
        <v/>
      </c>
      <c r="AD162">
        <f>IF($AC162=1,$AD161+1,$AD161)</f>
        <v/>
      </c>
      <c r="AE162">
        <f>IFERROR(INDEX($A$4:$A$594,MATCH(159,$AD$4:$AD$594,0)),"")</f>
        <v/>
      </c>
    </row>
    <row r="163">
      <c r="A163" s="96" t="inlineStr">
        <is>
          <t>KODEX 미국S&amp;P500테크놀로지</t>
        </is>
      </c>
      <c r="B163" s="96" t="inlineStr">
        <is>
          <t>463680</t>
        </is>
      </c>
      <c r="C163" s="96" t="inlineStr">
        <is>
          <t>삼성자산운용(ETF)</t>
        </is>
      </c>
      <c r="D163" s="97" t="n">
        <v>23000</v>
      </c>
      <c r="E163" s="97" t="n">
        <v>132250000000</v>
      </c>
      <c r="F163" s="97" t="n">
        <v>855323502</v>
      </c>
      <c r="G163" s="74" t="n">
        <v>0.0025</v>
      </c>
      <c r="H163" s="74" t="n">
        <v>0.266</v>
      </c>
      <c r="I163" s="74" t="n">
        <v>0.0011</v>
      </c>
      <c r="J163" s="74" t="n">
        <v>0.004435</v>
      </c>
      <c r="K163" s="97" t="n">
        <v>12</v>
      </c>
      <c r="L163" s="98" t="inlineStr">
        <is>
          <t>20260730</t>
        </is>
      </c>
      <c r="M163" s="96" t="inlineStr">
        <is>
          <t>채택</t>
        </is>
      </c>
      <c r="N163" s="96" t="inlineStr"/>
      <c r="O163" s="96" t="inlineStr">
        <is>
          <t>Technology Select Sector Index</t>
        </is>
      </c>
      <c r="P163" s="96" t="inlineStr">
        <is>
          <t>일반</t>
        </is>
      </c>
      <c r="Q163" s="96" t="inlineStr">
        <is>
          <t>주식</t>
        </is>
      </c>
      <c r="R163" s="96" t="inlineStr">
        <is>
          <t>분기배당</t>
        </is>
      </c>
      <c r="S163" s="97" t="n">
        <v>3</v>
      </c>
      <c r="T163" s="74" t="n">
        <v>1</v>
      </c>
      <c r="U163" s="78" t="n">
        <v>0.3719</v>
      </c>
      <c r="V163" s="78" t="n">
        <v>0.3659000000000001</v>
      </c>
      <c r="W163" s="78" t="n">
        <v>0.3048</v>
      </c>
      <c r="X163" s="78" t="n">
        <v>-0.0279</v>
      </c>
      <c r="Y163" s="96" t="inlineStr">
        <is>
          <t>20250922~20261002</t>
        </is>
      </c>
      <c r="Z163" s="96" t="inlineStr"/>
      <c r="AA163">
        <f>IF(AND($J163&lt;&gt;"",OR(조회_주기="전체",$R163=조회_주기),$J163&gt;=조회_최소,$J163&lt;=조회_최대),1,0)</f>
        <v/>
      </c>
      <c r="AB163">
        <f>IF($AA163=1,$AB162+1,$AB162)</f>
        <v/>
      </c>
      <c r="AC163">
        <f>IF(검색어="",1,IF(ISNUMBER(SEARCH(검색어,$A163)),1,0))</f>
        <v/>
      </c>
      <c r="AD163">
        <f>IF($AC163=1,$AD162+1,$AD162)</f>
        <v/>
      </c>
      <c r="AE163">
        <f>IFERROR(INDEX($A$4:$A$594,MATCH(160,$AD$4:$AD$594,0)),"")</f>
        <v/>
      </c>
    </row>
    <row r="164">
      <c r="A164" s="96" t="inlineStr">
        <is>
          <t>SOL 미국나스닥100</t>
        </is>
      </c>
      <c r="B164" s="96" t="inlineStr">
        <is>
          <t>476030</t>
        </is>
      </c>
      <c r="C164" s="96" t="inlineStr">
        <is>
          <t>신한자산운용</t>
        </is>
      </c>
      <c r="D164" s="97" t="n">
        <v>17355</v>
      </c>
      <c r="E164" s="97" t="n">
        <v>137104500000</v>
      </c>
      <c r="F164" s="97" t="n">
        <v>1198470055</v>
      </c>
      <c r="G164" s="74" t="n">
        <v>5.5e-05</v>
      </c>
      <c r="H164" s="74" t="n">
        <v>0.2067</v>
      </c>
      <c r="I164" s="74" t="n">
        <v>0.001</v>
      </c>
      <c r="J164" s="74" t="n">
        <v>0.004379</v>
      </c>
      <c r="K164" s="97" t="n">
        <v>9</v>
      </c>
      <c r="L164" s="98" t="inlineStr">
        <is>
          <t>20260730</t>
        </is>
      </c>
      <c r="M164" s="96" t="inlineStr">
        <is>
          <t>채택</t>
        </is>
      </c>
      <c r="N164" s="96" t="inlineStr"/>
      <c r="O164" s="96" t="inlineStr">
        <is>
          <t>나스닥 100</t>
        </is>
      </c>
      <c r="P164" s="96" t="inlineStr">
        <is>
          <t>일반</t>
        </is>
      </c>
      <c r="Q164" s="96" t="inlineStr">
        <is>
          <t>주식</t>
        </is>
      </c>
      <c r="R164" s="96" t="inlineStr">
        <is>
          <t>분기배당</t>
        </is>
      </c>
      <c r="S164" s="97" t="n">
        <v>3</v>
      </c>
      <c r="T164" s="74" t="n">
        <v>1</v>
      </c>
      <c r="U164" s="78" t="n">
        <v>0.2044</v>
      </c>
      <c r="V164" s="78" t="n">
        <v>0.1991</v>
      </c>
      <c r="W164" s="78" t="n">
        <v>0.1383</v>
      </c>
      <c r="X164" s="78" t="n">
        <v>-0.07870000000000001</v>
      </c>
      <c r="Y164" s="96" t="inlineStr">
        <is>
          <t>20250922~20261002</t>
        </is>
      </c>
      <c r="Z164" s="96" t="inlineStr"/>
      <c r="AA164">
        <f>IF(AND($J164&lt;&gt;"",OR(조회_주기="전체",$R164=조회_주기),$J164&gt;=조회_최소,$J164&lt;=조회_최대),1,0)</f>
        <v/>
      </c>
      <c r="AB164">
        <f>IF($AA164=1,$AB163+1,$AB163)</f>
        <v/>
      </c>
      <c r="AC164">
        <f>IF(검색어="",1,IF(ISNUMBER(SEARCH(검색어,$A164)),1,0))</f>
        <v/>
      </c>
      <c r="AD164">
        <f>IF($AC164=1,$AD163+1,$AD163)</f>
        <v/>
      </c>
      <c r="AE164">
        <f>IFERROR(INDEX($A$4:$A$594,MATCH(161,$AD$4:$AD$594,0)),"")</f>
        <v/>
      </c>
    </row>
    <row r="165">
      <c r="A165" s="96" t="inlineStr">
        <is>
          <t>SOL 미국TOP5채권혼합50</t>
        </is>
      </c>
      <c r="B165" s="96" t="inlineStr">
        <is>
          <t>447620</t>
        </is>
      </c>
      <c r="C165" s="96" t="inlineStr">
        <is>
          <t>신한자산운용</t>
        </is>
      </c>
      <c r="D165" s="97" t="n">
        <v>15885</v>
      </c>
      <c r="E165" s="97" t="n">
        <v>125491500000</v>
      </c>
      <c r="F165" s="97" t="n">
        <v>931427374</v>
      </c>
      <c r="G165" s="74" t="n">
        <v>0.0025</v>
      </c>
      <c r="H165" s="74" t="n">
        <v>0.0964</v>
      </c>
      <c r="I165" s="74" t="n">
        <v>0.004099999999999999</v>
      </c>
      <c r="J165" s="74" t="n">
        <v>0.004092</v>
      </c>
      <c r="K165" s="97" t="n">
        <v>4</v>
      </c>
      <c r="L165" s="98" t="inlineStr">
        <is>
          <t>20260429</t>
        </is>
      </c>
      <c r="M165" s="96" t="inlineStr">
        <is>
          <t>채택</t>
        </is>
      </c>
      <c r="N165" s="96" t="inlineStr"/>
      <c r="O165" s="96" t="inlineStr">
        <is>
          <t>Solactive US Top 5 Balanced 50 Index</t>
        </is>
      </c>
      <c r="P165" s="96" t="inlineStr">
        <is>
          <t>일반</t>
        </is>
      </c>
      <c r="Q165" s="96" t="inlineStr">
        <is>
          <t>멀티에셋</t>
        </is>
      </c>
      <c r="R165" s="96" t="inlineStr">
        <is>
          <t>연배당</t>
        </is>
      </c>
      <c r="S165" s="97" t="n">
        <v>1</v>
      </c>
      <c r="T165" s="74" t="n">
        <v>1</v>
      </c>
      <c r="U165" s="78" t="n">
        <v>0.09720000000000001</v>
      </c>
      <c r="V165" s="78" t="n">
        <v>0.09269999999999999</v>
      </c>
      <c r="W165" s="78" t="n">
        <v>0.068</v>
      </c>
      <c r="X165" s="78" t="n">
        <v>-0.009399999999999999</v>
      </c>
      <c r="Y165" s="96" t="inlineStr">
        <is>
          <t>20250922~20261002</t>
        </is>
      </c>
      <c r="Z165" s="96" t="inlineStr"/>
      <c r="AA165">
        <f>IF(AND($J165&lt;&gt;"",OR(조회_주기="전체",$R165=조회_주기),$J165&gt;=조회_최소,$J165&lt;=조회_최대),1,0)</f>
        <v/>
      </c>
      <c r="AB165">
        <f>IF($AA165=1,$AB164+1,$AB164)</f>
        <v/>
      </c>
      <c r="AC165">
        <f>IF(검색어="",1,IF(ISNUMBER(SEARCH(검색어,$A165)),1,0))</f>
        <v/>
      </c>
      <c r="AD165">
        <f>IF($AC165=1,$AD164+1,$AD164)</f>
        <v/>
      </c>
      <c r="AE165">
        <f>IFERROR(INDEX($A$4:$A$594,MATCH(162,$AD$4:$AD$594,0)),"")</f>
        <v/>
      </c>
    </row>
    <row r="166">
      <c r="A166" s="96" t="inlineStr">
        <is>
          <t>TIGER 우량회사채액티브</t>
        </is>
      </c>
      <c r="B166" s="96" t="inlineStr">
        <is>
          <t>438330</t>
        </is>
      </c>
      <c r="C166" s="96" t="inlineStr">
        <is>
          <t>미래에셋자산운용</t>
        </is>
      </c>
      <c r="D166" s="97" t="n">
        <v>115850</v>
      </c>
      <c r="E166" s="97" t="n">
        <v>468729100000</v>
      </c>
      <c r="F166" s="97" t="n">
        <v>995415404</v>
      </c>
      <c r="G166" s="74" t="n">
        <v>0.001</v>
      </c>
      <c r="H166" s="74" t="n">
        <v>0.0218</v>
      </c>
      <c r="I166" s="74" t="n">
        <v>0.002</v>
      </c>
      <c r="J166" s="74" t="n">
        <v>0.004031</v>
      </c>
      <c r="K166" s="97" t="n">
        <v>8</v>
      </c>
      <c r="L166" s="98" t="inlineStr">
        <is>
          <t>20251127</t>
        </is>
      </c>
      <c r="M166" s="96" t="inlineStr">
        <is>
          <t>채택</t>
        </is>
      </c>
      <c r="N166" s="96" t="inlineStr"/>
      <c r="O166" s="96" t="inlineStr">
        <is>
          <t>KIS 투자등급회사채 지수</t>
        </is>
      </c>
      <c r="P166" s="96" t="inlineStr">
        <is>
          <t>일반</t>
        </is>
      </c>
      <c r="Q166" s="96" t="inlineStr">
        <is>
          <t>채권</t>
        </is>
      </c>
      <c r="R166" s="96" t="inlineStr">
        <is>
          <t>연배당</t>
        </is>
      </c>
      <c r="S166" s="97" t="n">
        <v>1</v>
      </c>
      <c r="T166" s="74" t="n">
        <v>1</v>
      </c>
      <c r="U166" s="78" t="n">
        <v>-0.0123</v>
      </c>
      <c r="V166" s="78" t="n">
        <v>-0.0163</v>
      </c>
      <c r="W166" s="78" t="n">
        <v>0.0075</v>
      </c>
      <c r="X166" s="78" t="n">
        <v>0.007900000000000001</v>
      </c>
      <c r="Y166" s="96" t="inlineStr">
        <is>
          <t>20250922~20261002</t>
        </is>
      </c>
      <c r="Z166" s="96" t="inlineStr"/>
      <c r="AA166">
        <f>IF(AND($J166&lt;&gt;"",OR(조회_주기="전체",$R166=조회_주기),$J166&gt;=조회_최소,$J166&lt;=조회_최대),1,0)</f>
        <v/>
      </c>
      <c r="AB166">
        <f>IF($AA166=1,$AB165+1,$AB165)</f>
        <v/>
      </c>
      <c r="AC166">
        <f>IF(검색어="",1,IF(ISNUMBER(SEARCH(검색어,$A166)),1,0))</f>
        <v/>
      </c>
      <c r="AD166">
        <f>IF($AC166=1,$AD165+1,$AD165)</f>
        <v/>
      </c>
      <c r="AE166">
        <f>IFERROR(INDEX($A$4:$A$594,MATCH(163,$AD$4:$AD$594,0)),"")</f>
        <v/>
      </c>
    </row>
    <row r="167">
      <c r="A167" s="96" t="inlineStr">
        <is>
          <t>KODEX 미국AI테크TOP10</t>
        </is>
      </c>
      <c r="B167" s="96" t="inlineStr">
        <is>
          <t>485540</t>
        </is>
      </c>
      <c r="C167" s="96" t="inlineStr">
        <is>
          <t>삼성자산운용(ETF)</t>
        </is>
      </c>
      <c r="D167" s="97" t="n">
        <v>15470</v>
      </c>
      <c r="E167" s="97" t="n">
        <v>310173500000</v>
      </c>
      <c r="F167" s="97" t="n">
        <v>3813728280</v>
      </c>
      <c r="G167" s="74" t="n">
        <v>0.003</v>
      </c>
      <c r="H167" s="74" t="n">
        <v>0.2458</v>
      </c>
      <c r="I167" s="74" t="n">
        <v>0.0013</v>
      </c>
      <c r="J167" s="74" t="n">
        <v>0.003878</v>
      </c>
      <c r="K167" s="97" t="n">
        <v>8</v>
      </c>
      <c r="L167" s="98" t="inlineStr">
        <is>
          <t>20260730</t>
        </is>
      </c>
      <c r="M167" s="96" t="inlineStr">
        <is>
          <t>채택</t>
        </is>
      </c>
      <c r="N167" s="96" t="inlineStr"/>
      <c r="O167" s="96" t="inlineStr">
        <is>
          <t>KEDI US AI Tech Top 10 Index (PR)</t>
        </is>
      </c>
      <c r="P167" s="96" t="inlineStr">
        <is>
          <t>일반</t>
        </is>
      </c>
      <c r="Q167" s="96" t="inlineStr">
        <is>
          <t>주식</t>
        </is>
      </c>
      <c r="R167" s="96" t="inlineStr">
        <is>
          <t>분기배당</t>
        </is>
      </c>
      <c r="S167" s="97" t="n">
        <v>3</v>
      </c>
      <c r="T167" s="74" t="n">
        <v>1</v>
      </c>
      <c r="U167" s="78" t="n">
        <v>0.1235</v>
      </c>
      <c r="V167" s="78" t="n">
        <v>0.1192</v>
      </c>
      <c r="W167" s="78" t="n">
        <v>0.1184</v>
      </c>
      <c r="X167" s="78" t="n">
        <v>-0.0308</v>
      </c>
      <c r="Y167" s="96" t="inlineStr">
        <is>
          <t>20250922~20261002</t>
        </is>
      </c>
      <c r="Z167" s="96" t="inlineStr"/>
      <c r="AA167">
        <f>IF(AND($J167&lt;&gt;"",OR(조회_주기="전체",$R167=조회_주기),$J167&gt;=조회_최소,$J167&lt;=조회_최대),1,0)</f>
        <v/>
      </c>
      <c r="AB167">
        <f>IF($AA167=1,$AB166+1,$AB166)</f>
        <v/>
      </c>
      <c r="AC167">
        <f>IF(검색어="",1,IF(ISNUMBER(SEARCH(검색어,$A167)),1,0))</f>
        <v/>
      </c>
      <c r="AD167">
        <f>IF($AC167=1,$AD166+1,$AD166)</f>
        <v/>
      </c>
      <c r="AE167">
        <f>IFERROR(INDEX($A$4:$A$594,MATCH(164,$AD$4:$AD$594,0)),"")</f>
        <v/>
      </c>
    </row>
    <row r="168">
      <c r="A168" s="96" t="inlineStr">
        <is>
          <t>TIGER 미국테크TOP10채권혼합</t>
        </is>
      </c>
      <c r="B168" s="96" t="inlineStr">
        <is>
          <t>472170</t>
        </is>
      </c>
      <c r="C168" s="96" t="inlineStr">
        <is>
          <t>미래에셋자산운용</t>
        </is>
      </c>
      <c r="D168" s="97" t="n">
        <v>14025</v>
      </c>
      <c r="E168" s="97" t="n">
        <v>340807500000</v>
      </c>
      <c r="F168" s="97" t="n">
        <v>1513520842</v>
      </c>
      <c r="G168" s="74" t="n">
        <v>0.0025</v>
      </c>
      <c r="H168" s="74" t="n">
        <v>0.1053</v>
      </c>
      <c r="I168" s="74" t="n">
        <v>0.0036</v>
      </c>
      <c r="J168" s="74" t="n">
        <v>0.003636</v>
      </c>
      <c r="K168" s="97" t="n">
        <v>3</v>
      </c>
      <c r="L168" s="98" t="inlineStr">
        <is>
          <t>20251127</t>
        </is>
      </c>
      <c r="M168" s="96" t="inlineStr">
        <is>
          <t>채택</t>
        </is>
      </c>
      <c r="N168" s="96" t="inlineStr"/>
      <c r="O168" s="96" t="inlineStr">
        <is>
          <t>FnGuide 미국테크TOP10채권혼합 지수</t>
        </is>
      </c>
      <c r="P168" s="96" t="inlineStr">
        <is>
          <t>일반</t>
        </is>
      </c>
      <c r="Q168" s="96" t="inlineStr">
        <is>
          <t>멀티에셋</t>
        </is>
      </c>
      <c r="R168" s="96" t="inlineStr">
        <is>
          <t>연배당</t>
        </is>
      </c>
      <c r="S168" s="97" t="n">
        <v>1</v>
      </c>
      <c r="T168" s="74" t="n">
        <v>1</v>
      </c>
      <c r="U168" s="78" t="n">
        <v>0.0226</v>
      </c>
      <c r="V168" s="78" t="n">
        <v>0.0189</v>
      </c>
      <c r="W168" s="78" t="n">
        <v>0.0451</v>
      </c>
      <c r="X168" s="78" t="n">
        <v>-0.0152</v>
      </c>
      <c r="Y168" s="96" t="inlineStr">
        <is>
          <t>20250922~20261002</t>
        </is>
      </c>
      <c r="Z168" s="96" t="inlineStr"/>
      <c r="AA168">
        <f>IF(AND($J168&lt;&gt;"",OR(조회_주기="전체",$R168=조회_주기),$J168&gt;=조회_최소,$J168&lt;=조회_최대),1,0)</f>
        <v/>
      </c>
      <c r="AB168">
        <f>IF($AA168=1,$AB167+1,$AB167)</f>
        <v/>
      </c>
      <c r="AC168">
        <f>IF(검색어="",1,IF(ISNUMBER(SEARCH(검색어,$A168)),1,0))</f>
        <v/>
      </c>
      <c r="AD168">
        <f>IF($AC168=1,$AD167+1,$AD167)</f>
        <v/>
      </c>
      <c r="AE168">
        <f>IFERROR(INDEX($A$4:$A$594,MATCH(165,$AD$4:$AD$594,0)),"")</f>
        <v/>
      </c>
    </row>
    <row r="169">
      <c r="A169" s="96" t="inlineStr">
        <is>
          <t>KODEX 미국휴머노이드로봇</t>
        </is>
      </c>
      <c r="B169" s="96" t="inlineStr">
        <is>
          <t>0038A0</t>
        </is>
      </c>
      <c r="C169" s="96" t="inlineStr">
        <is>
          <t>삼성자산운용(ETF)</t>
        </is>
      </c>
      <c r="D169" s="97" t="n">
        <v>15340</v>
      </c>
      <c r="E169" s="97" t="n">
        <v>291460000000</v>
      </c>
      <c r="F169" s="97" t="n">
        <v>1924187408</v>
      </c>
      <c r="G169" s="74" t="n">
        <v>0.004500000000000001</v>
      </c>
      <c r="H169" s="74" t="n">
        <v>0.2901</v>
      </c>
      <c r="I169" s="74" t="n">
        <v>0.001</v>
      </c>
      <c r="J169" s="74" t="n">
        <v>0.003325</v>
      </c>
      <c r="K169" s="97" t="n">
        <v>5</v>
      </c>
      <c r="L169" s="98" t="inlineStr">
        <is>
          <t>20260730</t>
        </is>
      </c>
      <c r="M169" s="96" t="inlineStr">
        <is>
          <t>채택</t>
        </is>
      </c>
      <c r="N169" s="96" t="inlineStr"/>
      <c r="O169" s="96" t="inlineStr">
        <is>
          <t>iSelect U.S. Humanoid Robot Index</t>
        </is>
      </c>
      <c r="P169" s="96" t="inlineStr">
        <is>
          <t>일반</t>
        </is>
      </c>
      <c r="Q169" s="96" t="inlineStr">
        <is>
          <t>주식</t>
        </is>
      </c>
      <c r="R169" s="96" t="inlineStr">
        <is>
          <t>분기배당</t>
        </is>
      </c>
      <c r="S169" s="97" t="n">
        <v>3</v>
      </c>
      <c r="T169" s="74" t="n">
        <v>1</v>
      </c>
      <c r="U169" s="78" t="n">
        <v>0.0575</v>
      </c>
      <c r="V169" s="78" t="n">
        <v>0.05400000000000001</v>
      </c>
      <c r="W169" s="78" t="n">
        <v>-0.0052</v>
      </c>
      <c r="X169" s="78" t="n">
        <v>-0.1329</v>
      </c>
      <c r="Y169" s="96" t="inlineStr">
        <is>
          <t>20250922~20261002</t>
        </is>
      </c>
      <c r="Z169" s="96" t="inlineStr"/>
      <c r="AA169">
        <f>IF(AND($J169&lt;&gt;"",OR(조회_주기="전체",$R169=조회_주기),$J169&gt;=조회_최소,$J169&lt;=조회_최대),1,0)</f>
        <v/>
      </c>
      <c r="AB169">
        <f>IF($AA169=1,$AB168+1,$AB168)</f>
        <v/>
      </c>
      <c r="AC169">
        <f>IF(검색어="",1,IF(ISNUMBER(SEARCH(검색어,$A169)),1,0))</f>
        <v/>
      </c>
      <c r="AD169">
        <f>IF($AC169=1,$AD168+1,$AD168)</f>
        <v/>
      </c>
      <c r="AE169">
        <f>IFERROR(INDEX($A$4:$A$594,MATCH(166,$AD$4:$AD$594,0)),"")</f>
        <v/>
      </c>
    </row>
    <row r="170">
      <c r="A170" s="96" t="inlineStr">
        <is>
          <t>RISE 미국AI밸류체인TOP3Plus</t>
        </is>
      </c>
      <c r="B170" s="96" t="inlineStr">
        <is>
          <t>485690</t>
        </is>
      </c>
      <c r="C170" s="96" t="inlineStr">
        <is>
          <t>KB자산운용</t>
        </is>
      </c>
      <c r="D170" s="97" t="n">
        <v>22885</v>
      </c>
      <c r="E170" s="97" t="n">
        <v>83530250000</v>
      </c>
      <c r="F170" s="97" t="n">
        <v>500009634</v>
      </c>
      <c r="G170" s="74" t="n">
        <v>0.0001</v>
      </c>
      <c r="H170" s="74" t="n">
        <v>0.3346</v>
      </c>
      <c r="I170" s="74" t="n">
        <v>0.0015</v>
      </c>
      <c r="J170" s="74" t="n">
        <v>0.003277</v>
      </c>
      <c r="K170" s="97" t="n">
        <v>2</v>
      </c>
      <c r="L170" s="98" t="inlineStr">
        <is>
          <t>20260730</t>
        </is>
      </c>
      <c r="M170" s="96" t="inlineStr">
        <is>
          <t>채택</t>
        </is>
      </c>
      <c r="N170" s="96" t="inlineStr"/>
      <c r="O170" s="96" t="inlineStr">
        <is>
          <t>KEDI US AI Value Chain TOP3Plus Index</t>
        </is>
      </c>
      <c r="P170" s="96" t="inlineStr">
        <is>
          <t>일반</t>
        </is>
      </c>
      <c r="Q170" s="96" t="inlineStr">
        <is>
          <t>주식</t>
        </is>
      </c>
      <c r="R170" s="96" t="inlineStr">
        <is>
          <t>반기배당</t>
        </is>
      </c>
      <c r="S170" s="97" t="n">
        <v>2</v>
      </c>
      <c r="T170" s="74" t="n">
        <v>1</v>
      </c>
      <c r="U170" s="78" t="n">
        <v>0.3931</v>
      </c>
      <c r="V170" s="78" t="n">
        <v>0.3885</v>
      </c>
      <c r="W170" s="78" t="n">
        <v>0.3037</v>
      </c>
      <c r="X170" s="78" t="n">
        <v>-0.0355</v>
      </c>
      <c r="Y170" s="96" t="inlineStr">
        <is>
          <t>20250922~20261002</t>
        </is>
      </c>
      <c r="Z170" s="96" t="inlineStr"/>
      <c r="AA170">
        <f>IF(AND($J170&lt;&gt;"",OR(조회_주기="전체",$R170=조회_주기),$J170&gt;=조회_최소,$J170&lt;=조회_최대),1,0)</f>
        <v/>
      </c>
      <c r="AB170">
        <f>IF($AA170=1,$AB169+1,$AB169)</f>
        <v/>
      </c>
      <c r="AC170">
        <f>IF(검색어="",1,IF(ISNUMBER(SEARCH(검색어,$A170)),1,0))</f>
        <v/>
      </c>
      <c r="AD170">
        <f>IF($AC170=1,$AD169+1,$AD169)</f>
        <v/>
      </c>
      <c r="AE170">
        <f>IFERROR(INDEX($A$4:$A$594,MATCH(167,$AD$4:$AD$594,0)),"")</f>
        <v/>
      </c>
    </row>
    <row r="171">
      <c r="A171" s="96" t="inlineStr">
        <is>
          <t>ACE 베트남VN30(합성)</t>
        </is>
      </c>
      <c r="B171" s="96" t="inlineStr">
        <is>
          <t>245710</t>
        </is>
      </c>
      <c r="C171" s="96" t="inlineStr">
        <is>
          <t>한국투신운용(ETF)</t>
        </is>
      </c>
      <c r="D171" s="97" t="n">
        <v>27185</v>
      </c>
      <c r="E171" s="97" t="n">
        <v>350686500000</v>
      </c>
      <c r="F171" s="97" t="n">
        <v>771053180</v>
      </c>
      <c r="G171" s="74" t="n">
        <v>0.006999999999999999</v>
      </c>
      <c r="H171" s="74" t="n">
        <v>0.251</v>
      </c>
      <c r="I171" s="74" t="n">
        <v>0.003</v>
      </c>
      <c r="J171" s="74" t="n">
        <v>0.003274</v>
      </c>
      <c r="K171" s="97" t="n">
        <v>1</v>
      </c>
      <c r="L171" s="98" t="inlineStr">
        <is>
          <t>20251229</t>
        </is>
      </c>
      <c r="M171" s="96" t="inlineStr">
        <is>
          <t>채택</t>
        </is>
      </c>
      <c r="N171" s="96" t="inlineStr"/>
      <c r="O171" s="96" t="inlineStr">
        <is>
          <t>베트남 호치민 VN30</t>
        </is>
      </c>
      <c r="P171" s="96" t="inlineStr">
        <is>
          <t>일반</t>
        </is>
      </c>
      <c r="Q171" s="96" t="inlineStr">
        <is>
          <t>주식</t>
        </is>
      </c>
      <c r="R171" s="96" t="inlineStr">
        <is>
          <t>연배당</t>
        </is>
      </c>
      <c r="S171" s="97" t="n">
        <v>1</v>
      </c>
      <c r="T171" s="74" t="n">
        <v>1</v>
      </c>
      <c r="U171" s="78" t="n">
        <v>-0.0049</v>
      </c>
      <c r="V171" s="78" t="n">
        <v>-0.008100000000000001</v>
      </c>
      <c r="W171" s="78" t="n">
        <v>-0.07490000000000001</v>
      </c>
      <c r="X171" s="78" t="n">
        <v>-0.1591</v>
      </c>
      <c r="Y171" s="96" t="inlineStr">
        <is>
          <t>20250922~20261002</t>
        </is>
      </c>
      <c r="Z171" s="96" t="inlineStr"/>
      <c r="AA171">
        <f>IF(AND($J171&lt;&gt;"",OR(조회_주기="전체",$R171=조회_주기),$J171&gt;=조회_최소,$J171&lt;=조회_최대),1,0)</f>
        <v/>
      </c>
      <c r="AB171">
        <f>IF($AA171=1,$AB170+1,$AB170)</f>
        <v/>
      </c>
      <c r="AC171">
        <f>IF(검색어="",1,IF(ISNUMBER(SEARCH(검색어,$A171)),1,0))</f>
        <v/>
      </c>
      <c r="AD171">
        <f>IF($AC171=1,$AD170+1,$AD170)</f>
        <v/>
      </c>
      <c r="AE171">
        <f>IFERROR(INDEX($A$4:$A$594,MATCH(168,$AD$4:$AD$594,0)),"")</f>
        <v/>
      </c>
    </row>
    <row r="172">
      <c r="A172" s="96" t="inlineStr">
        <is>
          <t>TIGER 글로벌AI플랫폼액티브</t>
        </is>
      </c>
      <c r="B172" s="96" t="inlineStr">
        <is>
          <t>412770</t>
        </is>
      </c>
      <c r="C172" s="96" t="inlineStr">
        <is>
          <t>미래에셋자산운용</t>
        </is>
      </c>
      <c r="D172" s="97" t="n">
        <v>12975</v>
      </c>
      <c r="E172" s="97" t="n">
        <v>74217000000</v>
      </c>
      <c r="F172" s="97" t="n">
        <v>1058449667</v>
      </c>
      <c r="G172" s="74" t="n">
        <v>0.007900000000000001</v>
      </c>
      <c r="H172" s="74" t="n">
        <v>0.3398</v>
      </c>
      <c r="I172" s="74" t="n">
        <v>0.0029</v>
      </c>
      <c r="J172" s="74" t="n">
        <v>0.003083</v>
      </c>
      <c r="K172" s="97" t="n">
        <v>1</v>
      </c>
      <c r="L172" s="98" t="inlineStr">
        <is>
          <t>20251229</t>
        </is>
      </c>
      <c r="M172" s="96" t="inlineStr">
        <is>
          <t>채택</t>
        </is>
      </c>
      <c r="N172" s="96" t="inlineStr"/>
      <c r="O172" s="96" t="inlineStr">
        <is>
          <t>Indxx Global Metaverse PR Index</t>
        </is>
      </c>
      <c r="P172" s="96" t="inlineStr">
        <is>
          <t>일반</t>
        </is>
      </c>
      <c r="Q172" s="96" t="inlineStr">
        <is>
          <t>주식</t>
        </is>
      </c>
      <c r="R172" s="96" t="inlineStr">
        <is>
          <t>연배당</t>
        </is>
      </c>
      <c r="S172" s="97" t="n">
        <v>1</v>
      </c>
      <c r="T172" s="74" t="n">
        <v>1</v>
      </c>
      <c r="U172" s="78" t="n">
        <v>-0.1111</v>
      </c>
      <c r="V172" s="78" t="n">
        <v>-0.1139</v>
      </c>
      <c r="W172" s="78" t="n">
        <v>0.079</v>
      </c>
      <c r="X172" s="78" t="n">
        <v>-0.1356</v>
      </c>
      <c r="Y172" s="96" t="inlineStr">
        <is>
          <t>20250922~20261002</t>
        </is>
      </c>
      <c r="Z172" s="96" t="inlineStr"/>
      <c r="AA172">
        <f>IF(AND($J172&lt;&gt;"",OR(조회_주기="전체",$R172=조회_주기),$J172&gt;=조회_최소,$J172&lt;=조회_최대),1,0)</f>
        <v/>
      </c>
      <c r="AB172">
        <f>IF($AA172=1,$AB171+1,$AB171)</f>
        <v/>
      </c>
      <c r="AC172">
        <f>IF(검색어="",1,IF(ISNUMBER(SEARCH(검색어,$A172)),1,0))</f>
        <v/>
      </c>
      <c r="AD172">
        <f>IF($AC172=1,$AD171+1,$AD171)</f>
        <v/>
      </c>
      <c r="AE172">
        <f>IFERROR(INDEX($A$4:$A$594,MATCH(169,$AD$4:$AD$594,0)),"")</f>
        <v/>
      </c>
    </row>
    <row r="173">
      <c r="A173" s="96" t="inlineStr">
        <is>
          <t>RISE 미국휴머노이드로봇</t>
        </is>
      </c>
      <c r="B173" s="96" t="inlineStr">
        <is>
          <t>0036R0</t>
        </is>
      </c>
      <c r="C173" s="96" t="inlineStr">
        <is>
          <t>KB자산운용</t>
        </is>
      </c>
      <c r="D173" s="97" t="n">
        <v>19875</v>
      </c>
      <c r="E173" s="97" t="n">
        <v>111300000000</v>
      </c>
      <c r="F173" s="97" t="n">
        <v>634579437</v>
      </c>
      <c r="G173" s="74" t="n">
        <v>0.004</v>
      </c>
      <c r="H173" s="74" t="n">
        <v>0.2997</v>
      </c>
      <c r="I173" s="74" t="n">
        <v>0.002</v>
      </c>
      <c r="J173" s="74" t="n">
        <v>0.003019</v>
      </c>
      <c r="K173" s="97" t="n">
        <v>2</v>
      </c>
      <c r="L173" s="98" t="inlineStr">
        <is>
          <t>20260730</t>
        </is>
      </c>
      <c r="M173" s="96" t="inlineStr">
        <is>
          <t>채택</t>
        </is>
      </c>
      <c r="N173" s="96" t="inlineStr"/>
      <c r="O173" s="96" t="inlineStr">
        <is>
          <t>KEDI U.S. Humanoid Robot Index (Price Return)</t>
        </is>
      </c>
      <c r="P173" s="96" t="inlineStr">
        <is>
          <t>일반</t>
        </is>
      </c>
      <c r="Q173" s="96" t="inlineStr">
        <is>
          <t>주식</t>
        </is>
      </c>
      <c r="R173" s="96" t="inlineStr">
        <is>
          <t>반기배당</t>
        </is>
      </c>
      <c r="S173" s="97" t="n">
        <v>2</v>
      </c>
      <c r="T173" s="74" t="n">
        <v>1</v>
      </c>
      <c r="U173" s="78" t="n">
        <v>0.4624</v>
      </c>
      <c r="V173" s="78" t="n">
        <v>0.458</v>
      </c>
      <c r="W173" s="78" t="n">
        <v>0.1939</v>
      </c>
      <c r="X173" s="78" t="n">
        <v>-0.1094</v>
      </c>
      <c r="Y173" s="96" t="inlineStr">
        <is>
          <t>20250922~20261002</t>
        </is>
      </c>
      <c r="Z173" s="96" t="inlineStr"/>
      <c r="AA173">
        <f>IF(AND($J173&lt;&gt;"",OR(조회_주기="전체",$R173=조회_주기),$J173&gt;=조회_최소,$J173&lt;=조회_최대),1,0)</f>
        <v/>
      </c>
      <c r="AB173">
        <f>IF($AA173=1,$AB172+1,$AB172)</f>
        <v/>
      </c>
      <c r="AC173">
        <f>IF(검색어="",1,IF(ISNUMBER(SEARCH(검색어,$A173)),1,0))</f>
        <v/>
      </c>
      <c r="AD173">
        <f>IF($AC173=1,$AD172+1,$AD172)</f>
        <v/>
      </c>
      <c r="AE173">
        <f>IFERROR(INDEX($A$4:$A$594,MATCH(170,$AD$4:$AD$594,0)),"")</f>
        <v/>
      </c>
    </row>
    <row r="174">
      <c r="A174" s="96" t="inlineStr">
        <is>
          <t>KODEX 미국테크TOP3플러스</t>
        </is>
      </c>
      <c r="B174" s="96" t="inlineStr">
        <is>
          <t>491090</t>
        </is>
      </c>
      <c r="C174" s="96" t="inlineStr">
        <is>
          <t>삼성자산운용(ETF)</t>
        </is>
      </c>
      <c r="D174" s="97" t="n">
        <v>18215</v>
      </c>
      <c r="E174" s="97" t="n">
        <v>32787000000</v>
      </c>
      <c r="F174" s="97" t="n">
        <v>600282089</v>
      </c>
      <c r="G174" s="74" t="n">
        <v>0.003</v>
      </c>
      <c r="H174" s="74" t="n">
        <v>0.207</v>
      </c>
      <c r="I174" s="74" t="n">
        <v>0.001</v>
      </c>
      <c r="J174" s="74" t="n">
        <v>0.00291</v>
      </c>
      <c r="K174" s="97" t="n">
        <v>6</v>
      </c>
      <c r="L174" s="98" t="inlineStr">
        <is>
          <t>20260730</t>
        </is>
      </c>
      <c r="M174" s="96" t="inlineStr">
        <is>
          <t>채택</t>
        </is>
      </c>
      <c r="N174" s="96" t="inlineStr"/>
      <c r="O174" s="96" t="inlineStr">
        <is>
          <t>KEDI U.S. Tech Trillion-Dollar Companies Focus Index PR</t>
        </is>
      </c>
      <c r="P174" s="96" t="inlineStr">
        <is>
          <t>일반</t>
        </is>
      </c>
      <c r="Q174" s="96" t="inlineStr">
        <is>
          <t>주식</t>
        </is>
      </c>
      <c r="R174" s="96" t="inlineStr">
        <is>
          <t>분기배당</t>
        </is>
      </c>
      <c r="S174" s="97" t="n">
        <v>3</v>
      </c>
      <c r="T174" s="74" t="n">
        <v>1</v>
      </c>
      <c r="U174" s="78" t="n">
        <v>0.2133</v>
      </c>
      <c r="V174" s="78" t="n">
        <v>0.2098</v>
      </c>
      <c r="W174" s="78" t="n">
        <v>0.1587</v>
      </c>
      <c r="X174" s="78" t="n">
        <v>-0.0317</v>
      </c>
      <c r="Y174" s="96" t="inlineStr">
        <is>
          <t>20250922~20261002</t>
        </is>
      </c>
      <c r="Z174" s="96" t="inlineStr"/>
      <c r="AA174">
        <f>IF(AND($J174&lt;&gt;"",OR(조회_주기="전체",$R174=조회_주기),$J174&gt;=조회_최소,$J174&lt;=조회_최대),1,0)</f>
        <v/>
      </c>
      <c r="AB174">
        <f>IF($AA174=1,$AB173+1,$AB173)</f>
        <v/>
      </c>
      <c r="AC174">
        <f>IF(검색어="",1,IF(ISNUMBER(SEARCH(검색어,$A174)),1,0))</f>
        <v/>
      </c>
      <c r="AD174">
        <f>IF($AC174=1,$AD173+1,$AD173)</f>
        <v/>
      </c>
      <c r="AE174">
        <f>IFERROR(INDEX($A$4:$A$594,MATCH(171,$AD$4:$AD$594,0)),"")</f>
        <v/>
      </c>
    </row>
    <row r="175">
      <c r="A175" s="96" t="inlineStr">
        <is>
          <t>KoAct 미국나스닥채권혼합50액티브</t>
        </is>
      </c>
      <c r="B175" s="96" t="inlineStr">
        <is>
          <t>0104H0</t>
        </is>
      </c>
      <c r="C175" s="96" t="inlineStr">
        <is>
          <t>삼성액티브자산(ETF)</t>
        </is>
      </c>
      <c r="D175" s="97" t="n">
        <v>11995</v>
      </c>
      <c r="E175" s="97" t="n">
        <v>146938750000</v>
      </c>
      <c r="F175" s="97" t="n">
        <v>1055283406</v>
      </c>
      <c r="G175" s="74" t="n">
        <v>0.0025</v>
      </c>
      <c r="H175" s="74" t="n">
        <v>0.1942</v>
      </c>
      <c r="I175" s="74" t="n">
        <v>0.0031</v>
      </c>
      <c r="J175" s="74" t="n">
        <v>0.002751</v>
      </c>
      <c r="K175" s="97" t="n">
        <v>1</v>
      </c>
      <c r="L175" s="98" t="inlineStr">
        <is>
          <t>20251229</t>
        </is>
      </c>
      <c r="M175" s="96" t="inlineStr">
        <is>
          <t>채택</t>
        </is>
      </c>
      <c r="N175" s="96" t="inlineStr"/>
      <c r="O175" s="96" t="inlineStr">
        <is>
          <t>FnGuide 미국나스닥 금융채권혼합 지수</t>
        </is>
      </c>
      <c r="P175" s="96" t="inlineStr">
        <is>
          <t>일반</t>
        </is>
      </c>
      <c r="Q175" s="96" t="inlineStr">
        <is>
          <t>멀티에셋</t>
        </is>
      </c>
      <c r="R175" s="96" t="inlineStr">
        <is>
          <t>연배당</t>
        </is>
      </c>
      <c r="S175" s="97" t="n">
        <v>1</v>
      </c>
      <c r="T175" s="74" t="n">
        <v>1</v>
      </c>
      <c r="U175" s="78" t="n">
        <v>0.1985</v>
      </c>
      <c r="V175" s="78" t="n">
        <v>0.1952</v>
      </c>
      <c r="W175" s="78" t="n">
        <v>0.06860000000000001</v>
      </c>
      <c r="X175" s="78" t="n">
        <v>-0.0711</v>
      </c>
      <c r="Y175" s="96" t="inlineStr">
        <is>
          <t>20250930~20261002</t>
        </is>
      </c>
      <c r="Z175" s="96" t="inlineStr"/>
      <c r="AA175">
        <f>IF(AND($J175&lt;&gt;"",OR(조회_주기="전체",$R175=조회_주기),$J175&gt;=조회_최소,$J175&lt;=조회_최대),1,0)</f>
        <v/>
      </c>
      <c r="AB175">
        <f>IF($AA175=1,$AB174+1,$AB174)</f>
        <v/>
      </c>
      <c r="AC175">
        <f>IF(검색어="",1,IF(ISNUMBER(SEARCH(검색어,$A175)),1,0))</f>
        <v/>
      </c>
      <c r="AD175">
        <f>IF($AC175=1,$AD174+1,$AD174)</f>
        <v/>
      </c>
      <c r="AE175">
        <f>IFERROR(INDEX($A$4:$A$594,MATCH(172,$AD$4:$AD$594,0)),"")</f>
        <v/>
      </c>
    </row>
    <row r="176">
      <c r="A176" s="96" t="inlineStr">
        <is>
          <t>TIGER 미국테크TOP10 INDXX</t>
        </is>
      </c>
      <c r="B176" s="96" t="inlineStr">
        <is>
          <t>381170</t>
        </is>
      </c>
      <c r="C176" s="96" t="inlineStr">
        <is>
          <t>미래에셋자산운용</t>
        </is>
      </c>
      <c r="D176" s="97" t="n">
        <v>31325</v>
      </c>
      <c r="E176" s="97" t="n">
        <v>3852975000000</v>
      </c>
      <c r="F176" s="97" t="n">
        <v>24265267838</v>
      </c>
      <c r="G176" s="74" t="n">
        <v>0.0049</v>
      </c>
      <c r="H176" s="74" t="n">
        <v>0.2109</v>
      </c>
      <c r="I176" s="74" t="n">
        <v>0.0025</v>
      </c>
      <c r="J176" s="74" t="n">
        <v>0.002458</v>
      </c>
      <c r="K176" s="97" t="n">
        <v>1</v>
      </c>
      <c r="L176" s="98" t="inlineStr">
        <is>
          <t>20251229</t>
        </is>
      </c>
      <c r="M176" s="96" t="inlineStr">
        <is>
          <t>채택</t>
        </is>
      </c>
      <c r="N176" s="96" t="inlineStr"/>
      <c r="O176" s="96" t="inlineStr">
        <is>
          <t>Indxx US Tech Top10 Index</t>
        </is>
      </c>
      <c r="P176" s="96" t="inlineStr">
        <is>
          <t>일반</t>
        </is>
      </c>
      <c r="Q176" s="96" t="inlineStr">
        <is>
          <t>주식</t>
        </is>
      </c>
      <c r="R176" s="96" t="inlineStr">
        <is>
          <t>연배당</t>
        </is>
      </c>
      <c r="S176" s="97" t="n">
        <v>1</v>
      </c>
      <c r="T176" s="74" t="n">
        <v>1</v>
      </c>
      <c r="U176" s="78" t="n">
        <v>0.09230000000000001</v>
      </c>
      <c r="V176" s="78" t="n">
        <v>0.08960000000000001</v>
      </c>
      <c r="W176" s="78" t="n">
        <v>0.09080000000000001</v>
      </c>
      <c r="X176" s="78" t="n">
        <v>-0.0343</v>
      </c>
      <c r="Y176" s="96" t="inlineStr">
        <is>
          <t>20250922~20261002</t>
        </is>
      </c>
      <c r="Z176" s="96" t="inlineStr"/>
      <c r="AA176">
        <f>IF(AND($J176&lt;&gt;"",OR(조회_주기="전체",$R176=조회_주기),$J176&gt;=조회_최소,$J176&lt;=조회_최대),1,0)</f>
        <v/>
      </c>
      <c r="AB176">
        <f>IF($AA176=1,$AB175+1,$AB175)</f>
        <v/>
      </c>
      <c r="AC176">
        <f>IF(검색어="",1,IF(ISNUMBER(SEARCH(검색어,$A176)),1,0))</f>
        <v/>
      </c>
      <c r="AD176">
        <f>IF($AC176=1,$AD175+1,$AD175)</f>
        <v/>
      </c>
      <c r="AE176">
        <f>IFERROR(INDEX($A$4:$A$594,MATCH(173,$AD$4:$AD$594,0)),"")</f>
        <v/>
      </c>
    </row>
    <row r="177">
      <c r="A177" s="96" t="inlineStr">
        <is>
          <t>KODEX 미국나스닥AI테크액티브</t>
        </is>
      </c>
      <c r="B177" s="96" t="inlineStr">
        <is>
          <t>411420</t>
        </is>
      </c>
      <c r="C177" s="96" t="inlineStr">
        <is>
          <t>삼성자산운용(ETF)</t>
        </is>
      </c>
      <c r="D177" s="97" t="n">
        <v>27290</v>
      </c>
      <c r="E177" s="97" t="n">
        <v>129627500000</v>
      </c>
      <c r="F177" s="97" t="n">
        <v>1252827677</v>
      </c>
      <c r="G177" s="74" t="n">
        <v>0.005</v>
      </c>
      <c r="H177" s="74" t="n">
        <v>0.329</v>
      </c>
      <c r="I177" s="74" t="n">
        <v>0.0014</v>
      </c>
      <c r="J177" s="74" t="n">
        <v>0.002345</v>
      </c>
      <c r="K177" s="97" t="n">
        <v>6</v>
      </c>
      <c r="L177" s="98" t="inlineStr">
        <is>
          <t>20260730</t>
        </is>
      </c>
      <c r="M177" s="96" t="inlineStr">
        <is>
          <t>채택</t>
        </is>
      </c>
      <c r="N177" s="96" t="inlineStr"/>
      <c r="O177" s="96" t="inlineStr">
        <is>
          <t>Nasdaq Yewno Metaverse Index</t>
        </is>
      </c>
      <c r="P177" s="96" t="inlineStr">
        <is>
          <t>일반</t>
        </is>
      </c>
      <c r="Q177" s="96" t="inlineStr">
        <is>
          <t>주식</t>
        </is>
      </c>
      <c r="R177" s="96" t="inlineStr">
        <is>
          <t>분기배당</t>
        </is>
      </c>
      <c r="S177" s="97" t="n">
        <v>3</v>
      </c>
      <c r="T177" s="74" t="n">
        <v>1</v>
      </c>
      <c r="U177" s="78" t="n">
        <v>0.3657</v>
      </c>
      <c r="V177" s="78" t="n">
        <v>0.3624</v>
      </c>
      <c r="W177" s="78" t="n">
        <v>0.1656</v>
      </c>
      <c r="X177" s="78" t="n">
        <v>-0.0517</v>
      </c>
      <c r="Y177" s="96" t="inlineStr">
        <is>
          <t>20250922~20261002</t>
        </is>
      </c>
      <c r="Z177" s="96" t="inlineStr"/>
      <c r="AA177">
        <f>IF(AND($J177&lt;&gt;"",OR(조회_주기="전체",$R177=조회_주기),$J177&gt;=조회_최소,$J177&lt;=조회_최대),1,0)</f>
        <v/>
      </c>
      <c r="AB177">
        <f>IF($AA177=1,$AB176+1,$AB176)</f>
        <v/>
      </c>
      <c r="AC177">
        <f>IF(검색어="",1,IF(ISNUMBER(SEARCH(검색어,$A177)),1,0))</f>
        <v/>
      </c>
      <c r="AD177">
        <f>IF($AC177=1,$AD176+1,$AD176)</f>
        <v/>
      </c>
      <c r="AE177">
        <f>IFERROR(INDEX($A$4:$A$594,MATCH(174,$AD$4:$AD$594,0)),"")</f>
        <v/>
      </c>
    </row>
    <row r="178">
      <c r="A178" s="96" t="inlineStr">
        <is>
          <t>TIGER 미국AI빅테크10</t>
        </is>
      </c>
      <c r="B178" s="96" t="inlineStr">
        <is>
          <t>490090</t>
        </is>
      </c>
      <c r="C178" s="96" t="inlineStr">
        <is>
          <t>미래에셋자산운용</t>
        </is>
      </c>
      <c r="D178" s="97" t="n">
        <v>16000</v>
      </c>
      <c r="E178" s="97" t="n">
        <v>208800000000</v>
      </c>
      <c r="F178" s="97" t="n">
        <v>2525374803</v>
      </c>
      <c r="G178" s="74" t="n">
        <v>0.003</v>
      </c>
      <c r="H178" s="74" t="n">
        <v>0.2152</v>
      </c>
      <c r="I178" s="74" t="n">
        <v>0.0025</v>
      </c>
      <c r="J178" s="74" t="n">
        <v>0.002312</v>
      </c>
      <c r="K178" s="97" t="n">
        <v>1</v>
      </c>
      <c r="L178" s="98" t="inlineStr">
        <is>
          <t>20251229</t>
        </is>
      </c>
      <c r="M178" s="96" t="inlineStr">
        <is>
          <t>채택</t>
        </is>
      </c>
      <c r="N178" s="96" t="inlineStr"/>
      <c r="O178" s="96" t="inlineStr">
        <is>
          <t>KEDI US AI Big Tech 10 Index PR</t>
        </is>
      </c>
      <c r="P178" s="96" t="inlineStr">
        <is>
          <t>일반</t>
        </is>
      </c>
      <c r="Q178" s="96" t="inlineStr">
        <is>
          <t>주식</t>
        </is>
      </c>
      <c r="R178" s="96" t="inlineStr">
        <is>
          <t>연배당</t>
        </is>
      </c>
      <c r="S178" s="97" t="n">
        <v>1</v>
      </c>
      <c r="T178" s="74" t="n">
        <v>1</v>
      </c>
      <c r="U178" s="78" t="n">
        <v>0.1574</v>
      </c>
      <c r="V178" s="78" t="n">
        <v>0.1548</v>
      </c>
      <c r="W178" s="78" t="n">
        <v>0.1191</v>
      </c>
      <c r="X178" s="78" t="n">
        <v>-0.0382</v>
      </c>
      <c r="Y178" s="96" t="inlineStr">
        <is>
          <t>20250922~20261002</t>
        </is>
      </c>
      <c r="Z178" s="96" t="inlineStr"/>
      <c r="AA178">
        <f>IF(AND($J178&lt;&gt;"",OR(조회_주기="전체",$R178=조회_주기),$J178&gt;=조회_최소,$J178&lt;=조회_최대),1,0)</f>
        <v/>
      </c>
      <c r="AB178">
        <f>IF($AA178=1,$AB177+1,$AB177)</f>
        <v/>
      </c>
      <c r="AC178">
        <f>IF(검색어="",1,IF(ISNUMBER(SEARCH(검색어,$A178)),1,0))</f>
        <v/>
      </c>
      <c r="AD178">
        <f>IF($AC178=1,$AD177+1,$AD177)</f>
        <v/>
      </c>
      <c r="AE178">
        <f>IFERROR(INDEX($A$4:$A$594,MATCH(175,$AD$4:$AD$594,0)),"")</f>
        <v/>
      </c>
    </row>
    <row r="179">
      <c r="A179" s="96" t="inlineStr">
        <is>
          <t>TIGER 미국테크TOP10 INDXX(H)</t>
        </is>
      </c>
      <c r="B179" s="96" t="inlineStr">
        <is>
          <t>472160</t>
        </is>
      </c>
      <c r="C179" s="96" t="inlineStr">
        <is>
          <t>미래에셋자산운용</t>
        </is>
      </c>
      <c r="D179" s="97" t="n">
        <v>19505</v>
      </c>
      <c r="E179" s="97" t="n">
        <v>227233250000</v>
      </c>
      <c r="F179" s="97" t="n">
        <v>3762668453</v>
      </c>
      <c r="G179" s="74" t="n">
        <v>0.0049</v>
      </c>
      <c r="H179" s="74" t="n">
        <v>0.2054</v>
      </c>
      <c r="I179" s="74" t="n">
        <v>0.0025</v>
      </c>
      <c r="J179" s="74" t="n">
        <v>0.002307</v>
      </c>
      <c r="K179" s="97" t="n">
        <v>1</v>
      </c>
      <c r="L179" s="98" t="inlineStr">
        <is>
          <t>20251229</t>
        </is>
      </c>
      <c r="M179" s="96" t="inlineStr">
        <is>
          <t>채택</t>
        </is>
      </c>
      <c r="N179" s="96" t="inlineStr"/>
      <c r="O179" s="96" t="inlineStr">
        <is>
          <t>Indxx US Tech Top10 Index</t>
        </is>
      </c>
      <c r="P179" s="96" t="inlineStr">
        <is>
          <t>일반</t>
        </is>
      </c>
      <c r="Q179" s="96" t="inlineStr">
        <is>
          <t>주식</t>
        </is>
      </c>
      <c r="R179" s="96" t="inlineStr">
        <is>
          <t>연배당</t>
        </is>
      </c>
      <c r="S179" s="97" t="n">
        <v>1</v>
      </c>
      <c r="T179" s="74" t="n">
        <v>1</v>
      </c>
      <c r="U179" s="78" t="n">
        <v>0.1</v>
      </c>
      <c r="V179" s="78" t="n">
        <v>0.0975</v>
      </c>
      <c r="W179" s="78" t="n">
        <v>0.2016</v>
      </c>
      <c r="X179" s="78" t="n">
        <v>0.0843</v>
      </c>
      <c r="Y179" s="96" t="inlineStr">
        <is>
          <t>20250922~20261002</t>
        </is>
      </c>
      <c r="Z179" s="96" t="inlineStr"/>
      <c r="AA179">
        <f>IF(AND($J179&lt;&gt;"",OR(조회_주기="전체",$R179=조회_주기),$J179&gt;=조회_최소,$J179&lt;=조회_최대),1,0)</f>
        <v/>
      </c>
      <c r="AB179">
        <f>IF($AA179=1,$AB178+1,$AB178)</f>
        <v/>
      </c>
      <c r="AC179">
        <f>IF(검색어="",1,IF(ISNUMBER(SEARCH(검색어,$A179)),1,0))</f>
        <v/>
      </c>
      <c r="AD179">
        <f>IF($AC179=1,$AD178+1,$AD178)</f>
        <v/>
      </c>
      <c r="AE179">
        <f>IFERROR(INDEX($A$4:$A$594,MATCH(176,$AD$4:$AD$594,0)),"")</f>
        <v/>
      </c>
    </row>
    <row r="180">
      <c r="A180" s="96" t="inlineStr">
        <is>
          <t>SOL 미국테크TOP10</t>
        </is>
      </c>
      <c r="B180" s="96" t="inlineStr">
        <is>
          <t>481190</t>
        </is>
      </c>
      <c r="C180" s="96" t="inlineStr">
        <is>
          <t>신한자산운용</t>
        </is>
      </c>
      <c r="D180" s="97" t="n">
        <v>17030</v>
      </c>
      <c r="E180" s="97" t="n">
        <v>292064500000</v>
      </c>
      <c r="F180" s="97" t="n">
        <v>3578349531</v>
      </c>
      <c r="G180" s="74" t="n">
        <v>0.0005</v>
      </c>
      <c r="H180" s="74" t="n">
        <v>0.2098</v>
      </c>
      <c r="I180" s="74" t="n">
        <v>0.0022</v>
      </c>
      <c r="J180" s="74" t="n">
        <v>0.002231</v>
      </c>
      <c r="K180" s="97" t="n">
        <v>2</v>
      </c>
      <c r="L180" s="98" t="inlineStr">
        <is>
          <t>20260429</t>
        </is>
      </c>
      <c r="M180" s="96" t="inlineStr">
        <is>
          <t>채택</t>
        </is>
      </c>
      <c r="N180" s="96" t="inlineStr"/>
      <c r="O180" s="96" t="inlineStr">
        <is>
          <t>Solactive US Tech Top 10 Custom Index(PR)</t>
        </is>
      </c>
      <c r="P180" s="96" t="inlineStr">
        <is>
          <t>일반</t>
        </is>
      </c>
      <c r="Q180" s="96" t="inlineStr">
        <is>
          <t>주식</t>
        </is>
      </c>
      <c r="R180" s="96" t="inlineStr">
        <is>
          <t>연배당</t>
        </is>
      </c>
      <c r="S180" s="97" t="n">
        <v>1</v>
      </c>
      <c r="T180" s="74" t="n">
        <v>1</v>
      </c>
      <c r="U180" s="78" t="n">
        <v>0.09759999999999999</v>
      </c>
      <c r="V180" s="78" t="n">
        <v>0.0951</v>
      </c>
      <c r="W180" s="78" t="n">
        <v>0.0916</v>
      </c>
      <c r="X180" s="78" t="n">
        <v>-0.0325</v>
      </c>
      <c r="Y180" s="96" t="inlineStr">
        <is>
          <t>20250922~20261002</t>
        </is>
      </c>
      <c r="Z180" s="96" t="inlineStr"/>
      <c r="AA180">
        <f>IF(AND($J180&lt;&gt;"",OR(조회_주기="전체",$R180=조회_주기),$J180&gt;=조회_최소,$J180&lt;=조회_최대),1,0)</f>
        <v/>
      </c>
      <c r="AB180">
        <f>IF($AA180=1,$AB179+1,$AB179)</f>
        <v/>
      </c>
      <c r="AC180">
        <f>IF(검색어="",1,IF(ISNUMBER(SEARCH(검색어,$A180)),1,0))</f>
        <v/>
      </c>
      <c r="AD180">
        <f>IF($AC180=1,$AD179+1,$AD179)</f>
        <v/>
      </c>
      <c r="AE180">
        <f>IFERROR(INDEX($A$4:$A$594,MATCH(177,$AD$4:$AD$594,0)),"")</f>
        <v/>
      </c>
    </row>
    <row r="181">
      <c r="A181" s="96" t="inlineStr">
        <is>
          <t>ACE 미국빅테크TOP7 Plus</t>
        </is>
      </c>
      <c r="B181" s="96" t="inlineStr">
        <is>
          <t>465580</t>
        </is>
      </c>
      <c r="C181" s="96" t="inlineStr">
        <is>
          <t>한국투신운용(ETF)</t>
        </is>
      </c>
      <c r="D181" s="97" t="n">
        <v>24210</v>
      </c>
      <c r="E181" s="97" t="n">
        <v>1223815500000</v>
      </c>
      <c r="F181" s="97" t="n">
        <v>17000508026</v>
      </c>
      <c r="G181" s="74" t="n">
        <v>0.003</v>
      </c>
      <c r="H181" s="74" t="n">
        <v>0.2145</v>
      </c>
      <c r="I181" s="74" t="n">
        <v>0.0024</v>
      </c>
      <c r="J181" s="74" t="n">
        <v>0.00223</v>
      </c>
      <c r="K181" s="97" t="n">
        <v>1</v>
      </c>
      <c r="L181" s="98" t="inlineStr">
        <is>
          <t>20251229</t>
        </is>
      </c>
      <c r="M181" s="96" t="inlineStr">
        <is>
          <t>채택</t>
        </is>
      </c>
      <c r="N181" s="96" t="inlineStr"/>
      <c r="O181" s="96" t="inlineStr">
        <is>
          <t>Solactive US Big Tech Top 7 Plus Index PR</t>
        </is>
      </c>
      <c r="P181" s="96" t="inlineStr">
        <is>
          <t>일반</t>
        </is>
      </c>
      <c r="Q181" s="96" t="inlineStr">
        <is>
          <t>주식</t>
        </is>
      </c>
      <c r="R181" s="96" t="inlineStr">
        <is>
          <t>연배당</t>
        </is>
      </c>
      <c r="S181" s="97" t="n">
        <v>1</v>
      </c>
      <c r="T181" s="74" t="n">
        <v>1</v>
      </c>
      <c r="U181" s="78" t="n">
        <v>0.1421</v>
      </c>
      <c r="V181" s="78" t="n">
        <v>0.1396</v>
      </c>
      <c r="W181" s="78" t="n">
        <v>0.1258</v>
      </c>
      <c r="X181" s="78" t="n">
        <v>-0.0241</v>
      </c>
      <c r="Y181" s="96" t="inlineStr">
        <is>
          <t>20250922~20261002</t>
        </is>
      </c>
      <c r="Z181" s="96" t="inlineStr"/>
      <c r="AA181">
        <f>IF(AND($J181&lt;&gt;"",OR(조회_주기="전체",$R181=조회_주기),$J181&gt;=조회_최소,$J181&lt;=조회_최대),1,0)</f>
        <v/>
      </c>
      <c r="AB181">
        <f>IF($AA181=1,$AB180+1,$AB180)</f>
        <v/>
      </c>
      <c r="AC181">
        <f>IF(검색어="",1,IF(ISNUMBER(SEARCH(검색어,$A181)),1,0))</f>
        <v/>
      </c>
      <c r="AD181">
        <f>IF($AC181=1,$AD180+1,$AD180)</f>
        <v/>
      </c>
      <c r="AE181">
        <f>IFERROR(INDEX($A$4:$A$594,MATCH(178,$AD$4:$AD$594,0)),"")</f>
        <v/>
      </c>
    </row>
    <row r="182">
      <c r="A182" s="96" t="inlineStr">
        <is>
          <t>KODEX 미국서학개미</t>
        </is>
      </c>
      <c r="B182" s="96" t="inlineStr">
        <is>
          <t>473460</t>
        </is>
      </c>
      <c r="C182" s="96" t="inlineStr">
        <is>
          <t>삼성자산운용(ETF)</t>
        </is>
      </c>
      <c r="D182" s="97" t="n">
        <v>24030</v>
      </c>
      <c r="E182" s="97" t="n">
        <v>181426500000</v>
      </c>
      <c r="F182" s="97" t="n">
        <v>1017791050</v>
      </c>
      <c r="G182" s="74" t="n">
        <v>0.0025</v>
      </c>
      <c r="H182" s="74" t="n">
        <v>0.3171</v>
      </c>
      <c r="I182" s="74" t="n">
        <v>0.0007000000000000001</v>
      </c>
      <c r="J182" s="74" t="n">
        <v>0.002164</v>
      </c>
      <c r="K182" s="97" t="n">
        <v>7</v>
      </c>
      <c r="L182" s="98" t="inlineStr">
        <is>
          <t>20260730</t>
        </is>
      </c>
      <c r="M182" s="96" t="inlineStr">
        <is>
          <t>채택</t>
        </is>
      </c>
      <c r="N182" s="96" t="inlineStr"/>
      <c r="O182" s="96" t="inlineStr">
        <is>
          <t>iSelect 서학개미 PR 지수</t>
        </is>
      </c>
      <c r="P182" s="96" t="inlineStr">
        <is>
          <t>일반</t>
        </is>
      </c>
      <c r="Q182" s="96" t="inlineStr">
        <is>
          <t>주식</t>
        </is>
      </c>
      <c r="R182" s="96" t="inlineStr">
        <is>
          <t>분기배당</t>
        </is>
      </c>
      <c r="S182" s="97" t="n">
        <v>3</v>
      </c>
      <c r="T182" s="74" t="n">
        <v>1</v>
      </c>
      <c r="U182" s="78" t="n">
        <v>0.0125</v>
      </c>
      <c r="V182" s="78" t="n">
        <v>0.0103</v>
      </c>
      <c r="W182" s="78" t="n">
        <v>0.1175</v>
      </c>
      <c r="X182" s="78" t="n">
        <v>-0.06909999999999999</v>
      </c>
      <c r="Y182" s="96" t="inlineStr">
        <is>
          <t>20250922~20261002</t>
        </is>
      </c>
      <c r="Z182" s="96" t="inlineStr"/>
      <c r="AA182">
        <f>IF(AND($J182&lt;&gt;"",OR(조회_주기="전체",$R182=조회_주기),$J182&gt;=조회_최소,$J182&lt;=조회_최대),1,0)</f>
        <v/>
      </c>
      <c r="AB182">
        <f>IF($AA182=1,$AB181+1,$AB181)</f>
        <v/>
      </c>
      <c r="AC182">
        <f>IF(검색어="",1,IF(ISNUMBER(SEARCH(검색어,$A182)),1,0))</f>
        <v/>
      </c>
      <c r="AD182">
        <f>IF($AC182=1,$AD181+1,$AD181)</f>
        <v/>
      </c>
      <c r="AE182">
        <f>IFERROR(INDEX($A$4:$A$594,MATCH(179,$AD$4:$AD$594,0)),"")</f>
        <v/>
      </c>
    </row>
    <row r="183">
      <c r="A183" s="96" t="inlineStr">
        <is>
          <t>TIME 미국S&amp;P500액티브</t>
        </is>
      </c>
      <c r="B183" s="96" t="inlineStr">
        <is>
          <t>426020</t>
        </is>
      </c>
      <c r="C183" s="96" t="inlineStr">
        <is>
          <t>타임폴리오자산운용</t>
        </is>
      </c>
      <c r="D183" s="97" t="n">
        <v>31630</v>
      </c>
      <c r="E183" s="97" t="n">
        <v>402333600000</v>
      </c>
      <c r="F183" s="97" t="n">
        <v>2839697907</v>
      </c>
      <c r="G183" s="74" t="n">
        <v>0.008</v>
      </c>
      <c r="H183" s="74" t="n">
        <v>0.2178</v>
      </c>
      <c r="I183" s="74" t="n">
        <v>0.0019</v>
      </c>
      <c r="J183" s="74" t="n">
        <v>0.001707</v>
      </c>
      <c r="K183" s="97" t="n">
        <v>1</v>
      </c>
      <c r="L183" s="98" t="inlineStr">
        <is>
          <t>20251229</t>
        </is>
      </c>
      <c r="M183" s="96" t="inlineStr">
        <is>
          <t>채택</t>
        </is>
      </c>
      <c r="N183" s="96" t="inlineStr"/>
      <c r="O183" s="96" t="inlineStr">
        <is>
          <t>S&amp;P 500</t>
        </is>
      </c>
      <c r="P183" s="96" t="inlineStr">
        <is>
          <t>일반</t>
        </is>
      </c>
      <c r="Q183" s="96" t="inlineStr">
        <is>
          <t>주식</t>
        </is>
      </c>
      <c r="R183" s="96" t="inlineStr">
        <is>
          <t>연배당</t>
        </is>
      </c>
      <c r="S183" s="97" t="n">
        <v>1</v>
      </c>
      <c r="T183" s="74" t="n">
        <v>1</v>
      </c>
      <c r="U183" s="78" t="n">
        <v>0.2226</v>
      </c>
      <c r="V183" s="78" t="n">
        <v>0.2205</v>
      </c>
      <c r="W183" s="78" t="n">
        <v>0.08130000000000001</v>
      </c>
      <c r="X183" s="78" t="n">
        <v>-0.1095</v>
      </c>
      <c r="Y183" s="96" t="inlineStr">
        <is>
          <t>20250922~20261002</t>
        </is>
      </c>
      <c r="Z183" s="96" t="inlineStr"/>
      <c r="AA183">
        <f>IF(AND($J183&lt;&gt;"",OR(조회_주기="전체",$R183=조회_주기),$J183&gt;=조회_최소,$J183&lt;=조회_최대),1,0)</f>
        <v/>
      </c>
      <c r="AB183">
        <f>IF($AA183=1,$AB182+1,$AB182)</f>
        <v/>
      </c>
      <c r="AC183">
        <f>IF(검색어="",1,IF(ISNUMBER(SEARCH(검색어,$A183)),1,0))</f>
        <v/>
      </c>
      <c r="AD183">
        <f>IF($AC183=1,$AD182+1,$AD182)</f>
        <v/>
      </c>
      <c r="AE183">
        <f>IFERROR(INDEX($A$4:$A$594,MATCH(180,$AD$4:$AD$594,0)),"")</f>
        <v/>
      </c>
    </row>
    <row r="184">
      <c r="A184" s="96" t="inlineStr">
        <is>
          <t>TIME 미국나스닥100채권혼합50액티브</t>
        </is>
      </c>
      <c r="B184" s="96" t="inlineStr">
        <is>
          <t>0019K0</t>
        </is>
      </c>
      <c r="C184" s="96" t="inlineStr">
        <is>
          <t>타임폴리오자산운용</t>
        </is>
      </c>
      <c r="D184" s="97" t="n">
        <v>13515</v>
      </c>
      <c r="E184" s="97" t="n">
        <v>587902500000</v>
      </c>
      <c r="F184" s="97" t="n">
        <v>5328812258</v>
      </c>
      <c r="G184" s="74" t="n">
        <v>0.0025</v>
      </c>
      <c r="H184" s="74" t="n">
        <v>0.1888</v>
      </c>
      <c r="I184" s="74" t="n">
        <v>0.0018</v>
      </c>
      <c r="J184" s="74" t="n">
        <v>0.001554</v>
      </c>
      <c r="K184" s="97" t="n">
        <v>1</v>
      </c>
      <c r="L184" s="98" t="inlineStr">
        <is>
          <t>20251229</t>
        </is>
      </c>
      <c r="M184" s="96" t="inlineStr">
        <is>
          <t>채택</t>
        </is>
      </c>
      <c r="N184" s="96" t="inlineStr"/>
      <c r="O184" s="96" t="inlineStr">
        <is>
          <t>FnGuide 미국 나스닥100 단기채권혼합 지수</t>
        </is>
      </c>
      <c r="P184" s="96" t="inlineStr">
        <is>
          <t>일반</t>
        </is>
      </c>
      <c r="Q184" s="96" t="inlineStr">
        <is>
          <t>멀티에셋</t>
        </is>
      </c>
      <c r="R184" s="96" t="inlineStr">
        <is>
          <t>연배당</t>
        </is>
      </c>
      <c r="S184" s="97" t="n">
        <v>1</v>
      </c>
      <c r="T184" s="74" t="n">
        <v>1</v>
      </c>
      <c r="U184" s="78" t="n">
        <v>0.1686</v>
      </c>
      <c r="V184" s="78" t="n">
        <v>0.1667</v>
      </c>
      <c r="W184" s="78" t="n">
        <v>0.1177</v>
      </c>
      <c r="X184" s="78" t="n">
        <v>-0.0549</v>
      </c>
      <c r="Y184" s="96" t="inlineStr">
        <is>
          <t>20250922~20261002</t>
        </is>
      </c>
      <c r="Z184" s="96" t="inlineStr"/>
      <c r="AA184">
        <f>IF(AND($J184&lt;&gt;"",OR(조회_주기="전체",$R184=조회_주기),$J184&gt;=조회_최소,$J184&lt;=조회_최대),1,0)</f>
        <v/>
      </c>
      <c r="AB184">
        <f>IF($AA184=1,$AB183+1,$AB183)</f>
        <v/>
      </c>
      <c r="AC184">
        <f>IF(검색어="",1,IF(ISNUMBER(SEARCH(검색어,$A184)),1,0))</f>
        <v/>
      </c>
      <c r="AD184">
        <f>IF($AC184=1,$AD183+1,$AD183)</f>
        <v/>
      </c>
      <c r="AE184">
        <f>IFERROR(INDEX($A$4:$A$594,MATCH(181,$AD$4:$AD$594,0)),"")</f>
        <v/>
      </c>
    </row>
    <row r="185">
      <c r="A185" s="96" t="inlineStr">
        <is>
          <t>TIGER CD금리투자KIS(합성)</t>
        </is>
      </c>
      <c r="B185" s="96" t="inlineStr">
        <is>
          <t>357870</t>
        </is>
      </c>
      <c r="C185" s="96" t="inlineStr">
        <is>
          <t>미래에셋자산운용</t>
        </is>
      </c>
      <c r="D185" s="97" t="n">
        <v>58165</v>
      </c>
      <c r="E185" s="97" t="n">
        <v>3941493060000</v>
      </c>
      <c r="F185" s="97" t="n">
        <v>12688226959</v>
      </c>
      <c r="G185" s="74" t="n">
        <v>0.0003</v>
      </c>
      <c r="H185" s="74" t="n">
        <v>0.0016</v>
      </c>
      <c r="I185" s="74" t="n">
        <v>0.0011</v>
      </c>
      <c r="J185" s="74" t="n">
        <v>0.001118</v>
      </c>
      <c r="K185" s="97" t="n">
        <v>1</v>
      </c>
      <c r="L185" s="98" t="inlineStr">
        <is>
          <t>20251127</t>
        </is>
      </c>
      <c r="M185" s="96" t="inlineStr">
        <is>
          <t>채택</t>
        </is>
      </c>
      <c r="N185" s="96" t="inlineStr"/>
      <c r="O185" s="96" t="inlineStr">
        <is>
          <t>KIS CD 금리투자</t>
        </is>
      </c>
      <c r="P185" s="96" t="inlineStr">
        <is>
          <t>일반</t>
        </is>
      </c>
      <c r="Q185" s="96" t="inlineStr">
        <is>
          <t>단기자금(파킹형)</t>
        </is>
      </c>
      <c r="R185" s="96" t="inlineStr">
        <is>
          <t>연배당</t>
        </is>
      </c>
      <c r="S185" s="97" t="n">
        <v>1</v>
      </c>
      <c r="T185" s="74" t="n">
        <v>1</v>
      </c>
      <c r="U185" s="78" t="n">
        <v>0.0294</v>
      </c>
      <c r="V185" s="78" t="n">
        <v>0.0283</v>
      </c>
      <c r="W185" s="78" t="n">
        <v>0.0149</v>
      </c>
      <c r="X185" s="78" t="n">
        <v>0.007800000000000001</v>
      </c>
      <c r="Y185" s="96" t="inlineStr">
        <is>
          <t>20250922~20261002</t>
        </is>
      </c>
      <c r="Z185" s="96" t="inlineStr"/>
      <c r="AA185">
        <f>IF(AND($J185&lt;&gt;"",OR(조회_주기="전체",$R185=조회_주기),$J185&gt;=조회_최소,$J185&lt;=조회_최대),1,0)</f>
        <v/>
      </c>
      <c r="AB185">
        <f>IF($AA185=1,$AB184+1,$AB184)</f>
        <v/>
      </c>
      <c r="AC185">
        <f>IF(검색어="",1,IF(ISNUMBER(SEARCH(검색어,$A185)),1,0))</f>
        <v/>
      </c>
      <c r="AD185">
        <f>IF($AC185=1,$AD184+1,$AD184)</f>
        <v/>
      </c>
      <c r="AE185">
        <f>IFERROR(INDEX($A$4:$A$594,MATCH(182,$AD$4:$AD$594,0)),"")</f>
        <v/>
      </c>
    </row>
    <row r="186">
      <c r="A186" s="96" t="inlineStr">
        <is>
          <t>RISE 삼성그룹Top3채권혼합</t>
        </is>
      </c>
      <c r="B186" s="96" t="inlineStr">
        <is>
          <t>448630</t>
        </is>
      </c>
      <c r="C186" s="96" t="inlineStr">
        <is>
          <t>KB자산운용</t>
        </is>
      </c>
      <c r="D186" s="97" t="n">
        <v>15345</v>
      </c>
      <c r="E186" s="97" t="n">
        <v>329917500000</v>
      </c>
      <c r="F186" s="97" t="n">
        <v>1872738319</v>
      </c>
      <c r="G186" s="74" t="n">
        <v>0.002</v>
      </c>
      <c r="H186" s="74" t="n">
        <v>0.1945</v>
      </c>
      <c r="I186" s="74" t="n">
        <v>0.0007000000000000001</v>
      </c>
      <c r="J186" s="74" t="n">
        <v>0.000717</v>
      </c>
      <c r="K186" s="97" t="n">
        <v>4</v>
      </c>
      <c r="L186" s="98" t="inlineStr">
        <is>
          <t>20260429</t>
        </is>
      </c>
      <c r="M186" s="96" t="inlineStr">
        <is>
          <t>채택</t>
        </is>
      </c>
      <c r="N186" s="96" t="inlineStr"/>
      <c r="O186" s="96" t="inlineStr">
        <is>
          <t>Bloomberg Blended Samsung Group Fixed Top 3 Equity and Korea</t>
        </is>
      </c>
      <c r="P186" s="96" t="inlineStr">
        <is>
          <t>일반</t>
        </is>
      </c>
      <c r="Q186" s="96" t="inlineStr">
        <is>
          <t>멀티에셋</t>
        </is>
      </c>
      <c r="R186" s="96" t="inlineStr">
        <is>
          <t>연배당</t>
        </is>
      </c>
      <c r="S186" s="97" t="n">
        <v>1</v>
      </c>
      <c r="T186" s="74" t="n">
        <v>1</v>
      </c>
      <c r="U186" s="78" t="n">
        <v>0.4474</v>
      </c>
      <c r="V186" s="78" t="n">
        <v>0.4464</v>
      </c>
      <c r="W186" s="78" t="n">
        <v>0.1344</v>
      </c>
      <c r="X186" s="78" t="n">
        <v>0.0059</v>
      </c>
      <c r="Y186" s="96" t="inlineStr">
        <is>
          <t>20250922~20261002</t>
        </is>
      </c>
      <c r="Z186" s="96" t="inlineStr"/>
      <c r="AA186">
        <f>IF(AND($J186&lt;&gt;"",OR(조회_주기="전체",$R186=조회_주기),$J186&gt;=조회_최소,$J186&lt;=조회_최대),1,0)</f>
        <v/>
      </c>
      <c r="AB186">
        <f>IF($AA186=1,$AB185+1,$AB185)</f>
        <v/>
      </c>
      <c r="AC186">
        <f>IF(검색어="",1,IF(ISNUMBER(SEARCH(검색어,$A186)),1,0))</f>
        <v/>
      </c>
      <c r="AD186">
        <f>IF($AC186=1,$AD185+1,$AD185)</f>
        <v/>
      </c>
      <c r="AE186">
        <f>IFERROR(INDEX($A$4:$A$594,MATCH(183,$AD$4:$AD$594,0)),"")</f>
        <v/>
      </c>
    </row>
    <row r="187">
      <c r="A187" s="96" t="inlineStr">
        <is>
          <t>TIGER 미국달러SOFR금리액티브(합성)</t>
        </is>
      </c>
      <c r="B187" s="96" t="inlineStr">
        <is>
          <t>456610</t>
        </is>
      </c>
      <c r="C187" s="96" t="inlineStr">
        <is>
          <t>미래에셋자산운용</t>
        </is>
      </c>
      <c r="D187" s="97" t="n">
        <v>58815</v>
      </c>
      <c r="E187" s="97" t="n">
        <v>737304840000</v>
      </c>
      <c r="F187" s="97" t="n">
        <v>2048077887</v>
      </c>
      <c r="G187" s="74" t="n">
        <v>0.0005</v>
      </c>
      <c r="H187" s="74" t="n">
        <v>0.1048</v>
      </c>
      <c r="I187" s="74" t="n">
        <v>0.0007000000000000001</v>
      </c>
      <c r="J187" s="74" t="n">
        <v>0.000697</v>
      </c>
      <c r="K187" s="97" t="n">
        <v>1</v>
      </c>
      <c r="L187" s="98" t="inlineStr">
        <is>
          <t>20251127</t>
        </is>
      </c>
      <c r="M187" s="96" t="inlineStr">
        <is>
          <t>채택</t>
        </is>
      </c>
      <c r="N187" s="96" t="inlineStr"/>
      <c r="O187" s="96" t="inlineStr">
        <is>
          <t>Solactive SOFR Daily Total Return Index</t>
        </is>
      </c>
      <c r="P187" s="96" t="inlineStr">
        <is>
          <t>일반</t>
        </is>
      </c>
      <c r="Q187" s="96" t="inlineStr">
        <is>
          <t>단기자금(파킹형)</t>
        </is>
      </c>
      <c r="R187" s="96" t="inlineStr">
        <is>
          <t>연배당</t>
        </is>
      </c>
      <c r="S187" s="97" t="n">
        <v>1</v>
      </c>
      <c r="T187" s="74" t="n">
        <v>1</v>
      </c>
      <c r="U187" s="78" t="n">
        <v>0.008699999999999999</v>
      </c>
      <c r="V187" s="78" t="n">
        <v>0.008</v>
      </c>
      <c r="W187" s="78" t="n">
        <v>-0.0852</v>
      </c>
      <c r="X187" s="78" t="n">
        <v>-0.1054</v>
      </c>
      <c r="Y187" s="96" t="inlineStr">
        <is>
          <t>20250922~20261002</t>
        </is>
      </c>
      <c r="Z187" s="96" t="inlineStr"/>
      <c r="AA187">
        <f>IF(AND($J187&lt;&gt;"",OR(조회_주기="전체",$R187=조회_주기),$J187&gt;=조회_최소,$J187&lt;=조회_최대),1,0)</f>
        <v/>
      </c>
      <c r="AB187">
        <f>IF($AA187=1,$AB186+1,$AB186)</f>
        <v/>
      </c>
      <c r="AC187">
        <f>IF(검색어="",1,IF(ISNUMBER(SEARCH(검색어,$A187)),1,0))</f>
        <v/>
      </c>
      <c r="AD187">
        <f>IF($AC187=1,$AD186+1,$AD186)</f>
        <v/>
      </c>
      <c r="AE187">
        <f>IFERROR(INDEX($A$4:$A$594,MATCH(184,$AD$4:$AD$594,0)),"")</f>
        <v/>
      </c>
    </row>
    <row r="188">
      <c r="A188" s="96" t="inlineStr">
        <is>
          <t>SOL 국제금</t>
        </is>
      </c>
      <c r="B188" s="96" t="inlineStr">
        <is>
          <t>0066W0</t>
        </is>
      </c>
      <c r="C188" s="96" t="inlineStr">
        <is>
          <t>신한자산운용</t>
        </is>
      </c>
      <c r="D188" s="97" t="n">
        <v>11980</v>
      </c>
      <c r="E188" s="97" t="n">
        <v>88053000000</v>
      </c>
      <c r="F188" s="97" t="n">
        <v>896515798</v>
      </c>
      <c r="G188" s="74" t="n">
        <v>0.0005</v>
      </c>
      <c r="H188" s="74" t="n">
        <v>0.2988</v>
      </c>
      <c r="I188" s="74" t="n">
        <v>0.0002</v>
      </c>
      <c r="J188" s="74" t="n">
        <v>0.00025</v>
      </c>
      <c r="K188" s="97" t="n">
        <v>1</v>
      </c>
      <c r="L188" s="98" t="inlineStr">
        <is>
          <t>20251229</t>
        </is>
      </c>
      <c r="M188" s="96" t="inlineStr">
        <is>
          <t>채택</t>
        </is>
      </c>
      <c r="N188" s="96" t="inlineStr"/>
      <c r="O188" s="96" t="inlineStr">
        <is>
          <t>KEDI Global Physical Gold ETF Index (PR)</t>
        </is>
      </c>
      <c r="P188" s="96" t="inlineStr">
        <is>
          <t>일반</t>
        </is>
      </c>
      <c r="Q188" s="96" t="inlineStr">
        <is>
          <t>원자재</t>
        </is>
      </c>
      <c r="R188" s="96" t="inlineStr">
        <is>
          <t>연배당</t>
        </is>
      </c>
      <c r="S188" s="97" t="n">
        <v>1</v>
      </c>
      <c r="T188" s="74" t="n">
        <v>1</v>
      </c>
      <c r="U188" s="78" t="n">
        <v>0.09660000000000001</v>
      </c>
      <c r="V188" s="78" t="n">
        <v>0.09630000000000001</v>
      </c>
      <c r="W188" s="78" t="n">
        <v>-0.1996</v>
      </c>
      <c r="X188" s="78" t="n">
        <v>-0.1036</v>
      </c>
      <c r="Y188" s="96" t="inlineStr">
        <is>
          <t>20250922~20261002</t>
        </is>
      </c>
      <c r="Z188" s="96" t="inlineStr"/>
      <c r="AA188">
        <f>IF(AND($J188&lt;&gt;"",OR(조회_주기="전체",$R188=조회_주기),$J188&gt;=조회_최소,$J188&lt;=조회_최대),1,0)</f>
        <v/>
      </c>
      <c r="AB188">
        <f>IF($AA188=1,$AB187+1,$AB187)</f>
        <v/>
      </c>
      <c r="AC188">
        <f>IF(검색어="",1,IF(ISNUMBER(SEARCH(검색어,$A188)),1,0))</f>
        <v/>
      </c>
      <c r="AD188">
        <f>IF($AC188=1,$AD187+1,$AD187)</f>
        <v/>
      </c>
      <c r="AE188">
        <f>IFERROR(INDEX($A$4:$A$594,MATCH(185,$AD$4:$AD$594,0)),"")</f>
        <v/>
      </c>
    </row>
    <row r="189">
      <c r="A189" s="96" t="inlineStr">
        <is>
          <t>RISE CD금리액티브(합성)</t>
        </is>
      </c>
      <c r="B189" s="96" t="inlineStr">
        <is>
          <t>477080</t>
        </is>
      </c>
      <c r="C189" s="96" t="inlineStr">
        <is>
          <t>KB자산운용</t>
        </is>
      </c>
      <c r="D189" s="97" t="n">
        <v>107780</v>
      </c>
      <c r="E189" s="97" t="n">
        <v>1506656620000</v>
      </c>
      <c r="F189" s="97" t="n">
        <v>808207764</v>
      </c>
      <c r="G189" s="74" t="n">
        <v>0.0002</v>
      </c>
      <c r="H189" s="74" t="n">
        <v>0.0011</v>
      </c>
      <c r="I189" s="74" t="n">
        <v>0.0002</v>
      </c>
      <c r="J189" s="74" t="n">
        <v>0.000148</v>
      </c>
      <c r="K189" s="97" t="n">
        <v>1</v>
      </c>
      <c r="L189" s="98" t="inlineStr">
        <is>
          <t>20251212</t>
        </is>
      </c>
      <c r="M189" s="96" t="inlineStr">
        <is>
          <t>채택</t>
        </is>
      </c>
      <c r="N189" s="96" t="inlineStr"/>
      <c r="O189" s="96" t="inlineStr">
        <is>
          <t>FnGuide CD금리투자 지수</t>
        </is>
      </c>
      <c r="P189" s="96" t="inlineStr">
        <is>
          <t>일반</t>
        </is>
      </c>
      <c r="Q189" s="96" t="inlineStr">
        <is>
          <t>단기자금(파킹형)</t>
        </is>
      </c>
      <c r="R189" s="96" t="inlineStr">
        <is>
          <t>연배당</t>
        </is>
      </c>
      <c r="S189" s="97" t="n">
        <v>1</v>
      </c>
      <c r="T189" s="74" t="n">
        <v>1</v>
      </c>
      <c r="U189" s="78" t="n">
        <v>0.029</v>
      </c>
      <c r="V189" s="78" t="n">
        <v>0.0288</v>
      </c>
      <c r="W189" s="78" t="n">
        <v>0.0145</v>
      </c>
      <c r="X189" s="78" t="n">
        <v>0.0075</v>
      </c>
      <c r="Y189" s="96" t="inlineStr">
        <is>
          <t>20250922~20261002</t>
        </is>
      </c>
      <c r="Z189" s="96" t="inlineStr"/>
      <c r="AA189">
        <f>IF(AND($J189&lt;&gt;"",OR(조회_주기="전체",$R189=조회_주기),$J189&gt;=조회_최소,$J189&lt;=조회_최대),1,0)</f>
        <v/>
      </c>
      <c r="AB189">
        <f>IF($AA189=1,$AB188+1,$AB188)</f>
        <v/>
      </c>
      <c r="AC189">
        <f>IF(검색어="",1,IF(ISNUMBER(SEARCH(검색어,$A189)),1,0))</f>
        <v/>
      </c>
      <c r="AD189">
        <f>IF($AC189=1,$AD188+1,$AD188)</f>
        <v/>
      </c>
      <c r="AE189">
        <f>IFERROR(INDEX($A$4:$A$594,MATCH(186,$AD$4:$AD$594,0)),"")</f>
        <v/>
      </c>
    </row>
    <row r="190">
      <c r="A190" s="96" t="inlineStr">
        <is>
          <t>TIGER 구리실물</t>
        </is>
      </c>
      <c r="B190" s="96" t="inlineStr">
        <is>
          <t>160580</t>
        </is>
      </c>
      <c r="C190" s="96" t="inlineStr">
        <is>
          <t>미래에셋자산운용</t>
        </is>
      </c>
      <c r="D190" s="97" t="n">
        <v>15885</v>
      </c>
      <c r="E190" s="97" t="n">
        <v>152893125000</v>
      </c>
      <c r="F190" s="97" t="n">
        <v>1112407336</v>
      </c>
      <c r="G190" s="74" t="n">
        <v>0.0083</v>
      </c>
      <c r="H190" s="74" t="n">
        <v>0.2391</v>
      </c>
      <c r="I190" s="74" t="n">
        <v>0.0001</v>
      </c>
      <c r="J190" s="74" t="n">
        <v>0.000126</v>
      </c>
      <c r="K190" s="97" t="n">
        <v>1</v>
      </c>
      <c r="L190" s="98" t="inlineStr">
        <is>
          <t>20251229</t>
        </is>
      </c>
      <c r="M190" s="96" t="inlineStr">
        <is>
          <t>채택</t>
        </is>
      </c>
      <c r="N190" s="96" t="inlineStr"/>
      <c r="O190" s="96" t="inlineStr">
        <is>
          <t>Cash Copper</t>
        </is>
      </c>
      <c r="P190" s="96" t="inlineStr">
        <is>
          <t>일반</t>
        </is>
      </c>
      <c r="Q190" s="96" t="inlineStr">
        <is>
          <t>원자재</t>
        </is>
      </c>
      <c r="R190" s="96" t="inlineStr">
        <is>
          <t>연배당</t>
        </is>
      </c>
      <c r="S190" s="97" t="n">
        <v>1</v>
      </c>
      <c r="T190" s="74" t="n">
        <v>1</v>
      </c>
      <c r="U190" s="78" t="n">
        <v>0.3333</v>
      </c>
      <c r="V190" s="78" t="n">
        <v>0.3331</v>
      </c>
      <c r="W190" s="78" t="n">
        <v>0.0493</v>
      </c>
      <c r="X190" s="78" t="n">
        <v>-0.0463</v>
      </c>
      <c r="Y190" s="96" t="inlineStr">
        <is>
          <t>20250922~20261002</t>
        </is>
      </c>
      <c r="Z190" s="96" t="inlineStr"/>
      <c r="AA190">
        <f>IF(AND($J190&lt;&gt;"",OR(조회_주기="전체",$R190=조회_주기),$J190&gt;=조회_최소,$J190&lt;=조회_최대),1,0)</f>
        <v/>
      </c>
      <c r="AB190">
        <f>IF($AA190=1,$AB189+1,$AB189)</f>
        <v/>
      </c>
      <c r="AC190">
        <f>IF(검색어="",1,IF(ISNUMBER(SEARCH(검색어,$A190)),1,0))</f>
        <v/>
      </c>
      <c r="AD190">
        <f>IF($AC190=1,$AD189+1,$AD189)</f>
        <v/>
      </c>
      <c r="AE190">
        <f>IFERROR(INDEX($A$4:$A$594,MATCH(187,$AD$4:$AD$594,0)),"")</f>
        <v/>
      </c>
    </row>
    <row r="191">
      <c r="A191" s="96" t="inlineStr">
        <is>
          <t>ACE 미국달러SOFR금리(합성)</t>
        </is>
      </c>
      <c r="B191" s="96" t="inlineStr">
        <is>
          <t>456880</t>
        </is>
      </c>
      <c r="C191" s="96" t="inlineStr">
        <is>
          <t>한국투신운용(ETF)</t>
        </is>
      </c>
      <c r="D191" s="97" t="n">
        <v>11905</v>
      </c>
      <c r="E191" s="97" t="n">
        <v>328339900000</v>
      </c>
      <c r="F191" s="97" t="n">
        <v>901647944</v>
      </c>
      <c r="G191" s="74" t="n">
        <v>0.0005</v>
      </c>
      <c r="H191" s="74" t="n">
        <v>0.1053</v>
      </c>
      <c r="I191" s="74" t="n">
        <v>0.0001</v>
      </c>
      <c r="J191" s="74" t="n">
        <v>8.4e-05</v>
      </c>
      <c r="K191" s="97" t="n">
        <v>1</v>
      </c>
      <c r="L191" s="98" t="inlineStr">
        <is>
          <t>20251229</t>
        </is>
      </c>
      <c r="M191" s="96" t="inlineStr">
        <is>
          <t>채택</t>
        </is>
      </c>
      <c r="N191" s="96" t="inlineStr"/>
      <c r="O191" s="96" t="inlineStr">
        <is>
          <t>Solactive SOFR Daily Total Return Index</t>
        </is>
      </c>
      <c r="P191" s="96" t="inlineStr">
        <is>
          <t>일반</t>
        </is>
      </c>
      <c r="Q191" s="96" t="inlineStr">
        <is>
          <t>단기자금(파킹형)</t>
        </is>
      </c>
      <c r="R191" s="96" t="inlineStr">
        <is>
          <t>연배당</t>
        </is>
      </c>
      <c r="S191" s="97" t="n">
        <v>1</v>
      </c>
      <c r="T191" s="74" t="n">
        <v>1</v>
      </c>
      <c r="U191" s="78" t="n">
        <v>0.0077</v>
      </c>
      <c r="V191" s="78" t="n">
        <v>0.0076</v>
      </c>
      <c r="W191" s="78" t="n">
        <v>-0.0862</v>
      </c>
      <c r="X191" s="78" t="n">
        <v>-0.1065</v>
      </c>
      <c r="Y191" s="96" t="inlineStr">
        <is>
          <t>20250922~20261002</t>
        </is>
      </c>
      <c r="Z191" s="96" t="inlineStr"/>
      <c r="AA191">
        <f>IF(AND($J191&lt;&gt;"",OR(조회_주기="전체",$R191=조회_주기),$J191&gt;=조회_최소,$J191&lt;=조회_최대),1,0)</f>
        <v/>
      </c>
      <c r="AB191">
        <f>IF($AA191=1,$AB190+1,$AB190)</f>
        <v/>
      </c>
      <c r="AC191">
        <f>IF(검색어="",1,IF(ISNUMBER(SEARCH(검색어,$A191)),1,0))</f>
        <v/>
      </c>
      <c r="AD191">
        <f>IF($AC191=1,$AD190+1,$AD190)</f>
        <v/>
      </c>
      <c r="AE191">
        <f>IFERROR(INDEX($A$4:$A$594,MATCH(188,$AD$4:$AD$594,0)),"")</f>
        <v/>
      </c>
    </row>
    <row r="192">
      <c r="A192" s="96" t="inlineStr">
        <is>
          <t>TIGER KRX금현물</t>
        </is>
      </c>
      <c r="B192" s="96" t="inlineStr">
        <is>
          <t>0072R0</t>
        </is>
      </c>
      <c r="C192" s="96" t="inlineStr">
        <is>
          <t>미래에셋자산운용</t>
        </is>
      </c>
      <c r="D192" s="97" t="n">
        <v>12195</v>
      </c>
      <c r="E192" s="97" t="n">
        <v>1139013000000</v>
      </c>
      <c r="F192" s="97" t="n">
        <v>9394957881</v>
      </c>
      <c r="G192" s="74" t="n">
        <v>0.0015</v>
      </c>
      <c r="H192" s="74" t="n">
        <v>0.3206</v>
      </c>
      <c r="I192" s="74" t="n">
        <v>0.0001</v>
      </c>
      <c r="J192" s="74" t="n">
        <v>8.2e-05</v>
      </c>
      <c r="K192" s="97" t="n">
        <v>1</v>
      </c>
      <c r="L192" s="98" t="inlineStr">
        <is>
          <t>20251229</t>
        </is>
      </c>
      <c r="M192" s="96" t="inlineStr">
        <is>
          <t>채택</t>
        </is>
      </c>
      <c r="N192" s="96" t="inlineStr"/>
      <c r="O192" s="96" t="inlineStr">
        <is>
          <t>KRX 금현물지수</t>
        </is>
      </c>
      <c r="P192" s="96" t="inlineStr">
        <is>
          <t>일반</t>
        </is>
      </c>
      <c r="Q192" s="96" t="inlineStr">
        <is>
          <t>원자재</t>
        </is>
      </c>
      <c r="R192" s="96" t="inlineStr">
        <is>
          <t>연배당</t>
        </is>
      </c>
      <c r="S192" s="97" t="n">
        <v>1</v>
      </c>
      <c r="T192" s="74" t="n">
        <v>1</v>
      </c>
      <c r="U192" s="78" t="n">
        <v>0.0595</v>
      </c>
      <c r="V192" s="78" t="n">
        <v>0.0594</v>
      </c>
      <c r="W192" s="78" t="n">
        <v>-0.1972</v>
      </c>
      <c r="X192" s="78" t="n">
        <v>-0.1062</v>
      </c>
      <c r="Y192" s="96" t="inlineStr">
        <is>
          <t>20250922~20261002</t>
        </is>
      </c>
      <c r="Z192" s="96" t="inlineStr"/>
      <c r="AA192">
        <f>IF(AND($J192&lt;&gt;"",OR(조회_주기="전체",$R192=조회_주기),$J192&gt;=조회_최소,$J192&lt;=조회_최대),1,0)</f>
        <v/>
      </c>
      <c r="AB192">
        <f>IF($AA192=1,$AB191+1,$AB191)</f>
        <v/>
      </c>
      <c r="AC192">
        <f>IF(검색어="",1,IF(ISNUMBER(SEARCH(검색어,$A192)),1,0))</f>
        <v/>
      </c>
      <c r="AD192">
        <f>IF($AC192=1,$AD191+1,$AD191)</f>
        <v/>
      </c>
      <c r="AE192">
        <f>IFERROR(INDEX($A$4:$A$594,MATCH(189,$AD$4:$AD$594,0)),"")</f>
        <v/>
      </c>
    </row>
    <row r="193">
      <c r="A193" s="96" t="inlineStr">
        <is>
          <t>ACE KRX금현물</t>
        </is>
      </c>
      <c r="B193" s="96" t="inlineStr">
        <is>
          <t>411060</t>
        </is>
      </c>
      <c r="C193" s="96" t="inlineStr">
        <is>
          <t>한국투자신탁운용</t>
        </is>
      </c>
      <c r="D193" s="97" t="n">
        <v>25515</v>
      </c>
      <c r="E193" s="97" t="n">
        <v>3819595500000</v>
      </c>
      <c r="F193" s="97" t="n">
        <v>23338284599</v>
      </c>
      <c r="G193" s="74" t="n">
        <v>0.0019</v>
      </c>
      <c r="H193" s="74" t="n">
        <v>0.3205</v>
      </c>
      <c r="I193" s="74" t="n">
        <v>0</v>
      </c>
      <c r="J193" s="74" t="n">
        <v>3.9e-05</v>
      </c>
      <c r="K193" s="97" t="n">
        <v>1</v>
      </c>
      <c r="L193" s="98" t="inlineStr">
        <is>
          <t>20251229</t>
        </is>
      </c>
      <c r="M193" s="96" t="inlineStr">
        <is>
          <t>채택</t>
        </is>
      </c>
      <c r="N193" s="96" t="inlineStr"/>
      <c r="O193" s="96" t="inlineStr">
        <is>
          <t>KRX 금현물지수</t>
        </is>
      </c>
      <c r="P193" s="96" t="inlineStr">
        <is>
          <t>일반</t>
        </is>
      </c>
      <c r="Q193" s="96" t="inlineStr">
        <is>
          <t>원자재</t>
        </is>
      </c>
      <c r="R193" s="96" t="inlineStr">
        <is>
          <t>연배당</t>
        </is>
      </c>
      <c r="S193" s="97" t="n">
        <v>1</v>
      </c>
      <c r="T193" s="74" t="n">
        <v>1</v>
      </c>
      <c r="U193" s="78" t="n">
        <v>0.06</v>
      </c>
      <c r="V193" s="78" t="n">
        <v>0.0599</v>
      </c>
      <c r="W193" s="78" t="n">
        <v>-0.1973</v>
      </c>
      <c r="X193" s="78" t="n">
        <v>-0.1063</v>
      </c>
      <c r="Y193" s="96" t="inlineStr">
        <is>
          <t>20250922~20261002</t>
        </is>
      </c>
      <c r="Z193" s="96" t="inlineStr"/>
      <c r="AA193">
        <f>IF(AND($J193&lt;&gt;"",OR(조회_주기="전체",$R193=조회_주기),$J193&gt;=조회_최소,$J193&lt;=조회_최대),1,0)</f>
        <v/>
      </c>
      <c r="AB193">
        <f>IF($AA193=1,$AB192+1,$AB192)</f>
        <v/>
      </c>
      <c r="AC193">
        <f>IF(검색어="",1,IF(ISNUMBER(SEARCH(검색어,$A193)),1,0))</f>
        <v/>
      </c>
      <c r="AD193">
        <f>IF($AC193=1,$AD192+1,$AD192)</f>
        <v/>
      </c>
      <c r="AE193">
        <f>IFERROR(INDEX($A$4:$A$594,MATCH(190,$AD$4:$AD$594,0)),"")</f>
        <v/>
      </c>
    </row>
    <row r="194">
      <c r="A194" s="99" t="inlineStr">
        <is>
          <t>ACE 미국빅테크7+데일리타겟커버드콜(합성)</t>
        </is>
      </c>
      <c r="B194" s="99" t="inlineStr">
        <is>
          <t>480020</t>
        </is>
      </c>
      <c r="C194" s="99" t="inlineStr">
        <is>
          <t>한국투신운용(ETF)</t>
        </is>
      </c>
      <c r="D194" s="100" t="n">
        <v>9900</v>
      </c>
      <c r="E194" s="100" t="n">
        <v>177210000000</v>
      </c>
      <c r="F194" s="100" t="n">
        <v>2996113682</v>
      </c>
      <c r="G194" s="101" t="n">
        <v>0.004500000000000001</v>
      </c>
      <c r="H194" s="101" t="n">
        <v>0.2152</v>
      </c>
      <c r="I194" s="101" t="n">
        <v>0.0297</v>
      </c>
      <c r="J194" s="101" t="n">
        <v>0.267677</v>
      </c>
      <c r="K194" s="100" t="n">
        <v>29</v>
      </c>
      <c r="L194" s="102" t="inlineStr">
        <is>
          <t>20260914</t>
        </is>
      </c>
      <c r="M194" s="99" t="inlineStr">
        <is>
          <t>제외</t>
        </is>
      </c>
      <c r="N194" s="99" t="inlineStr">
        <is>
          <t>분배율 대조 불일치(연분배율 계산 26.7677% vs ETFCHECK 26.1858% (차 0.5819%p &gt; 허용 0.5237%p))</t>
        </is>
      </c>
      <c r="O194" s="99" t="inlineStr">
        <is>
          <t>Bloomberg US Big Tech Top 7 Plus Premium(QQQ) Decrement 15%</t>
        </is>
      </c>
      <c r="P194" s="99" t="inlineStr">
        <is>
          <t>커버드콜</t>
        </is>
      </c>
      <c r="Q194" s="99" t="inlineStr">
        <is>
          <t>주식</t>
        </is>
      </c>
      <c r="R194" s="99" t="inlineStr">
        <is>
          <t>월배당</t>
        </is>
      </c>
      <c r="S194" s="100" t="n">
        <v>11</v>
      </c>
      <c r="T194" s="101" t="n">
        <v>0.9608</v>
      </c>
      <c r="U194" s="103" t="n">
        <v>0.031</v>
      </c>
      <c r="V194" s="103" t="n">
        <v>-0.1879</v>
      </c>
      <c r="W194" s="103" t="n">
        <v>-0.1547</v>
      </c>
      <c r="X194" s="103" t="n">
        <v>-0.1751</v>
      </c>
      <c r="Y194" s="99" t="inlineStr">
        <is>
          <t>20250922~20261002</t>
        </is>
      </c>
      <c r="Z194" s="99" t="inlineStr"/>
      <c r="AA194">
        <f>IF(AND($J194&lt;&gt;"",OR(조회_주기="전체",$R194=조회_주기),$J194&gt;=조회_최소,$J194&lt;=조회_최대),1,0)</f>
        <v/>
      </c>
      <c r="AB194">
        <f>IF($AA194=1,$AB193+1,$AB193)</f>
        <v/>
      </c>
      <c r="AC194">
        <f>IF(검색어="",1,IF(ISNUMBER(SEARCH(검색어,$A194)),1,0))</f>
        <v/>
      </c>
      <c r="AD194">
        <f>IF($AC194=1,$AD193+1,$AD193)</f>
        <v/>
      </c>
      <c r="AE194">
        <f>IFERROR(INDEX($A$4:$A$594,MATCH(191,$AD$4:$AD$594,0)),"")</f>
        <v/>
      </c>
    </row>
    <row r="195">
      <c r="A195" s="99" t="inlineStr">
        <is>
          <t>RISE 코리아밸류업위클리고정커버드콜</t>
        </is>
      </c>
      <c r="B195" s="99" t="inlineStr">
        <is>
          <t>0094M0</t>
        </is>
      </c>
      <c r="C195" s="99" t="inlineStr">
        <is>
          <t>KB자산운용</t>
        </is>
      </c>
      <c r="D195" s="100" t="n">
        <v>17480</v>
      </c>
      <c r="E195" s="100" t="n">
        <v>367080000000</v>
      </c>
      <c r="F195" s="100" t="n">
        <v>11211342539</v>
      </c>
      <c r="G195" s="101" t="n">
        <v>0.003</v>
      </c>
      <c r="H195" s="101" t="n">
        <v>0.458</v>
      </c>
      <c r="I195" s="101" t="n">
        <v>0.0299</v>
      </c>
      <c r="J195" s="101" t="n">
        <v>0.240275</v>
      </c>
      <c r="K195" s="100" t="n">
        <v>12</v>
      </c>
      <c r="L195" s="102" t="inlineStr">
        <is>
          <t>20260914</t>
        </is>
      </c>
      <c r="M195" s="99" t="inlineStr">
        <is>
          <t>제외</t>
        </is>
      </c>
      <c r="N195" s="99" t="inlineStr">
        <is>
          <t>변동성 45.8%(1년 기준, 기준 35% 초과)</t>
        </is>
      </c>
      <c r="O195" s="99" t="inlineStr">
        <is>
          <t>코리아 밸류업 위클리 커버드콜 30% 지수</t>
        </is>
      </c>
      <c r="P195" s="99" t="inlineStr">
        <is>
          <t>커버드콜</t>
        </is>
      </c>
      <c r="Q195" s="99" t="inlineStr">
        <is>
          <t>주식</t>
        </is>
      </c>
      <c r="R195" s="99" t="inlineStr">
        <is>
          <t>월배당</t>
        </is>
      </c>
      <c r="S195" s="100" t="n">
        <v>11</v>
      </c>
      <c r="T195" s="101" t="n">
        <v>0.0445</v>
      </c>
      <c r="U195" s="103" t="n">
        <v>0.9736</v>
      </c>
      <c r="V195" s="103" t="n">
        <v>0.5909</v>
      </c>
      <c r="W195" s="103" t="n">
        <v>0.1265</v>
      </c>
      <c r="X195" s="103" t="n">
        <v>-0.1735</v>
      </c>
      <c r="Y195" s="99" t="inlineStr">
        <is>
          <t>20250922~20261002</t>
        </is>
      </c>
      <c r="Z195" s="99" t="inlineStr"/>
      <c r="AA195">
        <f>IF(AND($J195&lt;&gt;"",OR(조회_주기="전체",$R195=조회_주기),$J195&gt;=조회_최소,$J195&lt;=조회_최대),1,0)</f>
        <v/>
      </c>
      <c r="AB195">
        <f>IF($AA195=1,$AB194+1,$AB194)</f>
        <v/>
      </c>
      <c r="AC195">
        <f>IF(검색어="",1,IF(ISNUMBER(SEARCH(검색어,$A195)),1,0))</f>
        <v/>
      </c>
      <c r="AD195">
        <f>IF($AC195=1,$AD194+1,$AD194)</f>
        <v/>
      </c>
      <c r="AE195">
        <f>IFERROR(INDEX($A$4:$A$594,MATCH(192,$AD$4:$AD$594,0)),"")</f>
        <v/>
      </c>
    </row>
    <row r="196">
      <c r="A196" s="99" t="inlineStr">
        <is>
          <t>ACE 미국반도체데일리타겟커버드콜(합성)</t>
        </is>
      </c>
      <c r="B196" s="99" t="inlineStr">
        <is>
          <t>480040</t>
        </is>
      </c>
      <c r="C196" s="99" t="inlineStr">
        <is>
          <t>한국투신운용(ETF)</t>
        </is>
      </c>
      <c r="D196" s="100" t="n">
        <v>15110</v>
      </c>
      <c r="E196" s="100" t="n">
        <v>205496000000</v>
      </c>
      <c r="F196" s="100" t="n">
        <v>3006778924</v>
      </c>
      <c r="G196" s="101" t="n">
        <v>0.004500000000000001</v>
      </c>
      <c r="H196" s="101" t="n">
        <v>0.4419</v>
      </c>
      <c r="I196" s="101" t="n">
        <v>0.0303</v>
      </c>
      <c r="J196" s="101" t="n">
        <v>0.230443</v>
      </c>
      <c r="K196" s="100" t="n">
        <v>29</v>
      </c>
      <c r="L196" s="102" t="inlineStr">
        <is>
          <t>20260914</t>
        </is>
      </c>
      <c r="M196" s="99" t="inlineStr">
        <is>
          <t>제외</t>
        </is>
      </c>
      <c r="N196" s="99" t="inlineStr">
        <is>
          <t>변동성 44.2%(1년 기준, 기준 35% 초과), 분배율 대조 불일치(연분배율 계산 23.0443% vs ETFCHECK 24.8537% (차 1.8094%p &gt; 허용 0.4971%p))</t>
        </is>
      </c>
      <c r="O196" s="99" t="inlineStr">
        <is>
          <t>Bloomberg US Listed Semiconductor Premium(QQQ) Decrement 15%</t>
        </is>
      </c>
      <c r="P196" s="99" t="inlineStr">
        <is>
          <t>커버드콜</t>
        </is>
      </c>
      <c r="Q196" s="99" t="inlineStr">
        <is>
          <t>주식</t>
        </is>
      </c>
      <c r="R196" s="99" t="inlineStr">
        <is>
          <t>월배당</t>
        </is>
      </c>
      <c r="S196" s="100" t="n">
        <v>11</v>
      </c>
      <c r="T196" s="101" t="n">
        <v>1</v>
      </c>
      <c r="U196" s="103" t="n">
        <v>0.7191</v>
      </c>
      <c r="V196" s="103" t="n">
        <v>0.3945</v>
      </c>
      <c r="W196" s="103" t="n">
        <v>0.0833</v>
      </c>
      <c r="X196" s="103" t="n">
        <v>-0.2084</v>
      </c>
      <c r="Y196" s="99" t="inlineStr">
        <is>
          <t>20250922~20261002</t>
        </is>
      </c>
      <c r="Z196" s="99" t="inlineStr"/>
      <c r="AA196">
        <f>IF(AND($J196&lt;&gt;"",OR(조회_주기="전체",$R196=조회_주기),$J196&gt;=조회_최소,$J196&lt;=조회_최대),1,0)</f>
        <v/>
      </c>
      <c r="AB196">
        <f>IF($AA196=1,$AB195+1,$AB195)</f>
        <v/>
      </c>
      <c r="AC196">
        <f>IF(검색어="",1,IF(ISNUMBER(SEARCH(검색어,$A196)),1,0))</f>
        <v/>
      </c>
      <c r="AD196">
        <f>IF($AC196=1,$AD195+1,$AD195)</f>
        <v/>
      </c>
      <c r="AE196">
        <f>IFERROR(INDEX($A$4:$A$594,MATCH(193,$AD$4:$AD$594,0)),"")</f>
        <v/>
      </c>
    </row>
    <row r="197">
      <c r="A197" s="99" t="inlineStr">
        <is>
          <t>TIGER 배당커버드콜액티브</t>
        </is>
      </c>
      <c r="B197" s="99" t="inlineStr">
        <is>
          <t>472150</t>
        </is>
      </c>
      <c r="C197" s="99" t="inlineStr">
        <is>
          <t>미래에셋자산운용</t>
        </is>
      </c>
      <c r="D197" s="100" t="n">
        <v>20500</v>
      </c>
      <c r="E197" s="100" t="n">
        <v>2839455000000</v>
      </c>
      <c r="F197" s="100" t="n">
        <v>89074996933</v>
      </c>
      <c r="G197" s="101" t="n">
        <v>0.005</v>
      </c>
      <c r="H197" s="101" t="n">
        <v>0.5767</v>
      </c>
      <c r="I197" s="101" t="n">
        <v>0.0206</v>
      </c>
      <c r="J197" s="101" t="n">
        <v>0.222488</v>
      </c>
      <c r="K197" s="100" t="n">
        <v>34</v>
      </c>
      <c r="L197" s="102" t="inlineStr">
        <is>
          <t>20260929</t>
        </is>
      </c>
      <c r="M197" s="99" t="inlineStr">
        <is>
          <t>제외</t>
        </is>
      </c>
      <c r="N197" s="99" t="inlineStr">
        <is>
          <t>변동성 57.7%(1년 기준, 기준 35% 초과)</t>
        </is>
      </c>
      <c r="O197" s="99" t="inlineStr">
        <is>
          <t>코스피 200 커버드콜 5% OTM</t>
        </is>
      </c>
      <c r="P197" s="99" t="inlineStr">
        <is>
          <t>커버드콜</t>
        </is>
      </c>
      <c r="Q197" s="99" t="inlineStr">
        <is>
          <t>주식</t>
        </is>
      </c>
      <c r="R197" s="99" t="inlineStr">
        <is>
          <t>월배당</t>
        </is>
      </c>
      <c r="S197" s="100" t="n">
        <v>11</v>
      </c>
      <c r="T197" s="101" t="n">
        <v>0.0296</v>
      </c>
      <c r="U197" s="103" t="n"/>
      <c r="V197" s="103" t="n"/>
      <c r="W197" s="103" t="n"/>
      <c r="X197" s="103" t="n"/>
      <c r="Y197" s="99" t="inlineStr"/>
      <c r="Z197" s="99" t="inlineStr">
        <is>
          <t>창 안 급변일 1일(20260731) — 내지 않음 / 6개월: 창 안 급변일 1일(20260731) — 내지 않음 / 3개월: 창 안 급변일 1일(20260731) — 내지 않음</t>
        </is>
      </c>
      <c r="AA197">
        <f>IF(AND($J197&lt;&gt;"",OR(조회_주기="전체",$R197=조회_주기),$J197&gt;=조회_최소,$J197&lt;=조회_최대),1,0)</f>
        <v/>
      </c>
      <c r="AB197">
        <f>IF($AA197=1,$AB196+1,$AB196)</f>
        <v/>
      </c>
      <c r="AC197">
        <f>IF(검색어="",1,IF(ISNUMBER(SEARCH(검색어,$A197)),1,0))</f>
        <v/>
      </c>
      <c r="AD197">
        <f>IF($AC197=1,$AD196+1,$AD196)</f>
        <v/>
      </c>
      <c r="AE197">
        <f>IFERROR(INDEX($A$4:$A$594,MATCH(194,$AD$4:$AD$594,0)),"")</f>
        <v/>
      </c>
    </row>
    <row r="198">
      <c r="A198" s="99" t="inlineStr">
        <is>
          <t>RISE 200위클리커버드콜</t>
        </is>
      </c>
      <c r="B198" s="99" t="inlineStr">
        <is>
          <t>475720</t>
        </is>
      </c>
      <c r="C198" s="99" t="inlineStr">
        <is>
          <t>KB자산운용</t>
        </is>
      </c>
      <c r="D198" s="100" t="n">
        <v>12755</v>
      </c>
      <c r="E198" s="100" t="n">
        <v>882646000000</v>
      </c>
      <c r="F198" s="100" t="n">
        <v>9834527276</v>
      </c>
      <c r="G198" s="101" t="n">
        <v>0.003</v>
      </c>
      <c r="H198" s="101" t="n">
        <v>0.435</v>
      </c>
      <c r="I198" s="101" t="n">
        <v>0.0189</v>
      </c>
      <c r="J198" s="101" t="n">
        <v>0.201254</v>
      </c>
      <c r="K198" s="100" t="n">
        <v>31</v>
      </c>
      <c r="L198" s="102" t="inlineStr">
        <is>
          <t>20260929</t>
        </is>
      </c>
      <c r="M198" s="99" t="inlineStr">
        <is>
          <t>제외</t>
        </is>
      </c>
      <c r="N198" s="99" t="inlineStr">
        <is>
          <t>변동성 43.5%(1년 기준, 기준 35% 초과)</t>
        </is>
      </c>
      <c r="O198" s="99" t="inlineStr">
        <is>
          <t>코스피 200 위클리 커버드콜 ATM 지수</t>
        </is>
      </c>
      <c r="P198" s="99" t="inlineStr">
        <is>
          <t>커버드콜</t>
        </is>
      </c>
      <c r="Q198" s="99" t="inlineStr">
        <is>
          <t>주식</t>
        </is>
      </c>
      <c r="R198" s="99" t="inlineStr">
        <is>
          <t>월배당</t>
        </is>
      </c>
      <c r="S198" s="100" t="n">
        <v>11</v>
      </c>
      <c r="T198" s="101" t="n">
        <v>0.0421</v>
      </c>
      <c r="U198" s="103" t="n">
        <v>0.5454</v>
      </c>
      <c r="V198" s="103" t="n">
        <v>0.2866</v>
      </c>
      <c r="W198" s="103" t="n">
        <v>0.0639</v>
      </c>
      <c r="X198" s="103" t="n">
        <v>-0.1365</v>
      </c>
      <c r="Y198" s="99" t="inlineStr">
        <is>
          <t>20250922~20261002</t>
        </is>
      </c>
      <c r="Z198" s="99" t="inlineStr"/>
      <c r="AA198">
        <f>IF(AND($J198&lt;&gt;"",OR(조회_주기="전체",$R198=조회_주기),$J198&gt;=조회_최소,$J198&lt;=조회_최대),1,0)</f>
        <v/>
      </c>
      <c r="AB198">
        <f>IF($AA198=1,$AB197+1,$AB197)</f>
        <v/>
      </c>
      <c r="AC198">
        <f>IF(검색어="",1,IF(ISNUMBER(SEARCH(검색어,$A198)),1,0))</f>
        <v/>
      </c>
      <c r="AD198">
        <f>IF($AC198=1,$AD197+1,$AD197)</f>
        <v/>
      </c>
      <c r="AE198">
        <f>IFERROR(INDEX($A$4:$A$594,MATCH(195,$AD$4:$AD$594,0)),"")</f>
        <v/>
      </c>
    </row>
    <row r="199">
      <c r="A199" s="99" t="inlineStr">
        <is>
          <t>RISE 테슬라미국채타겟커버드콜혼합(합성)</t>
        </is>
      </c>
      <c r="B199" s="99" t="inlineStr">
        <is>
          <t>0013R0</t>
        </is>
      </c>
      <c r="C199" s="99" t="inlineStr">
        <is>
          <t>KB자산운용</t>
        </is>
      </c>
      <c r="D199" s="100" t="n">
        <v>7325</v>
      </c>
      <c r="E199" s="100" t="n">
        <v>26370000000</v>
      </c>
      <c r="F199" s="100" t="n">
        <v>131169576</v>
      </c>
      <c r="G199" s="101" t="n">
        <v>0.0025</v>
      </c>
      <c r="H199" s="101" t="n">
        <v>0.1882</v>
      </c>
      <c r="I199" s="101" t="n">
        <v>0.0109</v>
      </c>
      <c r="J199" s="101" t="n">
        <v>0.183481</v>
      </c>
      <c r="K199" s="100" t="n">
        <v>19</v>
      </c>
      <c r="L199" s="102" t="inlineStr">
        <is>
          <t>20260929</t>
        </is>
      </c>
      <c r="M199" s="99" t="inlineStr">
        <is>
          <t>제외</t>
        </is>
      </c>
      <c r="N199" s="99" t="inlineStr">
        <is>
          <t>순자산 264억(기준 300억 미만), 60일 거래대금 1.3억(기준 5억 미만)</t>
        </is>
      </c>
      <c r="O199" s="99" t="inlineStr">
        <is>
          <t>KEDI Tesla U.S. 30Y Treasury 15% Target Premium Balanced Ind</t>
        </is>
      </c>
      <c r="P199" s="99" t="inlineStr">
        <is>
          <t>커버드콜</t>
        </is>
      </c>
      <c r="Q199" s="99" t="inlineStr">
        <is>
          <t>멀티에셋</t>
        </is>
      </c>
      <c r="R199" s="99" t="inlineStr">
        <is>
          <t>월배당</t>
        </is>
      </c>
      <c r="S199" s="100" t="n">
        <v>11</v>
      </c>
      <c r="T199" s="101" t="n">
        <v>0.7016</v>
      </c>
      <c r="U199" s="103" t="n">
        <v>-0.1061</v>
      </c>
      <c r="V199" s="103" t="n">
        <v>-0.2453</v>
      </c>
      <c r="W199" s="103" t="n">
        <v>-0.216</v>
      </c>
      <c r="X199" s="103" t="n">
        <v>-0.2168</v>
      </c>
      <c r="Y199" s="99" t="inlineStr">
        <is>
          <t>20250922~20261002</t>
        </is>
      </c>
      <c r="Z199" s="99" t="inlineStr"/>
      <c r="AA199">
        <f>IF(AND($J199&lt;&gt;"",OR(조회_주기="전체",$R199=조회_주기),$J199&gt;=조회_최소,$J199&lt;=조회_최대),1,0)</f>
        <v/>
      </c>
      <c r="AB199">
        <f>IF($AA199=1,$AB198+1,$AB198)</f>
        <v/>
      </c>
      <c r="AC199">
        <f>IF(검색어="",1,IF(ISNUMBER(SEARCH(검색어,$A199)),1,0))</f>
        <v/>
      </c>
      <c r="AD199">
        <f>IF($AC199=1,$AD198+1,$AD198)</f>
        <v/>
      </c>
      <c r="AE199">
        <f>IFERROR(INDEX($A$4:$A$594,MATCH(196,$AD$4:$AD$594,0)),"")</f>
        <v/>
      </c>
    </row>
    <row r="200">
      <c r="A200" s="99" t="inlineStr">
        <is>
          <t>RISE 미국배당100데일리고정커버드콜</t>
        </is>
      </c>
      <c r="B200" s="99" t="inlineStr">
        <is>
          <t>490600</t>
        </is>
      </c>
      <c r="C200" s="99" t="inlineStr">
        <is>
          <t>KB자산운용</t>
        </is>
      </c>
      <c r="D200" s="100" t="n">
        <v>8420</v>
      </c>
      <c r="E200" s="100" t="n">
        <v>161664000000</v>
      </c>
      <c r="F200" s="100" t="n">
        <v>2237424638</v>
      </c>
      <c r="G200" s="101" t="n">
        <v>0.0025</v>
      </c>
      <c r="H200" s="101" t="n">
        <v>0.1464</v>
      </c>
      <c r="I200" s="101" t="n">
        <v>0.01</v>
      </c>
      <c r="J200" s="101" t="n">
        <v>0.17304</v>
      </c>
      <c r="K200" s="100" t="n">
        <v>24</v>
      </c>
      <c r="L200" s="102" t="inlineStr">
        <is>
          <t>20260914</t>
        </is>
      </c>
      <c r="M200" s="99" t="inlineStr">
        <is>
          <t>제외</t>
        </is>
      </c>
      <c r="N200" s="99" t="inlineStr">
        <is>
          <t>분배율 대조 불일치(연분배율 계산 17.3040% vs ETFCHECK 16.4819% (차 0.8221%p &gt; 허용 0.3296%p))</t>
        </is>
      </c>
      <c r="O200" s="99" t="inlineStr">
        <is>
          <t>KEDI U.S. Dividend100 90% Participation + Daily Options Prem</t>
        </is>
      </c>
      <c r="P200" s="99" t="inlineStr">
        <is>
          <t>커버드콜</t>
        </is>
      </c>
      <c r="Q200" s="99" t="inlineStr">
        <is>
          <t>주식</t>
        </is>
      </c>
      <c r="R200" s="99" t="inlineStr">
        <is>
          <t>월배당</t>
        </is>
      </c>
      <c r="S200" s="100" t="n">
        <v>11</v>
      </c>
      <c r="T200" s="101" t="n">
        <v>0.6891</v>
      </c>
      <c r="U200" s="103" t="n">
        <v>0.1147</v>
      </c>
      <c r="V200" s="103" t="n">
        <v>-0.0505</v>
      </c>
      <c r="W200" s="103" t="n">
        <v>-0.1</v>
      </c>
      <c r="X200" s="103" t="n">
        <v>-0.1425</v>
      </c>
      <c r="Y200" s="99" t="inlineStr">
        <is>
          <t>20250922~20261002</t>
        </is>
      </c>
      <c r="Z200" s="99" t="inlineStr"/>
      <c r="AA200">
        <f>IF(AND($J200&lt;&gt;"",OR(조회_주기="전체",$R200=조회_주기),$J200&gt;=조회_최소,$J200&lt;=조회_최대),1,0)</f>
        <v/>
      </c>
      <c r="AB200">
        <f>IF($AA200=1,$AB199+1,$AB199)</f>
        <v/>
      </c>
      <c r="AC200">
        <f>IF(검색어="",1,IF(ISNUMBER(SEARCH(검색어,$A200)),1,0))</f>
        <v/>
      </c>
      <c r="AD200">
        <f>IF($AC200=1,$AD199+1,$AD199)</f>
        <v/>
      </c>
      <c r="AE200">
        <f>IFERROR(INDEX($A$4:$A$594,MATCH(197,$AD$4:$AD$594,0)),"")</f>
        <v/>
      </c>
    </row>
    <row r="201">
      <c r="A201" s="99" t="inlineStr">
        <is>
          <t>RISE 차이나테크TOP10위클리타겟커버드콜</t>
        </is>
      </c>
      <c r="B201" s="99" t="inlineStr">
        <is>
          <t>0094L0</t>
        </is>
      </c>
      <c r="C201" s="99" t="inlineStr">
        <is>
          <t>KB자산운용</t>
        </is>
      </c>
      <c r="D201" s="100" t="n">
        <v>6595</v>
      </c>
      <c r="E201" s="100" t="n">
        <v>9233000000</v>
      </c>
      <c r="F201" s="100" t="n">
        <v>54072089</v>
      </c>
      <c r="G201" s="101" t="n">
        <v>0.003</v>
      </c>
      <c r="H201" s="101" t="n">
        <v>0.2773</v>
      </c>
      <c r="I201" s="101" t="n">
        <v>0.0102</v>
      </c>
      <c r="J201" s="101" t="n">
        <v>0.160425</v>
      </c>
      <c r="K201" s="100" t="n">
        <v>13</v>
      </c>
      <c r="L201" s="102" t="inlineStr">
        <is>
          <t>20260929</t>
        </is>
      </c>
      <c r="M201" s="99" t="inlineStr">
        <is>
          <t>제외</t>
        </is>
      </c>
      <c r="N201" s="99" t="inlineStr">
        <is>
          <t>순자산 92억(기준 300억 미만), 60일 거래대금 0.5억(기준 5억 미만)</t>
        </is>
      </c>
      <c r="O201" s="99" t="inlineStr">
        <is>
          <t>Bloomberg China Tech Select Top 10 + 12% Target Premium Week</t>
        </is>
      </c>
      <c r="P201" s="99" t="inlineStr">
        <is>
          <t>커버드콜</t>
        </is>
      </c>
      <c r="Q201" s="99" t="inlineStr">
        <is>
          <t>주식</t>
        </is>
      </c>
      <c r="R201" s="99" t="inlineStr">
        <is>
          <t>월배당</t>
        </is>
      </c>
      <c r="S201" s="100" t="n">
        <v>11</v>
      </c>
      <c r="T201" s="101" t="n">
        <v>0.2817</v>
      </c>
      <c r="U201" s="103" t="n">
        <v>-0.3115</v>
      </c>
      <c r="V201" s="103" t="n">
        <v>-0.4053</v>
      </c>
      <c r="W201" s="103" t="n">
        <v>-0.2675</v>
      </c>
      <c r="X201" s="103" t="n">
        <v>-0.1778</v>
      </c>
      <c r="Y201" s="99" t="inlineStr">
        <is>
          <t>20250922~20261002</t>
        </is>
      </c>
      <c r="Z201" s="99" t="inlineStr"/>
      <c r="AA201">
        <f>IF(AND($J201&lt;&gt;"",OR(조회_주기="전체",$R201=조회_주기),$J201&gt;=조회_최소,$J201&lt;=조회_최대),1,0)</f>
        <v/>
      </c>
      <c r="AB201">
        <f>IF($AA201=1,$AB200+1,$AB200)</f>
        <v/>
      </c>
      <c r="AC201">
        <f>IF(검색어="",1,IF(ISNUMBER(SEARCH(검색어,$A201)),1,0))</f>
        <v/>
      </c>
      <c r="AD201">
        <f>IF($AC201=1,$AD200+1,$AD200)</f>
        <v/>
      </c>
      <c r="AE201">
        <f>IFERROR(INDEX($A$4:$A$594,MATCH(198,$AD$4:$AD$594,0)),"")</f>
        <v/>
      </c>
    </row>
    <row r="202">
      <c r="A202" s="99" t="inlineStr">
        <is>
          <t>FOCUS 알리바바미국채커버드콜혼합</t>
        </is>
      </c>
      <c r="B202" s="99" t="inlineStr">
        <is>
          <t>0073X0</t>
        </is>
      </c>
      <c r="C202" s="99" t="inlineStr">
        <is>
          <t>브이아이자산운용</t>
        </is>
      </c>
      <c r="D202" s="100" t="n">
        <v>8275</v>
      </c>
      <c r="E202" s="100" t="n">
        <v>4551250000</v>
      </c>
      <c r="F202" s="100" t="n">
        <v>21185876</v>
      </c>
      <c r="G202" s="101" t="n">
        <v>0.0036</v>
      </c>
      <c r="H202" s="101" t="n">
        <v>0.1666</v>
      </c>
      <c r="I202" s="101" t="n">
        <v>0.0092</v>
      </c>
      <c r="J202" s="101" t="n">
        <v>0.151057</v>
      </c>
      <c r="K202" s="100" t="n">
        <v>15</v>
      </c>
      <c r="L202" s="102" t="inlineStr">
        <is>
          <t>20260929</t>
        </is>
      </c>
      <c r="M202" s="99" t="inlineStr">
        <is>
          <t>제외</t>
        </is>
      </c>
      <c r="N202" s="99" t="inlineStr">
        <is>
          <t>순자산 46억(기준 300억 미만), 60일 거래대금 0.2억(기준 5억 미만)</t>
        </is>
      </c>
      <c r="O202" s="99" t="inlineStr">
        <is>
          <t>KEDI 알리바바 미국채커버드콜혼합지수(TR)</t>
        </is>
      </c>
      <c r="P202" s="99" t="inlineStr">
        <is>
          <t>커버드콜</t>
        </is>
      </c>
      <c r="Q202" s="99" t="inlineStr">
        <is>
          <t>멀티에셋</t>
        </is>
      </c>
      <c r="R202" s="99" t="inlineStr">
        <is>
          <t>월배당</t>
        </is>
      </c>
      <c r="S202" s="100" t="n">
        <v>11</v>
      </c>
      <c r="T202" s="101" t="n">
        <v>0.7944</v>
      </c>
      <c r="U202" s="103" t="n">
        <v>-0.1631</v>
      </c>
      <c r="V202" s="103" t="n">
        <v>-0.273</v>
      </c>
      <c r="W202" s="103" t="n">
        <v>-0.2222</v>
      </c>
      <c r="X202" s="103" t="n">
        <v>-0.1677</v>
      </c>
      <c r="Y202" s="99" t="inlineStr">
        <is>
          <t>20250922~20261002</t>
        </is>
      </c>
      <c r="Z202" s="99" t="inlineStr"/>
      <c r="AA202">
        <f>IF(AND($J202&lt;&gt;"",OR(조회_주기="전체",$R202=조회_주기),$J202&gt;=조회_최소,$J202&lt;=조회_최대),1,0)</f>
        <v/>
      </c>
      <c r="AB202">
        <f>IF($AA202=1,$AB201+1,$AB201)</f>
        <v/>
      </c>
      <c r="AC202">
        <f>IF(검색어="",1,IF(ISNUMBER(SEARCH(검색어,$A202)),1,0))</f>
        <v/>
      </c>
      <c r="AD202">
        <f>IF($AC202=1,$AD201+1,$AD201)</f>
        <v/>
      </c>
      <c r="AE202">
        <f>IFERROR(INDEX($A$4:$A$594,MATCH(199,$AD$4:$AD$594,0)),"")</f>
        <v/>
      </c>
    </row>
    <row r="203">
      <c r="A203" s="99" t="inlineStr">
        <is>
          <t>KODEX 200타겟위클리커버드콜</t>
        </is>
      </c>
      <c r="B203" s="99" t="inlineStr">
        <is>
          <t>498400</t>
        </is>
      </c>
      <c r="C203" s="99" t="inlineStr">
        <is>
          <t>삼성자산운용(ETF)</t>
        </is>
      </c>
      <c r="D203" s="100" t="n">
        <v>20855</v>
      </c>
      <c r="E203" s="100" t="n">
        <v>6058377500000</v>
      </c>
      <c r="F203" s="100" t="n">
        <v>151464089222</v>
      </c>
      <c r="G203" s="101" t="n">
        <v>0.0039</v>
      </c>
      <c r="H203" s="101" t="n">
        <v>0.5670000000000001</v>
      </c>
      <c r="I203" s="101" t="n">
        <v>0.0145</v>
      </c>
      <c r="J203" s="101" t="n">
        <v>0.149892</v>
      </c>
      <c r="K203" s="100" t="n">
        <v>21</v>
      </c>
      <c r="L203" s="102" t="inlineStr">
        <is>
          <t>20260914</t>
        </is>
      </c>
      <c r="M203" s="99" t="inlineStr">
        <is>
          <t>제외</t>
        </is>
      </c>
      <c r="N203" s="99" t="inlineStr">
        <is>
          <t>변동성 56.7%(1년 기준, 기준 35% 초과), 분배율 대조 불일치(연분배율 계산 14.9892% vs ETFCHECK 15.4180% (차 0.4288%p &gt; 허용 0.3084%p))</t>
        </is>
      </c>
      <c r="O203" s="99" t="inlineStr">
        <is>
          <t>코스피 200 타겟 15% 위클리 커버드콜 지수</t>
        </is>
      </c>
      <c r="P203" s="99" t="inlineStr">
        <is>
          <t>커버드콜</t>
        </is>
      </c>
      <c r="Q203" s="99" t="inlineStr">
        <is>
          <t>주식</t>
        </is>
      </c>
      <c r="R203" s="99" t="inlineStr">
        <is>
          <t>월배당</t>
        </is>
      </c>
      <c r="S203" s="100" t="n">
        <v>11</v>
      </c>
      <c r="T203" s="101" t="n">
        <v>0.0384</v>
      </c>
      <c r="U203" s="103" t="n"/>
      <c r="V203" s="103" t="n"/>
      <c r="W203" s="103" t="n"/>
      <c r="X203" s="103" t="n"/>
      <c r="Y203" s="99" t="inlineStr"/>
      <c r="Z203" s="99" t="inlineStr">
        <is>
          <t>창 안 급변일 1일(20260731) — 내지 않음 / 6개월: 창 안 급변일 1일(20260731) — 내지 않음 / 3개월: 창 안 급변일 1일(20260731) — 내지 않음</t>
        </is>
      </c>
      <c r="AA203">
        <f>IF(AND($J203&lt;&gt;"",OR(조회_주기="전체",$R203=조회_주기),$J203&gt;=조회_최소,$J203&lt;=조회_최대),1,0)</f>
        <v/>
      </c>
      <c r="AB203">
        <f>IF($AA203=1,$AB202+1,$AB202)</f>
        <v/>
      </c>
      <c r="AC203">
        <f>IF(검색어="",1,IF(ISNUMBER(SEARCH(검색어,$A203)),1,0))</f>
        <v/>
      </c>
      <c r="AD203">
        <f>IF($AC203=1,$AD202+1,$AD202)</f>
        <v/>
      </c>
      <c r="AE203">
        <f>IFERROR(INDEX($A$4:$A$594,MATCH(200,$AD$4:$AD$594,0)),"")</f>
        <v/>
      </c>
    </row>
    <row r="204">
      <c r="A204" s="99" t="inlineStr">
        <is>
          <t>PLUS 미국배당증가성장주데일리커버드콜</t>
        </is>
      </c>
      <c r="B204" s="99" t="inlineStr">
        <is>
          <t>494420</t>
        </is>
      </c>
      <c r="C204" s="99" t="inlineStr">
        <is>
          <t>한화자산운용</t>
        </is>
      </c>
      <c r="D204" s="100" t="n">
        <v>8645</v>
      </c>
      <c r="E204" s="100" t="n">
        <v>16425500000</v>
      </c>
      <c r="F204" s="100" t="n">
        <v>102206804</v>
      </c>
      <c r="G204" s="101" t="n">
        <v>0.0039</v>
      </c>
      <c r="H204" s="101" t="n">
        <v>0.1442</v>
      </c>
      <c r="I204" s="101" t="n">
        <v>0.0119</v>
      </c>
      <c r="J204" s="101" t="n">
        <v>0.149682</v>
      </c>
      <c r="K204" s="100" t="n">
        <v>23</v>
      </c>
      <c r="L204" s="102" t="inlineStr">
        <is>
          <t>20260914</t>
        </is>
      </c>
      <c r="M204" s="99" t="inlineStr">
        <is>
          <t>제외</t>
        </is>
      </c>
      <c r="N204" s="99" t="inlineStr">
        <is>
          <t>순자산 164억(기준 300억 미만), 60일 거래대금 1.0억(기준 5억 미만)</t>
        </is>
      </c>
      <c r="O204" s="99" t="inlineStr">
        <is>
          <t>Bloomberg U.S. Dividend Growth Partial Covered Call Index</t>
        </is>
      </c>
      <c r="P204" s="99" t="inlineStr">
        <is>
          <t>커버드콜</t>
        </is>
      </c>
      <c r="Q204" s="99" t="inlineStr">
        <is>
          <t>주식</t>
        </is>
      </c>
      <c r="R204" s="99" t="inlineStr">
        <is>
          <t>월배당</t>
        </is>
      </c>
      <c r="S204" s="100" t="n">
        <v>11</v>
      </c>
      <c r="T204" s="101" t="n">
        <v>0.9196</v>
      </c>
      <c r="U204" s="103" t="n">
        <v>0.04219999999999999</v>
      </c>
      <c r="V204" s="103" t="n">
        <v>-0.0946</v>
      </c>
      <c r="W204" s="103" t="n">
        <v>-0.0929</v>
      </c>
      <c r="X204" s="103" t="n">
        <v>-0.1628</v>
      </c>
      <c r="Y204" s="99" t="inlineStr">
        <is>
          <t>20250922~20261002</t>
        </is>
      </c>
      <c r="Z204" s="99" t="inlineStr"/>
      <c r="AA204">
        <f>IF(AND($J204&lt;&gt;"",OR(조회_주기="전체",$R204=조회_주기),$J204&gt;=조회_최소,$J204&lt;=조회_최대),1,0)</f>
        <v/>
      </c>
      <c r="AB204">
        <f>IF($AA204=1,$AB203+1,$AB203)</f>
        <v/>
      </c>
      <c r="AC204">
        <f>IF(검색어="",1,IF(ISNUMBER(SEARCH(검색어,$A204)),1,0))</f>
        <v/>
      </c>
      <c r="AD204">
        <f>IF($AC204=1,$AD203+1,$AD203)</f>
        <v/>
      </c>
      <c r="AE204">
        <f>IFERROR(INDEX($A$4:$A$594,MATCH(201,$AD$4:$AD$594,0)),"")</f>
        <v/>
      </c>
    </row>
    <row r="205">
      <c r="A205" s="99" t="inlineStr">
        <is>
          <t>TIGER 엔비디아미국채커버드콜밸런스(합성)</t>
        </is>
      </c>
      <c r="B205" s="99" t="inlineStr">
        <is>
          <t>0000D0</t>
        </is>
      </c>
      <c r="C205" s="99" t="inlineStr">
        <is>
          <t>미래에셋자산운용</t>
        </is>
      </c>
      <c r="D205" s="100" t="n">
        <v>8580</v>
      </c>
      <c r="E205" s="100" t="n">
        <v>54054000000</v>
      </c>
      <c r="F205" s="100" t="n">
        <v>305128841</v>
      </c>
      <c r="G205" s="101" t="n">
        <v>0.0039</v>
      </c>
      <c r="H205" s="101" t="n">
        <v>0.1708</v>
      </c>
      <c r="I205" s="101" t="n">
        <v>0.01</v>
      </c>
      <c r="J205" s="101" t="n">
        <v>0.138928</v>
      </c>
      <c r="K205" s="100" t="n">
        <v>22</v>
      </c>
      <c r="L205" s="102" t="inlineStr">
        <is>
          <t>20260929</t>
        </is>
      </c>
      <c r="M205" s="99" t="inlineStr">
        <is>
          <t>제외</t>
        </is>
      </c>
      <c r="N205" s="99" t="inlineStr">
        <is>
          <t>60일 거래대금 3.1억(기준 5억 미만)</t>
        </is>
      </c>
      <c r="O205" s="99" t="inlineStr">
        <is>
          <t>KEDI Nvidia U.S. 30Y Treasury Target Covered Call Balanced I</t>
        </is>
      </c>
      <c r="P205" s="99" t="inlineStr">
        <is>
          <t>커버드콜</t>
        </is>
      </c>
      <c r="Q205" s="99" t="inlineStr">
        <is>
          <t>멀티에셋</t>
        </is>
      </c>
      <c r="R205" s="99" t="inlineStr">
        <is>
          <t>월배당</t>
        </is>
      </c>
      <c r="S205" s="100" t="n">
        <v>11</v>
      </c>
      <c r="T205" s="101" t="n">
        <v>0.7701</v>
      </c>
      <c r="U205" s="103" t="n">
        <v>-0.0014</v>
      </c>
      <c r="V205" s="103" t="n">
        <v>-0.1232</v>
      </c>
      <c r="W205" s="103" t="n">
        <v>-0.1328</v>
      </c>
      <c r="X205" s="103" t="n">
        <v>-0.1451</v>
      </c>
      <c r="Y205" s="99" t="inlineStr">
        <is>
          <t>20250922~20261002</t>
        </is>
      </c>
      <c r="Z205" s="99" t="inlineStr"/>
      <c r="AA205">
        <f>IF(AND($J205&lt;&gt;"",OR(조회_주기="전체",$R205=조회_주기),$J205&gt;=조회_최소,$J205&lt;=조회_최대),1,0)</f>
        <v/>
      </c>
      <c r="AB205">
        <f>IF($AA205=1,$AB204+1,$AB204)</f>
        <v/>
      </c>
      <c r="AC205">
        <f>IF(검색어="",1,IF(ISNUMBER(SEARCH(검색어,$A205)),1,0))</f>
        <v/>
      </c>
      <c r="AD205">
        <f>IF($AC205=1,$AD204+1,$AD204)</f>
        <v/>
      </c>
      <c r="AE205">
        <f>IFERROR(INDEX($A$4:$A$594,MATCH(202,$AD$4:$AD$594,0)),"")</f>
        <v/>
      </c>
    </row>
    <row r="206">
      <c r="A206" s="99" t="inlineStr">
        <is>
          <t>KODEX 미국30년국채타겟커버드콜(합성 H)</t>
        </is>
      </c>
      <c r="B206" s="99" t="inlineStr">
        <is>
          <t>481060</t>
        </is>
      </c>
      <c r="C206" s="99" t="inlineStr">
        <is>
          <t>삼성자산운용(ETF)</t>
        </is>
      </c>
      <c r="D206" s="100" t="n">
        <v>7025</v>
      </c>
      <c r="E206" s="100" t="n">
        <v>713388750000</v>
      </c>
      <c r="F206" s="100" t="n">
        <v>4017667338</v>
      </c>
      <c r="G206" s="101" t="n">
        <v>0.0025</v>
      </c>
      <c r="H206" s="101" t="n">
        <v>0.0883</v>
      </c>
      <c r="I206" s="101" t="n">
        <v>0.0101</v>
      </c>
      <c r="J206" s="101" t="n">
        <v>0.137224</v>
      </c>
      <c r="K206" s="100" t="n">
        <v>29</v>
      </c>
      <c r="L206" s="102" t="inlineStr">
        <is>
          <t>20260914</t>
        </is>
      </c>
      <c r="M206" s="99" t="inlineStr">
        <is>
          <t>제외</t>
        </is>
      </c>
      <c r="N206" s="99" t="inlineStr">
        <is>
          <t>분배율 대조 불일치(연분배율 계산 13.7224% vs ETFCHECK 13.1604% (차 0.5620%p &gt; 허용 0.2632%p))</t>
        </is>
      </c>
      <c r="O206" s="99" t="inlineStr">
        <is>
          <t>Bloomberg U.S. Treasury 20+ Year + 12% Premium (TLT) Covered</t>
        </is>
      </c>
      <c r="P206" s="99" t="inlineStr">
        <is>
          <t>커버드콜</t>
        </is>
      </c>
      <c r="Q206" s="99" t="inlineStr">
        <is>
          <t>채권</t>
        </is>
      </c>
      <c r="R206" s="99" t="inlineStr">
        <is>
          <t>월배당</t>
        </is>
      </c>
      <c r="S206" s="100" t="n">
        <v>11</v>
      </c>
      <c r="T206" s="101" t="n">
        <v>0</v>
      </c>
      <c r="U206" s="103" t="n">
        <v>-0.063</v>
      </c>
      <c r="V206" s="103" t="n">
        <v>-0.1756</v>
      </c>
      <c r="W206" s="103" t="n">
        <v>-0.123</v>
      </c>
      <c r="X206" s="103" t="n">
        <v>-0.09119999999999999</v>
      </c>
      <c r="Y206" s="99" t="inlineStr">
        <is>
          <t>20250922~20261002</t>
        </is>
      </c>
      <c r="Z206" s="99" t="inlineStr"/>
      <c r="AA206">
        <f>IF(AND($J206&lt;&gt;"",OR(조회_주기="전체",$R206=조회_주기),$J206&gt;=조회_최소,$J206&lt;=조회_최대),1,0)</f>
        <v/>
      </c>
      <c r="AB206">
        <f>IF($AA206=1,$AB205+1,$AB205)</f>
        <v/>
      </c>
      <c r="AC206">
        <f>IF(검색어="",1,IF(ISNUMBER(SEARCH(검색어,$A206)),1,0))</f>
        <v/>
      </c>
      <c r="AD206">
        <f>IF($AC206=1,$AD205+1,$AD205)</f>
        <v/>
      </c>
      <c r="AE206">
        <f>IFERROR(INDEX($A$4:$A$594,MATCH(203,$AD$4:$AD$594,0)),"")</f>
        <v/>
      </c>
    </row>
    <row r="207">
      <c r="A207" s="99" t="inlineStr">
        <is>
          <t>TIGER 미국배당다우존스타겟데일리커버드콜</t>
        </is>
      </c>
      <c r="B207" s="99" t="inlineStr">
        <is>
          <t>0008S0</t>
        </is>
      </c>
      <c r="C207" s="99" t="inlineStr">
        <is>
          <t>미래에셋자산운용</t>
        </is>
      </c>
      <c r="D207" s="100" t="n">
        <v>9300</v>
      </c>
      <c r="E207" s="100" t="n">
        <v>292485000000</v>
      </c>
      <c r="F207" s="100" t="n">
        <v>3273108236</v>
      </c>
      <c r="G207" s="101" t="n">
        <v>0.0025</v>
      </c>
      <c r="H207" s="101" t="n">
        <v>0.1441</v>
      </c>
      <c r="I207" s="101" t="n">
        <v>0.01</v>
      </c>
      <c r="J207" s="101" t="n">
        <v>0.126559</v>
      </c>
      <c r="K207" s="100" t="n">
        <v>20</v>
      </c>
      <c r="L207" s="102" t="inlineStr">
        <is>
          <t>20260914</t>
        </is>
      </c>
      <c r="M207" s="99" t="inlineStr">
        <is>
          <t>제외</t>
        </is>
      </c>
      <c r="N207" s="99" t="inlineStr">
        <is>
          <t>분배율 대조 불일치(연분배율 계산 12.6559% vs ETFCHECK 12.0656% (차 0.5903%p &gt; 허용 0.2413%p))</t>
        </is>
      </c>
      <c r="O207" s="99" t="inlineStr">
        <is>
          <t>Dow Jones U.S. Dividend 100 10% Daily Premium Covered Call I</t>
        </is>
      </c>
      <c r="P207" s="99" t="inlineStr">
        <is>
          <t>커버드콜</t>
        </is>
      </c>
      <c r="Q207" s="99" t="inlineStr">
        <is>
          <t>주식</t>
        </is>
      </c>
      <c r="R207" s="99" t="inlineStr">
        <is>
          <t>월배당</t>
        </is>
      </c>
      <c r="S207" s="100" t="n">
        <v>11</v>
      </c>
      <c r="T207" s="101" t="n">
        <v>0.8505</v>
      </c>
      <c r="U207" s="103" t="n">
        <v>0.1917</v>
      </c>
      <c r="V207" s="103" t="n">
        <v>0.0571</v>
      </c>
      <c r="W207" s="103" t="n">
        <v>-0.08869999999999999</v>
      </c>
      <c r="X207" s="103" t="n">
        <v>-0.1292</v>
      </c>
      <c r="Y207" s="99" t="inlineStr">
        <is>
          <t>20250922~20261002</t>
        </is>
      </c>
      <c r="Z207" s="99" t="inlineStr"/>
      <c r="AA207">
        <f>IF(AND($J207&lt;&gt;"",OR(조회_주기="전체",$R207=조회_주기),$J207&gt;=조회_최소,$J207&lt;=조회_최대),1,0)</f>
        <v/>
      </c>
      <c r="AB207">
        <f>IF($AA207=1,$AB206+1,$AB206)</f>
        <v/>
      </c>
      <c r="AC207">
        <f>IF(검색어="",1,IF(ISNUMBER(SEARCH(검색어,$A207)),1,0))</f>
        <v/>
      </c>
      <c r="AD207">
        <f>IF($AC207=1,$AD206+1,$AD206)</f>
        <v/>
      </c>
      <c r="AE207">
        <f>IFERROR(INDEX($A$4:$A$594,MATCH(204,$AD$4:$AD$594,0)),"")</f>
        <v/>
      </c>
    </row>
    <row r="208">
      <c r="A208" s="99" t="inlineStr">
        <is>
          <t>SOL 미국500타겟데일리커버드콜액티브</t>
        </is>
      </c>
      <c r="B208" s="99" t="inlineStr">
        <is>
          <t>494210</t>
        </is>
      </c>
      <c r="C208" s="99" t="inlineStr">
        <is>
          <t>신한자산운용</t>
        </is>
      </c>
      <c r="D208" s="100" t="n">
        <v>10665</v>
      </c>
      <c r="E208" s="100" t="n">
        <v>7465500000</v>
      </c>
      <c r="F208" s="100" t="n">
        <v>88792813</v>
      </c>
      <c r="G208" s="101" t="n">
        <v>0.0035</v>
      </c>
      <c r="H208" s="101" t="n">
        <v>0.1581</v>
      </c>
      <c r="I208" s="101" t="n">
        <v>0.01</v>
      </c>
      <c r="J208" s="101" t="n">
        <v>0.12602</v>
      </c>
      <c r="K208" s="100" t="n">
        <v>23</v>
      </c>
      <c r="L208" s="102" t="inlineStr">
        <is>
          <t>20260929</t>
        </is>
      </c>
      <c r="M208" s="99" t="inlineStr">
        <is>
          <t>제외</t>
        </is>
      </c>
      <c r="N208" s="99" t="inlineStr">
        <is>
          <t>순자산 75억(기준 300억 미만), 60일 거래대금 0.9억(기준 5억 미만)</t>
        </is>
      </c>
      <c r="O208" s="99" t="inlineStr">
        <is>
          <t>KEDI U.S. Quality500 + Monthly 1% Premium Index NTR</t>
        </is>
      </c>
      <c r="P208" s="99" t="inlineStr">
        <is>
          <t>커버드콜</t>
        </is>
      </c>
      <c r="Q208" s="99" t="inlineStr">
        <is>
          <t>주식</t>
        </is>
      </c>
      <c r="R208" s="99" t="inlineStr">
        <is>
          <t>월배당</t>
        </is>
      </c>
      <c r="S208" s="100" t="n">
        <v>11</v>
      </c>
      <c r="T208" s="101" t="n">
        <v>1</v>
      </c>
      <c r="U208" s="103" t="n">
        <v>0.1187</v>
      </c>
      <c r="V208" s="103" t="n">
        <v>-0.007800000000000001</v>
      </c>
      <c r="W208" s="103" t="n">
        <v>-0.0033</v>
      </c>
      <c r="X208" s="103" t="n">
        <v>-0.1099</v>
      </c>
      <c r="Y208" s="99" t="inlineStr">
        <is>
          <t>20250922~20261002</t>
        </is>
      </c>
      <c r="Z208" s="99" t="inlineStr"/>
      <c r="AA208">
        <f>IF(AND($J208&lt;&gt;"",OR(조회_주기="전체",$R208=조회_주기),$J208&gt;=조회_최소,$J208&lt;=조회_최대),1,0)</f>
        <v/>
      </c>
      <c r="AB208">
        <f>IF($AA208=1,$AB207+1,$AB207)</f>
        <v/>
      </c>
      <c r="AC208">
        <f>IF(검색어="",1,IF(ISNUMBER(SEARCH(검색어,$A208)),1,0))</f>
        <v/>
      </c>
      <c r="AD208">
        <f>IF($AC208=1,$AD207+1,$AD207)</f>
        <v/>
      </c>
      <c r="AE208">
        <f>IFERROR(INDEX($A$4:$A$594,MATCH(205,$AD$4:$AD$594,0)),"")</f>
        <v/>
      </c>
    </row>
    <row r="209">
      <c r="A209" s="99" t="inlineStr">
        <is>
          <t>TIGER 코리아배당다우존스위클리커버드콜</t>
        </is>
      </c>
      <c r="B209" s="99" t="inlineStr">
        <is>
          <t>0104P0</t>
        </is>
      </c>
      <c r="C209" s="99" t="inlineStr">
        <is>
          <t>미래에셋자산운용</t>
        </is>
      </c>
      <c r="D209" s="100" t="n">
        <v>10730</v>
      </c>
      <c r="E209" s="100" t="n">
        <v>18241000000</v>
      </c>
      <c r="F209" s="100" t="n">
        <v>210940455</v>
      </c>
      <c r="G209" s="101" t="n">
        <v>0.0025</v>
      </c>
      <c r="H209" s="101" t="n">
        <v>0.3059</v>
      </c>
      <c r="I209" s="101" t="n">
        <v>0.01</v>
      </c>
      <c r="J209" s="101" t="n">
        <v>0.119292</v>
      </c>
      <c r="K209" s="100" t="n">
        <v>12</v>
      </c>
      <c r="L209" s="102" t="inlineStr">
        <is>
          <t>20260929</t>
        </is>
      </c>
      <c r="M209" s="99" t="inlineStr">
        <is>
          <t>제외</t>
        </is>
      </c>
      <c r="N209" s="99" t="inlineStr">
        <is>
          <t>순자산 182억(기준 300억 미만), 60일 거래대금 2.1억(기준 5억 미만)</t>
        </is>
      </c>
      <c r="O209" s="99" t="inlineStr">
        <is>
          <t>KRX 다우존스 코리아 배당 30 타겟 7% 위클리 커버드콜 지수</t>
        </is>
      </c>
      <c r="P209" s="99" t="inlineStr">
        <is>
          <t>커버드콜</t>
        </is>
      </c>
      <c r="Q209" s="99" t="inlineStr">
        <is>
          <t>주식</t>
        </is>
      </c>
      <c r="R209" s="99" t="inlineStr">
        <is>
          <t>월배당</t>
        </is>
      </c>
      <c r="S209" s="100" t="n">
        <v>11</v>
      </c>
      <c r="T209" s="101" t="n">
        <v>0.2977</v>
      </c>
      <c r="U209" s="103" t="n">
        <v>0.21</v>
      </c>
      <c r="V209" s="103" t="n">
        <v>0.08109999999999999</v>
      </c>
      <c r="W209" s="103" t="n">
        <v>-0.06809999999999999</v>
      </c>
      <c r="X209" s="103" t="n">
        <v>-0.0522</v>
      </c>
      <c r="Y209" s="99" t="inlineStr">
        <is>
          <t>20250923~20261002</t>
        </is>
      </c>
      <c r="Z209" s="99" t="inlineStr"/>
      <c r="AA209">
        <f>IF(AND($J209&lt;&gt;"",OR(조회_주기="전체",$R209=조회_주기),$J209&gt;=조회_최소,$J209&lt;=조회_최대),1,0)</f>
        <v/>
      </c>
      <c r="AB209">
        <f>IF($AA209=1,$AB208+1,$AB208)</f>
        <v/>
      </c>
      <c r="AC209">
        <f>IF(검색어="",1,IF(ISNUMBER(SEARCH(검색어,$A209)),1,0))</f>
        <v/>
      </c>
      <c r="AD209">
        <f>IF($AC209=1,$AD208+1,$AD208)</f>
        <v/>
      </c>
      <c r="AE209">
        <f>IFERROR(INDEX($A$4:$A$594,MATCH(206,$AD$4:$AD$594,0)),"")</f>
        <v/>
      </c>
    </row>
    <row r="210">
      <c r="A210" s="99" t="inlineStr">
        <is>
          <t>RISE 미국30년국채커버드콜(합성)</t>
        </is>
      </c>
      <c r="B210" s="99" t="inlineStr">
        <is>
          <t>472830</t>
        </is>
      </c>
      <c r="C210" s="99" t="inlineStr">
        <is>
          <t>KB자산운용</t>
        </is>
      </c>
      <c r="D210" s="100" t="n">
        <v>7275</v>
      </c>
      <c r="E210" s="100" t="n">
        <v>40376250000</v>
      </c>
      <c r="F210" s="100" t="n">
        <v>219348195</v>
      </c>
      <c r="G210" s="101" t="n">
        <v>0.0025</v>
      </c>
      <c r="H210" s="101" t="n">
        <v>0.1463</v>
      </c>
      <c r="I210" s="101" t="n">
        <v>0.0069</v>
      </c>
      <c r="J210" s="101" t="n">
        <v>0.115189</v>
      </c>
      <c r="K210" s="100" t="n">
        <v>33</v>
      </c>
      <c r="L210" s="102" t="inlineStr">
        <is>
          <t>20260929</t>
        </is>
      </c>
      <c r="M210" s="99" t="inlineStr">
        <is>
          <t>제외</t>
        </is>
      </c>
      <c r="N210" s="99" t="inlineStr">
        <is>
          <t>60일 거래대금 2.2억(기준 5억 미만)</t>
        </is>
      </c>
      <c r="O210" s="99" t="inlineStr">
        <is>
          <t>Bloomberg U.S. Treasury 20+ Year(TLT) 2% OTM Covered Call In</t>
        </is>
      </c>
      <c r="P210" s="99" t="inlineStr">
        <is>
          <t>커버드콜</t>
        </is>
      </c>
      <c r="Q210" s="99" t="inlineStr">
        <is>
          <t>채권</t>
        </is>
      </c>
      <c r="R210" s="99" t="inlineStr">
        <is>
          <t>월배당</t>
        </is>
      </c>
      <c r="S210" s="100" t="n">
        <v>11</v>
      </c>
      <c r="T210" s="101" t="n">
        <v>0.7017</v>
      </c>
      <c r="U210" s="103" t="n">
        <v>-0.1057</v>
      </c>
      <c r="V210" s="103" t="n">
        <v>-0.1982</v>
      </c>
      <c r="W210" s="103" t="n">
        <v>-0.2176</v>
      </c>
      <c r="X210" s="103" t="n">
        <v>-0.2089</v>
      </c>
      <c r="Y210" s="99" t="inlineStr">
        <is>
          <t>20250922~20261002</t>
        </is>
      </c>
      <c r="Z210" s="99" t="inlineStr"/>
      <c r="AA210">
        <f>IF(AND($J210&lt;&gt;"",OR(조회_주기="전체",$R210=조회_주기),$J210&gt;=조회_최소,$J210&lt;=조회_최대),1,0)</f>
        <v/>
      </c>
      <c r="AB210">
        <f>IF($AA210=1,$AB209+1,$AB209)</f>
        <v/>
      </c>
      <c r="AC210">
        <f>IF(검색어="",1,IF(ISNUMBER(SEARCH(검색어,$A210)),1,0))</f>
        <v/>
      </c>
      <c r="AD210">
        <f>IF($AC210=1,$AD209+1,$AD209)</f>
        <v/>
      </c>
      <c r="AE210">
        <f>IFERROR(INDEX($A$4:$A$594,MATCH(207,$AD$4:$AD$594,0)),"")</f>
        <v/>
      </c>
    </row>
    <row r="211">
      <c r="A211" s="99" t="inlineStr">
        <is>
          <t>RISE 200고배당커버드콜ATM</t>
        </is>
      </c>
      <c r="B211" s="99" t="inlineStr">
        <is>
          <t>290080</t>
        </is>
      </c>
      <c r="C211" s="99" t="inlineStr">
        <is>
          <t>KB자산운용</t>
        </is>
      </c>
      <c r="D211" s="100" t="n">
        <v>7240</v>
      </c>
      <c r="E211" s="100" t="n">
        <v>12670000000</v>
      </c>
      <c r="F211" s="100" t="n">
        <v>175746741</v>
      </c>
      <c r="G211" s="101" t="n">
        <v>0.004</v>
      </c>
      <c r="H211" s="101" t="n">
        <v>0.311</v>
      </c>
      <c r="I211" s="101" t="n">
        <v>0.007800000000000001</v>
      </c>
      <c r="J211" s="101" t="n">
        <v>0.108425</v>
      </c>
      <c r="K211" s="100" t="n">
        <v>50</v>
      </c>
      <c r="L211" s="102" t="inlineStr">
        <is>
          <t>20260929</t>
        </is>
      </c>
      <c r="M211" s="99" t="inlineStr">
        <is>
          <t>제외</t>
        </is>
      </c>
      <c r="N211" s="99" t="inlineStr">
        <is>
          <t>순자산 127억(기준 300억 미만), 60일 거래대금 1.8억(기준 5억 미만)</t>
        </is>
      </c>
      <c r="O211" s="99" t="inlineStr">
        <is>
          <t>코스피 200 고배당 커버드콜 ATM</t>
        </is>
      </c>
      <c r="P211" s="99" t="inlineStr">
        <is>
          <t>커버드콜</t>
        </is>
      </c>
      <c r="Q211" s="99" t="inlineStr">
        <is>
          <t>주식</t>
        </is>
      </c>
      <c r="R211" s="99" t="inlineStr">
        <is>
          <t>월배당</t>
        </is>
      </c>
      <c r="S211" s="100" t="n">
        <v>11</v>
      </c>
      <c r="T211" s="101" t="n">
        <v>0.3605</v>
      </c>
      <c r="U211" s="103" t="n">
        <v>-0.1342</v>
      </c>
      <c r="V211" s="103" t="n">
        <v>-0.2186</v>
      </c>
      <c r="W211" s="103" t="n">
        <v>-0.128</v>
      </c>
      <c r="X211" s="103" t="n">
        <v>0.1321</v>
      </c>
      <c r="Y211" s="99" t="inlineStr">
        <is>
          <t>20250922~20261002</t>
        </is>
      </c>
      <c r="Z211" s="99" t="inlineStr"/>
      <c r="AA211">
        <f>IF(AND($J211&lt;&gt;"",OR(조회_주기="전체",$R211=조회_주기),$J211&gt;=조회_최소,$J211&lt;=조회_최대),1,0)</f>
        <v/>
      </c>
      <c r="AB211">
        <f>IF($AA211=1,$AB210+1,$AB210)</f>
        <v/>
      </c>
      <c r="AC211">
        <f>IF(검색어="",1,IF(ISNUMBER(SEARCH(검색어,$A211)),1,0))</f>
        <v/>
      </c>
      <c r="AD211">
        <f>IF($AC211=1,$AD210+1,$AD210)</f>
        <v/>
      </c>
      <c r="AE211">
        <f>IFERROR(INDEX($A$4:$A$594,MATCH(208,$AD$4:$AD$594,0)),"")</f>
        <v/>
      </c>
    </row>
    <row r="212">
      <c r="A212" s="99" t="inlineStr">
        <is>
          <t>KODEX 미국배당커버드콜액티브</t>
        </is>
      </c>
      <c r="B212" s="99" t="inlineStr">
        <is>
          <t>441640</t>
        </is>
      </c>
      <c r="C212" s="99" t="inlineStr">
        <is>
          <t>삼성자산운용(ETF)</t>
        </is>
      </c>
      <c r="D212" s="100" t="n">
        <v>12120</v>
      </c>
      <c r="E212" s="100" t="n">
        <v>1689528000000</v>
      </c>
      <c r="F212" s="100" t="n">
        <v>11905617746</v>
      </c>
      <c r="G212" s="101" t="n">
        <v>0.0019</v>
      </c>
      <c r="H212" s="101" t="n">
        <v>0.1237</v>
      </c>
      <c r="I212" s="101" t="n">
        <v>0.007800000000000001</v>
      </c>
      <c r="J212" s="101" t="n">
        <v>0.09769</v>
      </c>
      <c r="K212" s="100" t="n">
        <v>48</v>
      </c>
      <c r="L212" s="102" t="inlineStr">
        <is>
          <t>20260914</t>
        </is>
      </c>
      <c r="M212" s="99" t="inlineStr">
        <is>
          <t>제외</t>
        </is>
      </c>
      <c r="N212" s="99" t="inlineStr">
        <is>
          <t>분배율 대조 불일치(연분배율 계산 9.7690% vs ETFCHECK 9.5139% (차 0.2551%p &gt; 허용 0.1903%p))</t>
        </is>
      </c>
      <c r="O212" s="99" t="inlineStr">
        <is>
          <t>S&amp;P 500</t>
        </is>
      </c>
      <c r="P212" s="99" t="inlineStr">
        <is>
          <t>커버드콜</t>
        </is>
      </c>
      <c r="Q212" s="99" t="inlineStr">
        <is>
          <t>주식</t>
        </is>
      </c>
      <c r="R212" s="99" t="inlineStr">
        <is>
          <t>월배당</t>
        </is>
      </c>
      <c r="S212" s="100" t="n">
        <v>11</v>
      </c>
      <c r="T212" s="101" t="n">
        <v>1</v>
      </c>
      <c r="U212" s="103" t="n">
        <v>0.0975</v>
      </c>
      <c r="V212" s="103" t="n">
        <v>-0.0005999999999999999</v>
      </c>
      <c r="W212" s="103" t="n">
        <v>-0.0587</v>
      </c>
      <c r="X212" s="103" t="n">
        <v>-0.1123</v>
      </c>
      <c r="Y212" s="99" t="inlineStr">
        <is>
          <t>20250922~20261002</t>
        </is>
      </c>
      <c r="Z212" s="99" t="inlineStr"/>
      <c r="AA212">
        <f>IF(AND($J212&lt;&gt;"",OR(조회_주기="전체",$R212=조회_주기),$J212&gt;=조회_최소,$J212&lt;=조회_최대),1,0)</f>
        <v/>
      </c>
      <c r="AB212">
        <f>IF($AA212=1,$AB211+1,$AB211)</f>
        <v/>
      </c>
      <c r="AC212">
        <f>IF(검색어="",1,IF(ISNUMBER(SEARCH(검색어,$A212)),1,0))</f>
        <v/>
      </c>
      <c r="AD212">
        <f>IF($AC212=1,$AD211+1,$AD211)</f>
        <v/>
      </c>
      <c r="AE212">
        <f>IFERROR(INDEX($A$4:$A$594,MATCH(209,$AD$4:$AD$594,0)),"")</f>
        <v/>
      </c>
    </row>
    <row r="213">
      <c r="A213" s="99" t="inlineStr">
        <is>
          <t>PLUS K리츠</t>
        </is>
      </c>
      <c r="B213" s="99" t="inlineStr">
        <is>
          <t>429740</t>
        </is>
      </c>
      <c r="C213" s="99" t="inlineStr">
        <is>
          <t>한화자산운용</t>
        </is>
      </c>
      <c r="D213" s="100" t="n">
        <v>6010</v>
      </c>
      <c r="E213" s="100" t="n">
        <v>6010000000</v>
      </c>
      <c r="F213" s="100" t="n">
        <v>30535404</v>
      </c>
      <c r="G213" s="101" t="n">
        <v>0.0025</v>
      </c>
      <c r="H213" s="101" t="n">
        <v>0.2047</v>
      </c>
      <c r="I213" s="101" t="n">
        <v>0.0213</v>
      </c>
      <c r="J213" s="101" t="n">
        <v>0.08236300000000001</v>
      </c>
      <c r="K213" s="100" t="n">
        <v>36</v>
      </c>
      <c r="L213" s="102" t="inlineStr">
        <is>
          <t>20260929</t>
        </is>
      </c>
      <c r="M213" s="99" t="inlineStr">
        <is>
          <t>제외</t>
        </is>
      </c>
      <c r="N213" s="99" t="inlineStr">
        <is>
          <t>순자산 60억(기준 300억 미만), 60일 거래대금 0.3억(기준 5억 미만)</t>
        </is>
      </c>
      <c r="O213" s="99" t="inlineStr">
        <is>
          <t>FnGuide 리츠 지수</t>
        </is>
      </c>
      <c r="P213" s="99" t="inlineStr">
        <is>
          <t>일반</t>
        </is>
      </c>
      <c r="Q213" s="99" t="inlineStr">
        <is>
          <t>부동산</t>
        </is>
      </c>
      <c r="R213" s="99" t="inlineStr">
        <is>
          <t>월배당</t>
        </is>
      </c>
      <c r="S213" s="100" t="n">
        <v>11</v>
      </c>
      <c r="T213" s="101" t="n">
        <v>0.8788</v>
      </c>
      <c r="U213" s="103" t="n">
        <v>-0.0552</v>
      </c>
      <c r="V213" s="103" t="n">
        <v>-0.1265</v>
      </c>
      <c r="W213" s="103" t="n">
        <v>-0.1581</v>
      </c>
      <c r="X213" s="103" t="n">
        <v>0.0009</v>
      </c>
      <c r="Y213" s="99" t="inlineStr">
        <is>
          <t>20250922~20261002</t>
        </is>
      </c>
      <c r="Z213" s="99" t="inlineStr"/>
      <c r="AA213">
        <f>IF(AND($J213&lt;&gt;"",OR(조회_주기="전체",$R213=조회_주기),$J213&gt;=조회_최소,$J213&lt;=조회_최대),1,0)</f>
        <v/>
      </c>
      <c r="AB213">
        <f>IF($AA213=1,$AB212+1,$AB212)</f>
        <v/>
      </c>
      <c r="AC213">
        <f>IF(검색어="",1,IF(ISNUMBER(SEARCH(검색어,$A213)),1,0))</f>
        <v/>
      </c>
      <c r="AD213">
        <f>IF($AC213=1,$AD212+1,$AD212)</f>
        <v/>
      </c>
      <c r="AE213">
        <f>IFERROR(INDEX($A$4:$A$594,MATCH(210,$AD$4:$AD$594,0)),"")</f>
        <v/>
      </c>
    </row>
    <row r="214">
      <c r="A214" s="99" t="inlineStr">
        <is>
          <t>TIME Korea플러스배당액티브</t>
        </is>
      </c>
      <c r="B214" s="99" t="inlineStr">
        <is>
          <t>441800</t>
        </is>
      </c>
      <c r="C214" s="99" t="inlineStr">
        <is>
          <t>타임폴리오자산운용</t>
        </is>
      </c>
      <c r="D214" s="100" t="n">
        <v>28650</v>
      </c>
      <c r="E214" s="100" t="n">
        <v>790740000000</v>
      </c>
      <c r="F214" s="100" t="n">
        <v>8105913237</v>
      </c>
      <c r="G214" s="101" t="n">
        <v>0.008</v>
      </c>
      <c r="H214" s="101" t="n">
        <v>0.49</v>
      </c>
      <c r="I214" s="101" t="n">
        <v>0.0102</v>
      </c>
      <c r="J214" s="101" t="n">
        <v>0.07993</v>
      </c>
      <c r="K214" s="100" t="n">
        <v>48</v>
      </c>
      <c r="L214" s="102" t="inlineStr">
        <is>
          <t>20260929</t>
        </is>
      </c>
      <c r="M214" s="99" t="inlineStr">
        <is>
          <t>제외</t>
        </is>
      </c>
      <c r="N214" s="99" t="inlineStr">
        <is>
          <t>변동성 49.0%(1년 기준, 기준 35% 초과)</t>
        </is>
      </c>
      <c r="O214" s="99" t="inlineStr">
        <is>
          <t>KOSPI 200</t>
        </is>
      </c>
      <c r="P214" s="99" t="inlineStr">
        <is>
          <t>일반</t>
        </is>
      </c>
      <c r="Q214" s="99" t="inlineStr">
        <is>
          <t>주식</t>
        </is>
      </c>
      <c r="R214" s="99" t="inlineStr">
        <is>
          <t>월배당</t>
        </is>
      </c>
      <c r="S214" s="100" t="n">
        <v>11</v>
      </c>
      <c r="T214" s="101" t="n">
        <v>0.1393</v>
      </c>
      <c r="U214" s="103" t="n">
        <v>0.8039000000000001</v>
      </c>
      <c r="V214" s="103" t="n">
        <v>0.6707</v>
      </c>
      <c r="W214" s="103" t="n">
        <v>0.1177</v>
      </c>
      <c r="X214" s="103" t="n">
        <v>-0.1577</v>
      </c>
      <c r="Y214" s="99" t="inlineStr">
        <is>
          <t>20250922~20261002</t>
        </is>
      </c>
      <c r="Z214" s="99" t="inlineStr"/>
      <c r="AA214">
        <f>IF(AND($J214&lt;&gt;"",OR(조회_주기="전체",$R214=조회_주기),$J214&gt;=조회_최소,$J214&lt;=조회_최대),1,0)</f>
        <v/>
      </c>
      <c r="AB214">
        <f>IF($AA214=1,$AB213+1,$AB213)</f>
        <v/>
      </c>
      <c r="AC214">
        <f>IF(검색어="",1,IF(ISNUMBER(SEARCH(검색어,$A214)),1,0))</f>
        <v/>
      </c>
      <c r="AD214">
        <f>IF($AC214=1,$AD213+1,$AD213)</f>
        <v/>
      </c>
      <c r="AE214">
        <f>IFERROR(INDEX($A$4:$A$594,MATCH(211,$AD$4:$AD$594,0)),"")</f>
        <v/>
      </c>
    </row>
    <row r="215">
      <c r="A215" s="99" t="inlineStr">
        <is>
          <t>ACE 미국배당퀄리티+커버드콜액티브</t>
        </is>
      </c>
      <c r="B215" s="99" t="inlineStr">
        <is>
          <t>0049M0</t>
        </is>
      </c>
      <c r="C215" s="99" t="inlineStr">
        <is>
          <t>한국투신운용(ETF)</t>
        </is>
      </c>
      <c r="D215" s="100" t="n">
        <v>10955</v>
      </c>
      <c r="E215" s="100" t="n">
        <v>77232750000</v>
      </c>
      <c r="F215" s="100" t="n">
        <v>353216951</v>
      </c>
      <c r="G215" s="101" t="n">
        <v>0.0015</v>
      </c>
      <c r="H215" s="101" t="n">
        <v>0.1293</v>
      </c>
      <c r="I215" s="101" t="n">
        <v>0.006</v>
      </c>
      <c r="J215" s="101" t="n">
        <v>0.076221</v>
      </c>
      <c r="K215" s="100" t="n">
        <v>16</v>
      </c>
      <c r="L215" s="102" t="inlineStr">
        <is>
          <t>20260929</t>
        </is>
      </c>
      <c r="M215" s="99" t="inlineStr">
        <is>
          <t>제외</t>
        </is>
      </c>
      <c r="N215" s="99" t="inlineStr">
        <is>
          <t>60일 거래대금 3.5억(기준 5억 미만)</t>
        </is>
      </c>
      <c r="O215" s="99" t="inlineStr">
        <is>
          <t>Bloomberg WisdomTree U.S. Quality Dividend &amp; B500 Premium De</t>
        </is>
      </c>
      <c r="P215" s="99" t="inlineStr">
        <is>
          <t>커버드콜</t>
        </is>
      </c>
      <c r="Q215" s="99" t="inlineStr">
        <is>
          <t>주식</t>
        </is>
      </c>
      <c r="R215" s="99" t="inlineStr">
        <is>
          <t>월배당</t>
        </is>
      </c>
      <c r="S215" s="100" t="n">
        <v>11</v>
      </c>
      <c r="T215" s="101" t="n">
        <v>1</v>
      </c>
      <c r="U215" s="103" t="n">
        <v>0.08740000000000001</v>
      </c>
      <c r="V215" s="103" t="n">
        <v>0.0101</v>
      </c>
      <c r="W215" s="103" t="n">
        <v>-0.045</v>
      </c>
      <c r="X215" s="103" t="n">
        <v>-0.1105</v>
      </c>
      <c r="Y215" s="99" t="inlineStr">
        <is>
          <t>20250922~20261002</t>
        </is>
      </c>
      <c r="Z215" s="99" t="inlineStr"/>
      <c r="AA215">
        <f>IF(AND($J215&lt;&gt;"",OR(조회_주기="전체",$R215=조회_주기),$J215&gt;=조회_최소,$J215&lt;=조회_최대),1,0)</f>
        <v/>
      </c>
      <c r="AB215">
        <f>IF($AA215=1,$AB214+1,$AB214)</f>
        <v/>
      </c>
      <c r="AC215">
        <f>IF(검색어="",1,IF(ISNUMBER(SEARCH(검색어,$A215)),1,0))</f>
        <v/>
      </c>
      <c r="AD215">
        <f>IF($AC215=1,$AD214+1,$AD214)</f>
        <v/>
      </c>
      <c r="AE215">
        <f>IFERROR(INDEX($A$4:$A$594,MATCH(212,$AD$4:$AD$594,0)),"")</f>
        <v/>
      </c>
    </row>
    <row r="216">
      <c r="A216" s="99" t="inlineStr">
        <is>
          <t>HK 종합채권(AA-이상)액티브</t>
        </is>
      </c>
      <c r="B216" s="99" t="inlineStr">
        <is>
          <t>472920</t>
        </is>
      </c>
      <c r="C216" s="99" t="inlineStr">
        <is>
          <t>흥국자산운용</t>
        </is>
      </c>
      <c r="D216" s="100" t="n">
        <v>98505</v>
      </c>
      <c r="E216" s="100" t="n">
        <v>254733930000</v>
      </c>
      <c r="F216" s="100" t="n">
        <v>2912217</v>
      </c>
      <c r="G216" s="101" t="n">
        <v>0.00036</v>
      </c>
      <c r="H216" s="101" t="n">
        <v>0.08259999999999999</v>
      </c>
      <c r="I216" s="101" t="n">
        <v>0.0674</v>
      </c>
      <c r="J216" s="101" t="n">
        <v>0.074798</v>
      </c>
      <c r="K216" s="100" t="n">
        <v>1</v>
      </c>
      <c r="L216" s="102" t="inlineStr">
        <is>
          <t>20251229</t>
        </is>
      </c>
      <c r="M216" s="99" t="inlineStr">
        <is>
          <t>제외</t>
        </is>
      </c>
      <c r="N216" s="99" t="inlineStr">
        <is>
          <t>60일 거래대금 0.0억(기준 5억 미만)</t>
        </is>
      </c>
      <c r="O216" s="99" t="inlineStr">
        <is>
          <t>KAP 종합채권 AA- 이상 지수(총수익)</t>
        </is>
      </c>
      <c r="P216" s="99" t="inlineStr">
        <is>
          <t>일반</t>
        </is>
      </c>
      <c r="Q216" s="99" t="inlineStr">
        <is>
          <t>채권</t>
        </is>
      </c>
      <c r="R216" s="99" t="inlineStr">
        <is>
          <t>연배당</t>
        </is>
      </c>
      <c r="S216" s="100" t="n">
        <v>1</v>
      </c>
      <c r="T216" s="101" t="n">
        <v>1</v>
      </c>
      <c r="U216" s="103" t="n">
        <v>-0.0554</v>
      </c>
      <c r="V216" s="103" t="n">
        <v>-0.1211</v>
      </c>
      <c r="W216" s="103" t="n">
        <v>-0.0209</v>
      </c>
      <c r="X216" s="103" t="n">
        <v>0.0032</v>
      </c>
      <c r="Y216" s="99" t="inlineStr">
        <is>
          <t>20250922~20261002</t>
        </is>
      </c>
      <c r="Z216" s="99" t="inlineStr"/>
      <c r="AA216">
        <f>IF(AND($J216&lt;&gt;"",OR(조회_주기="전체",$R216=조회_주기),$J216&gt;=조회_최소,$J216&lt;=조회_최대),1,0)</f>
        <v/>
      </c>
      <c r="AB216">
        <f>IF($AA216=1,$AB215+1,$AB215)</f>
        <v/>
      </c>
      <c r="AC216">
        <f>IF(검색어="",1,IF(ISNUMBER(SEARCH(검색어,$A216)),1,0))</f>
        <v/>
      </c>
      <c r="AD216">
        <f>IF($AC216=1,$AD215+1,$AD215)</f>
        <v/>
      </c>
      <c r="AE216">
        <f>IFERROR(INDEX($A$4:$A$594,MATCH(213,$AD$4:$AD$594,0)),"")</f>
        <v/>
      </c>
    </row>
    <row r="217">
      <c r="A217" s="99" t="inlineStr">
        <is>
          <t>KoAct 배당성장액티브</t>
        </is>
      </c>
      <c r="B217" s="99" t="inlineStr">
        <is>
          <t>476850</t>
        </is>
      </c>
      <c r="C217" s="99" t="inlineStr">
        <is>
          <t>삼성액티브자산(ETF)</t>
        </is>
      </c>
      <c r="D217" s="100" t="n">
        <v>22050</v>
      </c>
      <c r="E217" s="100" t="n">
        <v>110250000000</v>
      </c>
      <c r="F217" s="100" t="n">
        <v>1983492396</v>
      </c>
      <c r="G217" s="101" t="n">
        <v>0.005</v>
      </c>
      <c r="H217" s="101" t="n">
        <v>0.5021</v>
      </c>
      <c r="I217" s="101" t="n">
        <v>0.005</v>
      </c>
      <c r="J217" s="101" t="n">
        <v>0.072517</v>
      </c>
      <c r="K217" s="100" t="n">
        <v>16</v>
      </c>
      <c r="L217" s="102" t="inlineStr">
        <is>
          <t>20260929</t>
        </is>
      </c>
      <c r="M217" s="99" t="inlineStr">
        <is>
          <t>제외</t>
        </is>
      </c>
      <c r="N217" s="99" t="inlineStr">
        <is>
          <t>변동성 50.2%(1년 기준, 기준 35% 초과)</t>
        </is>
      </c>
      <c r="O217" s="99" t="inlineStr">
        <is>
          <t>코스피</t>
        </is>
      </c>
      <c r="P217" s="99" t="inlineStr">
        <is>
          <t>일반</t>
        </is>
      </c>
      <c r="Q217" s="99" t="inlineStr">
        <is>
          <t>주식</t>
        </is>
      </c>
      <c r="R217" s="99" t="inlineStr">
        <is>
          <t>비정기</t>
        </is>
      </c>
      <c r="S217" s="100" t="n">
        <v>8</v>
      </c>
      <c r="T217" s="101" t="n">
        <v>0.0997</v>
      </c>
      <c r="U217" s="103" t="n"/>
      <c r="V217" s="103" t="n"/>
      <c r="W217" s="103" t="n"/>
      <c r="X217" s="103" t="n"/>
      <c r="Y217" s="99" t="inlineStr"/>
      <c r="Z217" s="99" t="inlineStr">
        <is>
          <t>창 안 급변일 1일(20260731) — 내지 않음 / 6개월: 창 안 급변일 1일(20260731) — 내지 않음 / 3개월: 창 안 급변일 1일(20260731) — 내지 않음</t>
        </is>
      </c>
      <c r="AA217">
        <f>IF(AND($J217&lt;&gt;"",OR(조회_주기="전체",$R217=조회_주기),$J217&gt;=조회_최소,$J217&lt;=조회_최대),1,0)</f>
        <v/>
      </c>
      <c r="AB217">
        <f>IF($AA217=1,$AB216+1,$AB216)</f>
        <v/>
      </c>
      <c r="AC217">
        <f>IF(검색어="",1,IF(ISNUMBER(SEARCH(검색어,$A217)),1,0))</f>
        <v/>
      </c>
      <c r="AD217">
        <f>IF($AC217=1,$AD216+1,$AD216)</f>
        <v/>
      </c>
      <c r="AE217">
        <f>IFERROR(INDEX($A$4:$A$594,MATCH(214,$AD$4:$AD$594,0)),"")</f>
        <v/>
      </c>
    </row>
    <row r="218">
      <c r="A218" s="99" t="inlineStr">
        <is>
          <t>KODEX 일본부동산리츠(H)</t>
        </is>
      </c>
      <c r="B218" s="99" t="inlineStr">
        <is>
          <t>352540</t>
        </is>
      </c>
      <c r="C218" s="99" t="inlineStr">
        <is>
          <t>삼성자산운용(ETF)</t>
        </is>
      </c>
      <c r="D218" s="100" t="n">
        <v>10600</v>
      </c>
      <c r="E218" s="100" t="n">
        <v>36040000000</v>
      </c>
      <c r="F218" s="100" t="n">
        <v>151300474</v>
      </c>
      <c r="G218" s="101" t="n">
        <v>0.003</v>
      </c>
      <c r="H218" s="101" t="n">
        <v>0.1202</v>
      </c>
      <c r="I218" s="101" t="n">
        <v>0.008100000000000001</v>
      </c>
      <c r="J218" s="101" t="n">
        <v>0.07188699999999999</v>
      </c>
      <c r="K218" s="100" t="n">
        <v>48</v>
      </c>
      <c r="L218" s="102" t="inlineStr">
        <is>
          <t>20260929</t>
        </is>
      </c>
      <c r="M218" s="99" t="inlineStr">
        <is>
          <t>제외</t>
        </is>
      </c>
      <c r="N218" s="99" t="inlineStr">
        <is>
          <t>60일 거래대금 1.5억(기준 5억 미만)</t>
        </is>
      </c>
      <c r="O218" s="99" t="inlineStr">
        <is>
          <t>TSE 부동산 지수</t>
        </is>
      </c>
      <c r="P218" s="99" t="inlineStr">
        <is>
          <t>일반</t>
        </is>
      </c>
      <c r="Q218" s="99" t="inlineStr">
        <is>
          <t>부동산</t>
        </is>
      </c>
      <c r="R218" s="99" t="inlineStr">
        <is>
          <t>월배당</t>
        </is>
      </c>
      <c r="S218" s="100" t="n">
        <v>10</v>
      </c>
      <c r="T218" s="101" t="n">
        <v>1</v>
      </c>
      <c r="U218" s="103" t="n">
        <v>-0.075</v>
      </c>
      <c r="V218" s="103" t="n">
        <v>-0.1364</v>
      </c>
      <c r="W218" s="103" t="n">
        <v>-0.1025</v>
      </c>
      <c r="X218" s="103" t="n">
        <v>-0.0635</v>
      </c>
      <c r="Y218" s="99" t="inlineStr">
        <is>
          <t>20250922~20261002</t>
        </is>
      </c>
      <c r="Z218" s="99" t="inlineStr"/>
      <c r="AA218">
        <f>IF(AND($J218&lt;&gt;"",OR(조회_주기="전체",$R218=조회_주기),$J218&gt;=조회_최소,$J218&lt;=조회_최대),1,0)</f>
        <v/>
      </c>
      <c r="AB218">
        <f>IF($AA218=1,$AB217+1,$AB217)</f>
        <v/>
      </c>
      <c r="AC218">
        <f>IF(검색어="",1,IF(ISNUMBER(SEARCH(검색어,$A218)),1,0))</f>
        <v/>
      </c>
      <c r="AD218">
        <f>IF($AC218=1,$AD217+1,$AD217)</f>
        <v/>
      </c>
      <c r="AE218">
        <f>IFERROR(INDEX($A$4:$A$594,MATCH(215,$AD$4:$AD$594,0)),"")</f>
        <v/>
      </c>
    </row>
    <row r="219">
      <c r="A219" s="99" t="inlineStr">
        <is>
          <t>ACE 미국하이일드액티브(H)</t>
        </is>
      </c>
      <c r="B219" s="99" t="inlineStr">
        <is>
          <t>455660</t>
        </is>
      </c>
      <c r="C219" s="99" t="inlineStr">
        <is>
          <t>한국투자신탁운용</t>
        </is>
      </c>
      <c r="D219" s="100" t="n">
        <v>9145</v>
      </c>
      <c r="E219" s="100" t="n">
        <v>61271500000</v>
      </c>
      <c r="F219" s="100" t="n">
        <v>189354400</v>
      </c>
      <c r="G219" s="101" t="n">
        <v>0.0024</v>
      </c>
      <c r="H219" s="101" t="n">
        <v>0.0426</v>
      </c>
      <c r="I219" s="101" t="n">
        <v>0.005500000000000001</v>
      </c>
      <c r="J219" s="101" t="n">
        <v>0.06976499999999999</v>
      </c>
      <c r="K219" s="100" t="n">
        <v>41</v>
      </c>
      <c r="L219" s="102" t="inlineStr">
        <is>
          <t>20260929</t>
        </is>
      </c>
      <c r="M219" s="99" t="inlineStr">
        <is>
          <t>제외</t>
        </is>
      </c>
      <c r="N219" s="99" t="inlineStr">
        <is>
          <t>60일 거래대금 1.9억(기준 5억 미만)</t>
        </is>
      </c>
      <c r="O219" s="99" t="inlineStr">
        <is>
          <t>iBoxx USD Liquid High Yield Total Return Index</t>
        </is>
      </c>
      <c r="P219" s="99" t="inlineStr">
        <is>
          <t>일반</t>
        </is>
      </c>
      <c r="Q219" s="99" t="inlineStr">
        <is>
          <t>채권</t>
        </is>
      </c>
      <c r="R219" s="99" t="inlineStr">
        <is>
          <t>월배당</t>
        </is>
      </c>
      <c r="S219" s="100" t="n">
        <v>11</v>
      </c>
      <c r="T219" s="101" t="n">
        <v>0.4514</v>
      </c>
      <c r="U219" s="103" t="n">
        <v>-0.0188</v>
      </c>
      <c r="V219" s="103" t="n">
        <v>-0.08289999999999999</v>
      </c>
      <c r="W219" s="103" t="n">
        <v>-0.0458</v>
      </c>
      <c r="X219" s="103" t="n">
        <v>-0.0412</v>
      </c>
      <c r="Y219" s="99" t="inlineStr">
        <is>
          <t>20250922~20261002</t>
        </is>
      </c>
      <c r="Z219" s="99" t="inlineStr"/>
      <c r="AA219">
        <f>IF(AND($J219&lt;&gt;"",OR(조회_주기="전체",$R219=조회_주기),$J219&gt;=조회_최소,$J219&lt;=조회_최대),1,0)</f>
        <v/>
      </c>
      <c r="AB219">
        <f>IF($AA219=1,$AB218+1,$AB218)</f>
        <v/>
      </c>
      <c r="AC219">
        <f>IF(검색어="",1,IF(ISNUMBER(SEARCH(검색어,$A219)),1,0))</f>
        <v/>
      </c>
      <c r="AD219">
        <f>IF($AC219=1,$AD218+1,$AD218)</f>
        <v/>
      </c>
      <c r="AE219">
        <f>IFERROR(INDEX($A$4:$A$594,MATCH(216,$AD$4:$AD$594,0)),"")</f>
        <v/>
      </c>
    </row>
    <row r="220">
      <c r="A220" s="99" t="inlineStr">
        <is>
          <t>TIGER 200커버드콜</t>
        </is>
      </c>
      <c r="B220" s="99" t="inlineStr">
        <is>
          <t>289480</t>
        </is>
      </c>
      <c r="C220" s="99" t="inlineStr">
        <is>
          <t>미래에셋자산운용</t>
        </is>
      </c>
      <c r="D220" s="100" t="n">
        <v>13400</v>
      </c>
      <c r="E220" s="100" t="n">
        <v>28140000000</v>
      </c>
      <c r="F220" s="100" t="n">
        <v>437256352</v>
      </c>
      <c r="G220" s="101" t="n">
        <v>0.0038</v>
      </c>
      <c r="H220" s="101" t="n">
        <v>0.3853</v>
      </c>
      <c r="I220" s="101" t="n">
        <v>0.0071</v>
      </c>
      <c r="J220" s="101" t="n">
        <v>0.06880600000000001</v>
      </c>
      <c r="K220" s="100" t="n">
        <v>52</v>
      </c>
      <c r="L220" s="102" t="inlineStr">
        <is>
          <t>20260929</t>
        </is>
      </c>
      <c r="M220" s="99" t="inlineStr">
        <is>
          <t>제외</t>
        </is>
      </c>
      <c r="N220" s="99" t="inlineStr">
        <is>
          <t>순자산 281억(기준 300억 미만), 60일 거래대금 4.4억(기준 5억 미만), 변동성 38.5%(1년 기준, 기준 35% 초과)</t>
        </is>
      </c>
      <c r="O220" s="99" t="inlineStr">
        <is>
          <t>코스피 200 커버드콜 ATM</t>
        </is>
      </c>
      <c r="P220" s="99" t="inlineStr">
        <is>
          <t>커버드콜</t>
        </is>
      </c>
      <c r="Q220" s="99" t="inlineStr">
        <is>
          <t>주식</t>
        </is>
      </c>
      <c r="R220" s="99" t="inlineStr">
        <is>
          <t>월배당</t>
        </is>
      </c>
      <c r="S220" s="100" t="n">
        <v>11</v>
      </c>
      <c r="T220" s="101" t="n">
        <v>0.0998</v>
      </c>
      <c r="U220" s="103" t="n">
        <v>0.5668</v>
      </c>
      <c r="V220" s="103" t="n">
        <v>0.466</v>
      </c>
      <c r="W220" s="103" t="n">
        <v>0.2829</v>
      </c>
      <c r="X220" s="103" t="n">
        <v>0.0568</v>
      </c>
      <c r="Y220" s="99" t="inlineStr">
        <is>
          <t>20250922~20261002</t>
        </is>
      </c>
      <c r="Z220" s="99" t="inlineStr"/>
      <c r="AA220">
        <f>IF(AND($J220&lt;&gt;"",OR(조회_주기="전체",$R220=조회_주기),$J220&gt;=조회_최소,$J220&lt;=조회_최대),1,0)</f>
        <v/>
      </c>
      <c r="AB220">
        <f>IF($AA220=1,$AB219+1,$AB219)</f>
        <v/>
      </c>
      <c r="AC220">
        <f>IF(검색어="",1,IF(ISNUMBER(SEARCH(검색어,$A220)),1,0))</f>
        <v/>
      </c>
      <c r="AD220">
        <f>IF($AC220=1,$AD219+1,$AD219)</f>
        <v/>
      </c>
      <c r="AE220">
        <f>IFERROR(INDEX($A$4:$A$594,MATCH(217,$AD$4:$AD$594,0)),"")</f>
        <v/>
      </c>
    </row>
    <row r="221">
      <c r="A221" s="99" t="inlineStr">
        <is>
          <t>TIGER 리츠부동산인프라TOP10액티브</t>
        </is>
      </c>
      <c r="B221" s="99" t="inlineStr">
        <is>
          <t>0086B0</t>
        </is>
      </c>
      <c r="C221" s="99" t="inlineStr">
        <is>
          <t>미래에셋자산운용</t>
        </is>
      </c>
      <c r="D221" s="100" t="n">
        <v>9500</v>
      </c>
      <c r="E221" s="100" t="n">
        <v>46550000000</v>
      </c>
      <c r="F221" s="100" t="n">
        <v>203567023</v>
      </c>
      <c r="G221" s="101" t="n">
        <v>0.0005999999999999999</v>
      </c>
      <c r="H221" s="101" t="n">
        <v>0.1722</v>
      </c>
      <c r="I221" s="101" t="n">
        <v>0.005699999999999999</v>
      </c>
      <c r="J221" s="101" t="n">
        <v>0.06821100000000001</v>
      </c>
      <c r="K221" s="100" t="n">
        <v>13</v>
      </c>
      <c r="L221" s="102" t="inlineStr">
        <is>
          <t>20260914</t>
        </is>
      </c>
      <c r="M221" s="99" t="inlineStr">
        <is>
          <t>제외</t>
        </is>
      </c>
      <c r="N221" s="99" t="inlineStr">
        <is>
          <t>60일 거래대금 2.0억(기준 5억 미만)</t>
        </is>
      </c>
      <c r="O221" s="99" t="inlineStr">
        <is>
          <t>KEDI 리츠부동산인프라TOP10 지수</t>
        </is>
      </c>
      <c r="P221" s="99" t="inlineStr">
        <is>
          <t>일반</t>
        </is>
      </c>
      <c r="Q221" s="99" t="inlineStr">
        <is>
          <t>부동산</t>
        </is>
      </c>
      <c r="R221" s="99" t="inlineStr">
        <is>
          <t>월배당</t>
        </is>
      </c>
      <c r="S221" s="100" t="n">
        <v>11</v>
      </c>
      <c r="T221" s="101" t="n">
        <v>0.8889</v>
      </c>
      <c r="U221" s="103" t="n">
        <v>-0.0051</v>
      </c>
      <c r="V221" s="103" t="n">
        <v>-0.0684</v>
      </c>
      <c r="W221" s="103" t="n">
        <v>-0.1349</v>
      </c>
      <c r="X221" s="103" t="n">
        <v>-0.0059</v>
      </c>
      <c r="Y221" s="99" t="inlineStr">
        <is>
          <t>20250922~20261002</t>
        </is>
      </c>
      <c r="Z221" s="99" t="inlineStr"/>
      <c r="AA221">
        <f>IF(AND($J221&lt;&gt;"",OR(조회_주기="전체",$R221=조회_주기),$J221&gt;=조회_최소,$J221&lt;=조회_최대),1,0)</f>
        <v/>
      </c>
      <c r="AB221">
        <f>IF($AA221=1,$AB220+1,$AB220)</f>
        <v/>
      </c>
      <c r="AC221">
        <f>IF(검색어="",1,IF(ISNUMBER(SEARCH(검색어,$A221)),1,0))</f>
        <v/>
      </c>
      <c r="AD221">
        <f>IF($AC221=1,$AD220+1,$AD220)</f>
        <v/>
      </c>
      <c r="AE221">
        <f>IFERROR(INDEX($A$4:$A$594,MATCH(218,$AD$4:$AD$594,0)),"")</f>
        <v/>
      </c>
    </row>
    <row r="222">
      <c r="A222" s="99" t="inlineStr">
        <is>
          <t>WON 한국부동산TOP3플러스</t>
        </is>
      </c>
      <c r="B222" s="99" t="inlineStr">
        <is>
          <t>480460</t>
        </is>
      </c>
      <c r="C222" s="99" t="inlineStr">
        <is>
          <t>우리자산운용</t>
        </is>
      </c>
      <c r="D222" s="100" t="n">
        <v>9150</v>
      </c>
      <c r="E222" s="100" t="n">
        <v>7777500000</v>
      </c>
      <c r="F222" s="100" t="n">
        <v>25995598</v>
      </c>
      <c r="G222" s="101" t="n">
        <v>0.0025</v>
      </c>
      <c r="H222" s="101" t="n">
        <v>0.1708</v>
      </c>
      <c r="I222" s="101" t="n">
        <v>0.0054</v>
      </c>
      <c r="J222" s="101" t="n">
        <v>0.06557400000000001</v>
      </c>
      <c r="K222" s="100" t="n">
        <v>28</v>
      </c>
      <c r="L222" s="102" t="inlineStr">
        <is>
          <t>20260929</t>
        </is>
      </c>
      <c r="M222" s="99" t="inlineStr">
        <is>
          <t>제외</t>
        </is>
      </c>
      <c r="N222" s="99" t="inlineStr">
        <is>
          <t>순자산 78억(기준 300억 미만), 60일 거래대금 0.3억(기준 5억 미만)</t>
        </is>
      </c>
      <c r="O222" s="99" t="inlineStr">
        <is>
          <t>DeepSearch 한국부동산 Top3 플러스 지수</t>
        </is>
      </c>
      <c r="P222" s="99" t="inlineStr">
        <is>
          <t>일반</t>
        </is>
      </c>
      <c r="Q222" s="99" t="inlineStr">
        <is>
          <t>부동산</t>
        </is>
      </c>
      <c r="R222" s="99" t="inlineStr">
        <is>
          <t>월배당</t>
        </is>
      </c>
      <c r="S222" s="100" t="n">
        <v>11</v>
      </c>
      <c r="T222" s="101" t="n">
        <v>1</v>
      </c>
      <c r="U222" s="103" t="n">
        <v>0.0023</v>
      </c>
      <c r="V222" s="103" t="n">
        <v>-0.0591</v>
      </c>
      <c r="W222" s="103" t="n">
        <v>-0.1252</v>
      </c>
      <c r="X222" s="103" t="n">
        <v>-0.0009</v>
      </c>
      <c r="Y222" s="99" t="inlineStr">
        <is>
          <t>20250922~20261002</t>
        </is>
      </c>
      <c r="Z222" s="99" t="inlineStr"/>
      <c r="AA222">
        <f>IF(AND($J222&lt;&gt;"",OR(조회_주기="전체",$R222=조회_주기),$J222&gt;=조회_최소,$J222&lt;=조회_최대),1,0)</f>
        <v/>
      </c>
      <c r="AB222">
        <f>IF($AA222=1,$AB221+1,$AB221)</f>
        <v/>
      </c>
      <c r="AC222">
        <f>IF(검색어="",1,IF(ISNUMBER(SEARCH(검색어,$A222)),1,0))</f>
        <v/>
      </c>
      <c r="AD222">
        <f>IF($AC222=1,$AD221+1,$AD221)</f>
        <v/>
      </c>
      <c r="AE222">
        <f>IFERROR(INDEX($A$4:$A$594,MATCH(219,$AD$4:$AD$594,0)),"")</f>
        <v/>
      </c>
    </row>
    <row r="223">
      <c r="A223" s="99" t="inlineStr">
        <is>
          <t>ACE 싱가포르리츠</t>
        </is>
      </c>
      <c r="B223" s="99" t="inlineStr">
        <is>
          <t>316300</t>
        </is>
      </c>
      <c r="C223" s="99" t="inlineStr">
        <is>
          <t>한국투신운용(ETF)</t>
        </is>
      </c>
      <c r="D223" s="100" t="n">
        <v>11915</v>
      </c>
      <c r="E223" s="100" t="n">
        <v>5957500000</v>
      </c>
      <c r="F223" s="100" t="n">
        <v>12165531</v>
      </c>
      <c r="G223" s="101" t="n">
        <v>0.004</v>
      </c>
      <c r="H223" s="101" t="n">
        <v>0.1349</v>
      </c>
      <c r="I223" s="101" t="n">
        <v>0.004</v>
      </c>
      <c r="J223" s="101" t="n">
        <v>0.06336599999999999</v>
      </c>
      <c r="K223" s="100" t="n">
        <v>26</v>
      </c>
      <c r="L223" s="102" t="inlineStr">
        <is>
          <t>20260929</t>
        </is>
      </c>
      <c r="M223" s="99" t="inlineStr">
        <is>
          <t>제외</t>
        </is>
      </c>
      <c r="N223" s="99" t="inlineStr">
        <is>
          <t>순자산 60억(기준 300억 미만), 60일 거래대금 0.1억(기준 5억 미만)</t>
        </is>
      </c>
      <c r="O223" s="99" t="inlineStr">
        <is>
          <t>Morningstar Singapore REIT Yield Focus Index</t>
        </is>
      </c>
      <c r="P223" s="99" t="inlineStr">
        <is>
          <t>일반</t>
        </is>
      </c>
      <c r="Q223" s="99" t="inlineStr">
        <is>
          <t>부동산</t>
        </is>
      </c>
      <c r="R223" s="99" t="inlineStr">
        <is>
          <t>월배당</t>
        </is>
      </c>
      <c r="S223" s="100" t="n">
        <v>11</v>
      </c>
      <c r="T223" s="101" t="n">
        <v>1</v>
      </c>
      <c r="U223" s="103" t="n">
        <v>-0.08259999999999999</v>
      </c>
      <c r="V223" s="103" t="n">
        <v>-0.1369</v>
      </c>
      <c r="W223" s="103" t="n">
        <v>-0.1497</v>
      </c>
      <c r="X223" s="103" t="n">
        <v>-0.1594</v>
      </c>
      <c r="Y223" s="99" t="inlineStr">
        <is>
          <t>20250922~20261002</t>
        </is>
      </c>
      <c r="Z223" s="99" t="inlineStr"/>
      <c r="AA223">
        <f>IF(AND($J223&lt;&gt;"",OR(조회_주기="전체",$R223=조회_주기),$J223&gt;=조회_최소,$J223&lt;=조회_최대),1,0)</f>
        <v/>
      </c>
      <c r="AB223">
        <f>IF($AA223=1,$AB222+1,$AB222)</f>
        <v/>
      </c>
      <c r="AC223">
        <f>IF(검색어="",1,IF(ISNUMBER(SEARCH(검색어,$A223)),1,0))</f>
        <v/>
      </c>
      <c r="AD223">
        <f>IF($AC223=1,$AD222+1,$AD222)</f>
        <v/>
      </c>
      <c r="AE223">
        <f>IFERROR(INDEX($A$4:$A$594,MATCH(220,$AD$4:$AD$594,0)),"")</f>
        <v/>
      </c>
    </row>
    <row r="224">
      <c r="A224" s="99" t="inlineStr">
        <is>
          <t>KODEX 대만테크고배당다우존스</t>
        </is>
      </c>
      <c r="B224" s="99" t="inlineStr">
        <is>
          <t>487950</t>
        </is>
      </c>
      <c r="C224" s="99" t="inlineStr">
        <is>
          <t>삼성자산운용(ETF)</t>
        </is>
      </c>
      <c r="D224" s="100" t="n">
        <v>13025</v>
      </c>
      <c r="E224" s="100" t="n">
        <v>18886250000</v>
      </c>
      <c r="F224" s="100" t="n">
        <v>246777996</v>
      </c>
      <c r="G224" s="101" t="n">
        <v>0.004500000000000001</v>
      </c>
      <c r="H224" s="101" t="n">
        <v>0.2949</v>
      </c>
      <c r="I224" s="101" t="n">
        <v>0.0059</v>
      </c>
      <c r="J224" s="101" t="n">
        <v>0.063263</v>
      </c>
      <c r="K224" s="100" t="n">
        <v>26</v>
      </c>
      <c r="L224" s="102" t="inlineStr">
        <is>
          <t>20260929</t>
        </is>
      </c>
      <c r="M224" s="99" t="inlineStr">
        <is>
          <t>제외</t>
        </is>
      </c>
      <c r="N224" s="99" t="inlineStr">
        <is>
          <t>순자산 189억(기준 300억 미만), 60일 거래대금 2.5억(기준 5억 미만)</t>
        </is>
      </c>
      <c r="O224" s="99" t="inlineStr">
        <is>
          <t>Dow Jones Taiwan Technology Dividend 30 Index (TWD)</t>
        </is>
      </c>
      <c r="P224" s="99" t="inlineStr">
        <is>
          <t>일반</t>
        </is>
      </c>
      <c r="Q224" s="99" t="inlineStr">
        <is>
          <t>주식</t>
        </is>
      </c>
      <c r="R224" s="99" t="inlineStr">
        <is>
          <t>월배당</t>
        </is>
      </c>
      <c r="S224" s="100" t="n">
        <v>11</v>
      </c>
      <c r="T224" s="101" t="n">
        <v>1</v>
      </c>
      <c r="U224" s="103" t="n">
        <v>0.3436</v>
      </c>
      <c r="V224" s="103" t="n">
        <v>0.2632</v>
      </c>
      <c r="W224" s="103" t="n">
        <v>0.1805</v>
      </c>
      <c r="X224" s="103" t="n">
        <v>-0.1062</v>
      </c>
      <c r="Y224" s="99" t="inlineStr">
        <is>
          <t>20250922~20261002</t>
        </is>
      </c>
      <c r="Z224" s="99" t="inlineStr"/>
      <c r="AA224">
        <f>IF(AND($J224&lt;&gt;"",OR(조회_주기="전체",$R224=조회_주기),$J224&gt;=조회_최소,$J224&lt;=조회_최대),1,0)</f>
        <v/>
      </c>
      <c r="AB224">
        <f>IF($AA224=1,$AB223+1,$AB223)</f>
        <v/>
      </c>
      <c r="AC224">
        <f>IF(검색어="",1,IF(ISNUMBER(SEARCH(검색어,$A224)),1,0))</f>
        <v/>
      </c>
      <c r="AD224">
        <f>IF($AC224=1,$AD223+1,$AD223)</f>
        <v/>
      </c>
      <c r="AE224">
        <f>IFERROR(INDEX($A$4:$A$594,MATCH(221,$AD$4:$AD$594,0)),"")</f>
        <v/>
      </c>
    </row>
    <row r="225">
      <c r="A225" s="99" t="inlineStr">
        <is>
          <t>TIGER 리츠부동산인프라채권</t>
        </is>
      </c>
      <c r="B225" s="99" t="inlineStr">
        <is>
          <t>341850</t>
        </is>
      </c>
      <c r="C225" s="99" t="inlineStr">
        <is>
          <t>미래에셋자산운용</t>
        </is>
      </c>
      <c r="D225" s="100" t="n">
        <v>4575</v>
      </c>
      <c r="E225" s="100" t="n">
        <v>9150000000</v>
      </c>
      <c r="F225" s="100" t="n">
        <v>31629255</v>
      </c>
      <c r="G225" s="101" t="n">
        <v>0.0022</v>
      </c>
      <c r="H225" s="101" t="n">
        <v>0.1333</v>
      </c>
      <c r="I225" s="101" t="n">
        <v>0.0052</v>
      </c>
      <c r="J225" s="101" t="n">
        <v>0.06295099999999999</v>
      </c>
      <c r="K225" s="100" t="n">
        <v>52</v>
      </c>
      <c r="L225" s="102" t="inlineStr">
        <is>
          <t>20260929</t>
        </is>
      </c>
      <c r="M225" s="99" t="inlineStr">
        <is>
          <t>제외</t>
        </is>
      </c>
      <c r="N225" s="99" t="inlineStr">
        <is>
          <t>순자산 92억(기준 300억 미만), 60일 거래대금 0.3억(기준 5억 미만)</t>
        </is>
      </c>
      <c r="O225" s="99" t="inlineStr">
        <is>
          <t>KIS 리츠부동산인프라채권 지수</t>
        </is>
      </c>
      <c r="P225" s="99" t="inlineStr">
        <is>
          <t>일반</t>
        </is>
      </c>
      <c r="Q225" s="99" t="inlineStr">
        <is>
          <t>멀티에셋</t>
        </is>
      </c>
      <c r="R225" s="99" t="inlineStr">
        <is>
          <t>월배당</t>
        </is>
      </c>
      <c r="S225" s="100" t="n">
        <v>11</v>
      </c>
      <c r="T225" s="101" t="n">
        <v>1</v>
      </c>
      <c r="U225" s="103" t="n">
        <v>0.0111</v>
      </c>
      <c r="V225" s="103" t="n">
        <v>-0.0486</v>
      </c>
      <c r="W225" s="103" t="n">
        <v>-0.08539999999999999</v>
      </c>
      <c r="X225" s="103" t="n">
        <v>0.0125</v>
      </c>
      <c r="Y225" s="99" t="inlineStr">
        <is>
          <t>20250922~20261002</t>
        </is>
      </c>
      <c r="Z225" s="99" t="inlineStr"/>
      <c r="AA225">
        <f>IF(AND($J225&lt;&gt;"",OR(조회_주기="전체",$R225=조회_주기),$J225&gt;=조회_최소,$J225&lt;=조회_최대),1,0)</f>
        <v/>
      </c>
      <c r="AB225">
        <f>IF($AA225=1,$AB224+1,$AB224)</f>
        <v/>
      </c>
      <c r="AC225">
        <f>IF(검색어="",1,IF(ISNUMBER(SEARCH(검색어,$A225)),1,0))</f>
        <v/>
      </c>
      <c r="AD225">
        <f>IF($AC225=1,$AD224+1,$AD224)</f>
        <v/>
      </c>
      <c r="AE225">
        <f>IFERROR(INDEX($A$4:$A$594,MATCH(222,$AD$4:$AD$594,0)),"")</f>
        <v/>
      </c>
    </row>
    <row r="226">
      <c r="A226" s="99" t="inlineStr">
        <is>
          <t>TIGER 미국배당다우존스타겟커버드콜1호</t>
        </is>
      </c>
      <c r="B226" s="99" t="inlineStr">
        <is>
          <t>458750</t>
        </is>
      </c>
      <c r="C226" s="99" t="inlineStr">
        <is>
          <t>미래에셋자산운용</t>
        </is>
      </c>
      <c r="D226" s="100" t="n">
        <v>12190</v>
      </c>
      <c r="E226" s="100" t="n">
        <v>63388000000</v>
      </c>
      <c r="F226" s="100" t="n">
        <v>404082234</v>
      </c>
      <c r="G226" s="101" t="n">
        <v>0.0039</v>
      </c>
      <c r="H226" s="101" t="n">
        <v>0.1454</v>
      </c>
      <c r="I226" s="101" t="n">
        <v>0.0052</v>
      </c>
      <c r="J226" s="101" t="n">
        <v>0.06292</v>
      </c>
      <c r="K226" s="100" t="n">
        <v>39</v>
      </c>
      <c r="L226" s="102" t="inlineStr">
        <is>
          <t>20260914</t>
        </is>
      </c>
      <c r="M226" s="99" t="inlineStr">
        <is>
          <t>제외</t>
        </is>
      </c>
      <c r="N226" s="99" t="inlineStr">
        <is>
          <t>60일 거래대금 4.0억(기준 5억 미만), 분배율 대조 불일치(연분배율 계산 6.2920% vs ETFCHECK 5.9852% (차 0.3068%p &gt; 허용 0.1500%p))</t>
        </is>
      </c>
      <c r="O226" s="99" t="inlineStr">
        <is>
          <t>Dow Jones U.S. Dividend 100 3% Premium Covered Call Index</t>
        </is>
      </c>
      <c r="P226" s="99" t="inlineStr">
        <is>
          <t>커버드콜</t>
        </is>
      </c>
      <c r="Q226" s="99" t="inlineStr">
        <is>
          <t>주식</t>
        </is>
      </c>
      <c r="R226" s="99" t="inlineStr">
        <is>
          <t>월배당</t>
        </is>
      </c>
      <c r="S226" s="100" t="n">
        <v>11</v>
      </c>
      <c r="T226" s="101" t="n">
        <v>1</v>
      </c>
      <c r="U226" s="103" t="n">
        <v>0.2001</v>
      </c>
      <c r="V226" s="103" t="n">
        <v>0.1288</v>
      </c>
      <c r="W226" s="103" t="n">
        <v>-0.0667</v>
      </c>
      <c r="X226" s="103" t="n">
        <v>-0.1172</v>
      </c>
      <c r="Y226" s="99" t="inlineStr">
        <is>
          <t>20250922~20261002</t>
        </is>
      </c>
      <c r="Z226" s="99" t="inlineStr"/>
      <c r="AA226">
        <f>IF(AND($J226&lt;&gt;"",OR(조회_주기="전체",$R226=조회_주기),$J226&gt;=조회_최소,$J226&lt;=조회_최대),1,0)</f>
        <v/>
      </c>
      <c r="AB226">
        <f>IF($AA226=1,$AB225+1,$AB225)</f>
        <v/>
      </c>
      <c r="AC226">
        <f>IF(검색어="",1,IF(ISNUMBER(SEARCH(검색어,$A226)),1,0))</f>
        <v/>
      </c>
      <c r="AD226">
        <f>IF($AC226=1,$AD225+1,$AD225)</f>
        <v/>
      </c>
      <c r="AE226">
        <f>IFERROR(INDEX($A$4:$A$594,MATCH(223,$AD$4:$AD$594,0)),"")</f>
        <v/>
      </c>
    </row>
    <row r="227">
      <c r="A227" s="99" t="inlineStr">
        <is>
          <t>KODEX 미국S&amp;P500배당귀족커버드콜(합성 H)</t>
        </is>
      </c>
      <c r="B227" s="99" t="inlineStr">
        <is>
          <t>276970</t>
        </is>
      </c>
      <c r="C227" s="99" t="inlineStr">
        <is>
          <t>삼성자산운용(ETF)</t>
        </is>
      </c>
      <c r="D227" s="100" t="n">
        <v>7490</v>
      </c>
      <c r="E227" s="100" t="n">
        <v>35203000000</v>
      </c>
      <c r="F227" s="100" t="n">
        <v>94264772</v>
      </c>
      <c r="G227" s="101" t="n">
        <v>0.003</v>
      </c>
      <c r="H227" s="101" t="n">
        <v>0.1192</v>
      </c>
      <c r="I227" s="101" t="n">
        <v>0.015</v>
      </c>
      <c r="J227" s="101" t="n">
        <v>0.061816</v>
      </c>
      <c r="K227" s="100" t="n">
        <v>20</v>
      </c>
      <c r="L227" s="102" t="inlineStr">
        <is>
          <t>20260922</t>
        </is>
      </c>
      <c r="M227" s="99" t="inlineStr">
        <is>
          <t>제외</t>
        </is>
      </c>
      <c r="N227" s="99" t="inlineStr">
        <is>
          <t>60일 거래대금 0.9억(기준 5억 미만)</t>
        </is>
      </c>
      <c r="O227" s="99" t="inlineStr">
        <is>
          <t>S&amp;P 500 Dividend Aristocrats Covered Call (7.2% Premium) Ind</t>
        </is>
      </c>
      <c r="P227" s="99" t="inlineStr">
        <is>
          <t>커버드콜</t>
        </is>
      </c>
      <c r="Q227" s="99" t="inlineStr">
        <is>
          <t>주식</t>
        </is>
      </c>
      <c r="R227" s="99" t="inlineStr">
        <is>
          <t>분기배당</t>
        </is>
      </c>
      <c r="S227" s="100" t="n">
        <v>4</v>
      </c>
      <c r="T227" s="101" t="n">
        <v>0</v>
      </c>
      <c r="U227" s="103" t="n">
        <v>0.0451</v>
      </c>
      <c r="V227" s="103" t="n">
        <v>-0.0164</v>
      </c>
      <c r="W227" s="103" t="n">
        <v>-0.04559999999999999</v>
      </c>
      <c r="X227" s="103" t="n">
        <v>-0.0644</v>
      </c>
      <c r="Y227" s="99" t="inlineStr">
        <is>
          <t>20250922~20261002</t>
        </is>
      </c>
      <c r="Z227" s="99" t="inlineStr"/>
      <c r="AA227">
        <f>IF(AND($J227&lt;&gt;"",OR(조회_주기="전체",$R227=조회_주기),$J227&gt;=조회_최소,$J227&lt;=조회_최대),1,0)</f>
        <v/>
      </c>
      <c r="AB227">
        <f>IF($AA227=1,$AB226+1,$AB226)</f>
        <v/>
      </c>
      <c r="AC227">
        <f>IF(검색어="",1,IF(ISNUMBER(SEARCH(검색어,$A227)),1,0))</f>
        <v/>
      </c>
      <c r="AD227">
        <f>IF($AC227=1,$AD226+1,$AD226)</f>
        <v/>
      </c>
      <c r="AE227">
        <f>IFERROR(INDEX($A$4:$A$594,MATCH(224,$AD$4:$AD$594,0)),"")</f>
        <v/>
      </c>
    </row>
    <row r="228">
      <c r="A228" s="99" t="inlineStr">
        <is>
          <t>TIGER 200타겟위클리커버드콜</t>
        </is>
      </c>
      <c r="B228" s="99" t="inlineStr">
        <is>
          <t>0104N0</t>
        </is>
      </c>
      <c r="C228" s="99" t="inlineStr">
        <is>
          <t>미래에셋자산운용</t>
        </is>
      </c>
      <c r="D228" s="100" t="n">
        <v>21505</v>
      </c>
      <c r="E228" s="100" t="n">
        <v>221501500000</v>
      </c>
      <c r="F228" s="100" t="n">
        <v>2330221935</v>
      </c>
      <c r="G228" s="101" t="n">
        <v>0.0025</v>
      </c>
      <c r="H228" s="101" t="n">
        <v>0.5816</v>
      </c>
      <c r="I228" s="101" t="n">
        <v>0.0059</v>
      </c>
      <c r="J228" s="101" t="n">
        <v>0.057196</v>
      </c>
      <c r="K228" s="100" t="n">
        <v>12</v>
      </c>
      <c r="L228" s="102" t="inlineStr">
        <is>
          <t>20260914</t>
        </is>
      </c>
      <c r="M228" s="99" t="inlineStr">
        <is>
          <t>제외</t>
        </is>
      </c>
      <c r="N228" s="99" t="inlineStr">
        <is>
          <t>변동성 58.2%(1년 기준, 기준 35% 초과), 분배율 대조 불일치(연분배율 계산 5.7196% vs ETFCHECK 5.8880% (차 0.1684%p &gt; 허용 0.1500%p))</t>
        </is>
      </c>
      <c r="O228" s="99" t="inlineStr">
        <is>
          <t>코스피 200 타겟 7% 위클리 커버드콜 지수</t>
        </is>
      </c>
      <c r="P228" s="99" t="inlineStr">
        <is>
          <t>커버드콜</t>
        </is>
      </c>
      <c r="Q228" s="99" t="inlineStr">
        <is>
          <t>주식</t>
        </is>
      </c>
      <c r="R228" s="99" t="inlineStr">
        <is>
          <t>월배당</t>
        </is>
      </c>
      <c r="S228" s="100" t="n">
        <v>11</v>
      </c>
      <c r="T228" s="101" t="n">
        <v>0.1138</v>
      </c>
      <c r="U228" s="103" t="n"/>
      <c r="V228" s="103" t="n"/>
      <c r="W228" s="103" t="n"/>
      <c r="X228" s="103" t="n"/>
      <c r="Y228" s="99" t="inlineStr"/>
      <c r="Z228" s="99" t="inlineStr">
        <is>
          <t>창 안 급변일 1일(20260731) — 내지 않음 / 6개월: 창 안 급변일 1일(20260731) — 내지 않음 / 3개월: 창 안 급변일 1일(20260731) — 내지 않음</t>
        </is>
      </c>
      <c r="AA228">
        <f>IF(AND($J228&lt;&gt;"",OR(조회_주기="전체",$R228=조회_주기),$J228&gt;=조회_최소,$J228&lt;=조회_최대),1,0)</f>
        <v/>
      </c>
      <c r="AB228">
        <f>IF($AA228=1,$AB227+1,$AB227)</f>
        <v/>
      </c>
      <c r="AC228">
        <f>IF(검색어="",1,IF(ISNUMBER(SEARCH(검색어,$A228)),1,0))</f>
        <v/>
      </c>
      <c r="AD228">
        <f>IF($AC228=1,$AD227+1,$AD227)</f>
        <v/>
      </c>
      <c r="AE228">
        <f>IFERROR(INDEX($A$4:$A$594,MATCH(225,$AD$4:$AD$594,0)),"")</f>
        <v/>
      </c>
    </row>
    <row r="229">
      <c r="A229" s="99" t="inlineStr">
        <is>
          <t>RISE 미국30년국채액티브</t>
        </is>
      </c>
      <c r="B229" s="99" t="inlineStr">
        <is>
          <t>481340</t>
        </is>
      </c>
      <c r="C229" s="99" t="inlineStr">
        <is>
          <t>KB자산운용</t>
        </is>
      </c>
      <c r="D229" s="100" t="n">
        <v>7855</v>
      </c>
      <c r="E229" s="100" t="n">
        <v>26707000000</v>
      </c>
      <c r="F229" s="100" t="n">
        <v>429473888</v>
      </c>
      <c r="G229" s="101" t="n">
        <v>0.0005</v>
      </c>
      <c r="H229" s="101" t="n">
        <v>0.1376</v>
      </c>
      <c r="I229" s="101" t="n">
        <v>0.004099999999999999</v>
      </c>
      <c r="J229" s="101" t="n">
        <v>0.054615</v>
      </c>
      <c r="K229" s="100" t="n">
        <v>28</v>
      </c>
      <c r="L229" s="102" t="inlineStr">
        <is>
          <t>20260929</t>
        </is>
      </c>
      <c r="M229" s="99" t="inlineStr">
        <is>
          <t>제외</t>
        </is>
      </c>
      <c r="N229" s="99" t="inlineStr">
        <is>
          <t>순자산 267억(기준 300억 미만), 60일 거래대금 4.3억(기준 5억 미만)</t>
        </is>
      </c>
      <c r="O229" s="99" t="inlineStr">
        <is>
          <t>Bloomberg US Treasury 20+ Year Total Return Index</t>
        </is>
      </c>
      <c r="P229" s="99" t="inlineStr">
        <is>
          <t>일반</t>
        </is>
      </c>
      <c r="Q229" s="99" t="inlineStr">
        <is>
          <t>채권</t>
        </is>
      </c>
      <c r="R229" s="99" t="inlineStr">
        <is>
          <t>월배당</t>
        </is>
      </c>
      <c r="S229" s="100" t="n">
        <v>11</v>
      </c>
      <c r="T229" s="101" t="n">
        <v>0.5221</v>
      </c>
      <c r="U229" s="103" t="n">
        <v>-0.1436</v>
      </c>
      <c r="V229" s="103" t="n">
        <v>-0.1879</v>
      </c>
      <c r="W229" s="103" t="n">
        <v>-0.2143</v>
      </c>
      <c r="X229" s="103" t="n">
        <v>-0.2047</v>
      </c>
      <c r="Y229" s="99" t="inlineStr">
        <is>
          <t>20250922~20261002</t>
        </is>
      </c>
      <c r="Z229" s="99" t="inlineStr"/>
      <c r="AA229">
        <f>IF(AND($J229&lt;&gt;"",OR(조회_주기="전체",$R229=조회_주기),$J229&gt;=조회_최소,$J229&lt;=조회_최대),1,0)</f>
        <v/>
      </c>
      <c r="AB229">
        <f>IF($AA229=1,$AB228+1,$AB228)</f>
        <v/>
      </c>
      <c r="AC229">
        <f>IF(검색어="",1,IF(ISNUMBER(SEARCH(검색어,$A229)),1,0))</f>
        <v/>
      </c>
      <c r="AD229">
        <f>IF($AC229=1,$AD228+1,$AD228)</f>
        <v/>
      </c>
      <c r="AE229">
        <f>IFERROR(INDEX($A$4:$A$594,MATCH(226,$AD$4:$AD$594,0)),"")</f>
        <v/>
      </c>
    </row>
    <row r="230">
      <c r="A230" s="99" t="inlineStr">
        <is>
          <t>KoAct 미국천연가스인프라액티브</t>
        </is>
      </c>
      <c r="B230" s="99" t="inlineStr">
        <is>
          <t>497780</t>
        </is>
      </c>
      <c r="C230" s="99" t="inlineStr">
        <is>
          <t>삼성액티브자산(ETF)</t>
        </is>
      </c>
      <c r="D230" s="100" t="n">
        <v>9730</v>
      </c>
      <c r="E230" s="100" t="n">
        <v>18487000000</v>
      </c>
      <c r="F230" s="100" t="n">
        <v>180926035</v>
      </c>
      <c r="G230" s="101" t="n">
        <v>0.005</v>
      </c>
      <c r="H230" s="101" t="n">
        <v>0.1809</v>
      </c>
      <c r="I230" s="101" t="n">
        <v>0.004</v>
      </c>
      <c r="J230" s="101" t="n">
        <v>0.052929</v>
      </c>
      <c r="K230" s="100" t="n">
        <v>21</v>
      </c>
      <c r="L230" s="102" t="inlineStr">
        <is>
          <t>20260929</t>
        </is>
      </c>
      <c r="M230" s="99" t="inlineStr">
        <is>
          <t>제외</t>
        </is>
      </c>
      <c r="N230" s="99" t="inlineStr">
        <is>
          <t>순자산 185억(기준 300억 미만), 60일 거래대금 1.8억(기준 5억 미만)</t>
        </is>
      </c>
      <c r="O230" s="99" t="inlineStr">
        <is>
          <t>Solactive US Natural Gas Infrastructure Index PR</t>
        </is>
      </c>
      <c r="P230" s="99" t="inlineStr">
        <is>
          <t>일반</t>
        </is>
      </c>
      <c r="Q230" s="99" t="inlineStr">
        <is>
          <t>주식</t>
        </is>
      </c>
      <c r="R230" s="99" t="inlineStr">
        <is>
          <t>월배당</t>
        </is>
      </c>
      <c r="S230" s="100" t="n">
        <v>11</v>
      </c>
      <c r="T230" s="101" t="n">
        <v>0.8505</v>
      </c>
      <c r="U230" s="103" t="n">
        <v>0.0958</v>
      </c>
      <c r="V230" s="103" t="n">
        <v>0.0407</v>
      </c>
      <c r="W230" s="103" t="n">
        <v>-0.1844</v>
      </c>
      <c r="X230" s="103" t="n">
        <v>-0.1511</v>
      </c>
      <c r="Y230" s="99" t="inlineStr">
        <is>
          <t>20250922~20261002</t>
        </is>
      </c>
      <c r="Z230" s="99" t="inlineStr"/>
      <c r="AA230">
        <f>IF(AND($J230&lt;&gt;"",OR(조회_주기="전체",$R230=조회_주기),$J230&gt;=조회_최소,$J230&lt;=조회_최대),1,0)</f>
        <v/>
      </c>
      <c r="AB230">
        <f>IF($AA230=1,$AB229+1,$AB229)</f>
        <v/>
      </c>
      <c r="AC230">
        <f>IF(검색어="",1,IF(ISNUMBER(SEARCH(검색어,$A230)),1,0))</f>
        <v/>
      </c>
      <c r="AD230">
        <f>IF($AC230=1,$AD229+1,$AD229)</f>
        <v/>
      </c>
      <c r="AE230">
        <f>IFERROR(INDEX($A$4:$A$594,MATCH(227,$AD$4:$AD$594,0)),"")</f>
        <v/>
      </c>
    </row>
    <row r="231">
      <c r="A231" s="99" t="inlineStr">
        <is>
          <t>KODEX 아시아달러채권ESG플러스액티브</t>
        </is>
      </c>
      <c r="B231" s="99" t="inlineStr">
        <is>
          <t>437070</t>
        </is>
      </c>
      <c r="C231" s="99" t="inlineStr">
        <is>
          <t>삼성자산운용(ETF)</t>
        </is>
      </c>
      <c r="D231" s="100" t="n">
        <v>56615</v>
      </c>
      <c r="E231" s="100" t="n">
        <v>19588790000</v>
      </c>
      <c r="F231" s="100" t="n">
        <v>58578277</v>
      </c>
      <c r="G231" s="101" t="n">
        <v>0.0018</v>
      </c>
      <c r="H231" s="101" t="n">
        <v>0.1051</v>
      </c>
      <c r="I231" s="101" t="n">
        <v>0.0044</v>
      </c>
      <c r="J231" s="101" t="n">
        <v>0.051824</v>
      </c>
      <c r="K231" s="100" t="n">
        <v>15</v>
      </c>
      <c r="L231" s="102" t="inlineStr">
        <is>
          <t>20260929</t>
        </is>
      </c>
      <c r="M231" s="99" t="inlineStr">
        <is>
          <t>제외</t>
        </is>
      </c>
      <c r="N231" s="99" t="inlineStr">
        <is>
          <t>순자산 196억(기준 300억 미만), 60일 거래대금 0.6억(기준 5억 미만)</t>
        </is>
      </c>
      <c r="O231" s="99" t="inlineStr">
        <is>
          <t>Bloomberg MSCI EM Asia Investment Grade Credit SRI Index TR</t>
        </is>
      </c>
      <c r="P231" s="99" t="inlineStr">
        <is>
          <t>일반</t>
        </is>
      </c>
      <c r="Q231" s="99" t="inlineStr">
        <is>
          <t>채권</t>
        </is>
      </c>
      <c r="R231" s="99" t="inlineStr">
        <is>
          <t>월배당</t>
        </is>
      </c>
      <c r="S231" s="100" t="n">
        <v>11</v>
      </c>
      <c r="T231" s="101" t="n">
        <v>1</v>
      </c>
      <c r="U231" s="103" t="n">
        <v>-0.0386</v>
      </c>
      <c r="V231" s="103" t="n">
        <v>-0.0861</v>
      </c>
      <c r="W231" s="103" t="n">
        <v>-0.1412</v>
      </c>
      <c r="X231" s="103" t="n">
        <v>-0.1486</v>
      </c>
      <c r="Y231" s="99" t="inlineStr">
        <is>
          <t>20250922~20261002</t>
        </is>
      </c>
      <c r="Z231" s="99" t="inlineStr"/>
      <c r="AA231">
        <f>IF(AND($J231&lt;&gt;"",OR(조회_주기="전체",$R231=조회_주기),$J231&gt;=조회_최소,$J231&lt;=조회_최대),1,0)</f>
        <v/>
      </c>
      <c r="AB231">
        <f>IF($AA231=1,$AB230+1,$AB230)</f>
        <v/>
      </c>
      <c r="AC231">
        <f>IF(검색어="",1,IF(ISNUMBER(SEARCH(검색어,$A231)),1,0))</f>
        <v/>
      </c>
      <c r="AD231">
        <f>IF($AC231=1,$AD230+1,$AD230)</f>
        <v/>
      </c>
      <c r="AE231">
        <f>IFERROR(INDEX($A$4:$A$594,MATCH(228,$AD$4:$AD$594,0)),"")</f>
        <v/>
      </c>
    </row>
    <row r="232">
      <c r="A232" s="99" t="inlineStr">
        <is>
          <t>TIGER 미국투자등급회사채액티브(H)</t>
        </is>
      </c>
      <c r="B232" s="99" t="inlineStr">
        <is>
          <t>458260</t>
        </is>
      </c>
      <c r="C232" s="99" t="inlineStr">
        <is>
          <t>미래에셋자산운용</t>
        </is>
      </c>
      <c r="D232" s="100" t="n">
        <v>44580</v>
      </c>
      <c r="E232" s="100" t="n">
        <v>216658800000</v>
      </c>
      <c r="F232" s="100" t="n">
        <v>432030176</v>
      </c>
      <c r="G232" s="101" t="n">
        <v>0.0014</v>
      </c>
      <c r="H232" s="101" t="n">
        <v>0.0585</v>
      </c>
      <c r="I232" s="101" t="n">
        <v>0.0053</v>
      </c>
      <c r="J232" s="101" t="n">
        <v>0.051727</v>
      </c>
      <c r="K232" s="100" t="n">
        <v>40</v>
      </c>
      <c r="L232" s="102" t="inlineStr">
        <is>
          <t>20260929</t>
        </is>
      </c>
      <c r="M232" s="99" t="inlineStr">
        <is>
          <t>제외</t>
        </is>
      </c>
      <c r="N232" s="99" t="inlineStr">
        <is>
          <t>60일 거래대금 4.3억(기준 5억 미만)</t>
        </is>
      </c>
      <c r="O232" s="99" t="inlineStr">
        <is>
          <t>iBoxx USD Liquid Investment Grade PR Index</t>
        </is>
      </c>
      <c r="P232" s="99" t="inlineStr">
        <is>
          <t>일반</t>
        </is>
      </c>
      <c r="Q232" s="99" t="inlineStr">
        <is>
          <t>채권</t>
        </is>
      </c>
      <c r="R232" s="99" t="inlineStr">
        <is>
          <t>월배당</t>
        </is>
      </c>
      <c r="S232" s="100" t="n">
        <v>11</v>
      </c>
      <c r="T232" s="101" t="n">
        <v>0.5108</v>
      </c>
      <c r="U232" s="103" t="n">
        <v>-0.0539</v>
      </c>
      <c r="V232" s="103" t="n">
        <v>-0.1004</v>
      </c>
      <c r="W232" s="103" t="n">
        <v>-0.06860000000000001</v>
      </c>
      <c r="X232" s="103" t="n">
        <v>-0.0612</v>
      </c>
      <c r="Y232" s="99" t="inlineStr">
        <is>
          <t>20250922~20261002</t>
        </is>
      </c>
      <c r="Z232" s="99" t="inlineStr"/>
      <c r="AA232">
        <f>IF(AND($J232&lt;&gt;"",OR(조회_주기="전체",$R232=조회_주기),$J232&gt;=조회_최소,$J232&lt;=조회_최대),1,0)</f>
        <v/>
      </c>
      <c r="AB232">
        <f>IF($AA232=1,$AB231+1,$AB231)</f>
        <v/>
      </c>
      <c r="AC232">
        <f>IF(검색어="",1,IF(ISNUMBER(SEARCH(검색어,$A232)),1,0))</f>
        <v/>
      </c>
      <c r="AD232">
        <f>IF($AC232=1,$AD231+1,$AD231)</f>
        <v/>
      </c>
      <c r="AE232">
        <f>IFERROR(INDEX($A$4:$A$594,MATCH(229,$AD$4:$AD$594,0)),"")</f>
        <v/>
      </c>
    </row>
    <row r="233">
      <c r="A233" s="99" t="inlineStr">
        <is>
          <t>PLUS 미국장기우량회사채</t>
        </is>
      </c>
      <c r="B233" s="99" t="inlineStr">
        <is>
          <t>332620</t>
        </is>
      </c>
      <c r="C233" s="99" t="inlineStr">
        <is>
          <t>한화자산운용</t>
        </is>
      </c>
      <c r="D233" s="100" t="n">
        <v>82210</v>
      </c>
      <c r="E233" s="100" t="n">
        <v>15373270000</v>
      </c>
      <c r="F233" s="100" t="n">
        <v>57830105</v>
      </c>
      <c r="G233" s="101" t="n">
        <v>0.00315</v>
      </c>
      <c r="H233" s="101" t="n">
        <v>0.1253</v>
      </c>
      <c r="I233" s="101" t="n">
        <v>0.0036</v>
      </c>
      <c r="J233" s="101" t="n">
        <v>0.05014</v>
      </c>
      <c r="K233" s="100" t="n">
        <v>19</v>
      </c>
      <c r="L233" s="102" t="inlineStr">
        <is>
          <t>20260929</t>
        </is>
      </c>
      <c r="M233" s="99" t="inlineStr">
        <is>
          <t>제외</t>
        </is>
      </c>
      <c r="N233" s="99" t="inlineStr">
        <is>
          <t>순자산 154억(기준 300억 미만), 60일 거래대금 0.6억(기준 5억 미만)</t>
        </is>
      </c>
      <c r="O233" s="99" t="inlineStr">
        <is>
          <t>ICE BOFAML 15+ YEAR AAA-A US CORPORATE INDEX</t>
        </is>
      </c>
      <c r="P233" s="99" t="inlineStr">
        <is>
          <t>일반</t>
        </is>
      </c>
      <c r="Q233" s="99" t="inlineStr">
        <is>
          <t>채권</t>
        </is>
      </c>
      <c r="R233" s="99" t="inlineStr">
        <is>
          <t>월배당</t>
        </is>
      </c>
      <c r="S233" s="100" t="n">
        <v>11</v>
      </c>
      <c r="T233" s="101" t="n">
        <v>0.679</v>
      </c>
      <c r="U233" s="103" t="n">
        <v>-0.1025</v>
      </c>
      <c r="V233" s="103" t="n">
        <v>-0.1453</v>
      </c>
      <c r="W233" s="103" t="n">
        <v>-0.1799</v>
      </c>
      <c r="X233" s="103" t="n">
        <v>-0.1883</v>
      </c>
      <c r="Y233" s="99" t="inlineStr">
        <is>
          <t>20250922~20261002</t>
        </is>
      </c>
      <c r="Z233" s="99" t="inlineStr"/>
      <c r="AA233">
        <f>IF(AND($J233&lt;&gt;"",OR(조회_주기="전체",$R233=조회_주기),$J233&gt;=조회_최소,$J233&lt;=조회_최대),1,0)</f>
        <v/>
      </c>
      <c r="AB233">
        <f>IF($AA233=1,$AB232+1,$AB232)</f>
        <v/>
      </c>
      <c r="AC233">
        <f>IF(검색어="",1,IF(ISNUMBER(SEARCH(검색어,$A233)),1,0))</f>
        <v/>
      </c>
      <c r="AD233">
        <f>IF($AC233=1,$AD232+1,$AD232)</f>
        <v/>
      </c>
      <c r="AE233">
        <f>IFERROR(INDEX($A$4:$A$594,MATCH(230,$AD$4:$AD$594,0)),"")</f>
        <v/>
      </c>
    </row>
    <row r="234">
      <c r="A234" s="99" t="inlineStr">
        <is>
          <t>KODEX iShares미국투자등급회사채액티브</t>
        </is>
      </c>
      <c r="B234" s="99" t="inlineStr">
        <is>
          <t>468630</t>
        </is>
      </c>
      <c r="C234" s="99" t="inlineStr">
        <is>
          <t>삼성자산운용(ETF)</t>
        </is>
      </c>
      <c r="D234" s="100" t="n">
        <v>10240</v>
      </c>
      <c r="E234" s="100" t="n">
        <v>30822400000</v>
      </c>
      <c r="F234" s="100" t="n">
        <v>405806786</v>
      </c>
      <c r="G234" s="101" t="n">
        <v>0.001</v>
      </c>
      <c r="H234" s="101" t="n">
        <v>0.1117</v>
      </c>
      <c r="I234" s="101" t="n">
        <v>0.0039</v>
      </c>
      <c r="J234" s="101" t="n">
        <v>0.049023</v>
      </c>
      <c r="K234" s="100" t="n">
        <v>35</v>
      </c>
      <c r="L234" s="102" t="inlineStr">
        <is>
          <t>20260929</t>
        </is>
      </c>
      <c r="M234" s="99" t="inlineStr">
        <is>
          <t>제외</t>
        </is>
      </c>
      <c r="N234" s="99" t="inlineStr">
        <is>
          <t>60일 거래대금 4.1억(기준 5억 미만)</t>
        </is>
      </c>
      <c r="O234" s="99" t="inlineStr">
        <is>
          <t>iBoxx USD Liquid IG Index</t>
        </is>
      </c>
      <c r="P234" s="99" t="inlineStr">
        <is>
          <t>일반</t>
        </is>
      </c>
      <c r="Q234" s="99" t="inlineStr">
        <is>
          <t>채권</t>
        </is>
      </c>
      <c r="R234" s="99" t="inlineStr">
        <is>
          <t>월배당</t>
        </is>
      </c>
      <c r="S234" s="100" t="n">
        <v>11</v>
      </c>
      <c r="T234" s="101" t="n">
        <v>1</v>
      </c>
      <c r="U234" s="103" t="n">
        <v>-0.0675</v>
      </c>
      <c r="V234" s="103" t="n">
        <v>-0.1111</v>
      </c>
      <c r="W234" s="103" t="n">
        <v>-0.1578</v>
      </c>
      <c r="X234" s="103" t="n">
        <v>-0.1653</v>
      </c>
      <c r="Y234" s="99" t="inlineStr">
        <is>
          <t>20250922~20261002</t>
        </is>
      </c>
      <c r="Z234" s="99" t="inlineStr"/>
      <c r="AA234">
        <f>IF(AND($J234&lt;&gt;"",OR(조회_주기="전체",$R234=조회_주기),$J234&gt;=조회_최소,$J234&lt;=조회_최대),1,0)</f>
        <v/>
      </c>
      <c r="AB234">
        <f>IF($AA234=1,$AB233+1,$AB233)</f>
        <v/>
      </c>
      <c r="AC234">
        <f>IF(검색어="",1,IF(ISNUMBER(SEARCH(검색어,$A234)),1,0))</f>
        <v/>
      </c>
      <c r="AD234">
        <f>IF($AC234=1,$AD233+1,$AD233)</f>
        <v/>
      </c>
      <c r="AE234">
        <f>IFERROR(INDEX($A$4:$A$594,MATCH(231,$AD$4:$AD$594,0)),"")</f>
        <v/>
      </c>
    </row>
    <row r="235">
      <c r="A235" s="99" t="inlineStr">
        <is>
          <t>TIGER 코스피고배당</t>
        </is>
      </c>
      <c r="B235" s="99" t="inlineStr">
        <is>
          <t>210780</t>
        </is>
      </c>
      <c r="C235" s="99" t="inlineStr">
        <is>
          <t>미래에셋자산운용</t>
        </is>
      </c>
      <c r="D235" s="100" t="n">
        <v>23095</v>
      </c>
      <c r="E235" s="100" t="n">
        <v>76213500000</v>
      </c>
      <c r="F235" s="100" t="n">
        <v>375981690</v>
      </c>
      <c r="G235" s="101" t="n">
        <v>0.0029</v>
      </c>
      <c r="H235" s="101" t="n">
        <v>0.2871</v>
      </c>
      <c r="I235" s="101" t="n">
        <v>0.011</v>
      </c>
      <c r="J235" s="101" t="n">
        <v>0.047629</v>
      </c>
      <c r="K235" s="100" t="n">
        <v>17</v>
      </c>
      <c r="L235" s="102" t="inlineStr">
        <is>
          <t>20260730</t>
        </is>
      </c>
      <c r="M235" s="99" t="inlineStr">
        <is>
          <t>제외</t>
        </is>
      </c>
      <c r="N235" s="99" t="inlineStr">
        <is>
          <t>60일 거래대금 3.8억(기준 5억 미만)</t>
        </is>
      </c>
      <c r="O235" s="99" t="inlineStr">
        <is>
          <t>코스피 고배당 50</t>
        </is>
      </c>
      <c r="P235" s="99" t="inlineStr">
        <is>
          <t>일반</t>
        </is>
      </c>
      <c r="Q235" s="99" t="inlineStr">
        <is>
          <t>주식</t>
        </is>
      </c>
      <c r="R235" s="99" t="inlineStr">
        <is>
          <t>분기배당</t>
        </is>
      </c>
      <c r="S235" s="100" t="n">
        <v>3</v>
      </c>
      <c r="T235" s="101" t="n">
        <v>0.8955</v>
      </c>
      <c r="U235" s="103" t="n">
        <v>0.2559</v>
      </c>
      <c r="V235" s="103" t="n">
        <v>0.199</v>
      </c>
      <c r="W235" s="103" t="n">
        <v>-0.0475</v>
      </c>
      <c r="X235" s="103" t="n">
        <v>-0.0002</v>
      </c>
      <c r="Y235" s="99" t="inlineStr">
        <is>
          <t>20250922~20261002</t>
        </is>
      </c>
      <c r="Z235" s="99" t="inlineStr"/>
      <c r="AA235">
        <f>IF(AND($J235&lt;&gt;"",OR(조회_주기="전체",$R235=조회_주기),$J235&gt;=조회_최소,$J235&lt;=조회_최대),1,0)</f>
        <v/>
      </c>
      <c r="AB235">
        <f>IF($AA235=1,$AB234+1,$AB234)</f>
        <v/>
      </c>
      <c r="AC235">
        <f>IF(검색어="",1,IF(ISNUMBER(SEARCH(검색어,$A235)),1,0))</f>
        <v/>
      </c>
      <c r="AD235">
        <f>IF($AC235=1,$AD234+1,$AD234)</f>
        <v/>
      </c>
      <c r="AE235">
        <f>IFERROR(INDEX($A$4:$A$594,MATCH(232,$AD$4:$AD$594,0)),"")</f>
        <v/>
      </c>
    </row>
    <row r="236">
      <c r="A236" s="99" t="inlineStr">
        <is>
          <t>KIWOOM 코리아고배당</t>
        </is>
      </c>
      <c r="B236" s="99" t="inlineStr">
        <is>
          <t>104530</t>
        </is>
      </c>
      <c r="C236" s="99" t="inlineStr">
        <is>
          <t>키움투자자산운용</t>
        </is>
      </c>
      <c r="D236" s="100" t="n">
        <v>17115</v>
      </c>
      <c r="E236" s="100" t="n">
        <v>35085750000</v>
      </c>
      <c r="F236" s="100" t="n">
        <v>175009225</v>
      </c>
      <c r="G236" s="101" t="n">
        <v>0.0019</v>
      </c>
      <c r="H236" s="101" t="n">
        <v>0.3077</v>
      </c>
      <c r="I236" s="101" t="n">
        <v>0.004500000000000001</v>
      </c>
      <c r="J236" s="101" t="n">
        <v>0.04761899999999999</v>
      </c>
      <c r="K236" s="100" t="n">
        <v>30</v>
      </c>
      <c r="L236" s="102" t="inlineStr">
        <is>
          <t>20260914</t>
        </is>
      </c>
      <c r="M236" s="99" t="inlineStr">
        <is>
          <t>제외</t>
        </is>
      </c>
      <c r="N236" s="99" t="inlineStr">
        <is>
          <t>60일 거래대금 1.8억(기준 5억 미만)</t>
        </is>
      </c>
      <c r="O236" s="99" t="inlineStr">
        <is>
          <t>FnGuide Wealth 고배당20</t>
        </is>
      </c>
      <c r="P236" s="99" t="inlineStr">
        <is>
          <t>일반</t>
        </is>
      </c>
      <c r="Q236" s="99" t="inlineStr">
        <is>
          <t>주식</t>
        </is>
      </c>
      <c r="R236" s="99" t="inlineStr">
        <is>
          <t>월배당</t>
        </is>
      </c>
      <c r="S236" s="100" t="n">
        <v>11</v>
      </c>
      <c r="T236" s="101" t="n">
        <v>0.8908</v>
      </c>
      <c r="U236" s="103" t="n">
        <v>0.1546</v>
      </c>
      <c r="V236" s="103" t="n">
        <v>0.1022</v>
      </c>
      <c r="W236" s="103" t="n">
        <v>-0.1072</v>
      </c>
      <c r="X236" s="103" t="n">
        <v>-0.0347</v>
      </c>
      <c r="Y236" s="99" t="inlineStr">
        <is>
          <t>20250922~20261002</t>
        </is>
      </c>
      <c r="Z236" s="99" t="inlineStr"/>
      <c r="AA236">
        <f>IF(AND($J236&lt;&gt;"",OR(조회_주기="전체",$R236=조회_주기),$J236&gt;=조회_최소,$J236&lt;=조회_최대),1,0)</f>
        <v/>
      </c>
      <c r="AB236">
        <f>IF($AA236=1,$AB235+1,$AB235)</f>
        <v/>
      </c>
      <c r="AC236">
        <f>IF(검색어="",1,IF(ISNUMBER(SEARCH(검색어,$A236)),1,0))</f>
        <v/>
      </c>
      <c r="AD236">
        <f>IF($AC236=1,$AD235+1,$AD235)</f>
        <v/>
      </c>
      <c r="AE236">
        <f>IFERROR(INDEX($A$4:$A$594,MATCH(233,$AD$4:$AD$594,0)),"")</f>
        <v/>
      </c>
    </row>
    <row r="237">
      <c r="A237" s="99" t="inlineStr">
        <is>
          <t>KODEX 미국종합채권ESG액티브(H)</t>
        </is>
      </c>
      <c r="B237" s="99" t="inlineStr">
        <is>
          <t>437080</t>
        </is>
      </c>
      <c r="C237" s="99" t="inlineStr">
        <is>
          <t>삼성자산운용(ETF)</t>
        </is>
      </c>
      <c r="D237" s="100" t="n">
        <v>94195</v>
      </c>
      <c r="E237" s="100" t="n">
        <v>218909180000</v>
      </c>
      <c r="F237" s="100" t="n">
        <v>480463385</v>
      </c>
      <c r="G237" s="101" t="n">
        <v>0.0018</v>
      </c>
      <c r="H237" s="101" t="n">
        <v>0.0436</v>
      </c>
      <c r="I237" s="101" t="n">
        <v>0.0042</v>
      </c>
      <c r="J237" s="101" t="n">
        <v>0.047391</v>
      </c>
      <c r="K237" s="100" t="n">
        <v>20</v>
      </c>
      <c r="L237" s="102" t="inlineStr">
        <is>
          <t>20260929</t>
        </is>
      </c>
      <c r="M237" s="99" t="inlineStr">
        <is>
          <t>제외</t>
        </is>
      </c>
      <c r="N237" s="99" t="inlineStr">
        <is>
          <t>60일 거래대금 4.8억(기준 5억 미만)</t>
        </is>
      </c>
      <c r="O237" s="99" t="inlineStr">
        <is>
          <t>Bloomberg MSCI US Aggregate 2BN ex Securitized SRI Capped In</t>
        </is>
      </c>
      <c r="P237" s="99" t="inlineStr">
        <is>
          <t>일반</t>
        </is>
      </c>
      <c r="Q237" s="99" t="inlineStr">
        <is>
          <t>채권</t>
        </is>
      </c>
      <c r="R237" s="99" t="inlineStr">
        <is>
          <t>월배당</t>
        </is>
      </c>
      <c r="S237" s="100" t="n">
        <v>11</v>
      </c>
      <c r="T237" s="101" t="n">
        <v>0.5087</v>
      </c>
      <c r="U237" s="103" t="n">
        <v>-0.0369</v>
      </c>
      <c r="V237" s="103" t="n">
        <v>-0.0805</v>
      </c>
      <c r="W237" s="103" t="n">
        <v>-0.0561</v>
      </c>
      <c r="X237" s="103" t="n">
        <v>-0.04679999999999999</v>
      </c>
      <c r="Y237" s="99" t="inlineStr">
        <is>
          <t>20250922~20261002</t>
        </is>
      </c>
      <c r="Z237" s="99" t="inlineStr"/>
      <c r="AA237">
        <f>IF(AND($J237&lt;&gt;"",OR(조회_주기="전체",$R237=조회_주기),$J237&gt;=조회_최소,$J237&lt;=조회_최대),1,0)</f>
        <v/>
      </c>
      <c r="AB237">
        <f>IF($AA237=1,$AB236+1,$AB236)</f>
        <v/>
      </c>
      <c r="AC237">
        <f>IF(검색어="",1,IF(ISNUMBER(SEARCH(검색어,$A237)),1,0))</f>
        <v/>
      </c>
      <c r="AD237">
        <f>IF($AC237=1,$AD236+1,$AD236)</f>
        <v/>
      </c>
      <c r="AE237">
        <f>IFERROR(INDEX($A$4:$A$594,MATCH(234,$AD$4:$AD$594,0)),"")</f>
        <v/>
      </c>
    </row>
    <row r="238">
      <c r="A238" s="99" t="inlineStr">
        <is>
          <t>TIGER 글로벌멀티에셋TIF액티브</t>
        </is>
      </c>
      <c r="B238" s="99" t="inlineStr">
        <is>
          <t>440340</t>
        </is>
      </c>
      <c r="C238" s="99" t="inlineStr">
        <is>
          <t>미래에셋자산운용</t>
        </is>
      </c>
      <c r="D238" s="100" t="n">
        <v>11325</v>
      </c>
      <c r="E238" s="100" t="n">
        <v>25481250000</v>
      </c>
      <c r="F238" s="100" t="n">
        <v>120840996</v>
      </c>
      <c r="G238" s="101" t="n">
        <v>0.005500000000000001</v>
      </c>
      <c r="H238" s="101" t="n">
        <v>0.1078</v>
      </c>
      <c r="I238" s="101" t="n">
        <v>0.0036</v>
      </c>
      <c r="J238" s="101" t="n">
        <v>0.042914</v>
      </c>
      <c r="K238" s="100" t="n">
        <v>49</v>
      </c>
      <c r="L238" s="102" t="inlineStr">
        <is>
          <t>20260929</t>
        </is>
      </c>
      <c r="M238" s="99" t="inlineStr">
        <is>
          <t>제외</t>
        </is>
      </c>
      <c r="N238" s="99" t="inlineStr">
        <is>
          <t>순자산 255억(기준 300억 미만), 60일 거래대금 1.2억(기준 5억 미만)</t>
        </is>
      </c>
      <c r="O238" s="99" t="inlineStr">
        <is>
          <t>Indxx Multi Asset Income Index</t>
        </is>
      </c>
      <c r="P238" s="99" t="inlineStr">
        <is>
          <t>일반</t>
        </is>
      </c>
      <c r="Q238" s="99" t="inlineStr">
        <is>
          <t>멀티에셋</t>
        </is>
      </c>
      <c r="R238" s="99" t="inlineStr">
        <is>
          <t>월배당</t>
        </is>
      </c>
      <c r="S238" s="100" t="n">
        <v>11</v>
      </c>
      <c r="T238" s="101" t="n">
        <v>1</v>
      </c>
      <c r="U238" s="103" t="n">
        <v>0.0285</v>
      </c>
      <c r="V238" s="103" t="n">
        <v>-0.0137</v>
      </c>
      <c r="W238" s="103" t="n">
        <v>-0.09910000000000001</v>
      </c>
      <c r="X238" s="103" t="n">
        <v>-0.14</v>
      </c>
      <c r="Y238" s="99" t="inlineStr">
        <is>
          <t>20250922~20261002</t>
        </is>
      </c>
      <c r="Z238" s="99" t="inlineStr"/>
      <c r="AA238">
        <f>IF(AND($J238&lt;&gt;"",OR(조회_주기="전체",$R238=조회_주기),$J238&gt;=조회_최소,$J238&lt;=조회_최대),1,0)</f>
        <v/>
      </c>
      <c r="AB238">
        <f>IF($AA238=1,$AB237+1,$AB237)</f>
        <v/>
      </c>
      <c r="AC238">
        <f>IF(검색어="",1,IF(ISNUMBER(SEARCH(검색어,$A238)),1,0))</f>
        <v/>
      </c>
      <c r="AD238">
        <f>IF($AC238=1,$AD237+1,$AD237)</f>
        <v/>
      </c>
      <c r="AE238">
        <f>IFERROR(INDEX($A$4:$A$594,MATCH(235,$AD$4:$AD$594,0)),"")</f>
        <v/>
      </c>
    </row>
    <row r="239">
      <c r="A239" s="99" t="inlineStr">
        <is>
          <t>KODEX 금융고배당TOP10</t>
        </is>
      </c>
      <c r="B239" s="99" t="inlineStr">
        <is>
          <t>0089D0</t>
        </is>
      </c>
      <c r="C239" s="99" t="inlineStr">
        <is>
          <t>삼성자산운용(ETF)</t>
        </is>
      </c>
      <c r="D239" s="100" t="n">
        <v>13020</v>
      </c>
      <c r="E239" s="100" t="n">
        <v>222642000000</v>
      </c>
      <c r="F239" s="100" t="n">
        <v>3077566332</v>
      </c>
      <c r="G239" s="101" t="n">
        <v>0.003</v>
      </c>
      <c r="H239" s="101" t="n">
        <v>0.3479</v>
      </c>
      <c r="I239" s="101" t="n">
        <v>0.0044</v>
      </c>
      <c r="J239" s="101" t="n">
        <v>0.04278</v>
      </c>
      <c r="K239" s="100" t="n">
        <v>11</v>
      </c>
      <c r="L239" s="102" t="inlineStr">
        <is>
          <t>20260914</t>
        </is>
      </c>
      <c r="M239" s="99" t="inlineStr">
        <is>
          <t>제외</t>
        </is>
      </c>
      <c r="N239" s="99" t="inlineStr">
        <is>
          <t>분배율 대조 불일치(연분배율 계산 4.2780% vs ETFCHECK 4.1198% (차 0.1582%p &gt; 허용 0.1500%p))</t>
        </is>
      </c>
      <c r="O239" s="99" t="inlineStr">
        <is>
          <t>코스피 200 금융 고배당 TOP 10 지수</t>
        </is>
      </c>
      <c r="P239" s="99" t="inlineStr">
        <is>
          <t>일반</t>
        </is>
      </c>
      <c r="Q239" s="99" t="inlineStr">
        <is>
          <t>주식</t>
        </is>
      </c>
      <c r="R239" s="99" t="inlineStr">
        <is>
          <t>월배당</t>
        </is>
      </c>
      <c r="S239" s="100" t="n">
        <v>11</v>
      </c>
      <c r="T239" s="101" t="n">
        <v>0.7038</v>
      </c>
      <c r="U239" s="103" t="n">
        <v>0.2929</v>
      </c>
      <c r="V239" s="103" t="n">
        <v>0.2399</v>
      </c>
      <c r="W239" s="103" t="n">
        <v>0.0433</v>
      </c>
      <c r="X239" s="103" t="n">
        <v>-0.0371</v>
      </c>
      <c r="Y239" s="99" t="inlineStr">
        <is>
          <t>20250922~20261002</t>
        </is>
      </c>
      <c r="Z239" s="99" t="inlineStr"/>
      <c r="AA239">
        <f>IF(AND($J239&lt;&gt;"",OR(조회_주기="전체",$R239=조회_주기),$J239&gt;=조회_최소,$J239&lt;=조회_최대),1,0)</f>
        <v/>
      </c>
      <c r="AB239">
        <f>IF($AA239=1,$AB238+1,$AB238)</f>
        <v/>
      </c>
      <c r="AC239">
        <f>IF(검색어="",1,IF(ISNUMBER(SEARCH(검색어,$A239)),1,0))</f>
        <v/>
      </c>
      <c r="AD239">
        <f>IF($AC239=1,$AD238+1,$AD238)</f>
        <v/>
      </c>
      <c r="AE239">
        <f>IFERROR(INDEX($A$4:$A$594,MATCH(236,$AD$4:$AD$594,0)),"")</f>
        <v/>
      </c>
    </row>
    <row r="240">
      <c r="A240" s="99" t="inlineStr">
        <is>
          <t>RISE 글로벌리얼티인컴</t>
        </is>
      </c>
      <c r="B240" s="99" t="inlineStr">
        <is>
          <t>475380</t>
        </is>
      </c>
      <c r="C240" s="99" t="inlineStr">
        <is>
          <t>KB자산운용</t>
        </is>
      </c>
      <c r="D240" s="100" t="n">
        <v>9465</v>
      </c>
      <c r="E240" s="100" t="n">
        <v>25082250000</v>
      </c>
      <c r="F240" s="100" t="n">
        <v>80404036</v>
      </c>
      <c r="G240" s="101" t="n">
        <v>0.0001</v>
      </c>
      <c r="H240" s="101" t="n">
        <v>0.1438</v>
      </c>
      <c r="I240" s="101" t="n">
        <v>0.0033</v>
      </c>
      <c r="J240" s="101" t="n">
        <v>0.042155</v>
      </c>
      <c r="K240" s="100" t="n">
        <v>31</v>
      </c>
      <c r="L240" s="102" t="inlineStr">
        <is>
          <t>20260929</t>
        </is>
      </c>
      <c r="M240" s="99" t="inlineStr">
        <is>
          <t>제외</t>
        </is>
      </c>
      <c r="N240" s="99" t="inlineStr">
        <is>
          <t>순자산 251억(기준 300억 미만), 60일 거래대금 0.8억(기준 5억 미만)</t>
        </is>
      </c>
      <c r="O240" s="99" t="inlineStr">
        <is>
          <t>Solactive Global Realty Income Index PR</t>
        </is>
      </c>
      <c r="P240" s="99" t="inlineStr">
        <is>
          <t>일반</t>
        </is>
      </c>
      <c r="Q240" s="99" t="inlineStr">
        <is>
          <t>부동산</t>
        </is>
      </c>
      <c r="R240" s="99" t="inlineStr">
        <is>
          <t>월배당</t>
        </is>
      </c>
      <c r="S240" s="100" t="n">
        <v>11</v>
      </c>
      <c r="T240" s="101" t="n">
        <v>1</v>
      </c>
      <c r="U240" s="103" t="n">
        <v>-0.0304</v>
      </c>
      <c r="V240" s="103" t="n">
        <v>-0.0698</v>
      </c>
      <c r="W240" s="103" t="n">
        <v>-0.1731</v>
      </c>
      <c r="X240" s="103" t="n">
        <v>-0.1711</v>
      </c>
      <c r="Y240" s="99" t="inlineStr">
        <is>
          <t>20250922~20261002</t>
        </is>
      </c>
      <c r="Z240" s="99" t="inlineStr"/>
      <c r="AA240">
        <f>IF(AND($J240&lt;&gt;"",OR(조회_주기="전체",$R240=조회_주기),$J240&gt;=조회_최소,$J240&lt;=조회_최대),1,0)</f>
        <v/>
      </c>
      <c r="AB240">
        <f>IF($AA240=1,$AB239+1,$AB239)</f>
        <v/>
      </c>
      <c r="AC240">
        <f>IF(검색어="",1,IF(ISNUMBER(SEARCH(검색어,$A240)),1,0))</f>
        <v/>
      </c>
      <c r="AD240">
        <f>IF($AC240=1,$AD239+1,$AD239)</f>
        <v/>
      </c>
      <c r="AE240">
        <f>IFERROR(INDEX($A$4:$A$594,MATCH(237,$AD$4:$AD$594,0)),"")</f>
        <v/>
      </c>
    </row>
    <row r="241">
      <c r="A241" s="99" t="inlineStr">
        <is>
          <t>KIWOOM 한국고배당&amp;미국AI테크</t>
        </is>
      </c>
      <c r="B241" s="99" t="inlineStr">
        <is>
          <t>0097L0</t>
        </is>
      </c>
      <c r="C241" s="99" t="inlineStr">
        <is>
          <t>키움투자자산운용</t>
        </is>
      </c>
      <c r="D241" s="100" t="n">
        <v>12425</v>
      </c>
      <c r="E241" s="100" t="n">
        <v>24228750000</v>
      </c>
      <c r="F241" s="100" t="n">
        <v>79766896</v>
      </c>
      <c r="G241" s="101" t="n">
        <v>0.004500000000000001</v>
      </c>
      <c r="H241" s="101" t="n">
        <v>0.26</v>
      </c>
      <c r="I241" s="101" t="n">
        <v>0.0044</v>
      </c>
      <c r="J241" s="101" t="n">
        <v>0.040241</v>
      </c>
      <c r="K241" s="100" t="n">
        <v>13</v>
      </c>
      <c r="L241" s="102" t="inlineStr">
        <is>
          <t>20260929</t>
        </is>
      </c>
      <c r="M241" s="99" t="inlineStr">
        <is>
          <t>제외</t>
        </is>
      </c>
      <c r="N241" s="99" t="inlineStr">
        <is>
          <t>순자산 242억(기준 300억 미만), 60일 거래대금 0.8억(기준 5억 미만)</t>
        </is>
      </c>
      <c r="O241" s="99" t="inlineStr">
        <is>
          <t>Akros 미국AI테크Top10&amp;한국고배당 3070 지수</t>
        </is>
      </c>
      <c r="P241" s="99" t="inlineStr">
        <is>
          <t>일반</t>
        </is>
      </c>
      <c r="Q241" s="99" t="inlineStr">
        <is>
          <t>주식</t>
        </is>
      </c>
      <c r="R241" s="99" t="inlineStr">
        <is>
          <t>월배당</t>
        </is>
      </c>
      <c r="S241" s="100" t="n">
        <v>11</v>
      </c>
      <c r="T241" s="101" t="n">
        <v>1</v>
      </c>
      <c r="U241" s="103" t="n">
        <v>0.2063</v>
      </c>
      <c r="V241" s="103" t="n">
        <v>0.1597</v>
      </c>
      <c r="W241" s="103" t="n">
        <v>0.0408</v>
      </c>
      <c r="X241" s="103" t="n">
        <v>-0.0617</v>
      </c>
      <c r="Y241" s="99" t="inlineStr">
        <is>
          <t>20250922~20261002</t>
        </is>
      </c>
      <c r="Z241" s="99" t="inlineStr"/>
      <c r="AA241">
        <f>IF(AND($J241&lt;&gt;"",OR(조회_주기="전체",$R241=조회_주기),$J241&gt;=조회_최소,$J241&lt;=조회_최대),1,0)</f>
        <v/>
      </c>
      <c r="AB241">
        <f>IF($AA241=1,$AB240+1,$AB240)</f>
        <v/>
      </c>
      <c r="AC241">
        <f>IF(검색어="",1,IF(ISNUMBER(SEARCH(검색어,$A241)),1,0))</f>
        <v/>
      </c>
      <c r="AD241">
        <f>IF($AC241=1,$AD240+1,$AD240)</f>
        <v/>
      </c>
      <c r="AE241">
        <f>IFERROR(INDEX($A$4:$A$594,MATCH(238,$AD$4:$AD$594,0)),"")</f>
        <v/>
      </c>
    </row>
    <row r="242">
      <c r="A242" s="99" t="inlineStr">
        <is>
          <t>TIGER 200커버드콜OTM</t>
        </is>
      </c>
      <c r="B242" s="99" t="inlineStr">
        <is>
          <t>166400</t>
        </is>
      </c>
      <c r="C242" s="99" t="inlineStr">
        <is>
          <t>미래에셋자산운용</t>
        </is>
      </c>
      <c r="D242" s="100" t="n">
        <v>25400</v>
      </c>
      <c r="E242" s="100" t="n">
        <v>12700000000</v>
      </c>
      <c r="F242" s="100" t="n">
        <v>43711754</v>
      </c>
      <c r="G242" s="101" t="n">
        <v>0.0038</v>
      </c>
      <c r="H242" s="101" t="n">
        <v>0.4281</v>
      </c>
      <c r="I242" s="101" t="n">
        <v>0.004099999999999999</v>
      </c>
      <c r="J242" s="101" t="n">
        <v>0.038976</v>
      </c>
      <c r="K242" s="100" t="n">
        <v>52</v>
      </c>
      <c r="L242" s="102" t="inlineStr">
        <is>
          <t>20260929</t>
        </is>
      </c>
      <c r="M242" s="99" t="inlineStr">
        <is>
          <t>제외</t>
        </is>
      </c>
      <c r="N242" s="99" t="inlineStr">
        <is>
          <t>순자산 127억(기준 300억 미만), 60일 거래대금 0.4억(기준 5억 미만), 변동성 42.8%(1년 기준, 기준 35% 초과)</t>
        </is>
      </c>
      <c r="O242" s="99" t="inlineStr">
        <is>
          <t>코스피 200 커버드콜 5% OTM</t>
        </is>
      </c>
      <c r="P242" s="99" t="inlineStr">
        <is>
          <t>커버드콜</t>
        </is>
      </c>
      <c r="Q242" s="99" t="inlineStr">
        <is>
          <t>주식</t>
        </is>
      </c>
      <c r="R242" s="99" t="inlineStr">
        <is>
          <t>월배당</t>
        </is>
      </c>
      <c r="S242" s="100" t="n">
        <v>11</v>
      </c>
      <c r="T242" s="101" t="n">
        <v>0.8768</v>
      </c>
      <c r="U242" s="103" t="n"/>
      <c r="V242" s="103" t="n"/>
      <c r="W242" s="103" t="n"/>
      <c r="X242" s="103" t="n"/>
      <c r="Y242" s="99" t="inlineStr"/>
      <c r="Z242" s="99" t="inlineStr">
        <is>
          <t>창 안 급변일 1일(20260731) — 내지 않음 / 6개월: 창 안 급변일 1일(20260731) — 내지 않음 / 3개월: 창 안 급변일 1일(20260731) — 내지 않음</t>
        </is>
      </c>
      <c r="AA242">
        <f>IF(AND($J242&lt;&gt;"",OR(조회_주기="전체",$R242=조회_주기),$J242&gt;=조회_최소,$J242&lt;=조회_최대),1,0)</f>
        <v/>
      </c>
      <c r="AB242">
        <f>IF($AA242=1,$AB241+1,$AB241)</f>
        <v/>
      </c>
      <c r="AC242">
        <f>IF(검색어="",1,IF(ISNUMBER(SEARCH(검색어,$A242)),1,0))</f>
        <v/>
      </c>
      <c r="AD242">
        <f>IF($AC242=1,$AD241+1,$AD241)</f>
        <v/>
      </c>
      <c r="AE242">
        <f>IFERROR(INDEX($A$4:$A$594,MATCH(239,$AD$4:$AD$594,0)),"")</f>
        <v/>
      </c>
    </row>
    <row r="243">
      <c r="A243" s="99" t="inlineStr">
        <is>
          <t>ACE 미국10년국채액티브(H)</t>
        </is>
      </c>
      <c r="B243" s="99" t="inlineStr">
        <is>
          <t>0085N0</t>
        </is>
      </c>
      <c r="C243" s="99" t="inlineStr">
        <is>
          <t>한국투신운용(ETF)</t>
        </is>
      </c>
      <c r="D243" s="100" t="n">
        <v>9435</v>
      </c>
      <c r="E243" s="100" t="n">
        <v>35853000000</v>
      </c>
      <c r="F243" s="100" t="n">
        <v>299271752</v>
      </c>
      <c r="G243" s="101" t="n">
        <v>0.0015</v>
      </c>
      <c r="H243" s="101" t="n">
        <v>0.0479</v>
      </c>
      <c r="I243" s="101" t="n">
        <v>0.0032</v>
      </c>
      <c r="J243" s="101" t="n">
        <v>0.038792</v>
      </c>
      <c r="K243" s="100" t="n">
        <v>14</v>
      </c>
      <c r="L243" s="102" t="inlineStr">
        <is>
          <t>20260929</t>
        </is>
      </c>
      <c r="M243" s="99" t="inlineStr">
        <is>
          <t>제외</t>
        </is>
      </c>
      <c r="N243" s="99" t="inlineStr">
        <is>
          <t>60일 거래대금 3.0억(기준 5억 미만)</t>
        </is>
      </c>
      <c r="O243" s="99" t="inlineStr">
        <is>
          <t>ICE U.S.Treasury 7-10 Year Bond Index</t>
        </is>
      </c>
      <c r="P243" s="99" t="inlineStr">
        <is>
          <t>일반</t>
        </is>
      </c>
      <c r="Q243" s="99" t="inlineStr">
        <is>
          <t>채권</t>
        </is>
      </c>
      <c r="R243" s="99" t="inlineStr">
        <is>
          <t>월배당</t>
        </is>
      </c>
      <c r="S243" s="100" t="n">
        <v>11</v>
      </c>
      <c r="T243" s="101" t="n">
        <v>0.5847</v>
      </c>
      <c r="U243" s="103" t="n">
        <v>-0.0425</v>
      </c>
      <c r="V243" s="103" t="n">
        <v>-0.07829999999999999</v>
      </c>
      <c r="W243" s="103" t="n">
        <v>-0.06</v>
      </c>
      <c r="X243" s="103" t="n">
        <v>-0.0491</v>
      </c>
      <c r="Y243" s="99" t="inlineStr">
        <is>
          <t>20250922~20261002</t>
        </is>
      </c>
      <c r="Z243" s="99" t="inlineStr"/>
      <c r="AA243">
        <f>IF(AND($J243&lt;&gt;"",OR(조회_주기="전체",$R243=조회_주기),$J243&gt;=조회_최소,$J243&lt;=조회_최대),1,0)</f>
        <v/>
      </c>
      <c r="AB243">
        <f>IF($AA243=1,$AB242+1,$AB242)</f>
        <v/>
      </c>
      <c r="AC243">
        <f>IF(검색어="",1,IF(ISNUMBER(SEARCH(검색어,$A243)),1,0))</f>
        <v/>
      </c>
      <c r="AD243">
        <f>IF($AC243=1,$AD242+1,$AD242)</f>
        <v/>
      </c>
      <c r="AE243">
        <f>IFERROR(INDEX($A$4:$A$594,MATCH(240,$AD$4:$AD$594,0)),"")</f>
        <v/>
      </c>
    </row>
    <row r="244">
      <c r="A244" s="99" t="inlineStr">
        <is>
          <t>PLUS 미국단기회사채(AAA~A)</t>
        </is>
      </c>
      <c r="B244" s="99" t="inlineStr">
        <is>
          <t>332610</t>
        </is>
      </c>
      <c r="C244" s="99" t="inlineStr">
        <is>
          <t>한화자산운용</t>
        </is>
      </c>
      <c r="D244" s="100" t="n">
        <v>122530</v>
      </c>
      <c r="E244" s="100" t="n">
        <v>11762880000</v>
      </c>
      <c r="F244" s="100" t="n">
        <v>68948958</v>
      </c>
      <c r="G244" s="101" t="n">
        <v>0.00315</v>
      </c>
      <c r="H244" s="101" t="n">
        <v>0.1052</v>
      </c>
      <c r="I244" s="101" t="n">
        <v>0.003</v>
      </c>
      <c r="J244" s="101" t="n">
        <v>0.03866</v>
      </c>
      <c r="K244" s="100" t="n">
        <v>19</v>
      </c>
      <c r="L244" s="102" t="inlineStr">
        <is>
          <t>20260929</t>
        </is>
      </c>
      <c r="M244" s="99" t="inlineStr">
        <is>
          <t>제외</t>
        </is>
      </c>
      <c r="N244" s="99" t="inlineStr">
        <is>
          <t>순자산 118억(기준 300억 미만), 60일 거래대금 0.7억(기준 5억 미만)</t>
        </is>
      </c>
      <c r="O244" s="99" t="inlineStr">
        <is>
          <t>ICE BOFAML 1-3 YEAR AAA-A US CORPORATE INDEX</t>
        </is>
      </c>
      <c r="P244" s="99" t="inlineStr">
        <is>
          <t>일반</t>
        </is>
      </c>
      <c r="Q244" s="99" t="inlineStr">
        <is>
          <t>채권</t>
        </is>
      </c>
      <c r="R244" s="99" t="inlineStr">
        <is>
          <t>월배당</t>
        </is>
      </c>
      <c r="S244" s="100" t="n">
        <v>11</v>
      </c>
      <c r="T244" s="101" t="n">
        <v>1</v>
      </c>
      <c r="U244" s="103" t="n">
        <v>-0.0037</v>
      </c>
      <c r="V244" s="103" t="n">
        <v>-0.0409</v>
      </c>
      <c r="W244" s="103" t="n">
        <v>-0.1087</v>
      </c>
      <c r="X244" s="103" t="n">
        <v>-0.1196</v>
      </c>
      <c r="Y244" s="99" t="inlineStr">
        <is>
          <t>20250922~20261002</t>
        </is>
      </c>
      <c r="Z244" s="99" t="inlineStr"/>
      <c r="AA244">
        <f>IF(AND($J244&lt;&gt;"",OR(조회_주기="전체",$R244=조회_주기),$J244&gt;=조회_최소,$J244&lt;=조회_최대),1,0)</f>
        <v/>
      </c>
      <c r="AB244">
        <f>IF($AA244=1,$AB243+1,$AB243)</f>
        <v/>
      </c>
      <c r="AC244">
        <f>IF(검색어="",1,IF(ISNUMBER(SEARCH(검색어,$A244)),1,0))</f>
        <v/>
      </c>
      <c r="AD244">
        <f>IF($AC244=1,$AD243+1,$AD243)</f>
        <v/>
      </c>
      <c r="AE244">
        <f>IFERROR(INDEX($A$4:$A$594,MATCH(241,$AD$4:$AD$594,0)),"")</f>
        <v/>
      </c>
    </row>
    <row r="245">
      <c r="A245" s="99" t="inlineStr">
        <is>
          <t>SOL 금융지주플러스고배당</t>
        </is>
      </c>
      <c r="B245" s="99" t="inlineStr">
        <is>
          <t>484880</t>
        </is>
      </c>
      <c r="C245" s="99" t="inlineStr">
        <is>
          <t>신한자산운용</t>
        </is>
      </c>
      <c r="D245" s="100" t="n">
        <v>22055</v>
      </c>
      <c r="E245" s="100" t="n">
        <v>347366250000</v>
      </c>
      <c r="F245" s="100" t="n">
        <v>15175905579</v>
      </c>
      <c r="G245" s="101" t="n">
        <v>0.003</v>
      </c>
      <c r="H245" s="101" t="n">
        <v>0.3618</v>
      </c>
      <c r="I245" s="101" t="n">
        <v>0.0039</v>
      </c>
      <c r="J245" s="101" t="n">
        <v>0.037543</v>
      </c>
      <c r="K245" s="100" t="n">
        <v>27</v>
      </c>
      <c r="L245" s="102" t="inlineStr">
        <is>
          <t>20260929</t>
        </is>
      </c>
      <c r="M245" s="99" t="inlineStr">
        <is>
          <t>제외</t>
        </is>
      </c>
      <c r="N245" s="99" t="inlineStr">
        <is>
          <t>변동성 36.2%(1년 기준, 기준 35% 초과)</t>
        </is>
      </c>
      <c r="O245" s="99" t="inlineStr">
        <is>
          <t>FnGuide 금융지주플러스고배당 지수</t>
        </is>
      </c>
      <c r="P245" s="99" t="inlineStr">
        <is>
          <t>일반</t>
        </is>
      </c>
      <c r="Q245" s="99" t="inlineStr">
        <is>
          <t>주식</t>
        </is>
      </c>
      <c r="R245" s="99" t="inlineStr">
        <is>
          <t>월배당</t>
        </is>
      </c>
      <c r="S245" s="100" t="n">
        <v>11</v>
      </c>
      <c r="T245" s="101" t="n">
        <v>0.7089</v>
      </c>
      <c r="U245" s="103" t="n">
        <v>0.3904</v>
      </c>
      <c r="V245" s="103" t="n">
        <v>0.3401</v>
      </c>
      <c r="W245" s="103" t="n">
        <v>0.0741</v>
      </c>
      <c r="X245" s="103" t="n">
        <v>-0.019</v>
      </c>
      <c r="Y245" s="99" t="inlineStr">
        <is>
          <t>20250922~20261002</t>
        </is>
      </c>
      <c r="Z245" s="99" t="inlineStr"/>
      <c r="AA245">
        <f>IF(AND($J245&lt;&gt;"",OR(조회_주기="전체",$R245=조회_주기),$J245&gt;=조회_최소,$J245&lt;=조회_최대),1,0)</f>
        <v/>
      </c>
      <c r="AB245">
        <f>IF($AA245=1,$AB244+1,$AB244)</f>
        <v/>
      </c>
      <c r="AC245">
        <f>IF(검색어="",1,IF(ISNUMBER(SEARCH(검색어,$A245)),1,0))</f>
        <v/>
      </c>
      <c r="AD245">
        <f>IF($AC245=1,$AD244+1,$AD244)</f>
        <v/>
      </c>
      <c r="AE245">
        <f>IFERROR(INDEX($A$4:$A$594,MATCH(242,$AD$4:$AD$594,0)),"")</f>
        <v/>
      </c>
    </row>
    <row r="246">
      <c r="A246" s="99" t="inlineStr">
        <is>
          <t>TIGER 증권</t>
        </is>
      </c>
      <c r="B246" s="99" t="inlineStr">
        <is>
          <t>157500</t>
        </is>
      </c>
      <c r="C246" s="99" t="inlineStr">
        <is>
          <t>미래에셋자산운용</t>
        </is>
      </c>
      <c r="D246" s="100" t="n">
        <v>11945</v>
      </c>
      <c r="E246" s="100" t="n">
        <v>211665400000</v>
      </c>
      <c r="F246" s="100" t="n">
        <v>8392321456</v>
      </c>
      <c r="G246" s="101" t="n">
        <v>0.004</v>
      </c>
      <c r="H246" s="101" t="n">
        <v>0.6335000000000001</v>
      </c>
      <c r="I246" s="101" t="n">
        <v>0.0364</v>
      </c>
      <c r="J246" s="101" t="n">
        <v>0.037087</v>
      </c>
      <c r="K246" s="100" t="n">
        <v>7</v>
      </c>
      <c r="L246" s="102" t="inlineStr">
        <is>
          <t>20260730</t>
        </is>
      </c>
      <c r="M246" s="99" t="inlineStr">
        <is>
          <t>제외</t>
        </is>
      </c>
      <c r="N246" s="99" t="inlineStr">
        <is>
          <t>변동성 63.3%(1년 기준, 기준 35% 초과)</t>
        </is>
      </c>
      <c r="O246" s="99" t="inlineStr">
        <is>
          <t>FnGuide 증권</t>
        </is>
      </c>
      <c r="P246" s="99" t="inlineStr">
        <is>
          <t>일반</t>
        </is>
      </c>
      <c r="Q246" s="99" t="inlineStr">
        <is>
          <t>주식</t>
        </is>
      </c>
      <c r="R246" s="99" t="inlineStr">
        <is>
          <t>연배당</t>
        </is>
      </c>
      <c r="S246" s="100" t="n">
        <v>1</v>
      </c>
      <c r="T246" s="101" t="n">
        <v>0.8262</v>
      </c>
      <c r="U246" s="103" t="n">
        <v>0.2247</v>
      </c>
      <c r="V246" s="103" t="n">
        <v>0.1811</v>
      </c>
      <c r="W246" s="103" t="n">
        <v>-0.3074</v>
      </c>
      <c r="X246" s="103" t="n">
        <v>-0.252</v>
      </c>
      <c r="Y246" s="99" t="inlineStr">
        <is>
          <t>20250922~20261002</t>
        </is>
      </c>
      <c r="Z246" s="99" t="inlineStr"/>
      <c r="AA246">
        <f>IF(AND($J246&lt;&gt;"",OR(조회_주기="전체",$R246=조회_주기),$J246&gt;=조회_최소,$J246&lt;=조회_최대),1,0)</f>
        <v/>
      </c>
      <c r="AB246">
        <f>IF($AA246=1,$AB245+1,$AB245)</f>
        <v/>
      </c>
      <c r="AC246">
        <f>IF(검색어="",1,IF(ISNUMBER(SEARCH(검색어,$A246)),1,0))</f>
        <v/>
      </c>
      <c r="AD246">
        <f>IF($AC246=1,$AD245+1,$AD245)</f>
        <v/>
      </c>
      <c r="AE246">
        <f>IFERROR(INDEX($A$4:$A$594,MATCH(243,$AD$4:$AD$594,0)),"")</f>
        <v/>
      </c>
    </row>
    <row r="247">
      <c r="A247" s="99" t="inlineStr">
        <is>
          <t>KIWOOM 미국고배당&amp;AI테크</t>
        </is>
      </c>
      <c r="B247" s="99" t="inlineStr">
        <is>
          <t>0107F0</t>
        </is>
      </c>
      <c r="C247" s="99" t="inlineStr">
        <is>
          <t>키움투자자산운용</t>
        </is>
      </c>
      <c r="D247" s="100" t="n">
        <v>10780</v>
      </c>
      <c r="E247" s="100" t="n">
        <v>26950000000</v>
      </c>
      <c r="F247" s="100" t="n">
        <v>135543895</v>
      </c>
      <c r="G247" s="101" t="n">
        <v>0.004500000000000001</v>
      </c>
      <c r="H247" s="101" t="n">
        <v>0.1476</v>
      </c>
      <c r="I247" s="101" t="n">
        <v>0.0031</v>
      </c>
      <c r="J247" s="101" t="n">
        <v>0.036549</v>
      </c>
      <c r="K247" s="100" t="n">
        <v>12</v>
      </c>
      <c r="L247" s="102" t="inlineStr">
        <is>
          <t>20260929</t>
        </is>
      </c>
      <c r="M247" s="99" t="inlineStr">
        <is>
          <t>제외</t>
        </is>
      </c>
      <c r="N247" s="99" t="inlineStr">
        <is>
          <t>순자산 270억(기준 300억 미만), 60일 거래대금 1.4억(기준 5억 미만)</t>
        </is>
      </c>
      <c r="O247" s="99" t="inlineStr">
        <is>
          <t>Akros U.S. AI Tech Top10 &amp; High Dividend 3070 Index</t>
        </is>
      </c>
      <c r="P247" s="99" t="inlineStr">
        <is>
          <t>일반</t>
        </is>
      </c>
      <c r="Q247" s="99" t="inlineStr">
        <is>
          <t>주식</t>
        </is>
      </c>
      <c r="R247" s="99" t="inlineStr">
        <is>
          <t>월배당</t>
        </is>
      </c>
      <c r="S247" s="100" t="n">
        <v>11</v>
      </c>
      <c r="T247" s="101" t="n">
        <v>1</v>
      </c>
      <c r="U247" s="103" t="n">
        <v>0.1169</v>
      </c>
      <c r="V247" s="103" t="n">
        <v>0.0774</v>
      </c>
      <c r="W247" s="103" t="n">
        <v>-0.0317</v>
      </c>
      <c r="X247" s="103" t="n">
        <v>-0.1439</v>
      </c>
      <c r="Y247" s="99" t="inlineStr">
        <is>
          <t>20250923~20261002</t>
        </is>
      </c>
      <c r="Z247" s="99" t="inlineStr"/>
      <c r="AA247">
        <f>IF(AND($J247&lt;&gt;"",OR(조회_주기="전체",$R247=조회_주기),$J247&gt;=조회_최소,$J247&lt;=조회_최대),1,0)</f>
        <v/>
      </c>
      <c r="AB247">
        <f>IF($AA247=1,$AB246+1,$AB246)</f>
        <v/>
      </c>
      <c r="AC247">
        <f>IF(검색어="",1,IF(ISNUMBER(SEARCH(검색어,$A247)),1,0))</f>
        <v/>
      </c>
      <c r="AD247">
        <f>IF($AC247=1,$AD246+1,$AD246)</f>
        <v/>
      </c>
      <c r="AE247">
        <f>IFERROR(INDEX($A$4:$A$594,MATCH(244,$AD$4:$AD$594,0)),"")</f>
        <v/>
      </c>
    </row>
    <row r="248">
      <c r="A248" s="99" t="inlineStr">
        <is>
          <t>RISE 코리아금융고배당</t>
        </is>
      </c>
      <c r="B248" s="99" t="inlineStr">
        <is>
          <t>498860</t>
        </is>
      </c>
      <c r="C248" s="99" t="inlineStr">
        <is>
          <t>KB자산운용</t>
        </is>
      </c>
      <c r="D248" s="100" t="n">
        <v>16345</v>
      </c>
      <c r="E248" s="100" t="n">
        <v>32690000000</v>
      </c>
      <c r="F248" s="100" t="n">
        <v>360330551</v>
      </c>
      <c r="G248" s="101" t="n">
        <v>0.001</v>
      </c>
      <c r="H248" s="101" t="n">
        <v>0.4183</v>
      </c>
      <c r="I248" s="101" t="n">
        <v>0.0024</v>
      </c>
      <c r="J248" s="101" t="n">
        <v>0.036341</v>
      </c>
      <c r="K248" s="100" t="n">
        <v>21</v>
      </c>
      <c r="L248" s="102" t="inlineStr">
        <is>
          <t>20260914</t>
        </is>
      </c>
      <c r="M248" s="99" t="inlineStr">
        <is>
          <t>제외</t>
        </is>
      </c>
      <c r="N248" s="99" t="inlineStr">
        <is>
          <t>60일 거래대금 3.6억(기준 5억 미만), 변동성 41.8%(1년 기준, 기준 35% 초과)</t>
        </is>
      </c>
      <c r="O248" s="99" t="inlineStr">
        <is>
          <t>iSelect 코리아 금융 고배당 지수</t>
        </is>
      </c>
      <c r="P248" s="99" t="inlineStr">
        <is>
          <t>일반</t>
        </is>
      </c>
      <c r="Q248" s="99" t="inlineStr">
        <is>
          <t>주식</t>
        </is>
      </c>
      <c r="R248" s="99" t="inlineStr">
        <is>
          <t>월배당</t>
        </is>
      </c>
      <c r="S248" s="100" t="n">
        <v>11</v>
      </c>
      <c r="T248" s="101" t="n">
        <v>0.9764</v>
      </c>
      <c r="U248" s="103" t="n">
        <v>0.1555</v>
      </c>
      <c r="V248" s="103" t="n">
        <v>0.115</v>
      </c>
      <c r="W248" s="103" t="n">
        <v>-0.1269</v>
      </c>
      <c r="X248" s="103" t="n">
        <v>-0.1109</v>
      </c>
      <c r="Y248" s="99" t="inlineStr">
        <is>
          <t>20250922~20261002</t>
        </is>
      </c>
      <c r="Z248" s="99" t="inlineStr"/>
      <c r="AA248">
        <f>IF(AND($J248&lt;&gt;"",OR(조회_주기="전체",$R248=조회_주기),$J248&gt;=조회_최소,$J248&lt;=조회_최대),1,0)</f>
        <v/>
      </c>
      <c r="AB248">
        <f>IF($AA248=1,$AB247+1,$AB247)</f>
        <v/>
      </c>
      <c r="AC248">
        <f>IF(검색어="",1,IF(ISNUMBER(SEARCH(검색어,$A248)),1,0))</f>
        <v/>
      </c>
      <c r="AD248">
        <f>IF($AC248=1,$AD247+1,$AD247)</f>
        <v/>
      </c>
      <c r="AE248">
        <f>IFERROR(INDEX($A$4:$A$594,MATCH(245,$AD$4:$AD$594,0)),"")</f>
        <v/>
      </c>
    </row>
    <row r="249">
      <c r="A249" s="99" t="inlineStr">
        <is>
          <t>KODEX 미국부동산리츠(H)</t>
        </is>
      </c>
      <c r="B249" s="99" t="inlineStr">
        <is>
          <t>352560</t>
        </is>
      </c>
      <c r="C249" s="99" t="inlineStr">
        <is>
          <t>삼성자산운용(ETF)</t>
        </is>
      </c>
      <c r="D249" s="100" t="n">
        <v>11410</v>
      </c>
      <c r="E249" s="100" t="n">
        <v>27954500000</v>
      </c>
      <c r="F249" s="100" t="n">
        <v>379688980</v>
      </c>
      <c r="G249" s="101" t="n">
        <v>0.0009</v>
      </c>
      <c r="H249" s="101" t="n">
        <v>0.1393</v>
      </c>
      <c r="I249" s="101" t="n">
        <v>0.0034</v>
      </c>
      <c r="J249" s="101" t="n">
        <v>0.036021</v>
      </c>
      <c r="K249" s="100" t="n">
        <v>48</v>
      </c>
      <c r="L249" s="102" t="inlineStr">
        <is>
          <t>20260929</t>
        </is>
      </c>
      <c r="M249" s="99" t="inlineStr">
        <is>
          <t>제외</t>
        </is>
      </c>
      <c r="N249" s="99" t="inlineStr">
        <is>
          <t>순자산 280억(기준 300억 미만), 60일 거래대금 3.8억(기준 5억 미만)</t>
        </is>
      </c>
      <c r="O249" s="99" t="inlineStr">
        <is>
          <t>Dow Jones U.S. Real Estate Index</t>
        </is>
      </c>
      <c r="P249" s="99" t="inlineStr">
        <is>
          <t>일반</t>
        </is>
      </c>
      <c r="Q249" s="99" t="inlineStr">
        <is>
          <t>부동산</t>
        </is>
      </c>
      <c r="R249" s="99" t="inlineStr">
        <is>
          <t>월배당</t>
        </is>
      </c>
      <c r="S249" s="100" t="n">
        <v>10</v>
      </c>
      <c r="T249" s="101" t="n">
        <v>1</v>
      </c>
      <c r="U249" s="103" t="n">
        <v>-0.012</v>
      </c>
      <c r="V249" s="103" t="n">
        <v>-0.04650000000000001</v>
      </c>
      <c r="W249" s="103" t="n">
        <v>-0.0333</v>
      </c>
      <c r="X249" s="103" t="n">
        <v>-0.0944</v>
      </c>
      <c r="Y249" s="99" t="inlineStr">
        <is>
          <t>20250922~20261002</t>
        </is>
      </c>
      <c r="Z249" s="99" t="inlineStr"/>
      <c r="AA249">
        <f>IF(AND($J249&lt;&gt;"",OR(조회_주기="전체",$R249=조회_주기),$J249&gt;=조회_최소,$J249&lt;=조회_최대),1,0)</f>
        <v/>
      </c>
      <c r="AB249">
        <f>IF($AA249=1,$AB248+1,$AB248)</f>
        <v/>
      </c>
      <c r="AC249">
        <f>IF(검색어="",1,IF(ISNUMBER(SEARCH(검색어,$A249)),1,0))</f>
        <v/>
      </c>
      <c r="AD249">
        <f>IF($AC249=1,$AD248+1,$AD248)</f>
        <v/>
      </c>
      <c r="AE249">
        <f>IFERROR(INDEX($A$4:$A$594,MATCH(246,$AD$4:$AD$594,0)),"")</f>
        <v/>
      </c>
    </row>
    <row r="250">
      <c r="A250" s="99" t="inlineStr">
        <is>
          <t>파워 종합채권(AA-이상)액티브</t>
        </is>
      </c>
      <c r="B250" s="99" t="inlineStr">
        <is>
          <t>498180</t>
        </is>
      </c>
      <c r="C250" s="99" t="inlineStr">
        <is>
          <t>교보자산운용</t>
        </is>
      </c>
      <c r="D250" s="100" t="n">
        <v>93860</v>
      </c>
      <c r="E250" s="100" t="n">
        <v>140904500000</v>
      </c>
      <c r="F250" s="100" t="n">
        <v>434940</v>
      </c>
      <c r="G250" s="101" t="n">
        <v>0.00036</v>
      </c>
      <c r="H250" s="101" t="n">
        <v>0.0535</v>
      </c>
      <c r="I250" s="101" t="n">
        <v>0.0332</v>
      </c>
      <c r="J250" s="101" t="n">
        <v>0.035734</v>
      </c>
      <c r="K250" s="100" t="n">
        <v>1</v>
      </c>
      <c r="L250" s="102" t="inlineStr">
        <is>
          <t>20251127</t>
        </is>
      </c>
      <c r="M250" s="99" t="inlineStr">
        <is>
          <t>제외</t>
        </is>
      </c>
      <c r="N250" s="99" t="inlineStr">
        <is>
          <t>60일 거래대금 0.0억(기준 5억 미만)</t>
        </is>
      </c>
      <c r="O250" s="99" t="inlineStr">
        <is>
          <t>KIS 한국종합채권지수(AA-이상, 총수익)</t>
        </is>
      </c>
      <c r="P250" s="99" t="inlineStr">
        <is>
          <t>일반</t>
        </is>
      </c>
      <c r="Q250" s="99" t="inlineStr">
        <is>
          <t>채권</t>
        </is>
      </c>
      <c r="R250" s="99" t="inlineStr">
        <is>
          <t>연배당</t>
        </is>
      </c>
      <c r="S250" s="100" t="n">
        <v>1</v>
      </c>
      <c r="T250" s="101" t="n">
        <v>0.2752</v>
      </c>
      <c r="U250" s="103" t="n">
        <v>-0.05980000000000001</v>
      </c>
      <c r="V250" s="103" t="n">
        <v>-0.0922</v>
      </c>
      <c r="W250" s="103" t="n">
        <v>-0.0211</v>
      </c>
      <c r="X250" s="103" t="n">
        <v>0.0022</v>
      </c>
      <c r="Y250" s="99" t="inlineStr">
        <is>
          <t>20250922~20261002</t>
        </is>
      </c>
      <c r="Z250" s="99" t="inlineStr"/>
      <c r="AA250">
        <f>IF(AND($J250&lt;&gt;"",OR(조회_주기="전체",$R250=조회_주기),$J250&gt;=조회_최소,$J250&lt;=조회_최대),1,0)</f>
        <v/>
      </c>
      <c r="AB250">
        <f>IF($AA250=1,$AB249+1,$AB249)</f>
        <v/>
      </c>
      <c r="AC250">
        <f>IF(검색어="",1,IF(ISNUMBER(SEARCH(검색어,$A250)),1,0))</f>
        <v/>
      </c>
      <c r="AD250">
        <f>IF($AC250=1,$AD249+1,$AD249)</f>
        <v/>
      </c>
      <c r="AE250">
        <f>IFERROR(INDEX($A$4:$A$594,MATCH(247,$AD$4:$AD$594,0)),"")</f>
        <v/>
      </c>
    </row>
    <row r="251">
      <c r="A251" s="99" t="inlineStr">
        <is>
          <t>ACE 미국부동산리츠(합성 H)</t>
        </is>
      </c>
      <c r="B251" s="99" t="inlineStr">
        <is>
          <t>181480</t>
        </is>
      </c>
      <c r="C251" s="99" t="inlineStr">
        <is>
          <t>한국투신운용(ETF)</t>
        </is>
      </c>
      <c r="D251" s="100" t="n">
        <v>78750</v>
      </c>
      <c r="E251" s="100" t="n">
        <v>9450000000</v>
      </c>
      <c r="F251" s="100" t="n">
        <v>68472244</v>
      </c>
      <c r="G251" s="101" t="n">
        <v>0.003</v>
      </c>
      <c r="H251" s="101" t="n">
        <v>0.1431</v>
      </c>
      <c r="I251" s="101" t="n">
        <v>0.0026</v>
      </c>
      <c r="J251" s="101" t="n">
        <v>0.035606</v>
      </c>
      <c r="K251" s="100" t="n">
        <v>26</v>
      </c>
      <c r="L251" s="102" t="inlineStr">
        <is>
          <t>20260929</t>
        </is>
      </c>
      <c r="M251" s="99" t="inlineStr">
        <is>
          <t>제외</t>
        </is>
      </c>
      <c r="N251" s="99" t="inlineStr">
        <is>
          <t>순자산 95억(기준 300억 미만), 60일 거래대금 0.7억(기준 5억 미만)</t>
        </is>
      </c>
      <c r="O251" s="99" t="inlineStr">
        <is>
          <t>DowJones US Real Estate Index</t>
        </is>
      </c>
      <c r="P251" s="99" t="inlineStr">
        <is>
          <t>일반</t>
        </is>
      </c>
      <c r="Q251" s="99" t="inlineStr">
        <is>
          <t>부동산</t>
        </is>
      </c>
      <c r="R251" s="99" t="inlineStr">
        <is>
          <t>월배당</t>
        </is>
      </c>
      <c r="S251" s="100" t="n">
        <v>11</v>
      </c>
      <c r="T251" s="101" t="n">
        <v>1</v>
      </c>
      <c r="U251" s="103" t="n">
        <v>-0.0134</v>
      </c>
      <c r="V251" s="103" t="n">
        <v>-0.0474</v>
      </c>
      <c r="W251" s="103" t="n">
        <v>-0.0279</v>
      </c>
      <c r="X251" s="103" t="n">
        <v>-0.08990000000000001</v>
      </c>
      <c r="Y251" s="99" t="inlineStr">
        <is>
          <t>20250922~20261002</t>
        </is>
      </c>
      <c r="Z251" s="99" t="inlineStr"/>
      <c r="AA251">
        <f>IF(AND($J251&lt;&gt;"",OR(조회_주기="전체",$R251=조회_주기),$J251&gt;=조회_최소,$J251&lt;=조회_최대),1,0)</f>
        <v/>
      </c>
      <c r="AB251">
        <f>IF($AA251=1,$AB250+1,$AB250)</f>
        <v/>
      </c>
      <c r="AC251">
        <f>IF(검색어="",1,IF(ISNUMBER(SEARCH(검색어,$A251)),1,0))</f>
        <v/>
      </c>
      <c r="AD251">
        <f>IF($AC251=1,$AD250+1,$AD250)</f>
        <v/>
      </c>
      <c r="AE251">
        <f>IFERROR(INDEX($A$4:$A$594,MATCH(248,$AD$4:$AD$594,0)),"")</f>
        <v/>
      </c>
    </row>
    <row r="252">
      <c r="A252" s="99" t="inlineStr">
        <is>
          <t>ACE 주주환원가치주액티브</t>
        </is>
      </c>
      <c r="B252" s="99" t="inlineStr">
        <is>
          <t>447430</t>
        </is>
      </c>
      <c r="C252" s="99" t="inlineStr">
        <is>
          <t>한국투신운용(ETF)</t>
        </is>
      </c>
      <c r="D252" s="100" t="n">
        <v>16585</v>
      </c>
      <c r="E252" s="100" t="n">
        <v>47267250000</v>
      </c>
      <c r="F252" s="100" t="n">
        <v>267364070</v>
      </c>
      <c r="G252" s="101" t="n">
        <v>0.006999999999999999</v>
      </c>
      <c r="H252" s="101" t="n">
        <v>0.2402</v>
      </c>
      <c r="I252" s="101" t="n">
        <v>0.0019</v>
      </c>
      <c r="J252" s="101" t="n">
        <v>0.035514</v>
      </c>
      <c r="K252" s="100" t="n">
        <v>8</v>
      </c>
      <c r="L252" s="102" t="inlineStr">
        <is>
          <t>20260730</t>
        </is>
      </c>
      <c r="M252" s="99" t="inlineStr">
        <is>
          <t>제외</t>
        </is>
      </c>
      <c r="N252" s="99" t="inlineStr">
        <is>
          <t>60일 거래대금 2.7억(기준 5억 미만)</t>
        </is>
      </c>
      <c r="O252" s="99" t="inlineStr">
        <is>
          <t>FnGuide 올라운드 가치주 지수</t>
        </is>
      </c>
      <c r="P252" s="99" t="inlineStr">
        <is>
          <t>일반</t>
        </is>
      </c>
      <c r="Q252" s="99" t="inlineStr">
        <is>
          <t>주식</t>
        </is>
      </c>
      <c r="R252" s="99" t="inlineStr">
        <is>
          <t>분기배당</t>
        </is>
      </c>
      <c r="S252" s="100" t="n">
        <v>3</v>
      </c>
      <c r="T252" s="101" t="n">
        <v>0.6401</v>
      </c>
      <c r="U252" s="103" t="n">
        <v>0.1256</v>
      </c>
      <c r="V252" s="103" t="n">
        <v>0.08689999999999999</v>
      </c>
      <c r="W252" s="103" t="n">
        <v>-0.0873</v>
      </c>
      <c r="X252" s="103" t="n">
        <v>0.0295</v>
      </c>
      <c r="Y252" s="99" t="inlineStr">
        <is>
          <t>20250922~20261002</t>
        </is>
      </c>
      <c r="Z252" s="99" t="inlineStr"/>
      <c r="AA252">
        <f>IF(AND($J252&lt;&gt;"",OR(조회_주기="전체",$R252=조회_주기),$J252&gt;=조회_최소,$J252&lt;=조회_최대),1,0)</f>
        <v/>
      </c>
      <c r="AB252">
        <f>IF($AA252=1,$AB251+1,$AB251)</f>
        <v/>
      </c>
      <c r="AC252">
        <f>IF(검색어="",1,IF(ISNUMBER(SEARCH(검색어,$A252)),1,0))</f>
        <v/>
      </c>
      <c r="AD252">
        <f>IF($AC252=1,$AD251+1,$AD251)</f>
        <v/>
      </c>
      <c r="AE252">
        <f>IFERROR(INDEX($A$4:$A$594,MATCH(249,$AD$4:$AD$594,0)),"")</f>
        <v/>
      </c>
    </row>
    <row r="253">
      <c r="A253" s="99" t="inlineStr">
        <is>
          <t>1Q 미국배당TOP30</t>
        </is>
      </c>
      <c r="B253" s="99" t="inlineStr">
        <is>
          <t>0004G0</t>
        </is>
      </c>
      <c r="C253" s="99" t="inlineStr">
        <is>
          <t>하나자산운용</t>
        </is>
      </c>
      <c r="D253" s="100" t="n">
        <v>8400</v>
      </c>
      <c r="E253" s="100" t="n">
        <v>12600000000</v>
      </c>
      <c r="F253" s="100" t="n">
        <v>92937268</v>
      </c>
      <c r="G253" s="101" t="n">
        <v>0.001</v>
      </c>
      <c r="H253" s="101" t="n">
        <v>0.1572</v>
      </c>
      <c r="I253" s="101" t="n">
        <v>0.0016</v>
      </c>
      <c r="J253" s="101" t="n">
        <v>0.035238</v>
      </c>
      <c r="K253" s="100" t="n">
        <v>19</v>
      </c>
      <c r="L253" s="102" t="inlineStr">
        <is>
          <t>20260929</t>
        </is>
      </c>
      <c r="M253" s="99" t="inlineStr">
        <is>
          <t>제외</t>
        </is>
      </c>
      <c r="N253" s="99" t="inlineStr">
        <is>
          <t>순자산 126억(기준 300억 미만), 60일 거래대금 0.9억(기준 5억 미만)</t>
        </is>
      </c>
      <c r="O253" s="99" t="inlineStr">
        <is>
          <t>Solactive U.S. Dividend 30 Index PR</t>
        </is>
      </c>
      <c r="P253" s="99" t="inlineStr">
        <is>
          <t>일반</t>
        </is>
      </c>
      <c r="Q253" s="99" t="inlineStr">
        <is>
          <t>주식</t>
        </is>
      </c>
      <c r="R253" s="99" t="inlineStr">
        <is>
          <t>월배당</t>
        </is>
      </c>
      <c r="S253" s="100" t="n">
        <v>11</v>
      </c>
      <c r="T253" s="101" t="n">
        <v>0.0878</v>
      </c>
      <c r="U253" s="103" t="n">
        <v>-0.0692</v>
      </c>
      <c r="V253" s="103" t="n">
        <v>-0.1011</v>
      </c>
      <c r="W253" s="103" t="n">
        <v>-0.08199999999999999</v>
      </c>
      <c r="X253" s="103" t="n">
        <v>-0.1423</v>
      </c>
      <c r="Y253" s="99" t="inlineStr">
        <is>
          <t>20250922~20261002</t>
        </is>
      </c>
      <c r="Z253" s="99" t="inlineStr"/>
      <c r="AA253">
        <f>IF(AND($J253&lt;&gt;"",OR(조회_주기="전체",$R253=조회_주기),$J253&gt;=조회_최소,$J253&lt;=조회_최대),1,0)</f>
        <v/>
      </c>
      <c r="AB253">
        <f>IF($AA253=1,$AB252+1,$AB252)</f>
        <v/>
      </c>
      <c r="AC253">
        <f>IF(검색어="",1,IF(ISNUMBER(SEARCH(검색어,$A253)),1,0))</f>
        <v/>
      </c>
      <c r="AD253">
        <f>IF($AC253=1,$AD252+1,$AD252)</f>
        <v/>
      </c>
      <c r="AE253">
        <f>IFERROR(INDEX($A$4:$A$594,MATCH(250,$AD$4:$AD$594,0)),"")</f>
        <v/>
      </c>
    </row>
    <row r="254">
      <c r="A254" s="99" t="inlineStr">
        <is>
          <t>TIGER 미국MSCI리츠(합성 H)</t>
        </is>
      </c>
      <c r="B254" s="99" t="inlineStr">
        <is>
          <t>182480</t>
        </is>
      </c>
      <c r="C254" s="99" t="inlineStr">
        <is>
          <t>미래에셋자산운용</t>
        </is>
      </c>
      <c r="D254" s="100" t="n">
        <v>12755</v>
      </c>
      <c r="E254" s="100" t="n">
        <v>112244000000</v>
      </c>
      <c r="F254" s="100" t="n">
        <v>217343761</v>
      </c>
      <c r="G254" s="101" t="n">
        <v>0.0024</v>
      </c>
      <c r="H254" s="101" t="n">
        <v>0.1409</v>
      </c>
      <c r="I254" s="101" t="n">
        <v>0.0035</v>
      </c>
      <c r="J254" s="101" t="n">
        <v>0.034731</v>
      </c>
      <c r="K254" s="100" t="n">
        <v>54</v>
      </c>
      <c r="L254" s="102" t="inlineStr">
        <is>
          <t>20260929</t>
        </is>
      </c>
      <c r="M254" s="99" t="inlineStr">
        <is>
          <t>제외</t>
        </is>
      </c>
      <c r="N254" s="99" t="inlineStr">
        <is>
          <t>60일 거래대금 2.2억(기준 5억 미만)</t>
        </is>
      </c>
      <c r="O254" s="99" t="inlineStr">
        <is>
          <t>MSCI US REIT Index</t>
        </is>
      </c>
      <c r="P254" s="99" t="inlineStr">
        <is>
          <t>일반</t>
        </is>
      </c>
      <c r="Q254" s="99" t="inlineStr">
        <is>
          <t>부동산</t>
        </is>
      </c>
      <c r="R254" s="99" t="inlineStr">
        <is>
          <t>월배당</t>
        </is>
      </c>
      <c r="S254" s="100" t="n">
        <v>11</v>
      </c>
      <c r="T254" s="101" t="n">
        <v>1</v>
      </c>
      <c r="U254" s="103" t="n">
        <v>0.0463</v>
      </c>
      <c r="V254" s="103" t="n">
        <v>0.0113</v>
      </c>
      <c r="W254" s="103" t="n">
        <v>-0.009599999999999999</v>
      </c>
      <c r="X254" s="103" t="n">
        <v>-0.09820000000000001</v>
      </c>
      <c r="Y254" s="99" t="inlineStr">
        <is>
          <t>20250922~20261002</t>
        </is>
      </c>
      <c r="Z254" s="99" t="inlineStr"/>
      <c r="AA254">
        <f>IF(AND($J254&lt;&gt;"",OR(조회_주기="전체",$R254=조회_주기),$J254&gt;=조회_최소,$J254&lt;=조회_최대),1,0)</f>
        <v/>
      </c>
      <c r="AB254">
        <f>IF($AA254=1,$AB253+1,$AB253)</f>
        <v/>
      </c>
      <c r="AC254">
        <f>IF(검색어="",1,IF(ISNUMBER(SEARCH(검색어,$A254)),1,0))</f>
        <v/>
      </c>
      <c r="AD254">
        <f>IF($AC254=1,$AD253+1,$AD253)</f>
        <v/>
      </c>
      <c r="AE254">
        <f>IFERROR(INDEX($A$4:$A$594,MATCH(251,$AD$4:$AD$594,0)),"")</f>
        <v/>
      </c>
    </row>
    <row r="255">
      <c r="A255" s="99" t="inlineStr">
        <is>
          <t>TIGER 리츠부동산인프라10채권혼합액티브</t>
        </is>
      </c>
      <c r="B255" s="99" t="inlineStr">
        <is>
          <t>0086C0</t>
        </is>
      </c>
      <c r="C255" s="99" t="inlineStr">
        <is>
          <t>미래에셋자산운용</t>
        </is>
      </c>
      <c r="D255" s="100" t="n">
        <v>9815</v>
      </c>
      <c r="E255" s="100" t="n">
        <v>17176250000</v>
      </c>
      <c r="F255" s="100" t="n">
        <v>82728941</v>
      </c>
      <c r="G255" s="101" t="n">
        <v>0.0015</v>
      </c>
      <c r="H255" s="101" t="n">
        <v>0.0767</v>
      </c>
      <c r="I255" s="101" t="n">
        <v>0.0029</v>
      </c>
      <c r="J255" s="101" t="n">
        <v>0.034233</v>
      </c>
      <c r="K255" s="100" t="n">
        <v>13</v>
      </c>
      <c r="L255" s="102" t="inlineStr">
        <is>
          <t>20260914</t>
        </is>
      </c>
      <c r="M255" s="99" t="inlineStr">
        <is>
          <t>제외</t>
        </is>
      </c>
      <c r="N255" s="99" t="inlineStr">
        <is>
          <t>순자산 172억(기준 300억 미만), 60일 거래대금 0.8억(기준 5억 미만)</t>
        </is>
      </c>
      <c r="O255" s="99" t="inlineStr">
        <is>
          <t>KEDI 리츠부동산인프라TOP10 채권혼합 지수</t>
        </is>
      </c>
      <c r="P255" s="99" t="inlineStr">
        <is>
          <t>일반</t>
        </is>
      </c>
      <c r="Q255" s="99" t="inlineStr">
        <is>
          <t>멀티에셋</t>
        </is>
      </c>
      <c r="R255" s="99" t="inlineStr">
        <is>
          <t>월배당</t>
        </is>
      </c>
      <c r="S255" s="100" t="n">
        <v>11</v>
      </c>
      <c r="T255" s="101" t="n">
        <v>0.9048</v>
      </c>
      <c r="U255" s="103" t="n">
        <v>0.0073</v>
      </c>
      <c r="V255" s="103" t="n">
        <v>-0.026</v>
      </c>
      <c r="W255" s="103" t="n">
        <v>-0.0594</v>
      </c>
      <c r="X255" s="103" t="n">
        <v>-0.0002</v>
      </c>
      <c r="Y255" s="99" t="inlineStr">
        <is>
          <t>20250922~20261002</t>
        </is>
      </c>
      <c r="Z255" s="99" t="inlineStr"/>
      <c r="AA255">
        <f>IF(AND($J255&lt;&gt;"",OR(조회_주기="전체",$R255=조회_주기),$J255&gt;=조회_최소,$J255&lt;=조회_최대),1,0)</f>
        <v/>
      </c>
      <c r="AB255">
        <f>IF($AA255=1,$AB254+1,$AB254)</f>
        <v/>
      </c>
      <c r="AC255">
        <f>IF(검색어="",1,IF(ISNUMBER(SEARCH(검색어,$A255)),1,0))</f>
        <v/>
      </c>
      <c r="AD255">
        <f>IF($AC255=1,$AD254+1,$AD254)</f>
        <v/>
      </c>
      <c r="AE255">
        <f>IFERROR(INDEX($A$4:$A$594,MATCH(252,$AD$4:$AD$594,0)),"")</f>
        <v/>
      </c>
    </row>
    <row r="256">
      <c r="A256" s="99" t="inlineStr">
        <is>
          <t>SOL 국고채10년</t>
        </is>
      </c>
      <c r="B256" s="99" t="inlineStr">
        <is>
          <t>438570</t>
        </is>
      </c>
      <c r="C256" s="99" t="inlineStr">
        <is>
          <t>신한자산운용</t>
        </is>
      </c>
      <c r="D256" s="100" t="n">
        <v>98485</v>
      </c>
      <c r="E256" s="100" t="n">
        <v>121333520000</v>
      </c>
      <c r="F256" s="100" t="n">
        <v>47065969</v>
      </c>
      <c r="G256" s="101" t="n">
        <v>0.0005</v>
      </c>
      <c r="H256" s="101" t="n">
        <v>0.0733</v>
      </c>
      <c r="I256" s="101" t="n">
        <v>0.031</v>
      </c>
      <c r="J256" s="101" t="n">
        <v>0.033305</v>
      </c>
      <c r="K256" s="100" t="n">
        <v>3</v>
      </c>
      <c r="L256" s="102" t="inlineStr">
        <is>
          <t>20251229</t>
        </is>
      </c>
      <c r="M256" s="99" t="inlineStr">
        <is>
          <t>제외</t>
        </is>
      </c>
      <c r="N256" s="99" t="inlineStr">
        <is>
          <t>60일 거래대금 0.5억(기준 5억 미만)</t>
        </is>
      </c>
      <c r="O256" s="99" t="inlineStr">
        <is>
          <t>KAP 국고채10년지수(총수익)</t>
        </is>
      </c>
      <c r="P256" s="99" t="inlineStr">
        <is>
          <t>일반</t>
        </is>
      </c>
      <c r="Q256" s="99" t="inlineStr">
        <is>
          <t>채권</t>
        </is>
      </c>
      <c r="R256" s="99" t="inlineStr">
        <is>
          <t>연배당</t>
        </is>
      </c>
      <c r="S256" s="100" t="n">
        <v>1</v>
      </c>
      <c r="T256" s="101" t="n">
        <v>1</v>
      </c>
      <c r="U256" s="103" t="n">
        <v>-0.0755</v>
      </c>
      <c r="V256" s="103" t="n">
        <v>-0.1053</v>
      </c>
      <c r="W256" s="103" t="n">
        <v>-0.0242</v>
      </c>
      <c r="X256" s="103" t="n">
        <v>-0.0013</v>
      </c>
      <c r="Y256" s="99" t="inlineStr">
        <is>
          <t>20250922~20261002</t>
        </is>
      </c>
      <c r="Z256" s="99" t="inlineStr"/>
      <c r="AA256">
        <f>IF(AND($J256&lt;&gt;"",OR(조회_주기="전체",$R256=조회_주기),$J256&gt;=조회_최소,$J256&lt;=조회_최대),1,0)</f>
        <v/>
      </c>
      <c r="AB256">
        <f>IF($AA256=1,$AB255+1,$AB255)</f>
        <v/>
      </c>
      <c r="AC256">
        <f>IF(검색어="",1,IF(ISNUMBER(SEARCH(검색어,$A256)),1,0))</f>
        <v/>
      </c>
      <c r="AD256">
        <f>IF($AC256=1,$AD255+1,$AD255)</f>
        <v/>
      </c>
      <c r="AE256">
        <f>IFERROR(INDEX($A$4:$A$594,MATCH(253,$AD$4:$AD$594,0)),"")</f>
        <v/>
      </c>
    </row>
    <row r="257">
      <c r="A257" s="99" t="inlineStr">
        <is>
          <t>HANARO 종합채권(AA-이상)액티브</t>
        </is>
      </c>
      <c r="B257" s="99" t="inlineStr">
        <is>
          <t>461500</t>
        </is>
      </c>
      <c r="C257" s="99" t="inlineStr">
        <is>
          <t>NH-Amundi자산운용</t>
        </is>
      </c>
      <c r="D257" s="100" t="n">
        <v>105680</v>
      </c>
      <c r="E257" s="100" t="n">
        <v>127450080000</v>
      </c>
      <c r="F257" s="100" t="n">
        <v>143731555</v>
      </c>
      <c r="G257" s="101" t="n">
        <v>0.0002</v>
      </c>
      <c r="H257" s="101" t="n">
        <v>0.0533</v>
      </c>
      <c r="I257" s="101" t="n">
        <v>0.0305</v>
      </c>
      <c r="J257" s="101" t="n">
        <v>0.033119</v>
      </c>
      <c r="K257" s="100" t="n">
        <v>1</v>
      </c>
      <c r="L257" s="102" t="inlineStr">
        <is>
          <t>20251030</t>
        </is>
      </c>
      <c r="M257" s="99" t="inlineStr">
        <is>
          <t>제외</t>
        </is>
      </c>
      <c r="N257" s="99" t="inlineStr">
        <is>
          <t>60일 거래대금 1.4억(기준 5억 미만), 최근 12개월 분배 없음</t>
        </is>
      </c>
      <c r="O257" s="99" t="inlineStr">
        <is>
          <t>KAP 종합채권 총수익 지수(AA-이상)</t>
        </is>
      </c>
      <c r="P257" s="99" t="inlineStr">
        <is>
          <t>일반</t>
        </is>
      </c>
      <c r="Q257" s="99" t="inlineStr">
        <is>
          <t>채권</t>
        </is>
      </c>
      <c r="R257" s="99" t="inlineStr">
        <is>
          <t>무분배</t>
        </is>
      </c>
      <c r="S257" s="100" t="n">
        <v>0</v>
      </c>
      <c r="T257" s="101" t="n">
        <v>1</v>
      </c>
      <c r="U257" s="103" t="n">
        <v>-0.0563</v>
      </c>
      <c r="V257" s="103" t="n">
        <v>-0.0866</v>
      </c>
      <c r="W257" s="103" t="n">
        <v>-0.0202</v>
      </c>
      <c r="X257" s="103" t="n">
        <v>0.0026</v>
      </c>
      <c r="Y257" s="99" t="inlineStr">
        <is>
          <t>20250922~20261002</t>
        </is>
      </c>
      <c r="Z257" s="99" t="inlineStr"/>
      <c r="AA257">
        <f>IF(AND($J257&lt;&gt;"",OR(조회_주기="전체",$R257=조회_주기),$J257&gt;=조회_최소,$J257&lt;=조회_최대),1,0)</f>
        <v/>
      </c>
      <c r="AB257">
        <f>IF($AA257=1,$AB256+1,$AB256)</f>
        <v/>
      </c>
      <c r="AC257">
        <f>IF(검색어="",1,IF(ISNUMBER(SEARCH(검색어,$A257)),1,0))</f>
        <v/>
      </c>
      <c r="AD257">
        <f>IF($AC257=1,$AD256+1,$AD256)</f>
        <v/>
      </c>
      <c r="AE257">
        <f>IFERROR(INDEX($A$4:$A$594,MATCH(254,$AD$4:$AD$594,0)),"")</f>
        <v/>
      </c>
    </row>
    <row r="258">
      <c r="A258" s="99" t="inlineStr">
        <is>
          <t>KIWOOM 국고채30년액티브</t>
        </is>
      </c>
      <c r="B258" s="99" t="inlineStr">
        <is>
          <t>471460</t>
        </is>
      </c>
      <c r="C258" s="99" t="inlineStr">
        <is>
          <t>키움투자자산운용</t>
        </is>
      </c>
      <c r="D258" s="100" t="n">
        <v>46010</v>
      </c>
      <c r="E258" s="100" t="n">
        <v>21164600000</v>
      </c>
      <c r="F258" s="100" t="n">
        <v>74202197</v>
      </c>
      <c r="G258" s="101" t="n">
        <v>0.0003500000000000001</v>
      </c>
      <c r="H258" s="101" t="n">
        <v>0.1438</v>
      </c>
      <c r="I258" s="101" t="n">
        <v>0.0036</v>
      </c>
      <c r="J258" s="101" t="n">
        <v>0.03195</v>
      </c>
      <c r="K258" s="100" t="n">
        <v>26</v>
      </c>
      <c r="L258" s="102" t="inlineStr">
        <is>
          <t>20260929</t>
        </is>
      </c>
      <c r="M258" s="99" t="inlineStr">
        <is>
          <t>제외</t>
        </is>
      </c>
      <c r="N258" s="99" t="inlineStr">
        <is>
          <t>순자산 212억(기준 300억 미만), 60일 거래대금 0.7억(기준 5억 미만)</t>
        </is>
      </c>
      <c r="O258" s="99" t="inlineStr">
        <is>
          <t>KIS-키움 국고채30년 지수</t>
        </is>
      </c>
      <c r="P258" s="99" t="inlineStr">
        <is>
          <t>일반</t>
        </is>
      </c>
      <c r="Q258" s="99" t="inlineStr">
        <is>
          <t>채권</t>
        </is>
      </c>
      <c r="R258" s="99" t="inlineStr">
        <is>
          <t>월배당</t>
        </is>
      </c>
      <c r="S258" s="100" t="n">
        <v>11</v>
      </c>
      <c r="T258" s="101" t="n">
        <v>1</v>
      </c>
      <c r="U258" s="103" t="n">
        <v>-0.2668</v>
      </c>
      <c r="V258" s="103" t="n">
        <v>-0.2895</v>
      </c>
      <c r="W258" s="103" t="n">
        <v>-0.1446</v>
      </c>
      <c r="X258" s="103" t="n">
        <v>-0.0257</v>
      </c>
      <c r="Y258" s="99" t="inlineStr">
        <is>
          <t>20250922~20261002</t>
        </is>
      </c>
      <c r="Z258" s="99" t="inlineStr"/>
      <c r="AA258">
        <f>IF(AND($J258&lt;&gt;"",OR(조회_주기="전체",$R258=조회_주기),$J258&gt;=조회_최소,$J258&lt;=조회_최대),1,0)</f>
        <v/>
      </c>
      <c r="AB258">
        <f>IF($AA258=1,$AB257+1,$AB257)</f>
        <v/>
      </c>
      <c r="AC258">
        <f>IF(검색어="",1,IF(ISNUMBER(SEARCH(검색어,$A258)),1,0))</f>
        <v/>
      </c>
      <c r="AD258">
        <f>IF($AC258=1,$AD257+1,$AD257)</f>
        <v/>
      </c>
      <c r="AE258">
        <f>IFERROR(INDEX($A$4:$A$594,MATCH(255,$AD$4:$AD$594,0)),"")</f>
        <v/>
      </c>
    </row>
    <row r="259">
      <c r="A259" s="99" t="inlineStr">
        <is>
          <t>RISE 미국S&amp;P배당킹</t>
        </is>
      </c>
      <c r="B259" s="99" t="inlineStr">
        <is>
          <t>460660</t>
        </is>
      </c>
      <c r="C259" s="99" t="inlineStr">
        <is>
          <t>KB자산운용</t>
        </is>
      </c>
      <c r="D259" s="100" t="n">
        <v>10985</v>
      </c>
      <c r="E259" s="100" t="n">
        <v>16477500000</v>
      </c>
      <c r="F259" s="100" t="n">
        <v>78828105</v>
      </c>
      <c r="G259" s="101" t="n">
        <v>0.0001</v>
      </c>
      <c r="H259" s="101" t="n">
        <v>0.1567</v>
      </c>
      <c r="I259" s="101" t="n">
        <v>0.0025</v>
      </c>
      <c r="J259" s="101" t="n">
        <v>0.031589</v>
      </c>
      <c r="K259" s="100" t="n">
        <v>39</v>
      </c>
      <c r="L259" s="102" t="inlineStr">
        <is>
          <t>20260929</t>
        </is>
      </c>
      <c r="M259" s="99" t="inlineStr">
        <is>
          <t>제외</t>
        </is>
      </c>
      <c r="N259" s="99" t="inlineStr">
        <is>
          <t>순자산 165억(기준 300억 미만), 60일 거래대금 0.8억(기준 5억 미만)</t>
        </is>
      </c>
      <c r="O259" s="99" t="inlineStr">
        <is>
          <t>S&amp;P Dividend Monarchs Index (USD)</t>
        </is>
      </c>
      <c r="P259" s="99" t="inlineStr">
        <is>
          <t>일반</t>
        </is>
      </c>
      <c r="Q259" s="99" t="inlineStr">
        <is>
          <t>주식</t>
        </is>
      </c>
      <c r="R259" s="99" t="inlineStr">
        <is>
          <t>월배당</t>
        </is>
      </c>
      <c r="S259" s="100" t="n">
        <v>11</v>
      </c>
      <c r="T259" s="101" t="n">
        <v>1</v>
      </c>
      <c r="U259" s="103" t="n">
        <v>0.046</v>
      </c>
      <c r="V259" s="103" t="n">
        <v>0.0138</v>
      </c>
      <c r="W259" s="103" t="n">
        <v>-0.0791</v>
      </c>
      <c r="X259" s="103" t="n">
        <v>-0.1696</v>
      </c>
      <c r="Y259" s="99" t="inlineStr">
        <is>
          <t>20250922~20261002</t>
        </is>
      </c>
      <c r="Z259" s="99" t="inlineStr"/>
      <c r="AA259">
        <f>IF(AND($J259&lt;&gt;"",OR(조회_주기="전체",$R259=조회_주기),$J259&gt;=조회_최소,$J259&lt;=조회_최대),1,0)</f>
        <v/>
      </c>
      <c r="AB259">
        <f>IF($AA259=1,$AB258+1,$AB258)</f>
        <v/>
      </c>
      <c r="AC259">
        <f>IF(검색어="",1,IF(ISNUMBER(SEARCH(검색어,$A259)),1,0))</f>
        <v/>
      </c>
      <c r="AD259">
        <f>IF($AC259=1,$AD258+1,$AD258)</f>
        <v/>
      </c>
      <c r="AE259">
        <f>IFERROR(INDEX($A$4:$A$594,MATCH(256,$AD$4:$AD$594,0)),"")</f>
        <v/>
      </c>
    </row>
    <row r="260">
      <c r="A260" s="99" t="inlineStr">
        <is>
          <t>HANARO K고배당</t>
        </is>
      </c>
      <c r="B260" s="99" t="inlineStr">
        <is>
          <t>322410</t>
        </is>
      </c>
      <c r="C260" s="99" t="inlineStr">
        <is>
          <t>NH-Amundi자산운용</t>
        </is>
      </c>
      <c r="D260" s="100" t="n">
        <v>22265</v>
      </c>
      <c r="E260" s="100" t="n">
        <v>38963750000</v>
      </c>
      <c r="F260" s="100" t="n">
        <v>142555636</v>
      </c>
      <c r="G260" s="101" t="n">
        <v>0.0007000000000000001</v>
      </c>
      <c r="H260" s="101" t="n">
        <v>0.2849</v>
      </c>
      <c r="I260" s="101" t="n">
        <v>0.003</v>
      </c>
      <c r="J260" s="101" t="n">
        <v>0.031439</v>
      </c>
      <c r="K260" s="100" t="n">
        <v>28</v>
      </c>
      <c r="L260" s="102" t="inlineStr">
        <is>
          <t>20260929</t>
        </is>
      </c>
      <c r="M260" s="99" t="inlineStr">
        <is>
          <t>제외</t>
        </is>
      </c>
      <c r="N260" s="99" t="inlineStr">
        <is>
          <t>60일 거래대금 1.4억(기준 5억 미만)</t>
        </is>
      </c>
      <c r="O260" s="99" t="inlineStr">
        <is>
          <t>FnGuide K고배당</t>
        </is>
      </c>
      <c r="P260" s="99" t="inlineStr">
        <is>
          <t>일반</t>
        </is>
      </c>
      <c r="Q260" s="99" t="inlineStr">
        <is>
          <t>주식</t>
        </is>
      </c>
      <c r="R260" s="99" t="inlineStr">
        <is>
          <t>월배당</t>
        </is>
      </c>
      <c r="S260" s="100" t="n">
        <v>11</v>
      </c>
      <c r="T260" s="101" t="n">
        <v>1</v>
      </c>
      <c r="U260" s="103" t="n">
        <v>0.3248</v>
      </c>
      <c r="V260" s="103" t="n">
        <v>0.2845</v>
      </c>
      <c r="W260" s="103" t="n">
        <v>0.0007000000000000001</v>
      </c>
      <c r="X260" s="103" t="n">
        <v>-0.0202</v>
      </c>
      <c r="Y260" s="99" t="inlineStr">
        <is>
          <t>20250922~20261002</t>
        </is>
      </c>
      <c r="Z260" s="99" t="inlineStr"/>
      <c r="AA260">
        <f>IF(AND($J260&lt;&gt;"",OR(조회_주기="전체",$R260=조회_주기),$J260&gt;=조회_최소,$J260&lt;=조회_최대),1,0)</f>
        <v/>
      </c>
      <c r="AB260">
        <f>IF($AA260=1,$AB259+1,$AB259)</f>
        <v/>
      </c>
      <c r="AC260">
        <f>IF(검색어="",1,IF(ISNUMBER(SEARCH(검색어,$A260)),1,0))</f>
        <v/>
      </c>
      <c r="AD260">
        <f>IF($AC260=1,$AD259+1,$AD259)</f>
        <v/>
      </c>
      <c r="AE260">
        <f>IFERROR(INDEX($A$4:$A$594,MATCH(257,$AD$4:$AD$594,0)),"")</f>
        <v/>
      </c>
    </row>
    <row r="261">
      <c r="A261" s="99" t="inlineStr">
        <is>
          <t>SOL 미국배당다우존스2호</t>
        </is>
      </c>
      <c r="B261" s="99" t="inlineStr">
        <is>
          <t>493420</t>
        </is>
      </c>
      <c r="C261" s="99" t="inlineStr">
        <is>
          <t>신한자산운용</t>
        </is>
      </c>
      <c r="D261" s="100" t="n">
        <v>11955</v>
      </c>
      <c r="E261" s="100" t="n">
        <v>25105500000</v>
      </c>
      <c r="F261" s="100" t="n">
        <v>136649255</v>
      </c>
      <c r="G261" s="101" t="n">
        <v>0.0001</v>
      </c>
      <c r="H261" s="101" t="n">
        <v>0.1414</v>
      </c>
      <c r="I261" s="101" t="n">
        <v>0.0037</v>
      </c>
      <c r="J261" s="101" t="n">
        <v>0.031117</v>
      </c>
      <c r="K261" s="100" t="n">
        <v>16</v>
      </c>
      <c r="L261" s="102" t="inlineStr">
        <is>
          <t>20260914</t>
        </is>
      </c>
      <c r="M261" s="99" t="inlineStr">
        <is>
          <t>제외</t>
        </is>
      </c>
      <c r="N261" s="99" t="inlineStr">
        <is>
          <t>순자산 251억(기준 300억 미만), 60일 거래대금 1.4억(기준 5억 미만)</t>
        </is>
      </c>
      <c r="O261" s="99" t="inlineStr">
        <is>
          <t>Dow Jones U.S. Dividend 100 Total Return Index</t>
        </is>
      </c>
      <c r="P261" s="99" t="inlineStr">
        <is>
          <t>일반</t>
        </is>
      </c>
      <c r="Q261" s="99" t="inlineStr">
        <is>
          <t>주식</t>
        </is>
      </c>
      <c r="R261" s="99" t="inlineStr">
        <is>
          <t>월배당</t>
        </is>
      </c>
      <c r="S261" s="100" t="n">
        <v>11</v>
      </c>
      <c r="T261" s="101" t="n">
        <v>1</v>
      </c>
      <c r="U261" s="103" t="n">
        <v>0.2015</v>
      </c>
      <c r="V261" s="103" t="n">
        <v>0.165</v>
      </c>
      <c r="W261" s="103" t="n">
        <v>-0.0435</v>
      </c>
      <c r="X261" s="103" t="n">
        <v>-0.1078</v>
      </c>
      <c r="Y261" s="99" t="inlineStr">
        <is>
          <t>20250922~20261002</t>
        </is>
      </c>
      <c r="Z261" s="99" t="inlineStr"/>
      <c r="AA261">
        <f>IF(AND($J261&lt;&gt;"",OR(조회_주기="전체",$R261=조회_주기),$J261&gt;=조회_최소,$J261&lt;=조회_최대),1,0)</f>
        <v/>
      </c>
      <c r="AB261">
        <f>IF($AA261=1,$AB260+1,$AB260)</f>
        <v/>
      </c>
      <c r="AC261">
        <f>IF(검색어="",1,IF(ISNUMBER(SEARCH(검색어,$A261)),1,0))</f>
        <v/>
      </c>
      <c r="AD261">
        <f>IF($AC261=1,$AD260+1,$AD260)</f>
        <v/>
      </c>
      <c r="AE261">
        <f>IFERROR(INDEX($A$4:$A$594,MATCH(258,$AD$4:$AD$594,0)),"")</f>
        <v/>
      </c>
    </row>
    <row r="262">
      <c r="A262" s="99" t="inlineStr">
        <is>
          <t>RISE 금융채액티브</t>
        </is>
      </c>
      <c r="B262" s="99" t="inlineStr">
        <is>
          <t>336160</t>
        </is>
      </c>
      <c r="C262" s="99" t="inlineStr">
        <is>
          <t>KB자산운용</t>
        </is>
      </c>
      <c r="D262" s="100" t="n">
        <v>100105</v>
      </c>
      <c r="E262" s="100" t="n">
        <v>50953445000</v>
      </c>
      <c r="F262" s="100" t="n">
        <v>21996437</v>
      </c>
      <c r="G262" s="101" t="n">
        <v>0.0007000000000000001</v>
      </c>
      <c r="H262" s="101" t="n">
        <v>0.0214</v>
      </c>
      <c r="I262" s="101" t="n">
        <v>0.0027</v>
      </c>
      <c r="J262" s="101" t="n">
        <v>0.031007</v>
      </c>
      <c r="K262" s="100" t="n">
        <v>45</v>
      </c>
      <c r="L262" s="102" t="inlineStr">
        <is>
          <t>20260929</t>
        </is>
      </c>
      <c r="M262" s="99" t="inlineStr">
        <is>
          <t>제외</t>
        </is>
      </c>
      <c r="N262" s="99" t="inlineStr">
        <is>
          <t>60일 거래대금 0.2억(기준 5억 미만)</t>
        </is>
      </c>
      <c r="O262" s="99" t="inlineStr">
        <is>
          <t>KIS 종합채권 금융채 2.5-3Y</t>
        </is>
      </c>
      <c r="P262" s="99" t="inlineStr">
        <is>
          <t>일반</t>
        </is>
      </c>
      <c r="Q262" s="99" t="inlineStr">
        <is>
          <t>채권</t>
        </is>
      </c>
      <c r="R262" s="99" t="inlineStr">
        <is>
          <t>월배당</t>
        </is>
      </c>
      <c r="S262" s="100" t="n">
        <v>11</v>
      </c>
      <c r="T262" s="101" t="n">
        <v>1</v>
      </c>
      <c r="U262" s="103" t="n">
        <v>-0.0068</v>
      </c>
      <c r="V262" s="103" t="n">
        <v>-0.0367</v>
      </c>
      <c r="W262" s="103" t="n">
        <v>-0.0075</v>
      </c>
      <c r="X262" s="103" t="n">
        <v>-0.0013</v>
      </c>
      <c r="Y262" s="99" t="inlineStr">
        <is>
          <t>20250922~20261002</t>
        </is>
      </c>
      <c r="Z262" s="99" t="inlineStr"/>
      <c r="AA262">
        <f>IF(AND($J262&lt;&gt;"",OR(조회_주기="전체",$R262=조회_주기),$J262&gt;=조회_최소,$J262&lt;=조회_최대),1,0)</f>
        <v/>
      </c>
      <c r="AB262">
        <f>IF($AA262=1,$AB261+1,$AB261)</f>
        <v/>
      </c>
      <c r="AC262">
        <f>IF(검색어="",1,IF(ISNUMBER(SEARCH(검색어,$A262)),1,0))</f>
        <v/>
      </c>
      <c r="AD262">
        <f>IF($AC262=1,$AD261+1,$AD261)</f>
        <v/>
      </c>
      <c r="AE262">
        <f>IFERROR(INDEX($A$4:$A$594,MATCH(259,$AD$4:$AD$594,0)),"")</f>
        <v/>
      </c>
    </row>
    <row r="263">
      <c r="A263" s="99" t="inlineStr">
        <is>
          <t>HK 26-12 회사채(AA-이상)액티브</t>
        </is>
      </c>
      <c r="B263" s="99" t="inlineStr">
        <is>
          <t>0000Y0</t>
        </is>
      </c>
      <c r="C263" s="99" t="inlineStr">
        <is>
          <t>흥국자산운용</t>
        </is>
      </c>
      <c r="D263" s="100" t="n">
        <v>102120</v>
      </c>
      <c r="E263" s="100" t="n">
        <v>123565200000</v>
      </c>
      <c r="F263" s="100" t="n">
        <v>5711489</v>
      </c>
      <c r="G263" s="101" t="n">
        <v>0.00065</v>
      </c>
      <c r="H263" s="101" t="n">
        <v>0.0306</v>
      </c>
      <c r="I263" s="101" t="n">
        <v>0.0301</v>
      </c>
      <c r="J263" s="101" t="n">
        <v>0.030356</v>
      </c>
      <c r="K263" s="100" t="n">
        <v>1</v>
      </c>
      <c r="L263" s="102" t="inlineStr">
        <is>
          <t>20251229</t>
        </is>
      </c>
      <c r="M263" s="99" t="inlineStr">
        <is>
          <t>제외</t>
        </is>
      </c>
      <c r="N263" s="99" t="inlineStr">
        <is>
          <t>60일 거래대금 0.1억(기준 5억 미만)</t>
        </is>
      </c>
      <c r="O263" s="99" t="inlineStr">
        <is>
          <t>KAP 26-12 크레딧 채권 총수익지수(AA-이상)</t>
        </is>
      </c>
      <c r="P263" s="99" t="inlineStr">
        <is>
          <t>일반</t>
        </is>
      </c>
      <c r="Q263" s="99" t="inlineStr">
        <is>
          <t>채권</t>
        </is>
      </c>
      <c r="R263" s="99" t="inlineStr">
        <is>
          <t>연배당</t>
        </is>
      </c>
      <c r="S263" s="100" t="n">
        <v>1</v>
      </c>
      <c r="T263" s="101" t="n">
        <v>1</v>
      </c>
      <c r="U263" s="103" t="n">
        <v>0.0241</v>
      </c>
      <c r="V263" s="103" t="n">
        <v>-0.006</v>
      </c>
      <c r="W263" s="103" t="n">
        <v>0.0141</v>
      </c>
      <c r="X263" s="103" t="n">
        <v>0.007800000000000001</v>
      </c>
      <c r="Y263" s="99" t="inlineStr">
        <is>
          <t>20250922~20261002</t>
        </is>
      </c>
      <c r="Z263" s="99" t="inlineStr"/>
      <c r="AA263">
        <f>IF(AND($J263&lt;&gt;"",OR(조회_주기="전체",$R263=조회_주기),$J263&gt;=조회_최소,$J263&lt;=조회_최대),1,0)</f>
        <v/>
      </c>
      <c r="AB263">
        <f>IF($AA263=1,$AB262+1,$AB262)</f>
        <v/>
      </c>
      <c r="AC263">
        <f>IF(검색어="",1,IF(ISNUMBER(SEARCH(검색어,$A263)),1,0))</f>
        <v/>
      </c>
      <c r="AD263">
        <f>IF($AC263=1,$AD262+1,$AD262)</f>
        <v/>
      </c>
      <c r="AE263">
        <f>IFERROR(INDEX($A$4:$A$594,MATCH(260,$AD$4:$AD$594,0)),"")</f>
        <v/>
      </c>
    </row>
    <row r="264">
      <c r="A264" s="99" t="inlineStr">
        <is>
          <t>KIWOOM 종합채권(AA-이상)액티브</t>
        </is>
      </c>
      <c r="B264" s="99" t="inlineStr">
        <is>
          <t>454780</t>
        </is>
      </c>
      <c r="C264" s="99" t="inlineStr">
        <is>
          <t>키움투자자산운용</t>
        </is>
      </c>
      <c r="D264" s="100" t="n">
        <v>100065</v>
      </c>
      <c r="E264" s="100" t="n">
        <v>303297015000</v>
      </c>
      <c r="F264" s="100" t="n">
        <v>252123581</v>
      </c>
      <c r="G264" s="101" t="n">
        <v>0.00025</v>
      </c>
      <c r="H264" s="101" t="n">
        <v>0.05110000000000001</v>
      </c>
      <c r="I264" s="101" t="n">
        <v>0.0283</v>
      </c>
      <c r="J264" s="101" t="n">
        <v>0.03026</v>
      </c>
      <c r="K264" s="100" t="n">
        <v>2</v>
      </c>
      <c r="L264" s="102" t="inlineStr">
        <is>
          <t>20251229</t>
        </is>
      </c>
      <c r="M264" s="99" t="inlineStr">
        <is>
          <t>제외</t>
        </is>
      </c>
      <c r="N264" s="99" t="inlineStr">
        <is>
          <t>60일 거래대금 2.5억(기준 5억 미만)</t>
        </is>
      </c>
      <c r="O264" s="99" t="inlineStr">
        <is>
          <t>KIS 종합 채권시장지수(AA-이상)</t>
        </is>
      </c>
      <c r="P264" s="99" t="inlineStr">
        <is>
          <t>일반</t>
        </is>
      </c>
      <c r="Q264" s="99" t="inlineStr">
        <is>
          <t>채권</t>
        </is>
      </c>
      <c r="R264" s="99" t="inlineStr">
        <is>
          <t>연배당</t>
        </is>
      </c>
      <c r="S264" s="100" t="n">
        <v>1</v>
      </c>
      <c r="T264" s="101" t="n">
        <v>1</v>
      </c>
      <c r="U264" s="103" t="n">
        <v>-0.0634</v>
      </c>
      <c r="V264" s="103" t="n">
        <v>-0.09089999999999999</v>
      </c>
      <c r="W264" s="103" t="n">
        <v>-0.0224</v>
      </c>
      <c r="X264" s="103" t="n">
        <v>0.0034</v>
      </c>
      <c r="Y264" s="99" t="inlineStr">
        <is>
          <t>20250922~20261002</t>
        </is>
      </c>
      <c r="Z264" s="99" t="inlineStr"/>
      <c r="AA264">
        <f>IF(AND($J264&lt;&gt;"",OR(조회_주기="전체",$R264=조회_주기),$J264&gt;=조회_최소,$J264&lt;=조회_최대),1,0)</f>
        <v/>
      </c>
      <c r="AB264">
        <f>IF($AA264=1,$AB263+1,$AB263)</f>
        <v/>
      </c>
      <c r="AC264">
        <f>IF(검색어="",1,IF(ISNUMBER(SEARCH(검색어,$A264)),1,0))</f>
        <v/>
      </c>
      <c r="AD264">
        <f>IF($AC264=1,$AD263+1,$AD263)</f>
        <v/>
      </c>
      <c r="AE264">
        <f>IFERROR(INDEX($A$4:$A$594,MATCH(261,$AD$4:$AD$594,0)),"")</f>
        <v/>
      </c>
    </row>
    <row r="265">
      <c r="A265" s="99" t="inlineStr">
        <is>
          <t>KODEX 차이나H</t>
        </is>
      </c>
      <c r="B265" s="99" t="inlineStr">
        <is>
          <t>099140</t>
        </is>
      </c>
      <c r="C265" s="99" t="inlineStr">
        <is>
          <t>삼성자산운용(ETF)</t>
        </is>
      </c>
      <c r="D265" s="100" t="n">
        <v>19890</v>
      </c>
      <c r="E265" s="100" t="n">
        <v>30431700000</v>
      </c>
      <c r="F265" s="100" t="n">
        <v>213882605</v>
      </c>
      <c r="G265" s="101" t="n">
        <v>0.0012</v>
      </c>
      <c r="H265" s="101" t="n">
        <v>0.2191</v>
      </c>
      <c r="I265" s="101" t="n">
        <v>0.0124</v>
      </c>
      <c r="J265" s="101" t="n">
        <v>0.029462</v>
      </c>
      <c r="K265" s="100" t="n">
        <v>9</v>
      </c>
      <c r="L265" s="102" t="inlineStr">
        <is>
          <t>20260730</t>
        </is>
      </c>
      <c r="M265" s="99" t="inlineStr">
        <is>
          <t>제외</t>
        </is>
      </c>
      <c r="N265" s="99" t="inlineStr">
        <is>
          <t>60일 거래대금 2.1억(기준 5억 미만)</t>
        </is>
      </c>
      <c r="O265" s="99" t="inlineStr">
        <is>
          <t>항셍 차이나기업(H)</t>
        </is>
      </c>
      <c r="P265" s="99" t="inlineStr">
        <is>
          <t>일반</t>
        </is>
      </c>
      <c r="Q265" s="99" t="inlineStr">
        <is>
          <t>주식</t>
        </is>
      </c>
      <c r="R265" s="99" t="inlineStr">
        <is>
          <t>분기배당</t>
        </is>
      </c>
      <c r="S265" s="100" t="n">
        <v>3</v>
      </c>
      <c r="T265" s="101" t="n">
        <v>1</v>
      </c>
      <c r="U265" s="103" t="n">
        <v>-0.1456</v>
      </c>
      <c r="V265" s="103" t="n">
        <v>-0.1695</v>
      </c>
      <c r="W265" s="103" t="n">
        <v>-0.1244</v>
      </c>
      <c r="X265" s="103" t="n">
        <v>-0.0526</v>
      </c>
      <c r="Y265" s="99" t="inlineStr">
        <is>
          <t>20250922~20261002</t>
        </is>
      </c>
      <c r="Z265" s="99" t="inlineStr"/>
      <c r="AA265">
        <f>IF(AND($J265&lt;&gt;"",OR(조회_주기="전체",$R265=조회_주기),$J265&gt;=조회_최소,$J265&lt;=조회_최대),1,0)</f>
        <v/>
      </c>
      <c r="AB265">
        <f>IF($AA265=1,$AB264+1,$AB264)</f>
        <v/>
      </c>
      <c r="AC265">
        <f>IF(검색어="",1,IF(ISNUMBER(SEARCH(검색어,$A265)),1,0))</f>
        <v/>
      </c>
      <c r="AD265">
        <f>IF($AC265=1,$AD264+1,$AD264)</f>
        <v/>
      </c>
      <c r="AE265">
        <f>IFERROR(INDEX($A$4:$A$594,MATCH(262,$AD$4:$AD$594,0)),"")</f>
        <v/>
      </c>
    </row>
    <row r="266">
      <c r="A266" s="99" t="inlineStr">
        <is>
          <t>KIWOOM 단기자금</t>
        </is>
      </c>
      <c r="B266" s="99" t="inlineStr">
        <is>
          <t>130730</t>
        </is>
      </c>
      <c r="C266" s="99" t="inlineStr">
        <is>
          <t>키움투자자산운용</t>
        </is>
      </c>
      <c r="D266" s="100" t="n">
        <v>103235</v>
      </c>
      <c r="E266" s="100" t="n">
        <v>68135100000</v>
      </c>
      <c r="F266" s="100" t="n">
        <v>398897664</v>
      </c>
      <c r="G266" s="101" t="n">
        <v>0.0005</v>
      </c>
      <c r="H266" s="101" t="n">
        <v>0.0296</v>
      </c>
      <c r="I266" s="101" t="n">
        <v>0.0291</v>
      </c>
      <c r="J266" s="101" t="n">
        <v>0.029418</v>
      </c>
      <c r="K266" s="100" t="n">
        <v>5</v>
      </c>
      <c r="L266" s="102" t="inlineStr">
        <is>
          <t>20251229</t>
        </is>
      </c>
      <c r="M266" s="99" t="inlineStr">
        <is>
          <t>제외</t>
        </is>
      </c>
      <c r="N266" s="99" t="inlineStr">
        <is>
          <t>60일 거래대금 4.0억(기준 5억 미만)</t>
        </is>
      </c>
      <c r="O266" s="99" t="inlineStr">
        <is>
          <t>MK Money Market지수</t>
        </is>
      </c>
      <c r="P266" s="99" t="inlineStr">
        <is>
          <t>일반</t>
        </is>
      </c>
      <c r="Q266" s="99" t="inlineStr">
        <is>
          <t>채권</t>
        </is>
      </c>
      <c r="R266" s="99" t="inlineStr">
        <is>
          <t>연배당</t>
        </is>
      </c>
      <c r="S266" s="100" t="n">
        <v>1</v>
      </c>
      <c r="T266" s="101" t="n">
        <v>1</v>
      </c>
      <c r="U266" s="103" t="n">
        <v>0.0248</v>
      </c>
      <c r="V266" s="103" t="n">
        <v>-0.004500000000000001</v>
      </c>
      <c r="W266" s="103" t="n">
        <v>0.013</v>
      </c>
      <c r="X266" s="103" t="n">
        <v>0.006999999999999999</v>
      </c>
      <c r="Y266" s="99" t="inlineStr">
        <is>
          <t>20250922~20261002</t>
        </is>
      </c>
      <c r="Z266" s="99" t="inlineStr"/>
      <c r="AA266">
        <f>IF(AND($J266&lt;&gt;"",OR(조회_주기="전체",$R266=조회_주기),$J266&gt;=조회_최소,$J266&lt;=조회_최대),1,0)</f>
        <v/>
      </c>
      <c r="AB266">
        <f>IF($AA266=1,$AB265+1,$AB265)</f>
        <v/>
      </c>
      <c r="AC266">
        <f>IF(검색어="",1,IF(ISNUMBER(SEARCH(검색어,$A266)),1,0))</f>
        <v/>
      </c>
      <c r="AD266">
        <f>IF($AC266=1,$AD265+1,$AD265)</f>
        <v/>
      </c>
      <c r="AE266">
        <f>IFERROR(INDEX($A$4:$A$594,MATCH(263,$AD$4:$AD$594,0)),"")</f>
        <v/>
      </c>
    </row>
    <row r="267">
      <c r="A267" s="99" t="inlineStr">
        <is>
          <t>KODEX 배당가치</t>
        </is>
      </c>
      <c r="B267" s="99" t="inlineStr">
        <is>
          <t>325020</t>
        </is>
      </c>
      <c r="C267" s="99" t="inlineStr">
        <is>
          <t>삼성자산운용(ETF)</t>
        </is>
      </c>
      <c r="D267" s="100" t="n">
        <v>28990</v>
      </c>
      <c r="E267" s="100" t="n">
        <v>89869000000</v>
      </c>
      <c r="F267" s="100" t="n">
        <v>1175591142</v>
      </c>
      <c r="G267" s="101" t="n">
        <v>0.003</v>
      </c>
      <c r="H267" s="101" t="n">
        <v>0.3759</v>
      </c>
      <c r="I267" s="101" t="n">
        <v>0.0059</v>
      </c>
      <c r="J267" s="101" t="n">
        <v>0.028976</v>
      </c>
      <c r="K267" s="100" t="n">
        <v>17</v>
      </c>
      <c r="L267" s="102" t="inlineStr">
        <is>
          <t>20260730</t>
        </is>
      </c>
      <c r="M267" s="99" t="inlineStr">
        <is>
          <t>제외</t>
        </is>
      </c>
      <c r="N267" s="99" t="inlineStr">
        <is>
          <t>변동성 37.6%(1년 기준, 기준 35% 초과)</t>
        </is>
      </c>
      <c r="O267" s="99" t="inlineStr">
        <is>
          <t>FnGuide SLV 배당가치 지수</t>
        </is>
      </c>
      <c r="P267" s="99" t="inlineStr">
        <is>
          <t>일반</t>
        </is>
      </c>
      <c r="Q267" s="99" t="inlineStr">
        <is>
          <t>주식</t>
        </is>
      </c>
      <c r="R267" s="99" t="inlineStr">
        <is>
          <t>분기배당</t>
        </is>
      </c>
      <c r="S267" s="100" t="n">
        <v>3</v>
      </c>
      <c r="T267" s="101" t="n">
        <v>1</v>
      </c>
      <c r="U267" s="103" t="n">
        <v>0.6887000000000001</v>
      </c>
      <c r="V267" s="103" t="n">
        <v>0.6412</v>
      </c>
      <c r="W267" s="103" t="n">
        <v>0.1716</v>
      </c>
      <c r="X267" s="103" t="n">
        <v>-0.0605</v>
      </c>
      <c r="Y267" s="99" t="inlineStr">
        <is>
          <t>20250922~20261002</t>
        </is>
      </c>
      <c r="Z267" s="99" t="inlineStr"/>
      <c r="AA267">
        <f>IF(AND($J267&lt;&gt;"",OR(조회_주기="전체",$R267=조회_주기),$J267&gt;=조회_최소,$J267&lt;=조회_최대),1,0)</f>
        <v/>
      </c>
      <c r="AB267">
        <f>IF($AA267=1,$AB266+1,$AB266)</f>
        <v/>
      </c>
      <c r="AC267">
        <f>IF(검색어="",1,IF(ISNUMBER(SEARCH(검색어,$A267)),1,0))</f>
        <v/>
      </c>
      <c r="AD267">
        <f>IF($AC267=1,$AD266+1,$AD266)</f>
        <v/>
      </c>
      <c r="AE267">
        <f>IFERROR(INDEX($A$4:$A$594,MATCH(264,$AD$4:$AD$594,0)),"")</f>
        <v/>
      </c>
    </row>
    <row r="268">
      <c r="A268" s="99" t="inlineStr">
        <is>
          <t>PLUS 미국채30년액티브</t>
        </is>
      </c>
      <c r="B268" s="99" t="inlineStr">
        <is>
          <t>464470</t>
        </is>
      </c>
      <c r="C268" s="99" t="inlineStr">
        <is>
          <t>한화자산운용</t>
        </is>
      </c>
      <c r="D268" s="100" t="n">
        <v>44355</v>
      </c>
      <c r="E268" s="100" t="n">
        <v>35661420000</v>
      </c>
      <c r="F268" s="100" t="n">
        <v>337576520</v>
      </c>
      <c r="G268" s="101" t="n">
        <v>0.0015</v>
      </c>
      <c r="H268" s="101" t="n">
        <v>0.1352</v>
      </c>
      <c r="I268" s="101" t="n">
        <v>0.002</v>
      </c>
      <c r="J268" s="101" t="n">
        <v>0.028407</v>
      </c>
      <c r="K268" s="100" t="n">
        <v>19</v>
      </c>
      <c r="L268" s="102" t="inlineStr">
        <is>
          <t>20260929</t>
        </is>
      </c>
      <c r="M268" s="99" t="inlineStr">
        <is>
          <t>제외</t>
        </is>
      </c>
      <c r="N268" s="99" t="inlineStr">
        <is>
          <t>60일 거래대금 3.4억(기준 5억 미만)</t>
        </is>
      </c>
      <c r="O268" s="99" t="inlineStr">
        <is>
          <t>ICE U.S. Treasury 20+ Year Bond Index</t>
        </is>
      </c>
      <c r="P268" s="99" t="inlineStr">
        <is>
          <t>일반</t>
        </is>
      </c>
      <c r="Q268" s="99" t="inlineStr">
        <is>
          <t>채권</t>
        </is>
      </c>
      <c r="R268" s="99" t="inlineStr">
        <is>
          <t>월배당</t>
        </is>
      </c>
      <c r="S268" s="100" t="n">
        <v>11</v>
      </c>
      <c r="T268" s="101" t="n">
        <v>0.8524</v>
      </c>
      <c r="U268" s="103" t="n">
        <v>-0.1204</v>
      </c>
      <c r="V268" s="103" t="n">
        <v>-0.1447</v>
      </c>
      <c r="W268" s="103" t="n">
        <v>-0.1911</v>
      </c>
      <c r="X268" s="103" t="n">
        <v>-0.1911</v>
      </c>
      <c r="Y268" s="99" t="inlineStr">
        <is>
          <t>20250922~20261002</t>
        </is>
      </c>
      <c r="Z268" s="99" t="inlineStr"/>
      <c r="AA268">
        <f>IF(AND($J268&lt;&gt;"",OR(조회_주기="전체",$R268=조회_주기),$J268&gt;=조회_최소,$J268&lt;=조회_최대),1,0)</f>
        <v/>
      </c>
      <c r="AB268">
        <f>IF($AA268=1,$AB267+1,$AB267)</f>
        <v/>
      </c>
      <c r="AC268">
        <f>IF(검색어="",1,IF(ISNUMBER(SEARCH(검색어,$A268)),1,0))</f>
        <v/>
      </c>
      <c r="AD268">
        <f>IF($AC268=1,$AD267+1,$AD267)</f>
        <v/>
      </c>
      <c r="AE268">
        <f>IFERROR(INDEX($A$4:$A$594,MATCH(265,$AD$4:$AD$594,0)),"")</f>
        <v/>
      </c>
    </row>
    <row r="269">
      <c r="A269" s="99" t="inlineStr">
        <is>
          <t>KIWOOM 통안채1년</t>
        </is>
      </c>
      <c r="B269" s="99" t="inlineStr">
        <is>
          <t>122260</t>
        </is>
      </c>
      <c r="C269" s="99" t="inlineStr">
        <is>
          <t>키움투자자산운용</t>
        </is>
      </c>
      <c r="D269" s="100" t="n">
        <v>104320</v>
      </c>
      <c r="E269" s="100" t="n">
        <v>32339200000</v>
      </c>
      <c r="F269" s="100" t="n">
        <v>299670524</v>
      </c>
      <c r="G269" s="101" t="n">
        <v>0.0005</v>
      </c>
      <c r="H269" s="101" t="n">
        <v>0.0287</v>
      </c>
      <c r="I269" s="101" t="n">
        <v>0.0279</v>
      </c>
      <c r="J269" s="101" t="n">
        <v>0.028259</v>
      </c>
      <c r="K269" s="100" t="n">
        <v>5</v>
      </c>
      <c r="L269" s="102" t="inlineStr">
        <is>
          <t>20251229</t>
        </is>
      </c>
      <c r="M269" s="99" t="inlineStr">
        <is>
          <t>제외</t>
        </is>
      </c>
      <c r="N269" s="99" t="inlineStr">
        <is>
          <t>60일 거래대금 3.0억(기준 5억 미만)</t>
        </is>
      </c>
      <c r="O269" s="99" t="inlineStr">
        <is>
          <t>MK MSB 지수</t>
        </is>
      </c>
      <c r="P269" s="99" t="inlineStr">
        <is>
          <t>일반</t>
        </is>
      </c>
      <c r="Q269" s="99" t="inlineStr">
        <is>
          <t>채권</t>
        </is>
      </c>
      <c r="R269" s="99" t="inlineStr">
        <is>
          <t>연배당</t>
        </is>
      </c>
      <c r="S269" s="100" t="n">
        <v>1</v>
      </c>
      <c r="T269" s="101" t="n">
        <v>1</v>
      </c>
      <c r="U269" s="103" t="n">
        <v>0.0208</v>
      </c>
      <c r="V269" s="103" t="n">
        <v>-0.0073</v>
      </c>
      <c r="W269" s="103" t="n">
        <v>0.0122</v>
      </c>
      <c r="X269" s="103" t="n">
        <v>0.0064</v>
      </c>
      <c r="Y269" s="99" t="inlineStr">
        <is>
          <t>20250922~20261002</t>
        </is>
      </c>
      <c r="Z269" s="99" t="inlineStr"/>
      <c r="AA269">
        <f>IF(AND($J269&lt;&gt;"",OR(조회_주기="전체",$R269=조회_주기),$J269&gt;=조회_최소,$J269&lt;=조회_최대),1,0)</f>
        <v/>
      </c>
      <c r="AB269">
        <f>IF($AA269=1,$AB268+1,$AB268)</f>
        <v/>
      </c>
      <c r="AC269">
        <f>IF(검색어="",1,IF(ISNUMBER(SEARCH(검색어,$A269)),1,0))</f>
        <v/>
      </c>
      <c r="AD269">
        <f>IF($AC269=1,$AD268+1,$AD268)</f>
        <v/>
      </c>
      <c r="AE269">
        <f>IFERROR(INDEX($A$4:$A$594,MATCH(266,$AD$4:$AD$594,0)),"")</f>
        <v/>
      </c>
    </row>
    <row r="270">
      <c r="A270" s="99" t="inlineStr">
        <is>
          <t>KODEX 자동차</t>
        </is>
      </c>
      <c r="B270" s="99" t="inlineStr">
        <is>
          <t>091180</t>
        </is>
      </c>
      <c r="C270" s="99" t="inlineStr">
        <is>
          <t>삼성자산운용(ETF)</t>
        </is>
      </c>
      <c r="D270" s="100" t="n">
        <v>25600</v>
      </c>
      <c r="E270" s="100" t="n">
        <v>359680000000</v>
      </c>
      <c r="F270" s="100" t="n">
        <v>9036608916</v>
      </c>
      <c r="G270" s="101" t="n">
        <v>0.004500000000000001</v>
      </c>
      <c r="H270" s="101" t="n">
        <v>0.518</v>
      </c>
      <c r="I270" s="101" t="n">
        <v>0.0058</v>
      </c>
      <c r="J270" s="101" t="n">
        <v>0.027852</v>
      </c>
      <c r="K270" s="100" t="n">
        <v>7</v>
      </c>
      <c r="L270" s="102" t="inlineStr">
        <is>
          <t>20260730</t>
        </is>
      </c>
      <c r="M270" s="99" t="inlineStr">
        <is>
          <t>제외</t>
        </is>
      </c>
      <c r="N270" s="99" t="inlineStr">
        <is>
          <t>변동성 51.8%(1년 기준, 기준 35% 초과)</t>
        </is>
      </c>
      <c r="O270" s="99" t="inlineStr">
        <is>
          <t>KRX 자동차</t>
        </is>
      </c>
      <c r="P270" s="99" t="inlineStr">
        <is>
          <t>일반</t>
        </is>
      </c>
      <c r="Q270" s="99" t="inlineStr">
        <is>
          <t>주식</t>
        </is>
      </c>
      <c r="R270" s="99" t="inlineStr">
        <is>
          <t>분기배당</t>
        </is>
      </c>
      <c r="S270" s="100" t="n">
        <v>3</v>
      </c>
      <c r="T270" s="101" t="n">
        <v>1</v>
      </c>
      <c r="U270" s="103" t="n"/>
      <c r="V270" s="103" t="n"/>
      <c r="W270" s="103" t="n">
        <v>-0.1346</v>
      </c>
      <c r="X270" s="103" t="n">
        <v>-0.1777</v>
      </c>
      <c r="Y270" s="99" t="inlineStr"/>
      <c r="Z270" s="99" t="inlineStr">
        <is>
          <t>창 안 급변일 1일(20260304) — 내지 않음</t>
        </is>
      </c>
      <c r="AA270">
        <f>IF(AND($J270&lt;&gt;"",OR(조회_주기="전체",$R270=조회_주기),$J270&gt;=조회_최소,$J270&lt;=조회_최대),1,0)</f>
        <v/>
      </c>
      <c r="AB270">
        <f>IF($AA270=1,$AB269+1,$AB269)</f>
        <v/>
      </c>
      <c r="AC270">
        <f>IF(검색어="",1,IF(ISNUMBER(SEARCH(검색어,$A270)),1,0))</f>
        <v/>
      </c>
      <c r="AD270">
        <f>IF($AC270=1,$AD269+1,$AD269)</f>
        <v/>
      </c>
      <c r="AE270">
        <f>IFERROR(INDEX($A$4:$A$594,MATCH(267,$AD$4:$AD$594,0)),"")</f>
        <v/>
      </c>
    </row>
    <row r="271">
      <c r="A271" s="99" t="inlineStr">
        <is>
          <t>KODEX 증권</t>
        </is>
      </c>
      <c r="B271" s="99" t="inlineStr">
        <is>
          <t>102970</t>
        </is>
      </c>
      <c r="C271" s="99" t="inlineStr">
        <is>
          <t>삼성자산운용(ETF)</t>
        </is>
      </c>
      <c r="D271" s="100" t="n">
        <v>17600</v>
      </c>
      <c r="E271" s="100" t="n">
        <v>655600000000</v>
      </c>
      <c r="F271" s="100" t="n">
        <v>15804834093</v>
      </c>
      <c r="G271" s="101" t="n">
        <v>0.004500000000000001</v>
      </c>
      <c r="H271" s="101" t="n">
        <v>0.6292</v>
      </c>
      <c r="I271" s="101" t="n">
        <v>0.008699999999999999</v>
      </c>
      <c r="J271" s="101" t="n">
        <v>0.027784</v>
      </c>
      <c r="K271" s="100" t="n">
        <v>6</v>
      </c>
      <c r="L271" s="102" t="inlineStr">
        <is>
          <t>20260730</t>
        </is>
      </c>
      <c r="M271" s="99" t="inlineStr">
        <is>
          <t>제외</t>
        </is>
      </c>
      <c r="N271" s="99" t="inlineStr">
        <is>
          <t>변동성 62.9%(1년 기준, 기준 35% 초과)</t>
        </is>
      </c>
      <c r="O271" s="99" t="inlineStr">
        <is>
          <t>KRX 증권</t>
        </is>
      </c>
      <c r="P271" s="99" t="inlineStr">
        <is>
          <t>일반</t>
        </is>
      </c>
      <c r="Q271" s="99" t="inlineStr">
        <is>
          <t>주식</t>
        </is>
      </c>
      <c r="R271" s="99" t="inlineStr">
        <is>
          <t>연배당</t>
        </is>
      </c>
      <c r="S271" s="100" t="n">
        <v>2</v>
      </c>
      <c r="T271" s="101" t="n">
        <v>1</v>
      </c>
      <c r="U271" s="103" t="n">
        <v>0.2163</v>
      </c>
      <c r="V271" s="103" t="n">
        <v>0.1836</v>
      </c>
      <c r="W271" s="103" t="n">
        <v>-0.3006</v>
      </c>
      <c r="X271" s="103" t="n">
        <v>-0.228</v>
      </c>
      <c r="Y271" s="99" t="inlineStr">
        <is>
          <t>20250922~20261002</t>
        </is>
      </c>
      <c r="Z271" s="99" t="inlineStr"/>
      <c r="AA271">
        <f>IF(AND($J271&lt;&gt;"",OR(조회_주기="전체",$R271=조회_주기),$J271&gt;=조회_최소,$J271&lt;=조회_최대),1,0)</f>
        <v/>
      </c>
      <c r="AB271">
        <f>IF($AA271=1,$AB270+1,$AB270)</f>
        <v/>
      </c>
      <c r="AC271">
        <f>IF(검색어="",1,IF(ISNUMBER(SEARCH(검색어,$A271)),1,0))</f>
        <v/>
      </c>
      <c r="AD271">
        <f>IF($AC271=1,$AD270+1,$AD270)</f>
        <v/>
      </c>
      <c r="AE271">
        <f>IFERROR(INDEX($A$4:$A$594,MATCH(268,$AD$4:$AD$594,0)),"")</f>
        <v/>
      </c>
    </row>
    <row r="272">
      <c r="A272" s="99" t="inlineStr">
        <is>
          <t>KIWOOM 머니마켓액티브</t>
        </is>
      </c>
      <c r="B272" s="99" t="inlineStr">
        <is>
          <t>476450</t>
        </is>
      </c>
      <c r="C272" s="99" t="inlineStr">
        <is>
          <t>키움투자자산운용</t>
        </is>
      </c>
      <c r="D272" s="100" t="n">
        <v>52925</v>
      </c>
      <c r="E272" s="100" t="n">
        <v>170736050000</v>
      </c>
      <c r="F272" s="100" t="n">
        <v>202510133</v>
      </c>
      <c r="G272" s="101" t="n">
        <v>0.0005</v>
      </c>
      <c r="H272" s="101" t="n">
        <v>0.0278</v>
      </c>
      <c r="I272" s="101" t="n">
        <v>0.0274</v>
      </c>
      <c r="J272" s="101" t="n">
        <v>0.027473</v>
      </c>
      <c r="K272" s="100" t="n">
        <v>1</v>
      </c>
      <c r="L272" s="102" t="inlineStr">
        <is>
          <t>20251229</t>
        </is>
      </c>
      <c r="M272" s="99" t="inlineStr">
        <is>
          <t>제외</t>
        </is>
      </c>
      <c r="N272" s="99" t="inlineStr">
        <is>
          <t>60일 거래대금 2.0억(기준 5억 미만)</t>
        </is>
      </c>
      <c r="O272" s="99" t="inlineStr">
        <is>
          <t>KIS-키움 MMF지수</t>
        </is>
      </c>
      <c r="P272" s="99" t="inlineStr">
        <is>
          <t>일반</t>
        </is>
      </c>
      <c r="Q272" s="99" t="inlineStr">
        <is>
          <t>단기자금(파킹형)</t>
        </is>
      </c>
      <c r="R272" s="99" t="inlineStr">
        <is>
          <t>연배당</t>
        </is>
      </c>
      <c r="S272" s="100" t="n">
        <v>1</v>
      </c>
      <c r="T272" s="101" t="n">
        <v>1</v>
      </c>
      <c r="U272" s="103" t="n">
        <v>0.0303</v>
      </c>
      <c r="V272" s="103" t="n">
        <v>0.0027</v>
      </c>
      <c r="W272" s="103" t="n">
        <v>0.0156</v>
      </c>
      <c r="X272" s="103" t="n">
        <v>0.008500000000000001</v>
      </c>
      <c r="Y272" s="99" t="inlineStr">
        <is>
          <t>20250922~20261002</t>
        </is>
      </c>
      <c r="Z272" s="99" t="inlineStr"/>
      <c r="AA272">
        <f>IF(AND($J272&lt;&gt;"",OR(조회_주기="전체",$R272=조회_주기),$J272&gt;=조회_최소,$J272&lt;=조회_최대),1,0)</f>
        <v/>
      </c>
      <c r="AB272">
        <f>IF($AA272=1,$AB271+1,$AB271)</f>
        <v/>
      </c>
      <c r="AC272">
        <f>IF(검색어="",1,IF(ISNUMBER(SEARCH(검색어,$A272)),1,0))</f>
        <v/>
      </c>
      <c r="AD272">
        <f>IF($AC272=1,$AD271+1,$AD271)</f>
        <v/>
      </c>
      <c r="AE272">
        <f>IFERROR(INDEX($A$4:$A$594,MATCH(269,$AD$4:$AD$594,0)),"")</f>
        <v/>
      </c>
    </row>
    <row r="273">
      <c r="A273" s="99" t="inlineStr">
        <is>
          <t>KODEX 코리아배당성장</t>
        </is>
      </c>
      <c r="B273" s="99" t="inlineStr">
        <is>
          <t>211900</t>
        </is>
      </c>
      <c r="C273" s="99" t="inlineStr">
        <is>
          <t>삼성자산운용(ETF)</t>
        </is>
      </c>
      <c r="D273" s="100" t="n">
        <v>27340</v>
      </c>
      <c r="E273" s="100" t="n">
        <v>86121000000</v>
      </c>
      <c r="F273" s="100" t="n">
        <v>399424924</v>
      </c>
      <c r="G273" s="101" t="n">
        <v>0.0015</v>
      </c>
      <c r="H273" s="101" t="n">
        <v>0.3459</v>
      </c>
      <c r="I273" s="101" t="n">
        <v>0.0009</v>
      </c>
      <c r="J273" s="101" t="n">
        <v>0.026957</v>
      </c>
      <c r="K273" s="100" t="n">
        <v>17</v>
      </c>
      <c r="L273" s="102" t="inlineStr">
        <is>
          <t>20260929</t>
        </is>
      </c>
      <c r="M273" s="99" t="inlineStr">
        <is>
          <t>제외</t>
        </is>
      </c>
      <c r="N273" s="99" t="inlineStr">
        <is>
          <t>60일 거래대금 4.0억(기준 5억 미만)</t>
        </is>
      </c>
      <c r="O273" s="99" t="inlineStr">
        <is>
          <t>코스피 배당성장 50</t>
        </is>
      </c>
      <c r="P273" s="99" t="inlineStr">
        <is>
          <t>일반</t>
        </is>
      </c>
      <c r="Q273" s="99" t="inlineStr">
        <is>
          <t>주식</t>
        </is>
      </c>
      <c r="R273" s="99" t="inlineStr">
        <is>
          <t>월배당</t>
        </is>
      </c>
      <c r="S273" s="100" t="n">
        <v>11</v>
      </c>
      <c r="T273" s="101" t="n">
        <v>1</v>
      </c>
      <c r="U273" s="103" t="n">
        <v>0.3676</v>
      </c>
      <c r="V273" s="103" t="n">
        <v>0.3318</v>
      </c>
      <c r="W273" s="103" t="n">
        <v>-0.016</v>
      </c>
      <c r="X273" s="103" t="n">
        <v>-0.0585</v>
      </c>
      <c r="Y273" s="99" t="inlineStr">
        <is>
          <t>20250922~20261002</t>
        </is>
      </c>
      <c r="Z273" s="99" t="inlineStr"/>
      <c r="AA273">
        <f>IF(AND($J273&lt;&gt;"",OR(조회_주기="전체",$R273=조회_주기),$J273&gt;=조회_최소,$J273&lt;=조회_최대),1,0)</f>
        <v/>
      </c>
      <c r="AB273">
        <f>IF($AA273=1,$AB272+1,$AB272)</f>
        <v/>
      </c>
      <c r="AC273">
        <f>IF(검색어="",1,IF(ISNUMBER(SEARCH(검색어,$A273)),1,0))</f>
        <v/>
      </c>
      <c r="AD273">
        <f>IF($AC273=1,$AD272+1,$AD272)</f>
        <v/>
      </c>
      <c r="AE273">
        <f>IFERROR(INDEX($A$4:$A$594,MATCH(270,$AD$4:$AD$594,0)),"")</f>
        <v/>
      </c>
    </row>
    <row r="274">
      <c r="A274" s="99" t="inlineStr">
        <is>
          <t>KIWOOM 단기채권ESG액티브</t>
        </is>
      </c>
      <c r="B274" s="99" t="inlineStr">
        <is>
          <t>419890</t>
        </is>
      </c>
      <c r="C274" s="99" t="inlineStr">
        <is>
          <t>키움투자자산운용</t>
        </is>
      </c>
      <c r="D274" s="100" t="n">
        <v>107645</v>
      </c>
      <c r="E274" s="100" t="n">
        <v>62434100000</v>
      </c>
      <c r="F274" s="100" t="n">
        <v>82308461</v>
      </c>
      <c r="G274" s="101" t="n">
        <v>0.0015</v>
      </c>
      <c r="H274" s="101" t="n">
        <v>0.0273</v>
      </c>
      <c r="I274" s="101" t="n">
        <v>0.0262</v>
      </c>
      <c r="J274" s="101" t="n">
        <v>0.026606</v>
      </c>
      <c r="K274" s="100" t="n">
        <v>3</v>
      </c>
      <c r="L274" s="102" t="inlineStr">
        <is>
          <t>20251229</t>
        </is>
      </c>
      <c r="M274" s="99" t="inlineStr">
        <is>
          <t>제외</t>
        </is>
      </c>
      <c r="N274" s="99" t="inlineStr">
        <is>
          <t>60일 거래대금 0.8억(기준 5억 미만)</t>
        </is>
      </c>
      <c r="O274" s="99" t="inlineStr">
        <is>
          <t>KIS ESG 9M~1.5Y</t>
        </is>
      </c>
      <c r="P274" s="99" t="inlineStr">
        <is>
          <t>일반</t>
        </is>
      </c>
      <c r="Q274" s="99" t="inlineStr">
        <is>
          <t>채권</t>
        </is>
      </c>
      <c r="R274" s="99" t="inlineStr">
        <is>
          <t>연배당</t>
        </is>
      </c>
      <c r="S274" s="100" t="n">
        <v>1</v>
      </c>
      <c r="T274" s="101" t="n">
        <v>1</v>
      </c>
      <c r="U274" s="103" t="n">
        <v>0.0134</v>
      </c>
      <c r="V274" s="103" t="n">
        <v>-0.0128</v>
      </c>
      <c r="W274" s="103" t="n">
        <v>0.0113</v>
      </c>
      <c r="X274" s="103" t="n">
        <v>0.0076</v>
      </c>
      <c r="Y274" s="99" t="inlineStr">
        <is>
          <t>20250922~20261002</t>
        </is>
      </c>
      <c r="Z274" s="99" t="inlineStr"/>
      <c r="AA274">
        <f>IF(AND($J274&lt;&gt;"",OR(조회_주기="전체",$R274=조회_주기),$J274&gt;=조회_최소,$J274&lt;=조회_최대),1,0)</f>
        <v/>
      </c>
      <c r="AB274">
        <f>IF($AA274=1,$AB273+1,$AB273)</f>
        <v/>
      </c>
      <c r="AC274">
        <f>IF(검색어="",1,IF(ISNUMBER(SEARCH(검색어,$A274)),1,0))</f>
        <v/>
      </c>
      <c r="AD274">
        <f>IF($AC274=1,$AD273+1,$AD273)</f>
        <v/>
      </c>
      <c r="AE274">
        <f>IFERROR(INDEX($A$4:$A$594,MATCH(271,$AD$4:$AD$594,0)),"")</f>
        <v/>
      </c>
    </row>
    <row r="275">
      <c r="A275" s="99" t="inlineStr">
        <is>
          <t>TIGER 배당성장</t>
        </is>
      </c>
      <c r="B275" s="99" t="inlineStr">
        <is>
          <t>211560</t>
        </is>
      </c>
      <c r="C275" s="99" t="inlineStr">
        <is>
          <t>미래에셋자산운용</t>
        </is>
      </c>
      <c r="D275" s="100" t="n">
        <v>34350</v>
      </c>
      <c r="E275" s="100" t="n">
        <v>69043500000</v>
      </c>
      <c r="F275" s="100" t="n">
        <v>353222257</v>
      </c>
      <c r="G275" s="101" t="n">
        <v>0.0015</v>
      </c>
      <c r="H275" s="101" t="n">
        <v>0.3455</v>
      </c>
      <c r="I275" s="101" t="n">
        <v>0.002</v>
      </c>
      <c r="J275" s="101" t="n">
        <v>0.026376</v>
      </c>
      <c r="K275" s="100" t="n">
        <v>16</v>
      </c>
      <c r="L275" s="102" t="inlineStr">
        <is>
          <t>20260730</t>
        </is>
      </c>
      <c r="M275" s="99" t="inlineStr">
        <is>
          <t>제외</t>
        </is>
      </c>
      <c r="N275" s="99" t="inlineStr">
        <is>
          <t>60일 거래대금 3.5억(기준 5억 미만)</t>
        </is>
      </c>
      <c r="O275" s="99" t="inlineStr">
        <is>
          <t>코스피 배당성장 50</t>
        </is>
      </c>
      <c r="P275" s="99" t="inlineStr">
        <is>
          <t>일반</t>
        </is>
      </c>
      <c r="Q275" s="99" t="inlineStr">
        <is>
          <t>주식</t>
        </is>
      </c>
      <c r="R275" s="99" t="inlineStr">
        <is>
          <t>연배당</t>
        </is>
      </c>
      <c r="S275" s="100" t="n">
        <v>2</v>
      </c>
      <c r="T275" s="101" t="n">
        <v>0.979</v>
      </c>
      <c r="U275" s="103" t="n">
        <v>0.3748</v>
      </c>
      <c r="V275" s="103" t="n">
        <v>0.3395</v>
      </c>
      <c r="W275" s="103" t="n">
        <v>-0.0154</v>
      </c>
      <c r="X275" s="103" t="n">
        <v>-0.0575</v>
      </c>
      <c r="Y275" s="99" t="inlineStr">
        <is>
          <t>20250922~20261002</t>
        </is>
      </c>
      <c r="Z275" s="99" t="inlineStr"/>
      <c r="AA275">
        <f>IF(AND($J275&lt;&gt;"",OR(조회_주기="전체",$R275=조회_주기),$J275&gt;=조회_최소,$J275&lt;=조회_최대),1,0)</f>
        <v/>
      </c>
      <c r="AB275">
        <f>IF($AA275=1,$AB274+1,$AB274)</f>
        <v/>
      </c>
      <c r="AC275">
        <f>IF(검색어="",1,IF(ISNUMBER(SEARCH(검색어,$A275)),1,0))</f>
        <v/>
      </c>
      <c r="AD275">
        <f>IF($AC275=1,$AD274+1,$AD274)</f>
        <v/>
      </c>
      <c r="AE275">
        <f>IFERROR(INDEX($A$4:$A$594,MATCH(272,$AD$4:$AD$594,0)),"")</f>
        <v/>
      </c>
    </row>
    <row r="276">
      <c r="A276" s="99" t="inlineStr">
        <is>
          <t>KODEX 단기변동금리부채권액티브</t>
        </is>
      </c>
      <c r="B276" s="99" t="inlineStr">
        <is>
          <t>273140</t>
        </is>
      </c>
      <c r="C276" s="99" t="inlineStr">
        <is>
          <t>삼성자산운용(ETF)</t>
        </is>
      </c>
      <c r="D276" s="100" t="n">
        <v>114690</v>
      </c>
      <c r="E276" s="100" t="n">
        <v>279958290000</v>
      </c>
      <c r="F276" s="100" t="n">
        <v>461880249</v>
      </c>
      <c r="G276" s="101" t="n">
        <v>0.0015</v>
      </c>
      <c r="H276" s="101" t="n">
        <v>0.0074</v>
      </c>
      <c r="I276" s="101" t="n">
        <v>0.0023</v>
      </c>
      <c r="J276" s="101" t="n">
        <v>0.025512</v>
      </c>
      <c r="K276" s="100" t="n">
        <v>14</v>
      </c>
      <c r="L276" s="102" t="inlineStr">
        <is>
          <t>20260914</t>
        </is>
      </c>
      <c r="M276" s="99" t="inlineStr">
        <is>
          <t>제외</t>
        </is>
      </c>
      <c r="N276" s="99" t="inlineStr">
        <is>
          <t>60일 거래대금 4.6억(기준 5억 미만)</t>
        </is>
      </c>
      <c r="O276" s="99" t="inlineStr">
        <is>
          <t>KAP 단기변동금리부 은행채</t>
        </is>
      </c>
      <c r="P276" s="99" t="inlineStr">
        <is>
          <t>일반</t>
        </is>
      </c>
      <c r="Q276" s="99" t="inlineStr">
        <is>
          <t>채권</t>
        </is>
      </c>
      <c r="R276" s="99" t="inlineStr">
        <is>
          <t>월배당</t>
        </is>
      </c>
      <c r="S276" s="100" t="n">
        <v>11</v>
      </c>
      <c r="T276" s="101" t="n">
        <v>1</v>
      </c>
      <c r="U276" s="103" t="n">
        <v>0.0255</v>
      </c>
      <c r="V276" s="103" t="n">
        <v>0</v>
      </c>
      <c r="W276" s="103" t="n">
        <v>-0.0009</v>
      </c>
      <c r="X276" s="103" t="n">
        <v>0.0001</v>
      </c>
      <c r="Y276" s="99" t="inlineStr">
        <is>
          <t>20250922~20261002</t>
        </is>
      </c>
      <c r="Z276" s="99" t="inlineStr"/>
      <c r="AA276">
        <f>IF(AND($J276&lt;&gt;"",OR(조회_주기="전체",$R276=조회_주기),$J276&gt;=조회_최소,$J276&lt;=조회_최대),1,0)</f>
        <v/>
      </c>
      <c r="AB276">
        <f>IF($AA276=1,$AB275+1,$AB275)</f>
        <v/>
      </c>
      <c r="AC276">
        <f>IF(검색어="",1,IF(ISNUMBER(SEARCH(검색어,$A276)),1,0))</f>
        <v/>
      </c>
      <c r="AD276">
        <f>IF($AC276=1,$AD275+1,$AD275)</f>
        <v/>
      </c>
      <c r="AE276">
        <f>IFERROR(INDEX($A$4:$A$594,MATCH(273,$AD$4:$AD$594,0)),"")</f>
        <v/>
      </c>
    </row>
    <row r="277">
      <c r="A277" s="99" t="inlineStr">
        <is>
          <t>TIGER 200 금융</t>
        </is>
      </c>
      <c r="B277" s="99" t="inlineStr">
        <is>
          <t>139270</t>
        </is>
      </c>
      <c r="C277" s="99" t="inlineStr">
        <is>
          <t>미래에셋자산운용</t>
        </is>
      </c>
      <c r="D277" s="100" t="n">
        <v>16485</v>
      </c>
      <c r="E277" s="100" t="n">
        <v>30332400000</v>
      </c>
      <c r="F277" s="100" t="n">
        <v>590146424</v>
      </c>
      <c r="G277" s="101" t="n">
        <v>0.004</v>
      </c>
      <c r="H277" s="101" t="n">
        <v>0.3618</v>
      </c>
      <c r="I277" s="101" t="n">
        <v>0.0038</v>
      </c>
      <c r="J277" s="101" t="n">
        <v>0.025356</v>
      </c>
      <c r="K277" s="100" t="n">
        <v>18</v>
      </c>
      <c r="L277" s="102" t="inlineStr">
        <is>
          <t>20260730</t>
        </is>
      </c>
      <c r="M277" s="99" t="inlineStr">
        <is>
          <t>제외</t>
        </is>
      </c>
      <c r="N277" s="99" t="inlineStr">
        <is>
          <t>변동성 36.2%(1년 기준, 기준 35% 초과)</t>
        </is>
      </c>
      <c r="O277" s="99" t="inlineStr">
        <is>
          <t>K200금융</t>
        </is>
      </c>
      <c r="P277" s="99" t="inlineStr">
        <is>
          <t>일반</t>
        </is>
      </c>
      <c r="Q277" s="99" t="inlineStr">
        <is>
          <t>주식</t>
        </is>
      </c>
      <c r="R277" s="99" t="inlineStr">
        <is>
          <t>분기배당</t>
        </is>
      </c>
      <c r="S277" s="100" t="n">
        <v>3</v>
      </c>
      <c r="T277" s="101" t="n">
        <v>0.9617</v>
      </c>
      <c r="U277" s="103" t="n">
        <v>0.3786</v>
      </c>
      <c r="V277" s="103" t="n">
        <v>0.3446</v>
      </c>
      <c r="W277" s="103" t="n">
        <v>0.0554</v>
      </c>
      <c r="X277" s="103" t="n">
        <v>-0.0521</v>
      </c>
      <c r="Y277" s="99" t="inlineStr">
        <is>
          <t>20250922~20261002</t>
        </is>
      </c>
      <c r="Z277" s="99" t="inlineStr"/>
      <c r="AA277">
        <f>IF(AND($J277&lt;&gt;"",OR(조회_주기="전체",$R277=조회_주기),$J277&gt;=조회_최소,$J277&lt;=조회_최대),1,0)</f>
        <v/>
      </c>
      <c r="AB277">
        <f>IF($AA277=1,$AB276+1,$AB276)</f>
        <v/>
      </c>
      <c r="AC277">
        <f>IF(검색어="",1,IF(ISNUMBER(SEARCH(검색어,$A277)),1,0))</f>
        <v/>
      </c>
      <c r="AD277">
        <f>IF($AC277=1,$AD276+1,$AD276)</f>
        <v/>
      </c>
      <c r="AE277">
        <f>IFERROR(INDEX($A$4:$A$594,MATCH(274,$AD$4:$AD$594,0)),"")</f>
        <v/>
      </c>
    </row>
    <row r="278">
      <c r="A278" s="99" t="inlineStr">
        <is>
          <t>SOL 국고채3년</t>
        </is>
      </c>
      <c r="B278" s="99" t="inlineStr">
        <is>
          <t>438560</t>
        </is>
      </c>
      <c r="C278" s="99" t="inlineStr">
        <is>
          <t>신한자산운용</t>
        </is>
      </c>
      <c r="D278" s="100" t="n">
        <v>100665</v>
      </c>
      <c r="E278" s="100" t="n">
        <v>157742055000</v>
      </c>
      <c r="F278" s="100" t="n">
        <v>55437621</v>
      </c>
      <c r="G278" s="101" t="n">
        <v>0.0005</v>
      </c>
      <c r="H278" s="101" t="n">
        <v>0.0339</v>
      </c>
      <c r="I278" s="101" t="n">
        <v>0.0245</v>
      </c>
      <c r="J278" s="101" t="n">
        <v>0.025083</v>
      </c>
      <c r="K278" s="100" t="n">
        <v>3</v>
      </c>
      <c r="L278" s="102" t="inlineStr">
        <is>
          <t>20251229</t>
        </is>
      </c>
      <c r="M278" s="99" t="inlineStr">
        <is>
          <t>제외</t>
        </is>
      </c>
      <c r="N278" s="99" t="inlineStr">
        <is>
          <t>60일 거래대금 0.6억(기준 5억 미만)</t>
        </is>
      </c>
      <c r="O278" s="99" t="inlineStr">
        <is>
          <t>KAP 국고채3년지수(총수익)</t>
        </is>
      </c>
      <c r="P278" s="99" t="inlineStr">
        <is>
          <t>일반</t>
        </is>
      </c>
      <c r="Q278" s="99" t="inlineStr">
        <is>
          <t>채권</t>
        </is>
      </c>
      <c r="R278" s="99" t="inlineStr">
        <is>
          <t>연배당</t>
        </is>
      </c>
      <c r="S278" s="100" t="n">
        <v>1</v>
      </c>
      <c r="T278" s="101" t="n">
        <v>1</v>
      </c>
      <c r="U278" s="103" t="n">
        <v>-0.0051</v>
      </c>
      <c r="V278" s="103" t="n">
        <v>-0.0294</v>
      </c>
      <c r="W278" s="103" t="n">
        <v>0.0066</v>
      </c>
      <c r="X278" s="103" t="n">
        <v>0.0059</v>
      </c>
      <c r="Y278" s="99" t="inlineStr">
        <is>
          <t>20250922~20261002</t>
        </is>
      </c>
      <c r="Z278" s="99" t="inlineStr"/>
      <c r="AA278">
        <f>IF(AND($J278&lt;&gt;"",OR(조회_주기="전체",$R278=조회_주기),$J278&gt;=조회_최소,$J278&lt;=조회_최대),1,0)</f>
        <v/>
      </c>
      <c r="AB278">
        <f>IF($AA278=1,$AB277+1,$AB277)</f>
        <v/>
      </c>
      <c r="AC278">
        <f>IF(검색어="",1,IF(ISNUMBER(SEARCH(검색어,$A278)),1,0))</f>
        <v/>
      </c>
      <c r="AD278">
        <f>IF($AC278=1,$AD277+1,$AD277)</f>
        <v/>
      </c>
      <c r="AE278">
        <f>IFERROR(INDEX($A$4:$A$594,MATCH(275,$AD$4:$AD$594,0)),"")</f>
        <v/>
      </c>
    </row>
    <row r="279">
      <c r="A279" s="99" t="inlineStr">
        <is>
          <t>KIWOOM 국고채3년</t>
        </is>
      </c>
      <c r="B279" s="99" t="inlineStr">
        <is>
          <t>114470</t>
        </is>
      </c>
      <c r="C279" s="99" t="inlineStr">
        <is>
          <t>키움투자자산운용</t>
        </is>
      </c>
      <c r="D279" s="100" t="n">
        <v>107700</v>
      </c>
      <c r="E279" s="100" t="n">
        <v>51696000000</v>
      </c>
      <c r="F279" s="100" t="n">
        <v>105460173</v>
      </c>
      <c r="G279" s="101" t="n">
        <v>0.0005</v>
      </c>
      <c r="H279" s="101" t="n">
        <v>0.0255</v>
      </c>
      <c r="I279" s="101" t="n">
        <v>0.0052</v>
      </c>
      <c r="J279" s="101" t="n">
        <v>0.024735</v>
      </c>
      <c r="K279" s="100" t="n">
        <v>20</v>
      </c>
      <c r="L279" s="102" t="inlineStr">
        <is>
          <t>20260908</t>
        </is>
      </c>
      <c r="M279" s="99" t="inlineStr">
        <is>
          <t>제외</t>
        </is>
      </c>
      <c r="N279" s="99" t="inlineStr">
        <is>
          <t>60일 거래대금 1.1억(기준 5억 미만)</t>
        </is>
      </c>
      <c r="O279" s="99" t="inlineStr">
        <is>
          <t>KTB Index</t>
        </is>
      </c>
      <c r="P279" s="99" t="inlineStr">
        <is>
          <t>일반</t>
        </is>
      </c>
      <c r="Q279" s="99" t="inlineStr">
        <is>
          <t>채권</t>
        </is>
      </c>
      <c r="R279" s="99" t="inlineStr">
        <is>
          <t>분기배당</t>
        </is>
      </c>
      <c r="S279" s="100" t="n">
        <v>4</v>
      </c>
      <c r="T279" s="101" t="n">
        <v>1</v>
      </c>
      <c r="U279" s="103" t="n">
        <v>-0.005500000000000001</v>
      </c>
      <c r="V279" s="103" t="n">
        <v>-0.0295</v>
      </c>
      <c r="W279" s="103" t="n">
        <v>-0.006999999999999999</v>
      </c>
      <c r="X279" s="103" t="n">
        <v>0.0005</v>
      </c>
      <c r="Y279" s="99" t="inlineStr">
        <is>
          <t>20250922~20261002</t>
        </is>
      </c>
      <c r="Z279" s="99" t="inlineStr"/>
      <c r="AA279">
        <f>IF(AND($J279&lt;&gt;"",OR(조회_주기="전체",$R279=조회_주기),$J279&gt;=조회_최소,$J279&lt;=조회_최대),1,0)</f>
        <v/>
      </c>
      <c r="AB279">
        <f>IF($AA279=1,$AB278+1,$AB278)</f>
        <v/>
      </c>
      <c r="AC279">
        <f>IF(검색어="",1,IF(ISNUMBER(SEARCH(검색어,$A279)),1,0))</f>
        <v/>
      </c>
      <c r="AD279">
        <f>IF($AC279=1,$AD278+1,$AD278)</f>
        <v/>
      </c>
      <c r="AE279">
        <f>IFERROR(INDEX($A$4:$A$594,MATCH(276,$AD$4:$AD$594,0)),"")</f>
        <v/>
      </c>
    </row>
    <row r="280">
      <c r="A280" s="99" t="inlineStr">
        <is>
          <t>ACE 중국본토CSI300</t>
        </is>
      </c>
      <c r="B280" s="99" t="inlineStr">
        <is>
          <t>168580</t>
        </is>
      </c>
      <c r="C280" s="99" t="inlineStr">
        <is>
          <t>한국투신운용(ETF)</t>
        </is>
      </c>
      <c r="D280" s="100" t="n">
        <v>31895</v>
      </c>
      <c r="E280" s="100" t="n">
        <v>99512400000</v>
      </c>
      <c r="F280" s="100" t="n">
        <v>123254400</v>
      </c>
      <c r="G280" s="101" t="n">
        <v>0.006999999999999999</v>
      </c>
      <c r="H280" s="101" t="n">
        <v>0.2179</v>
      </c>
      <c r="I280" s="101" t="n">
        <v>0.022</v>
      </c>
      <c r="J280" s="101" t="n">
        <v>0.024298</v>
      </c>
      <c r="K280" s="100" t="n">
        <v>1</v>
      </c>
      <c r="L280" s="102" t="inlineStr">
        <is>
          <t>20251229</t>
        </is>
      </c>
      <c r="M280" s="99" t="inlineStr">
        <is>
          <t>제외</t>
        </is>
      </c>
      <c r="N280" s="99" t="inlineStr">
        <is>
          <t>60일 거래대금 1.2억(기준 5억 미만)</t>
        </is>
      </c>
      <c r="O280" s="99" t="inlineStr">
        <is>
          <t>CSI 300 INDEX</t>
        </is>
      </c>
      <c r="P280" s="99" t="inlineStr">
        <is>
          <t>일반</t>
        </is>
      </c>
      <c r="Q280" s="99" t="inlineStr">
        <is>
          <t>주식</t>
        </is>
      </c>
      <c r="R280" s="99" t="inlineStr">
        <is>
          <t>연배당</t>
        </is>
      </c>
      <c r="S280" s="100" t="n">
        <v>1</v>
      </c>
      <c r="T280" s="101" t="n">
        <v>1</v>
      </c>
      <c r="U280" s="103" t="n">
        <v>0.0108</v>
      </c>
      <c r="V280" s="103" t="n">
        <v>-0.0129</v>
      </c>
      <c r="W280" s="103" t="n">
        <v>-0.0929</v>
      </c>
      <c r="X280" s="103" t="n">
        <v>-0.1848</v>
      </c>
      <c r="Y280" s="99" t="inlineStr">
        <is>
          <t>20250922~20261002</t>
        </is>
      </c>
      <c r="Z280" s="99" t="inlineStr"/>
      <c r="AA280">
        <f>IF(AND($J280&lt;&gt;"",OR(조회_주기="전체",$R280=조회_주기),$J280&gt;=조회_최소,$J280&lt;=조회_최대),1,0)</f>
        <v/>
      </c>
      <c r="AB280">
        <f>IF($AA280=1,$AB279+1,$AB279)</f>
        <v/>
      </c>
      <c r="AC280">
        <f>IF(검색어="",1,IF(ISNUMBER(SEARCH(검색어,$A280)),1,0))</f>
        <v/>
      </c>
      <c r="AD280">
        <f>IF($AC280=1,$AD279+1,$AD279)</f>
        <v/>
      </c>
      <c r="AE280">
        <f>IFERROR(INDEX($A$4:$A$594,MATCH(277,$AD$4:$AD$594,0)),"")</f>
        <v/>
      </c>
    </row>
    <row r="281">
      <c r="A281" s="99" t="inlineStr">
        <is>
          <t>SOL 26-12 회사채(AA-이상)액티브</t>
        </is>
      </c>
      <c r="B281" s="99" t="inlineStr">
        <is>
          <t>488980</t>
        </is>
      </c>
      <c r="C281" s="99" t="inlineStr">
        <is>
          <t>신한자산운용</t>
        </is>
      </c>
      <c r="D281" s="100" t="n">
        <v>52260</v>
      </c>
      <c r="E281" s="100" t="n">
        <v>215520240000</v>
      </c>
      <c r="F281" s="100" t="n">
        <v>31058821</v>
      </c>
      <c r="G281" s="101" t="n">
        <v>0.0005</v>
      </c>
      <c r="H281" s="101" t="n">
        <v>0.0246</v>
      </c>
      <c r="I281" s="101" t="n">
        <v>0.024</v>
      </c>
      <c r="J281" s="101" t="n">
        <v>0.024015</v>
      </c>
      <c r="K281" s="100" t="n">
        <v>1</v>
      </c>
      <c r="L281" s="102" t="inlineStr">
        <is>
          <t>20251212</t>
        </is>
      </c>
      <c r="M281" s="99" t="inlineStr">
        <is>
          <t>제외</t>
        </is>
      </c>
      <c r="N281" s="99" t="inlineStr">
        <is>
          <t>60일 거래대금 0.3억(기준 5억 미만)</t>
        </is>
      </c>
      <c r="O281" s="99" t="inlineStr">
        <is>
          <t>KAP 26-12 크레딧 채권지수(AA-이상,총수익)</t>
        </is>
      </c>
      <c r="P281" s="99" t="inlineStr">
        <is>
          <t>일반</t>
        </is>
      </c>
      <c r="Q281" s="99" t="inlineStr">
        <is>
          <t>채권</t>
        </is>
      </c>
      <c r="R281" s="99" t="inlineStr">
        <is>
          <t>연배당</t>
        </is>
      </c>
      <c r="S281" s="100" t="n">
        <v>1</v>
      </c>
      <c r="T281" s="101" t="n">
        <v>1</v>
      </c>
      <c r="U281" s="103" t="n">
        <v>0.0242</v>
      </c>
      <c r="V281" s="103" t="n">
        <v>0.0002</v>
      </c>
      <c r="W281" s="103" t="n">
        <v>0.015</v>
      </c>
      <c r="X281" s="103" t="n">
        <v>0.008199999999999999</v>
      </c>
      <c r="Y281" s="99" t="inlineStr">
        <is>
          <t>20250922~20261002</t>
        </is>
      </c>
      <c r="Z281" s="99" t="inlineStr"/>
      <c r="AA281">
        <f>IF(AND($J281&lt;&gt;"",OR(조회_주기="전체",$R281=조회_주기),$J281&gt;=조회_최소,$J281&lt;=조회_최대),1,0)</f>
        <v/>
      </c>
      <c r="AB281">
        <f>IF($AA281=1,$AB280+1,$AB280)</f>
        <v/>
      </c>
      <c r="AC281">
        <f>IF(검색어="",1,IF(ISNUMBER(SEARCH(검색어,$A281)),1,0))</f>
        <v/>
      </c>
      <c r="AD281">
        <f>IF($AC281=1,$AD280+1,$AD280)</f>
        <v/>
      </c>
      <c r="AE281">
        <f>IFERROR(INDEX($A$4:$A$594,MATCH(278,$AD$4:$AD$594,0)),"")</f>
        <v/>
      </c>
    </row>
    <row r="282">
      <c r="A282" s="99" t="inlineStr">
        <is>
          <t>ACE 미국30년국채선물레버리지(합성 H)</t>
        </is>
      </c>
      <c r="B282" s="99" t="inlineStr">
        <is>
          <t>452250</t>
        </is>
      </c>
      <c r="C282" s="99" t="inlineStr">
        <is>
          <t>한국투신운용(ETF)</t>
        </is>
      </c>
      <c r="D282" s="100" t="n">
        <v>4210</v>
      </c>
      <c r="E282" s="100" t="n">
        <v>32627500000</v>
      </c>
      <c r="F282" s="100" t="n">
        <v>102712040</v>
      </c>
      <c r="G282" s="101" t="n">
        <v>0.0025</v>
      </c>
      <c r="H282" s="101" t="n">
        <v>0.1829</v>
      </c>
      <c r="I282" s="101" t="n">
        <v>0.0183</v>
      </c>
      <c r="J282" s="101" t="n">
        <v>0.02399</v>
      </c>
      <c r="K282" s="100" t="n">
        <v>1</v>
      </c>
      <c r="L282" s="102" t="inlineStr">
        <is>
          <t>20251229</t>
        </is>
      </c>
      <c r="M282" s="99" t="inlineStr">
        <is>
          <t>제외</t>
        </is>
      </c>
      <c r="N282" s="99" t="inlineStr">
        <is>
          <t>60일 거래대금 1.0억(기준 5억 미만)</t>
        </is>
      </c>
      <c r="O282" s="99" t="inlineStr">
        <is>
          <t>S&amp;P Ultra T-Bond Futures Excess Return Index</t>
        </is>
      </c>
      <c r="P282" s="99" t="inlineStr">
        <is>
          <t>일반</t>
        </is>
      </c>
      <c r="Q282" s="99" t="inlineStr">
        <is>
          <t>채권</t>
        </is>
      </c>
      <c r="R282" s="99" t="inlineStr">
        <is>
          <t>연배당</t>
        </is>
      </c>
      <c r="S282" s="100" t="n">
        <v>1</v>
      </c>
      <c r="T282" s="101" t="n">
        <v>0</v>
      </c>
      <c r="U282" s="103" t="n">
        <v>-0.2352</v>
      </c>
      <c r="V282" s="103" t="n">
        <v>-0.2531</v>
      </c>
      <c r="W282" s="103" t="n">
        <v>-0.2003</v>
      </c>
      <c r="X282" s="103" t="n">
        <v>-0.1759</v>
      </c>
      <c r="Y282" s="99" t="inlineStr">
        <is>
          <t>20250922~20261002</t>
        </is>
      </c>
      <c r="Z282" s="99" t="inlineStr"/>
      <c r="AA282">
        <f>IF(AND($J282&lt;&gt;"",OR(조회_주기="전체",$R282=조회_주기),$J282&gt;=조회_최소,$J282&lt;=조회_최대),1,0)</f>
        <v/>
      </c>
      <c r="AB282">
        <f>IF($AA282=1,$AB281+1,$AB281)</f>
        <v/>
      </c>
      <c r="AC282">
        <f>IF(검색어="",1,IF(ISNUMBER(SEARCH(검색어,$A282)),1,0))</f>
        <v/>
      </c>
      <c r="AD282">
        <f>IF($AC282=1,$AD281+1,$AD281)</f>
        <v/>
      </c>
      <c r="AE282">
        <f>IFERROR(INDEX($A$4:$A$594,MATCH(279,$AD$4:$AD$594,0)),"")</f>
        <v/>
      </c>
    </row>
    <row r="283">
      <c r="A283" s="99" t="inlineStr">
        <is>
          <t>RISE V&amp;S셀렉트밸류채권혼합</t>
        </is>
      </c>
      <c r="B283" s="99" t="inlineStr">
        <is>
          <t>241390</t>
        </is>
      </c>
      <c r="C283" s="99" t="inlineStr">
        <is>
          <t>KB자산운용</t>
        </is>
      </c>
      <c r="D283" s="100" t="n">
        <v>15910</v>
      </c>
      <c r="E283" s="100" t="n">
        <v>35002000000</v>
      </c>
      <c r="F283" s="100" t="n">
        <v>78237874</v>
      </c>
      <c r="G283" s="101" t="n">
        <v>0.0023</v>
      </c>
      <c r="H283" s="101" t="n">
        <v>0.1989</v>
      </c>
      <c r="I283" s="101" t="n">
        <v>0.0148</v>
      </c>
      <c r="J283" s="101" t="n">
        <v>0.023884</v>
      </c>
      <c r="K283" s="100" t="n">
        <v>10</v>
      </c>
      <c r="L283" s="102" t="inlineStr">
        <is>
          <t>20260608</t>
        </is>
      </c>
      <c r="M283" s="99" t="inlineStr">
        <is>
          <t>제외</t>
        </is>
      </c>
      <c r="N283" s="99" t="inlineStr">
        <is>
          <t>60일 거래대금 0.8억(기준 5억 미만)</t>
        </is>
      </c>
      <c r="O283" s="99" t="inlineStr">
        <is>
          <t>셀렉트밸류 채권혼합 지수</t>
        </is>
      </c>
      <c r="P283" s="99" t="inlineStr">
        <is>
          <t>일반</t>
        </is>
      </c>
      <c r="Q283" s="99" t="inlineStr">
        <is>
          <t>멀티에셋</t>
        </is>
      </c>
      <c r="R283" s="99" t="inlineStr">
        <is>
          <t>반기배당</t>
        </is>
      </c>
      <c r="S283" s="100" t="n">
        <v>2</v>
      </c>
      <c r="T283" s="101" t="n">
        <v>0.8816000000000001</v>
      </c>
      <c r="U283" s="103" t="n">
        <v>0.235</v>
      </c>
      <c r="V283" s="103" t="n">
        <v>0.2061</v>
      </c>
      <c r="W283" s="103" t="n">
        <v>0.0362</v>
      </c>
      <c r="X283" s="103" t="n">
        <v>-0.024</v>
      </c>
      <c r="Y283" s="99" t="inlineStr">
        <is>
          <t>20250922~20261002</t>
        </is>
      </c>
      <c r="Z283" s="99" t="inlineStr"/>
      <c r="AA283">
        <f>IF(AND($J283&lt;&gt;"",OR(조회_주기="전체",$R283=조회_주기),$J283&gt;=조회_최소,$J283&lt;=조회_최대),1,0)</f>
        <v/>
      </c>
      <c r="AB283">
        <f>IF($AA283=1,$AB282+1,$AB282)</f>
        <v/>
      </c>
      <c r="AC283">
        <f>IF(검색어="",1,IF(ISNUMBER(SEARCH(검색어,$A283)),1,0))</f>
        <v/>
      </c>
      <c r="AD283">
        <f>IF($AC283=1,$AD282+1,$AD282)</f>
        <v/>
      </c>
      <c r="AE283">
        <f>IFERROR(INDEX($A$4:$A$594,MATCH(280,$AD$4:$AD$594,0)),"")</f>
        <v/>
      </c>
    </row>
    <row r="284">
      <c r="A284" s="99" t="inlineStr">
        <is>
          <t>TIGER 현대차그룹플러스</t>
        </is>
      </c>
      <c r="B284" s="99" t="inlineStr">
        <is>
          <t>138540</t>
        </is>
      </c>
      <c r="C284" s="99" t="inlineStr">
        <is>
          <t>미래에셋자산운용</t>
        </is>
      </c>
      <c r="D284" s="100" t="n">
        <v>45820</v>
      </c>
      <c r="E284" s="100" t="n">
        <v>595660000000</v>
      </c>
      <c r="F284" s="100" t="n">
        <v>11379274329</v>
      </c>
      <c r="G284" s="101" t="n">
        <v>0.0015</v>
      </c>
      <c r="H284" s="101" t="n">
        <v>0.5312</v>
      </c>
      <c r="I284" s="101" t="n">
        <v>0.0148</v>
      </c>
      <c r="J284" s="101" t="n">
        <v>0.023789</v>
      </c>
      <c r="K284" s="100" t="n">
        <v>9</v>
      </c>
      <c r="L284" s="102" t="inlineStr">
        <is>
          <t>20260429</t>
        </is>
      </c>
      <c r="M284" s="99" t="inlineStr">
        <is>
          <t>제외</t>
        </is>
      </c>
      <c r="N284" s="99" t="inlineStr">
        <is>
          <t>변동성 53.1%(1년 기준, 기준 35% 초과)</t>
        </is>
      </c>
      <c r="O284" s="99" t="inlineStr">
        <is>
          <t>FnGuide 현대차그룹+ FW</t>
        </is>
      </c>
      <c r="P284" s="99" t="inlineStr">
        <is>
          <t>일반</t>
        </is>
      </c>
      <c r="Q284" s="99" t="inlineStr">
        <is>
          <t>주식</t>
        </is>
      </c>
      <c r="R284" s="99" t="inlineStr">
        <is>
          <t>연배당</t>
        </is>
      </c>
      <c r="S284" s="100" t="n">
        <v>1</v>
      </c>
      <c r="T284" s="101" t="n">
        <v>1</v>
      </c>
      <c r="U284" s="103" t="n"/>
      <c r="V284" s="103" t="n"/>
      <c r="W284" s="103" t="n">
        <v>-0.1819</v>
      </c>
      <c r="X284" s="103" t="n">
        <v>-0.1841</v>
      </c>
      <c r="Y284" s="99" t="inlineStr"/>
      <c r="Z284" s="99" t="inlineStr">
        <is>
          <t>창 안 급변일 1일(20260304) — 내지 않음</t>
        </is>
      </c>
      <c r="AA284">
        <f>IF(AND($J284&lt;&gt;"",OR(조회_주기="전체",$R284=조회_주기),$J284&gt;=조회_최소,$J284&lt;=조회_최대),1,0)</f>
        <v/>
      </c>
      <c r="AB284">
        <f>IF($AA284=1,$AB283+1,$AB283)</f>
        <v/>
      </c>
      <c r="AC284">
        <f>IF(검색어="",1,IF(ISNUMBER(SEARCH(검색어,$A284)),1,0))</f>
        <v/>
      </c>
      <c r="AD284">
        <f>IF($AC284=1,$AD283+1,$AD283)</f>
        <v/>
      </c>
      <c r="AE284">
        <f>IFERROR(INDEX($A$4:$A$594,MATCH(281,$AD$4:$AD$594,0)),"")</f>
        <v/>
      </c>
    </row>
    <row r="285">
      <c r="A285" s="99" t="inlineStr">
        <is>
          <t>KIWOOM 엔비디아미국30년국채혼합액티브(H)</t>
        </is>
      </c>
      <c r="B285" s="99" t="inlineStr">
        <is>
          <t>0015E0</t>
        </is>
      </c>
      <c r="C285" s="99" t="inlineStr">
        <is>
          <t>키움투자자산운용</t>
        </is>
      </c>
      <c r="D285" s="100" t="n">
        <v>10245</v>
      </c>
      <c r="E285" s="100" t="n">
        <v>5122500000</v>
      </c>
      <c r="F285" s="100" t="n">
        <v>23711741</v>
      </c>
      <c r="G285" s="101" t="n">
        <v>0.0019</v>
      </c>
      <c r="H285" s="101" t="n">
        <v>0.1105</v>
      </c>
      <c r="I285" s="101" t="n">
        <v>0.0019</v>
      </c>
      <c r="J285" s="101" t="n">
        <v>0.023426</v>
      </c>
      <c r="K285" s="100" t="n">
        <v>19</v>
      </c>
      <c r="L285" s="102" t="inlineStr">
        <is>
          <t>20260929</t>
        </is>
      </c>
      <c r="M285" s="99" t="inlineStr">
        <is>
          <t>제외</t>
        </is>
      </c>
      <c r="N285" s="99" t="inlineStr">
        <is>
          <t>순자산 51억(기준 300억 미만), 60일 거래대금 0.2억(기준 5억 미만)</t>
        </is>
      </c>
      <c r="O285" s="99" t="inlineStr">
        <is>
          <t>Bloomberg BlendedNVDIAand USLong Treasury Bond Index</t>
        </is>
      </c>
      <c r="P285" s="99" t="inlineStr">
        <is>
          <t>일반</t>
        </is>
      </c>
      <c r="Q285" s="99" t="inlineStr">
        <is>
          <t>멀티에셋</t>
        </is>
      </c>
      <c r="R285" s="99" t="inlineStr">
        <is>
          <t>월배당</t>
        </is>
      </c>
      <c r="S285" s="100" t="n">
        <v>11</v>
      </c>
      <c r="T285" s="101" t="n">
        <v>1</v>
      </c>
      <c r="U285" s="103" t="n">
        <v>-0.0114</v>
      </c>
      <c r="V285" s="103" t="n">
        <v>-0.0339</v>
      </c>
      <c r="W285" s="103" t="n">
        <v>-0.0146</v>
      </c>
      <c r="X285" s="103" t="n">
        <v>-0.0326</v>
      </c>
      <c r="Y285" s="99" t="inlineStr">
        <is>
          <t>20250922~20261002</t>
        </is>
      </c>
      <c r="Z285" s="99" t="inlineStr"/>
      <c r="AA285">
        <f>IF(AND($J285&lt;&gt;"",OR(조회_주기="전체",$R285=조회_주기),$J285&gt;=조회_최소,$J285&lt;=조회_최대),1,0)</f>
        <v/>
      </c>
      <c r="AB285">
        <f>IF($AA285=1,$AB284+1,$AB284)</f>
        <v/>
      </c>
      <c r="AC285">
        <f>IF(검색어="",1,IF(ISNUMBER(SEARCH(검색어,$A285)),1,0))</f>
        <v/>
      </c>
      <c r="AD285">
        <f>IF($AC285=1,$AD284+1,$AD284)</f>
        <v/>
      </c>
      <c r="AE285">
        <f>IFERROR(INDEX($A$4:$A$594,MATCH(282,$AD$4:$AD$594,0)),"")</f>
        <v/>
      </c>
    </row>
    <row r="286">
      <c r="A286" s="99" t="inlineStr">
        <is>
          <t>KIWOOM 팔란티어미국30년국채혼합액티브(H)</t>
        </is>
      </c>
      <c r="B286" s="99" t="inlineStr">
        <is>
          <t>0015F0</t>
        </is>
      </c>
      <c r="C286" s="99" t="inlineStr">
        <is>
          <t>키움투자자산운용</t>
        </is>
      </c>
      <c r="D286" s="100" t="n">
        <v>10260</v>
      </c>
      <c r="E286" s="100" t="n">
        <v>12312000000</v>
      </c>
      <c r="F286" s="100" t="n">
        <v>74568240</v>
      </c>
      <c r="G286" s="101" t="n">
        <v>0.0019</v>
      </c>
      <c r="H286" s="101" t="n">
        <v>0.1571</v>
      </c>
      <c r="I286" s="101" t="n">
        <v>0.0019</v>
      </c>
      <c r="J286" s="101" t="n">
        <v>0.023392</v>
      </c>
      <c r="K286" s="100" t="n">
        <v>19</v>
      </c>
      <c r="L286" s="102" t="inlineStr">
        <is>
          <t>20260929</t>
        </is>
      </c>
      <c r="M286" s="99" t="inlineStr">
        <is>
          <t>제외</t>
        </is>
      </c>
      <c r="N286" s="99" t="inlineStr">
        <is>
          <t>순자산 123억(기준 300억 미만), 60일 거래대금 0.7억(기준 5억 미만)</t>
        </is>
      </c>
      <c r="O286" s="99" t="inlineStr">
        <is>
          <t>Bloomberg Blended PALANTIR and USLong Treasury Bond Index</t>
        </is>
      </c>
      <c r="P286" s="99" t="inlineStr">
        <is>
          <t>일반</t>
        </is>
      </c>
      <c r="Q286" s="99" t="inlineStr">
        <is>
          <t>멀티에셋</t>
        </is>
      </c>
      <c r="R286" s="99" t="inlineStr">
        <is>
          <t>월배당</t>
        </is>
      </c>
      <c r="S286" s="100" t="n">
        <v>11</v>
      </c>
      <c r="T286" s="101" t="n">
        <v>0.8333</v>
      </c>
      <c r="U286" s="103" t="n">
        <v>-0.0513</v>
      </c>
      <c r="V286" s="103" t="n">
        <v>-0.0728</v>
      </c>
      <c r="W286" s="103" t="n">
        <v>-0.009399999999999999</v>
      </c>
      <c r="X286" s="103" t="n">
        <v>0.0201</v>
      </c>
      <c r="Y286" s="99" t="inlineStr">
        <is>
          <t>20250922~20261002</t>
        </is>
      </c>
      <c r="Z286" s="99" t="inlineStr"/>
      <c r="AA286">
        <f>IF(AND($J286&lt;&gt;"",OR(조회_주기="전체",$R286=조회_주기),$J286&gt;=조회_최소,$J286&lt;=조회_최대),1,0)</f>
        <v/>
      </c>
      <c r="AB286">
        <f>IF($AA286=1,$AB285+1,$AB285)</f>
        <v/>
      </c>
      <c r="AC286">
        <f>IF(검색어="",1,IF(ISNUMBER(SEARCH(검색어,$A286)),1,0))</f>
        <v/>
      </c>
      <c r="AD286">
        <f>IF($AC286=1,$AD285+1,$AD285)</f>
        <v/>
      </c>
      <c r="AE286">
        <f>IFERROR(INDEX($A$4:$A$594,MATCH(283,$AD$4:$AD$594,0)),"")</f>
        <v/>
      </c>
    </row>
    <row r="287">
      <c r="A287" s="99" t="inlineStr">
        <is>
          <t>RISE 2차전지TOP10인버스(합성)</t>
        </is>
      </c>
      <c r="B287" s="99" t="inlineStr">
        <is>
          <t>465350</t>
        </is>
      </c>
      <c r="C287" s="99" t="inlineStr">
        <is>
          <t>KB자산운용</t>
        </is>
      </c>
      <c r="D287" s="100" t="n">
        <v>15625</v>
      </c>
      <c r="E287" s="100" t="n">
        <v>31250000000</v>
      </c>
      <c r="F287" s="100" t="n">
        <v>1556047756</v>
      </c>
      <c r="G287" s="101" t="n">
        <v>0.0049</v>
      </c>
      <c r="H287" s="101" t="n">
        <v>0.6342</v>
      </c>
      <c r="I287" s="101" t="n">
        <v>0.0143</v>
      </c>
      <c r="J287" s="101" t="n">
        <v>0.02304</v>
      </c>
      <c r="K287" s="100" t="n">
        <v>1</v>
      </c>
      <c r="L287" s="102" t="inlineStr">
        <is>
          <t>20251229</t>
        </is>
      </c>
      <c r="M287" s="99" t="inlineStr">
        <is>
          <t>제외</t>
        </is>
      </c>
      <c r="N287" s="99" t="inlineStr">
        <is>
          <t>변동성 63.4%(1년 기준, 기준 35% 초과)</t>
        </is>
      </c>
      <c r="O287" s="99" t="inlineStr">
        <is>
          <t>iSelect 2차전지 Top10 지수</t>
        </is>
      </c>
      <c r="P287" s="99" t="inlineStr">
        <is>
          <t>일반</t>
        </is>
      </c>
      <c r="Q287" s="99" t="inlineStr">
        <is>
          <t>주식</t>
        </is>
      </c>
      <c r="R287" s="99" t="inlineStr">
        <is>
          <t>연배당</t>
        </is>
      </c>
      <c r="S287" s="100" t="n">
        <v>1</v>
      </c>
      <c r="T287" s="101" t="n">
        <v>1</v>
      </c>
      <c r="U287" s="103" t="n"/>
      <c r="V287" s="103" t="n"/>
      <c r="W287" s="103" t="n"/>
      <c r="X287" s="103" t="n">
        <v>-0.1691</v>
      </c>
      <c r="Y287" s="99" t="inlineStr"/>
      <c r="Z287" s="99" t="inlineStr">
        <is>
          <t>창 안 급변일 1일(20260629) — 내지 않음 / 6개월: 창 안 급변일 1일(20260629) — 내지 않음</t>
        </is>
      </c>
      <c r="AA287">
        <f>IF(AND($J287&lt;&gt;"",OR(조회_주기="전체",$R287=조회_주기),$J287&gt;=조회_최소,$J287&lt;=조회_최대),1,0)</f>
        <v/>
      </c>
      <c r="AB287">
        <f>IF($AA287=1,$AB286+1,$AB286)</f>
        <v/>
      </c>
      <c r="AC287">
        <f>IF(검색어="",1,IF(ISNUMBER(SEARCH(검색어,$A287)),1,0))</f>
        <v/>
      </c>
      <c r="AD287">
        <f>IF($AC287=1,$AD286+1,$AD286)</f>
        <v/>
      </c>
      <c r="AE287">
        <f>IFERROR(INDEX($A$4:$A$594,MATCH(284,$AD$4:$AD$594,0)),"")</f>
        <v/>
      </c>
    </row>
    <row r="288">
      <c r="A288" s="99" t="inlineStr">
        <is>
          <t>ACE 미국배당퀄리티채권혼합50</t>
        </is>
      </c>
      <c r="B288" s="99" t="inlineStr">
        <is>
          <t>0049K0</t>
        </is>
      </c>
      <c r="C288" s="99" t="inlineStr">
        <is>
          <t>한국투신운용(ETF)</t>
        </is>
      </c>
      <c r="D288" s="100" t="n">
        <v>10925</v>
      </c>
      <c r="E288" s="100" t="n">
        <v>27312500000</v>
      </c>
      <c r="F288" s="100" t="n">
        <v>157748762</v>
      </c>
      <c r="G288" s="101" t="n">
        <v>0.0015</v>
      </c>
      <c r="H288" s="101" t="n">
        <v>0.0669</v>
      </c>
      <c r="I288" s="101" t="n">
        <v>0.0018</v>
      </c>
      <c r="J288" s="101" t="n">
        <v>0.022059</v>
      </c>
      <c r="K288" s="100" t="n">
        <v>16</v>
      </c>
      <c r="L288" s="102" t="inlineStr">
        <is>
          <t>20260929</t>
        </is>
      </c>
      <c r="M288" s="99" t="inlineStr">
        <is>
          <t>제외</t>
        </is>
      </c>
      <c r="N288" s="99" t="inlineStr">
        <is>
          <t>순자산 273억(기준 300억 미만), 60일 거래대금 1.6억(기준 5억 미만)</t>
        </is>
      </c>
      <c r="O288" s="99" t="inlineStr">
        <is>
          <t>Bloomberg WisdomTree U.S. Quality Dividend &amp; Short Term KRW</t>
        </is>
      </c>
      <c r="P288" s="99" t="inlineStr">
        <is>
          <t>일반</t>
        </is>
      </c>
      <c r="Q288" s="99" t="inlineStr">
        <is>
          <t>멀티에셋</t>
        </is>
      </c>
      <c r="R288" s="99" t="inlineStr">
        <is>
          <t>월배당</t>
        </is>
      </c>
      <c r="S288" s="100" t="n">
        <v>11</v>
      </c>
      <c r="T288" s="101" t="n">
        <v>1</v>
      </c>
      <c r="U288" s="103" t="n">
        <v>0.04940000000000001</v>
      </c>
      <c r="V288" s="103" t="n">
        <v>0.0267</v>
      </c>
      <c r="W288" s="103" t="n">
        <v>-0.0101</v>
      </c>
      <c r="X288" s="103" t="n">
        <v>-0.0566</v>
      </c>
      <c r="Y288" s="99" t="inlineStr">
        <is>
          <t>20250922~20261002</t>
        </is>
      </c>
      <c r="Z288" s="99" t="inlineStr"/>
      <c r="AA288">
        <f>IF(AND($J288&lt;&gt;"",OR(조회_주기="전체",$R288=조회_주기),$J288&gt;=조회_최소,$J288&lt;=조회_최대),1,0)</f>
        <v/>
      </c>
      <c r="AB288">
        <f>IF($AA288=1,$AB287+1,$AB287)</f>
        <v/>
      </c>
      <c r="AC288">
        <f>IF(검색어="",1,IF(ISNUMBER(SEARCH(검색어,$A288)),1,0))</f>
        <v/>
      </c>
      <c r="AD288">
        <f>IF($AC288=1,$AD287+1,$AD287)</f>
        <v/>
      </c>
      <c r="AE288">
        <f>IFERROR(INDEX($A$4:$A$594,MATCH(285,$AD$4:$AD$594,0)),"")</f>
        <v/>
      </c>
    </row>
    <row r="289">
      <c r="A289" s="99" t="inlineStr">
        <is>
          <t>KODEX 미국S&amp;P500변동성확대시커버드콜</t>
        </is>
      </c>
      <c r="B289" s="99" t="inlineStr">
        <is>
          <t>0089C0</t>
        </is>
      </c>
      <c r="C289" s="99" t="inlineStr">
        <is>
          <t>삼성자산운용(ETF)</t>
        </is>
      </c>
      <c r="D289" s="100" t="n">
        <v>11190</v>
      </c>
      <c r="E289" s="100" t="n">
        <v>42522000000</v>
      </c>
      <c r="F289" s="100" t="n">
        <v>341777605</v>
      </c>
      <c r="G289" s="101" t="n">
        <v>0.0039</v>
      </c>
      <c r="H289" s="101" t="n">
        <v>0.1406</v>
      </c>
      <c r="I289" s="101" t="n">
        <v>0.0009</v>
      </c>
      <c r="J289" s="101" t="n">
        <v>0.021805</v>
      </c>
      <c r="K289" s="100" t="n">
        <v>13</v>
      </c>
      <c r="L289" s="102" t="inlineStr">
        <is>
          <t>20260929</t>
        </is>
      </c>
      <c r="M289" s="99" t="inlineStr">
        <is>
          <t>제외</t>
        </is>
      </c>
      <c r="N289" s="99" t="inlineStr">
        <is>
          <t>60일 거래대금 3.4억(기준 5억 미만)</t>
        </is>
      </c>
      <c r="O289" s="99" t="inlineStr">
        <is>
          <t>Cboe S&amp;P 500 Volatility Contingent Daily Covered Call Index</t>
        </is>
      </c>
      <c r="P289" s="99" t="inlineStr">
        <is>
          <t>커버드콜</t>
        </is>
      </c>
      <c r="Q289" s="99" t="inlineStr">
        <is>
          <t>주식</t>
        </is>
      </c>
      <c r="R289" s="99" t="inlineStr">
        <is>
          <t>월배당</t>
        </is>
      </c>
      <c r="S289" s="100" t="n">
        <v>11</v>
      </c>
      <c r="T289" s="101" t="n">
        <v>1</v>
      </c>
      <c r="U289" s="103" t="n">
        <v>0.092</v>
      </c>
      <c r="V289" s="103" t="n">
        <v>0.06860000000000001</v>
      </c>
      <c r="W289" s="103" t="n">
        <v>0.0204</v>
      </c>
      <c r="X289" s="103" t="n">
        <v>-0.0949</v>
      </c>
      <c r="Y289" s="99" t="inlineStr">
        <is>
          <t>20250922~20261002</t>
        </is>
      </c>
      <c r="Z289" s="99" t="inlineStr"/>
      <c r="AA289">
        <f>IF(AND($J289&lt;&gt;"",OR(조회_주기="전체",$R289=조회_주기),$J289&gt;=조회_최소,$J289&lt;=조회_최대),1,0)</f>
        <v/>
      </c>
      <c r="AB289">
        <f>IF($AA289=1,$AB288+1,$AB288)</f>
        <v/>
      </c>
      <c r="AC289">
        <f>IF(검색어="",1,IF(ISNUMBER(SEARCH(검색어,$A289)),1,0))</f>
        <v/>
      </c>
      <c r="AD289">
        <f>IF($AC289=1,$AD288+1,$AD288)</f>
        <v/>
      </c>
      <c r="AE289">
        <f>IFERROR(INDEX($A$4:$A$594,MATCH(286,$AD$4:$AD$594,0)),"")</f>
        <v/>
      </c>
    </row>
    <row r="290">
      <c r="A290" s="99" t="inlineStr">
        <is>
          <t>KODEX TRF5050</t>
        </is>
      </c>
      <c r="B290" s="99" t="inlineStr">
        <is>
          <t>329660</t>
        </is>
      </c>
      <c r="C290" s="99" t="inlineStr">
        <is>
          <t>삼성자산운용(ETF)</t>
        </is>
      </c>
      <c r="D290" s="100" t="n">
        <v>17585</v>
      </c>
      <c r="E290" s="100" t="n">
        <v>82649500000</v>
      </c>
      <c r="F290" s="100" t="n">
        <v>245469251</v>
      </c>
      <c r="G290" s="101" t="n">
        <v>0.0017</v>
      </c>
      <c r="H290" s="101" t="n">
        <v>0.0733</v>
      </c>
      <c r="I290" s="101" t="n">
        <v>0.0018</v>
      </c>
      <c r="J290" s="101" t="n">
        <v>0.021609</v>
      </c>
      <c r="K290" s="100" t="n">
        <v>14</v>
      </c>
      <c r="L290" s="102" t="inlineStr">
        <is>
          <t>20260914</t>
        </is>
      </c>
      <c r="M290" s="99" t="inlineStr">
        <is>
          <t>제외</t>
        </is>
      </c>
      <c r="N290" s="99" t="inlineStr">
        <is>
          <t>60일 거래대금 2.5억(기준 5억 미만)</t>
        </is>
      </c>
      <c r="O290" s="99" t="inlineStr">
        <is>
          <t>FnGuide TRF 5050 지수</t>
        </is>
      </c>
      <c r="P290" s="99" t="inlineStr">
        <is>
          <t>일반</t>
        </is>
      </c>
      <c r="Q290" s="99" t="inlineStr">
        <is>
          <t>멀티에셋</t>
        </is>
      </c>
      <c r="R290" s="99" t="inlineStr">
        <is>
          <t>월배당</t>
        </is>
      </c>
      <c r="S290" s="100" t="n">
        <v>11</v>
      </c>
      <c r="T290" s="101" t="n">
        <v>1</v>
      </c>
      <c r="U290" s="103" t="n">
        <v>0.0489</v>
      </c>
      <c r="V290" s="103" t="n">
        <v>0.0267</v>
      </c>
      <c r="W290" s="103" t="n">
        <v>-0.0051</v>
      </c>
      <c r="X290" s="103" t="n">
        <v>-0.0534</v>
      </c>
      <c r="Y290" s="99" t="inlineStr">
        <is>
          <t>20250922~20261002</t>
        </is>
      </c>
      <c r="Z290" s="99" t="inlineStr"/>
      <c r="AA290">
        <f>IF(AND($J290&lt;&gt;"",OR(조회_주기="전체",$R290=조회_주기),$J290&gt;=조회_최소,$J290&lt;=조회_최대),1,0)</f>
        <v/>
      </c>
      <c r="AB290">
        <f>IF($AA290=1,$AB289+1,$AB289)</f>
        <v/>
      </c>
      <c r="AC290">
        <f>IF(검색어="",1,IF(ISNUMBER(SEARCH(검색어,$A290)),1,0))</f>
        <v/>
      </c>
      <c r="AD290">
        <f>IF($AC290=1,$AD289+1,$AD289)</f>
        <v/>
      </c>
      <c r="AE290">
        <f>IFERROR(INDEX($A$4:$A$594,MATCH(287,$AD$4:$AD$594,0)),"")</f>
        <v/>
      </c>
    </row>
    <row r="291">
      <c r="A291" s="99" t="inlineStr">
        <is>
          <t>RISE 미국은행TOP10</t>
        </is>
      </c>
      <c r="B291" s="99" t="inlineStr">
        <is>
          <t>0013P0</t>
        </is>
      </c>
      <c r="C291" s="99" t="inlineStr">
        <is>
          <t>KB자산운용</t>
        </is>
      </c>
      <c r="D291" s="100" t="n">
        <v>11450</v>
      </c>
      <c r="E291" s="100" t="n">
        <v>12595000000</v>
      </c>
      <c r="F291" s="100" t="n">
        <v>268329262</v>
      </c>
      <c r="G291" s="101" t="n">
        <v>0.002</v>
      </c>
      <c r="H291" s="101" t="n">
        <v>0.2247</v>
      </c>
      <c r="I291" s="101" t="n">
        <v>0.0014</v>
      </c>
      <c r="J291" s="101" t="n">
        <v>0.020961</v>
      </c>
      <c r="K291" s="100" t="n">
        <v>18</v>
      </c>
      <c r="L291" s="102" t="inlineStr">
        <is>
          <t>20260929</t>
        </is>
      </c>
      <c r="M291" s="99" t="inlineStr">
        <is>
          <t>제외</t>
        </is>
      </c>
      <c r="N291" s="99" t="inlineStr">
        <is>
          <t>순자산 126억(기준 300억 미만), 60일 거래대금 2.7억(기준 5억 미만)</t>
        </is>
      </c>
      <c r="O291" s="99" t="inlineStr">
        <is>
          <t>KEDI U.S. Bank TOP10 Index (Price Return)</t>
        </is>
      </c>
      <c r="P291" s="99" t="inlineStr">
        <is>
          <t>일반</t>
        </is>
      </c>
      <c r="Q291" s="99" t="inlineStr">
        <is>
          <t>주식</t>
        </is>
      </c>
      <c r="R291" s="99" t="inlineStr">
        <is>
          <t>월배당</t>
        </is>
      </c>
      <c r="S291" s="100" t="n">
        <v>11</v>
      </c>
      <c r="T291" s="101" t="n">
        <v>1</v>
      </c>
      <c r="U291" s="103" t="n">
        <v>0.0532</v>
      </c>
      <c r="V291" s="103" t="n">
        <v>0.0315</v>
      </c>
      <c r="W291" s="103" t="n">
        <v>-0.017</v>
      </c>
      <c r="X291" s="103" t="n">
        <v>-0.1743</v>
      </c>
      <c r="Y291" s="99" t="inlineStr">
        <is>
          <t>20250922~20261002</t>
        </is>
      </c>
      <c r="Z291" s="99" t="inlineStr"/>
      <c r="AA291">
        <f>IF(AND($J291&lt;&gt;"",OR(조회_주기="전체",$R291=조회_주기),$J291&gt;=조회_최소,$J291&lt;=조회_최대),1,0)</f>
        <v/>
      </c>
      <c r="AB291">
        <f>IF($AA291=1,$AB290+1,$AB290)</f>
        <v/>
      </c>
      <c r="AC291">
        <f>IF(검색어="",1,IF(ISNUMBER(SEARCH(검색어,$A291)),1,0))</f>
        <v/>
      </c>
      <c r="AD291">
        <f>IF($AC291=1,$AD290+1,$AD290)</f>
        <v/>
      </c>
      <c r="AE291">
        <f>IFERROR(INDEX($A$4:$A$594,MATCH(288,$AD$4:$AD$594,0)),"")</f>
        <v/>
      </c>
    </row>
    <row r="292">
      <c r="A292" s="99" t="inlineStr">
        <is>
          <t>KIWOOM 미국방어배당성장나스닥</t>
        </is>
      </c>
      <c r="B292" s="99" t="inlineStr">
        <is>
          <t>373790</t>
        </is>
      </c>
      <c r="C292" s="99" t="inlineStr">
        <is>
          <t>키움투자자산운용</t>
        </is>
      </c>
      <c r="D292" s="100" t="n">
        <v>14455</v>
      </c>
      <c r="E292" s="100" t="n">
        <v>4047400000</v>
      </c>
      <c r="F292" s="100" t="n">
        <v>8459832</v>
      </c>
      <c r="G292" s="101" t="n">
        <v>0.004</v>
      </c>
      <c r="H292" s="101" t="n">
        <v>0.1434</v>
      </c>
      <c r="I292" s="101" t="n">
        <v>0.0017</v>
      </c>
      <c r="J292" s="101" t="n">
        <v>0.020892</v>
      </c>
      <c r="K292" s="100" t="n">
        <v>34</v>
      </c>
      <c r="L292" s="102" t="inlineStr">
        <is>
          <t>20260929</t>
        </is>
      </c>
      <c r="M292" s="99" t="inlineStr">
        <is>
          <t>제외</t>
        </is>
      </c>
      <c r="N292" s="99" t="inlineStr">
        <is>
          <t>순자산 40억(기준 300억 미만), 60일 거래대금 0.1억(기준 5억 미만)</t>
        </is>
      </c>
      <c r="O292" s="99" t="inlineStr">
        <is>
          <t>Nasdaq US Low Volatility Dividend Achievers Index</t>
        </is>
      </c>
      <c r="P292" s="99" t="inlineStr">
        <is>
          <t>일반</t>
        </is>
      </c>
      <c r="Q292" s="99" t="inlineStr">
        <is>
          <t>주식</t>
        </is>
      </c>
      <c r="R292" s="99" t="inlineStr">
        <is>
          <t>월배당</t>
        </is>
      </c>
      <c r="S292" s="100" t="n">
        <v>11</v>
      </c>
      <c r="T292" s="101" t="n">
        <v>1</v>
      </c>
      <c r="U292" s="103" t="n">
        <v>-0.0177</v>
      </c>
      <c r="V292" s="103" t="n">
        <v>-0.0379</v>
      </c>
      <c r="W292" s="103" t="n">
        <v>-0.1498</v>
      </c>
      <c r="X292" s="103" t="n">
        <v>-0.1611</v>
      </c>
      <c r="Y292" s="99" t="inlineStr">
        <is>
          <t>20250922~20261002</t>
        </is>
      </c>
      <c r="Z292" s="99" t="inlineStr"/>
      <c r="AA292">
        <f>IF(AND($J292&lt;&gt;"",OR(조회_주기="전체",$R292=조회_주기),$J292&gt;=조회_최소,$J292&lt;=조회_최대),1,0)</f>
        <v/>
      </c>
      <c r="AB292">
        <f>IF($AA292=1,$AB291+1,$AB291)</f>
        <v/>
      </c>
      <c r="AC292">
        <f>IF(검색어="",1,IF(ISNUMBER(SEARCH(검색어,$A292)),1,0))</f>
        <v/>
      </c>
      <c r="AD292">
        <f>IF($AC292=1,$AD291+1,$AD291)</f>
        <v/>
      </c>
      <c r="AE292">
        <f>IFERROR(INDEX($A$4:$A$594,MATCH(289,$AD$4:$AD$594,0)),"")</f>
        <v/>
      </c>
    </row>
    <row r="293">
      <c r="A293" s="99" t="inlineStr">
        <is>
          <t>ACE 테슬라밸류체인액티브</t>
        </is>
      </c>
      <c r="B293" s="99" t="inlineStr">
        <is>
          <t>457480</t>
        </is>
      </c>
      <c r="C293" s="99" t="inlineStr">
        <is>
          <t>한국투자신탁운용</t>
        </is>
      </c>
      <c r="D293" s="100" t="n">
        <v>17610</v>
      </c>
      <c r="E293" s="100" t="n">
        <v>727293000000</v>
      </c>
      <c r="F293" s="100" t="n">
        <v>7693288550</v>
      </c>
      <c r="G293" s="101" t="n">
        <v>0.0029</v>
      </c>
      <c r="H293" s="101" t="n">
        <v>0.3785</v>
      </c>
      <c r="I293" s="101" t="n">
        <v>0.0157</v>
      </c>
      <c r="J293" s="101" t="n">
        <v>0.020727</v>
      </c>
      <c r="K293" s="100" t="n">
        <v>1</v>
      </c>
      <c r="L293" s="102" t="inlineStr">
        <is>
          <t>20251229</t>
        </is>
      </c>
      <c r="M293" s="99" t="inlineStr">
        <is>
          <t>제외</t>
        </is>
      </c>
      <c r="N293" s="99" t="inlineStr">
        <is>
          <t>변동성 37.8%(1년 기준, 기준 35% 초과)</t>
        </is>
      </c>
      <c r="O293" s="99" t="inlineStr">
        <is>
          <t>Bloomberg EV Supporters Plus Tesla Index</t>
        </is>
      </c>
      <c r="P293" s="99" t="inlineStr">
        <is>
          <t>일반</t>
        </is>
      </c>
      <c r="Q293" s="99" t="inlineStr">
        <is>
          <t>주식</t>
        </is>
      </c>
      <c r="R293" s="99" t="inlineStr">
        <is>
          <t>연배당</t>
        </is>
      </c>
      <c r="S293" s="100" t="n">
        <v>1</v>
      </c>
      <c r="T293" s="101" t="n">
        <v>1</v>
      </c>
      <c r="U293" s="103" t="n">
        <v>-0.0978</v>
      </c>
      <c r="V293" s="103" t="n">
        <v>-0.1161</v>
      </c>
      <c r="W293" s="103" t="n">
        <v>-0.14</v>
      </c>
      <c r="X293" s="103" t="n">
        <v>-0.2079</v>
      </c>
      <c r="Y293" s="99" t="inlineStr">
        <is>
          <t>20250922~20261002</t>
        </is>
      </c>
      <c r="Z293" s="99" t="inlineStr"/>
      <c r="AA293">
        <f>IF(AND($J293&lt;&gt;"",OR(조회_주기="전체",$R293=조회_주기),$J293&gt;=조회_최소,$J293&lt;=조회_최대),1,0)</f>
        <v/>
      </c>
      <c r="AB293">
        <f>IF($AA293=1,$AB292+1,$AB292)</f>
        <v/>
      </c>
      <c r="AC293">
        <f>IF(검색어="",1,IF(ISNUMBER(SEARCH(검색어,$A293)),1,0))</f>
        <v/>
      </c>
      <c r="AD293">
        <f>IF($AC293=1,$AD292+1,$AD292)</f>
        <v/>
      </c>
      <c r="AE293">
        <f>IFERROR(INDEX($A$4:$A$594,MATCH(290,$AD$4:$AD$594,0)),"")</f>
        <v/>
      </c>
    </row>
    <row r="294">
      <c r="A294" s="99" t="inlineStr">
        <is>
          <t>KoAct 코리아밸류업액티브</t>
        </is>
      </c>
      <c r="B294" s="99" t="inlineStr">
        <is>
          <t>495230</t>
        </is>
      </c>
      <c r="C294" s="99" t="inlineStr">
        <is>
          <t>삼성액티브자산(ETF)</t>
        </is>
      </c>
      <c r="D294" s="100" t="n">
        <v>31910</v>
      </c>
      <c r="E294" s="100" t="n">
        <v>250493500000</v>
      </c>
      <c r="F294" s="100" t="n">
        <v>2453441806</v>
      </c>
      <c r="G294" s="101" t="n">
        <v>0.005</v>
      </c>
      <c r="H294" s="101" t="n">
        <v>0.5507</v>
      </c>
      <c r="I294" s="101" t="n">
        <v>0.002</v>
      </c>
      <c r="J294" s="101" t="n">
        <v>0.020119</v>
      </c>
      <c r="K294" s="100" t="n">
        <v>22</v>
      </c>
      <c r="L294" s="102" t="inlineStr">
        <is>
          <t>20260929</t>
        </is>
      </c>
      <c r="M294" s="99" t="inlineStr">
        <is>
          <t>제외</t>
        </is>
      </c>
      <c r="N294" s="99" t="inlineStr">
        <is>
          <t>변동성 55.1%(1년 기준, 기준 35% 초과)</t>
        </is>
      </c>
      <c r="O294" s="99" t="inlineStr">
        <is>
          <t>코리아 밸류업 지수</t>
        </is>
      </c>
      <c r="P294" s="99" t="inlineStr">
        <is>
          <t>일반</t>
        </is>
      </c>
      <c r="Q294" s="99" t="inlineStr">
        <is>
          <t>주식</t>
        </is>
      </c>
      <c r="R294" s="99" t="inlineStr">
        <is>
          <t>월배당</t>
        </is>
      </c>
      <c r="S294" s="100" t="n">
        <v>11</v>
      </c>
      <c r="T294" s="101" t="n">
        <v>0.3474</v>
      </c>
      <c r="U294" s="103" t="n"/>
      <c r="V294" s="103" t="n"/>
      <c r="W294" s="103" t="n"/>
      <c r="X294" s="103" t="n"/>
      <c r="Y294" s="99" t="inlineStr"/>
      <c r="Z294" s="99" t="inlineStr">
        <is>
          <t>창 안 급변일 1일(20260731) — 내지 않음 / 6개월: 창 안 급변일 1일(20260731) — 내지 않음 / 3개월: 창 안 급변일 1일(20260731) — 내지 않음</t>
        </is>
      </c>
      <c r="AA294">
        <f>IF(AND($J294&lt;&gt;"",OR(조회_주기="전체",$R294=조회_주기),$J294&gt;=조회_최소,$J294&lt;=조회_최대),1,0)</f>
        <v/>
      </c>
      <c r="AB294">
        <f>IF($AA294=1,$AB293+1,$AB293)</f>
        <v/>
      </c>
      <c r="AC294">
        <f>IF(검색어="",1,IF(ISNUMBER(SEARCH(검색어,$A294)),1,0))</f>
        <v/>
      </c>
      <c r="AD294">
        <f>IF($AC294=1,$AD293+1,$AD293)</f>
        <v/>
      </c>
      <c r="AE294">
        <f>IFERROR(INDEX($A$4:$A$594,MATCH(291,$AD$4:$AD$594,0)),"")</f>
        <v/>
      </c>
    </row>
    <row r="295">
      <c r="A295" s="99" t="inlineStr">
        <is>
          <t>KODEX 철강</t>
        </is>
      </c>
      <c r="B295" s="99" t="inlineStr">
        <is>
          <t>117680</t>
        </is>
      </c>
      <c r="C295" s="99" t="inlineStr">
        <is>
          <t>삼성자산운용(ETF)</t>
        </is>
      </c>
      <c r="D295" s="100" t="n">
        <v>12370</v>
      </c>
      <c r="E295" s="100" t="n">
        <v>30306500000</v>
      </c>
      <c r="F295" s="100" t="n">
        <v>799753448</v>
      </c>
      <c r="G295" s="101" t="n">
        <v>0.004500000000000001</v>
      </c>
      <c r="H295" s="101" t="n">
        <v>0.4847</v>
      </c>
      <c r="I295" s="101" t="n">
        <v>0.0071</v>
      </c>
      <c r="J295" s="101" t="n">
        <v>0.019402</v>
      </c>
      <c r="K295" s="100" t="n">
        <v>8</v>
      </c>
      <c r="L295" s="102" t="inlineStr">
        <is>
          <t>20260730</t>
        </is>
      </c>
      <c r="M295" s="99" t="inlineStr">
        <is>
          <t>제외</t>
        </is>
      </c>
      <c r="N295" s="99" t="inlineStr">
        <is>
          <t>변동성 48.5%(1년 기준, 기준 35% 초과)</t>
        </is>
      </c>
      <c r="O295" s="99" t="inlineStr">
        <is>
          <t>KRX 철강</t>
        </is>
      </c>
      <c r="P295" s="99" t="inlineStr">
        <is>
          <t>일반</t>
        </is>
      </c>
      <c r="Q295" s="99" t="inlineStr">
        <is>
          <t>주식</t>
        </is>
      </c>
      <c r="R295" s="99" t="inlineStr">
        <is>
          <t>분기배당</t>
        </is>
      </c>
      <c r="S295" s="100" t="n">
        <v>3</v>
      </c>
      <c r="T295" s="101" t="n">
        <v>0.9875</v>
      </c>
      <c r="U295" s="103" t="n"/>
      <c r="V295" s="103" t="n"/>
      <c r="W295" s="103" t="n">
        <v>-0.1587</v>
      </c>
      <c r="X295" s="103" t="n">
        <v>0.08039999999999999</v>
      </c>
      <c r="Y295" s="99" t="inlineStr"/>
      <c r="Z295" s="99" t="inlineStr">
        <is>
          <t>창 안 급변일 1일(20260304) — 내지 않음</t>
        </is>
      </c>
      <c r="AA295">
        <f>IF(AND($J295&lt;&gt;"",OR(조회_주기="전체",$R295=조회_주기),$J295&gt;=조회_최소,$J295&lt;=조회_최대),1,0)</f>
        <v/>
      </c>
      <c r="AB295">
        <f>IF($AA295=1,$AB294+1,$AB294)</f>
        <v/>
      </c>
      <c r="AC295">
        <f>IF(검색어="",1,IF(ISNUMBER(SEARCH(검색어,$A295)),1,0))</f>
        <v/>
      </c>
      <c r="AD295">
        <f>IF($AC295=1,$AD294+1,$AD294)</f>
        <v/>
      </c>
      <c r="AE295">
        <f>IFERROR(INDEX($A$4:$A$594,MATCH(292,$AD$4:$AD$594,0)),"")</f>
        <v/>
      </c>
    </row>
    <row r="296">
      <c r="A296" s="99" t="inlineStr">
        <is>
          <t>KODEX TRF7030</t>
        </is>
      </c>
      <c r="B296" s="99" t="inlineStr">
        <is>
          <t>329670</t>
        </is>
      </c>
      <c r="C296" s="99" t="inlineStr">
        <is>
          <t>삼성자산운용(ETF)</t>
        </is>
      </c>
      <c r="D296" s="100" t="n">
        <v>21505</v>
      </c>
      <c r="E296" s="100" t="n">
        <v>86020000000</v>
      </c>
      <c r="F296" s="100" t="n">
        <v>298262603</v>
      </c>
      <c r="G296" s="101" t="n">
        <v>0.001</v>
      </c>
      <c r="H296" s="101" t="n">
        <v>0.1033</v>
      </c>
      <c r="I296" s="101" t="n">
        <v>0.0015</v>
      </c>
      <c r="J296" s="101" t="n">
        <v>0.01874</v>
      </c>
      <c r="K296" s="100" t="n">
        <v>14</v>
      </c>
      <c r="L296" s="102" t="inlineStr">
        <is>
          <t>20260914</t>
        </is>
      </c>
      <c r="M296" s="99" t="inlineStr">
        <is>
          <t>제외</t>
        </is>
      </c>
      <c r="N296" s="99" t="inlineStr">
        <is>
          <t>60일 거래대금 3.0억(기준 5억 미만)</t>
        </is>
      </c>
      <c r="O296" s="99" t="inlineStr">
        <is>
          <t>FnGuide TRF 7030 지수</t>
        </is>
      </c>
      <c r="P296" s="99" t="inlineStr">
        <is>
          <t>일반</t>
        </is>
      </c>
      <c r="Q296" s="99" t="inlineStr">
        <is>
          <t>멀티에셋</t>
        </is>
      </c>
      <c r="R296" s="99" t="inlineStr">
        <is>
          <t>월배당</t>
        </is>
      </c>
      <c r="S296" s="100" t="n">
        <v>11</v>
      </c>
      <c r="T296" s="101" t="n">
        <v>1</v>
      </c>
      <c r="U296" s="103" t="n">
        <v>0.0779</v>
      </c>
      <c r="V296" s="103" t="n">
        <v>0.058</v>
      </c>
      <c r="W296" s="103" t="n">
        <v>0.0017</v>
      </c>
      <c r="X296" s="103" t="n">
        <v>-0.0756</v>
      </c>
      <c r="Y296" s="99" t="inlineStr">
        <is>
          <t>20250922~20261002</t>
        </is>
      </c>
      <c r="Z296" s="99" t="inlineStr"/>
      <c r="AA296">
        <f>IF(AND($J296&lt;&gt;"",OR(조회_주기="전체",$R296=조회_주기),$J296&gt;=조회_최소,$J296&lt;=조회_최대),1,0)</f>
        <v/>
      </c>
      <c r="AB296">
        <f>IF($AA296=1,$AB295+1,$AB295)</f>
        <v/>
      </c>
      <c r="AC296">
        <f>IF(검색어="",1,IF(ISNUMBER(SEARCH(검색어,$A296)),1,0))</f>
        <v/>
      </c>
      <c r="AD296">
        <f>IF($AC296=1,$AD295+1,$AD295)</f>
        <v/>
      </c>
      <c r="AE296">
        <f>IFERROR(INDEX($A$4:$A$594,MATCH(293,$AD$4:$AD$594,0)),"")</f>
        <v/>
      </c>
    </row>
    <row r="297">
      <c r="A297" s="99" t="inlineStr">
        <is>
          <t>RISE 글로벌주식분산액티브</t>
        </is>
      </c>
      <c r="B297" s="99" t="inlineStr">
        <is>
          <t>459750</t>
        </is>
      </c>
      <c r="C297" s="99" t="inlineStr">
        <is>
          <t>KB자산운용</t>
        </is>
      </c>
      <c r="D297" s="100" t="n">
        <v>17225</v>
      </c>
      <c r="E297" s="100" t="n">
        <v>30143750000</v>
      </c>
      <c r="F297" s="100" t="n">
        <v>147312410</v>
      </c>
      <c r="G297" s="101" t="n">
        <v>0.002</v>
      </c>
      <c r="H297" s="101" t="n">
        <v>0.1431</v>
      </c>
      <c r="I297" s="101" t="n">
        <v>0.005</v>
      </c>
      <c r="J297" s="101" t="n">
        <v>0.018636</v>
      </c>
      <c r="K297" s="100" t="n">
        <v>2</v>
      </c>
      <c r="L297" s="102" t="inlineStr">
        <is>
          <t>20260730</t>
        </is>
      </c>
      <c r="M297" s="99" t="inlineStr">
        <is>
          <t>제외</t>
        </is>
      </c>
      <c r="N297" s="99" t="inlineStr">
        <is>
          <t>60일 거래대금 1.5억(기준 5억 미만)</t>
        </is>
      </c>
      <c r="O297" s="99" t="inlineStr">
        <is>
          <t>Bloomberg Global Equity Market Weighted Price Return Index</t>
        </is>
      </c>
      <c r="P297" s="99" t="inlineStr">
        <is>
          <t>일반</t>
        </is>
      </c>
      <c r="Q297" s="99" t="inlineStr">
        <is>
          <t>주식</t>
        </is>
      </c>
      <c r="R297" s="99" t="inlineStr">
        <is>
          <t>반기배당</t>
        </is>
      </c>
      <c r="S297" s="100" t="n">
        <v>2</v>
      </c>
      <c r="T297" s="101" t="n">
        <v>1</v>
      </c>
      <c r="U297" s="103" t="n">
        <v>0.1271</v>
      </c>
      <c r="V297" s="103" t="n">
        <v>0.1065</v>
      </c>
      <c r="W297" s="103" t="n">
        <v>0.0122</v>
      </c>
      <c r="X297" s="103" t="n">
        <v>-0.1094</v>
      </c>
      <c r="Y297" s="99" t="inlineStr">
        <is>
          <t>20250922~20261002</t>
        </is>
      </c>
      <c r="Z297" s="99" t="inlineStr"/>
      <c r="AA297">
        <f>IF(AND($J297&lt;&gt;"",OR(조회_주기="전체",$R297=조회_주기),$J297&gt;=조회_최소,$J297&lt;=조회_최대),1,0)</f>
        <v/>
      </c>
      <c r="AB297">
        <f>IF($AA297=1,$AB296+1,$AB296)</f>
        <v/>
      </c>
      <c r="AC297">
        <f>IF(검색어="",1,IF(ISNUMBER(SEARCH(검색어,$A297)),1,0))</f>
        <v/>
      </c>
      <c r="AD297">
        <f>IF($AC297=1,$AD296+1,$AD296)</f>
        <v/>
      </c>
      <c r="AE297">
        <f>IFERROR(INDEX($A$4:$A$594,MATCH(294,$AD$4:$AD$594,0)),"")</f>
        <v/>
      </c>
    </row>
    <row r="298">
      <c r="A298" s="99" t="inlineStr">
        <is>
          <t>RISE 고배당</t>
        </is>
      </c>
      <c r="B298" s="99" t="inlineStr">
        <is>
          <t>266160</t>
        </is>
      </c>
      <c r="C298" s="99" t="inlineStr">
        <is>
          <t>KB자산운용</t>
        </is>
      </c>
      <c r="D298" s="100" t="n">
        <v>33590</v>
      </c>
      <c r="E298" s="100" t="n">
        <v>213296500000</v>
      </c>
      <c r="F298" s="100" t="n">
        <v>1040407773</v>
      </c>
      <c r="G298" s="101" t="n">
        <v>0.002</v>
      </c>
      <c r="H298" s="101" t="n">
        <v>0.481</v>
      </c>
      <c r="I298" s="101" t="n">
        <v>0.0028</v>
      </c>
      <c r="J298" s="101" t="n">
        <v>0.018607</v>
      </c>
      <c r="K298" s="100" t="n">
        <v>19</v>
      </c>
      <c r="L298" s="102" t="inlineStr">
        <is>
          <t>20260730</t>
        </is>
      </c>
      <c r="M298" s="99" t="inlineStr">
        <is>
          <t>제외</t>
        </is>
      </c>
      <c r="N298" s="99" t="inlineStr">
        <is>
          <t>변동성 48.1%(1년 기준, 기준 35% 초과)</t>
        </is>
      </c>
      <c r="O298" s="99" t="inlineStr">
        <is>
          <t>FnGuide 고배당포커스 지수</t>
        </is>
      </c>
      <c r="P298" s="99" t="inlineStr">
        <is>
          <t>일반</t>
        </is>
      </c>
      <c r="Q298" s="99" t="inlineStr">
        <is>
          <t>주식</t>
        </is>
      </c>
      <c r="R298" s="99" t="inlineStr">
        <is>
          <t>분기배당</t>
        </is>
      </c>
      <c r="S298" s="100" t="n">
        <v>3</v>
      </c>
      <c r="T298" s="101" t="n">
        <v>1</v>
      </c>
      <c r="U298" s="103" t="n">
        <v>0.9056000000000001</v>
      </c>
      <c r="V298" s="103" t="n">
        <v>0.8706</v>
      </c>
      <c r="W298" s="103" t="n">
        <v>0.1949</v>
      </c>
      <c r="X298" s="103" t="n">
        <v>-0.1264</v>
      </c>
      <c r="Y298" s="99" t="inlineStr">
        <is>
          <t>20250922~20261002</t>
        </is>
      </c>
      <c r="Z298" s="99" t="inlineStr"/>
      <c r="AA298">
        <f>IF(AND($J298&lt;&gt;"",OR(조회_주기="전체",$R298=조회_주기),$J298&gt;=조회_최소,$J298&lt;=조회_최대),1,0)</f>
        <v/>
      </c>
      <c r="AB298">
        <f>IF($AA298=1,$AB297+1,$AB297)</f>
        <v/>
      </c>
      <c r="AC298">
        <f>IF(검색어="",1,IF(ISNUMBER(SEARCH(검색어,$A298)),1,0))</f>
        <v/>
      </c>
      <c r="AD298">
        <f>IF($AC298=1,$AD297+1,$AD297)</f>
        <v/>
      </c>
      <c r="AE298">
        <f>IFERROR(INDEX($A$4:$A$594,MATCH(295,$AD$4:$AD$594,0)),"")</f>
        <v/>
      </c>
    </row>
    <row r="299">
      <c r="A299" s="99" t="inlineStr">
        <is>
          <t>TIGER 원유선물인버스(H)</t>
        </is>
      </c>
      <c r="B299" s="99" t="inlineStr">
        <is>
          <t>217770</t>
        </is>
      </c>
      <c r="C299" s="99" t="inlineStr">
        <is>
          <t>미래에셋자산운용</t>
        </is>
      </c>
      <c r="D299" s="100" t="n">
        <v>1099</v>
      </c>
      <c r="E299" s="100" t="n">
        <v>32145750000</v>
      </c>
      <c r="F299" s="100" t="n">
        <v>797731977</v>
      </c>
      <c r="G299" s="101" t="n">
        <v>0.0069</v>
      </c>
      <c r="H299" s="101" t="n">
        <v>0.5061</v>
      </c>
      <c r="I299" s="101" t="n">
        <v>0.0072</v>
      </c>
      <c r="J299" s="101" t="n">
        <v>0.018198</v>
      </c>
      <c r="K299" s="100" t="n">
        <v>1</v>
      </c>
      <c r="L299" s="102" t="inlineStr">
        <is>
          <t>20251229</t>
        </is>
      </c>
      <c r="M299" s="99" t="inlineStr">
        <is>
          <t>제외</t>
        </is>
      </c>
      <c r="N299" s="99" t="inlineStr">
        <is>
          <t>변동성 50.6%(1년 기준, 기준 35% 초과)</t>
        </is>
      </c>
      <c r="O299" s="99" t="inlineStr">
        <is>
          <t>S&amp;P GSCI Crude Oil</t>
        </is>
      </c>
      <c r="P299" s="99" t="inlineStr">
        <is>
          <t>일반</t>
        </is>
      </c>
      <c r="Q299" s="99" t="inlineStr">
        <is>
          <t>원자재</t>
        </is>
      </c>
      <c r="R299" s="99" t="inlineStr">
        <is>
          <t>연배당</t>
        </is>
      </c>
      <c r="S299" s="100" t="n">
        <v>1</v>
      </c>
      <c r="T299" s="101" t="n">
        <v>0</v>
      </c>
      <c r="U299" s="103" t="n">
        <v>-0.5832999999999999</v>
      </c>
      <c r="V299" s="103" t="n">
        <v>-0.5908</v>
      </c>
      <c r="W299" s="103" t="n">
        <v>-0.1698</v>
      </c>
      <c r="X299" s="103" t="n">
        <v>-0.3398</v>
      </c>
      <c r="Y299" s="99" t="inlineStr">
        <is>
          <t>20250922~20261002</t>
        </is>
      </c>
      <c r="Z299" s="99" t="inlineStr"/>
      <c r="AA299">
        <f>IF(AND($J299&lt;&gt;"",OR(조회_주기="전체",$R299=조회_주기),$J299&gt;=조회_최소,$J299&lt;=조회_최대),1,0)</f>
        <v/>
      </c>
      <c r="AB299">
        <f>IF($AA299=1,$AB298+1,$AB298)</f>
        <v/>
      </c>
      <c r="AC299">
        <f>IF(검색어="",1,IF(ISNUMBER(SEARCH(검색어,$A299)),1,0))</f>
        <v/>
      </c>
      <c r="AD299">
        <f>IF($AC299=1,$AD298+1,$AD298)</f>
        <v/>
      </c>
      <c r="AE299">
        <f>IFERROR(INDEX($A$4:$A$594,MATCH(296,$AD$4:$AD$594,0)),"")</f>
        <v/>
      </c>
    </row>
    <row r="300">
      <c r="A300" s="99" t="inlineStr">
        <is>
          <t>KODEX 26-12 회사채(AA-이상)액티브</t>
        </is>
      </c>
      <c r="B300" s="99" t="inlineStr">
        <is>
          <t>473290</t>
        </is>
      </c>
      <c r="C300" s="99" t="inlineStr">
        <is>
          <t>삼성자산운용(ETF)</t>
        </is>
      </c>
      <c r="D300" s="100" t="n">
        <v>10905</v>
      </c>
      <c r="E300" s="100" t="n">
        <v>274260750000</v>
      </c>
      <c r="F300" s="100" t="n">
        <v>490043513</v>
      </c>
      <c r="G300" s="101" t="n">
        <v>0.0009</v>
      </c>
      <c r="H300" s="101" t="n">
        <v>0.0185</v>
      </c>
      <c r="I300" s="101" t="n">
        <v>0.0179</v>
      </c>
      <c r="J300" s="101" t="n">
        <v>0.017882</v>
      </c>
      <c r="K300" s="100" t="n">
        <v>1</v>
      </c>
      <c r="L300" s="102" t="inlineStr">
        <is>
          <t>20251212</t>
        </is>
      </c>
      <c r="M300" s="99" t="inlineStr">
        <is>
          <t>제외</t>
        </is>
      </c>
      <c r="N300" s="99" t="inlineStr">
        <is>
          <t>60일 거래대금 4.9억(기준 5억 미만)</t>
        </is>
      </c>
      <c r="O300" s="99" t="inlineStr">
        <is>
          <t>KAP 26-12 회사채 총수익 지수(AA- 이상)</t>
        </is>
      </c>
      <c r="P300" s="99" t="inlineStr">
        <is>
          <t>일반</t>
        </is>
      </c>
      <c r="Q300" s="99" t="inlineStr">
        <is>
          <t>채권</t>
        </is>
      </c>
      <c r="R300" s="99" t="inlineStr">
        <is>
          <t>연배당</t>
        </is>
      </c>
      <c r="S300" s="100" t="n">
        <v>1</v>
      </c>
      <c r="T300" s="101" t="n">
        <v>1</v>
      </c>
      <c r="U300" s="103" t="n">
        <v>0.0202</v>
      </c>
      <c r="V300" s="103" t="n">
        <v>0.0022</v>
      </c>
      <c r="W300" s="103" t="n">
        <v>0.0137</v>
      </c>
      <c r="X300" s="103" t="n">
        <v>0.008100000000000001</v>
      </c>
      <c r="Y300" s="99" t="inlineStr">
        <is>
          <t>20250922~20261002</t>
        </is>
      </c>
      <c r="Z300" s="99" t="inlineStr"/>
      <c r="AA300">
        <f>IF(AND($J300&lt;&gt;"",OR(조회_주기="전체",$R300=조회_주기),$J300&gt;=조회_최소,$J300&lt;=조회_최대),1,0)</f>
        <v/>
      </c>
      <c r="AB300">
        <f>IF($AA300=1,$AB299+1,$AB299)</f>
        <v/>
      </c>
      <c r="AC300">
        <f>IF(검색어="",1,IF(ISNUMBER(SEARCH(검색어,$A300)),1,0))</f>
        <v/>
      </c>
      <c r="AD300">
        <f>IF($AC300=1,$AD299+1,$AD299)</f>
        <v/>
      </c>
      <c r="AE300">
        <f>IFERROR(INDEX($A$4:$A$594,MATCH(297,$AD$4:$AD$594,0)),"")</f>
        <v/>
      </c>
    </row>
    <row r="301">
      <c r="A301" s="99" t="inlineStr">
        <is>
          <t>KODEX TDF2030액티브 적격</t>
        </is>
      </c>
      <c r="B301" s="99" t="inlineStr">
        <is>
          <t>433970</t>
        </is>
      </c>
      <c r="C301" s="99" t="inlineStr">
        <is>
          <t>삼성자산운용(ETF)</t>
        </is>
      </c>
      <c r="D301" s="100" t="n">
        <v>13895</v>
      </c>
      <c r="E301" s="100" t="n">
        <v>94486000000</v>
      </c>
      <c r="F301" s="100" t="n">
        <v>346540424</v>
      </c>
      <c r="G301" s="101" t="n">
        <v>0.002</v>
      </c>
      <c r="H301" s="101" t="n">
        <v>0.0764</v>
      </c>
      <c r="I301" s="101" t="n">
        <v>0.004699999999999999</v>
      </c>
      <c r="J301" s="101" t="n">
        <v>0.017704</v>
      </c>
      <c r="K301" s="100" t="n">
        <v>11</v>
      </c>
      <c r="L301" s="102" t="inlineStr">
        <is>
          <t>20260730</t>
        </is>
      </c>
      <c r="M301" s="99" t="inlineStr">
        <is>
          <t>제외</t>
        </is>
      </c>
      <c r="N301" s="99" t="inlineStr">
        <is>
          <t>60일 거래대금 3.5억(기준 5억 미만)</t>
        </is>
      </c>
      <c r="O301" s="99" t="inlineStr">
        <is>
          <t>Samsung Korea Target Date 2030 Index</t>
        </is>
      </c>
      <c r="P301" s="99" t="inlineStr">
        <is>
          <t>일반</t>
        </is>
      </c>
      <c r="Q301" s="99" t="inlineStr">
        <is>
          <t>멀티에셋</t>
        </is>
      </c>
      <c r="R301" s="99" t="inlineStr">
        <is>
          <t>분기배당</t>
        </is>
      </c>
      <c r="S301" s="100" t="n">
        <v>3</v>
      </c>
      <c r="T301" s="101" t="n">
        <v>1</v>
      </c>
      <c r="U301" s="103" t="n">
        <v>0.0396</v>
      </c>
      <c r="V301" s="103" t="n">
        <v>0.0214</v>
      </c>
      <c r="W301" s="103" t="n">
        <v>0.0168</v>
      </c>
      <c r="X301" s="103" t="n">
        <v>-0.0521</v>
      </c>
      <c r="Y301" s="99" t="inlineStr">
        <is>
          <t>20250922~20261002</t>
        </is>
      </c>
      <c r="Z301" s="99" t="inlineStr"/>
      <c r="AA301">
        <f>IF(AND($J301&lt;&gt;"",OR(조회_주기="전체",$R301=조회_주기),$J301&gt;=조회_최소,$J301&lt;=조회_최대),1,0)</f>
        <v/>
      </c>
      <c r="AB301">
        <f>IF($AA301=1,$AB300+1,$AB300)</f>
        <v/>
      </c>
      <c r="AC301">
        <f>IF(검색어="",1,IF(ISNUMBER(SEARCH(검색어,$A301)),1,0))</f>
        <v/>
      </c>
      <c r="AD301">
        <f>IF($AC301=1,$AD300+1,$AD300)</f>
        <v/>
      </c>
      <c r="AE301">
        <f>IFERROR(INDEX($A$4:$A$594,MATCH(298,$AD$4:$AD$594,0)),"")</f>
        <v/>
      </c>
    </row>
    <row r="302">
      <c r="A302" s="99" t="inlineStr">
        <is>
          <t>KODEX 보험</t>
        </is>
      </c>
      <c r="B302" s="99" t="inlineStr">
        <is>
          <t>140700</t>
        </is>
      </c>
      <c r="C302" s="99" t="inlineStr">
        <is>
          <t>삼성자산운용(ETF)</t>
        </is>
      </c>
      <c r="D302" s="100" t="n">
        <v>20165</v>
      </c>
      <c r="E302" s="100" t="n">
        <v>58478500000</v>
      </c>
      <c r="F302" s="100" t="n">
        <v>2750910551</v>
      </c>
      <c r="G302" s="101" t="n">
        <v>0.004500000000000001</v>
      </c>
      <c r="H302" s="101" t="n">
        <v>0.4118</v>
      </c>
      <c r="I302" s="101" t="n">
        <v>0.0014</v>
      </c>
      <c r="J302" s="101" t="n">
        <v>0.017456</v>
      </c>
      <c r="K302" s="100" t="n">
        <v>6</v>
      </c>
      <c r="L302" s="102" t="inlineStr">
        <is>
          <t>20260730</t>
        </is>
      </c>
      <c r="M302" s="99" t="inlineStr">
        <is>
          <t>제외</t>
        </is>
      </c>
      <c r="N302" s="99" t="inlineStr">
        <is>
          <t>변동성 41.2%(1년 기준, 기준 35% 초과)</t>
        </is>
      </c>
      <c r="O302" s="99" t="inlineStr">
        <is>
          <t>KRX 보험</t>
        </is>
      </c>
      <c r="P302" s="99" t="inlineStr">
        <is>
          <t>일반</t>
        </is>
      </c>
      <c r="Q302" s="99" t="inlineStr">
        <is>
          <t>주식</t>
        </is>
      </c>
      <c r="R302" s="99" t="inlineStr">
        <is>
          <t>연배당</t>
        </is>
      </c>
      <c r="S302" s="100" t="n">
        <v>2</v>
      </c>
      <c r="T302" s="101" t="n">
        <v>0.9943</v>
      </c>
      <c r="U302" s="103" t="n">
        <v>0.6196</v>
      </c>
      <c r="V302" s="103" t="n">
        <v>0.5919</v>
      </c>
      <c r="W302" s="103" t="n">
        <v>0.3345</v>
      </c>
      <c r="X302" s="103" t="n">
        <v>0.0443</v>
      </c>
      <c r="Y302" s="99" t="inlineStr">
        <is>
          <t>20250922~20261002</t>
        </is>
      </c>
      <c r="Z302" s="99" t="inlineStr"/>
      <c r="AA302">
        <f>IF(AND($J302&lt;&gt;"",OR(조회_주기="전체",$R302=조회_주기),$J302&gt;=조회_최소,$J302&lt;=조회_최대),1,0)</f>
        <v/>
      </c>
      <c r="AB302">
        <f>IF($AA302=1,$AB301+1,$AB301)</f>
        <v/>
      </c>
      <c r="AC302">
        <f>IF(검색어="",1,IF(ISNUMBER(SEARCH(검색어,$A302)),1,0))</f>
        <v/>
      </c>
      <c r="AD302">
        <f>IF($AC302=1,$AD301+1,$AD301)</f>
        <v/>
      </c>
      <c r="AE302">
        <f>IFERROR(INDEX($A$4:$A$594,MATCH(299,$AD$4:$AD$594,0)),"")</f>
        <v/>
      </c>
    </row>
    <row r="303">
      <c r="A303" s="99" t="inlineStr">
        <is>
          <t>TIGER 우선주</t>
        </is>
      </c>
      <c r="B303" s="99" t="inlineStr">
        <is>
          <t>261140</t>
        </is>
      </c>
      <c r="C303" s="99" t="inlineStr">
        <is>
          <t>미래에셋자산운용</t>
        </is>
      </c>
      <c r="D303" s="100" t="n">
        <v>24360</v>
      </c>
      <c r="E303" s="100" t="n">
        <v>31180800000</v>
      </c>
      <c r="F303" s="100" t="n">
        <v>384491482</v>
      </c>
      <c r="G303" s="101" t="n">
        <v>0.0029</v>
      </c>
      <c r="H303" s="101" t="n">
        <v>0.479</v>
      </c>
      <c r="I303" s="101" t="n">
        <v>0.0024</v>
      </c>
      <c r="J303" s="101" t="n">
        <v>0.017447</v>
      </c>
      <c r="K303" s="100" t="n">
        <v>16</v>
      </c>
      <c r="L303" s="102" t="inlineStr">
        <is>
          <t>20260730</t>
        </is>
      </c>
      <c r="M303" s="99" t="inlineStr">
        <is>
          <t>제외</t>
        </is>
      </c>
      <c r="N303" s="99" t="inlineStr">
        <is>
          <t>60일 거래대금 3.8억(기준 5억 미만), 변동성 47.9%(1년 기준, 기준 35% 초과)</t>
        </is>
      </c>
      <c r="O303" s="99" t="inlineStr">
        <is>
          <t>코스피 우선주 지수</t>
        </is>
      </c>
      <c r="P303" s="99" t="inlineStr">
        <is>
          <t>일반</t>
        </is>
      </c>
      <c r="Q303" s="99" t="inlineStr">
        <is>
          <t>주식</t>
        </is>
      </c>
      <c r="R303" s="99" t="inlineStr">
        <is>
          <t>연배당</t>
        </is>
      </c>
      <c r="S303" s="100" t="n">
        <v>2</v>
      </c>
      <c r="T303" s="101" t="n">
        <v>1</v>
      </c>
      <c r="U303" s="103" t="n">
        <v>0.6239</v>
      </c>
      <c r="V303" s="103" t="n">
        <v>0.5961</v>
      </c>
      <c r="W303" s="103" t="n">
        <v>0.09039999999999999</v>
      </c>
      <c r="X303" s="103" t="n">
        <v>-0.0906</v>
      </c>
      <c r="Y303" s="99" t="inlineStr">
        <is>
          <t>20250922~20261002</t>
        </is>
      </c>
      <c r="Z303" s="99" t="inlineStr"/>
      <c r="AA303">
        <f>IF(AND($J303&lt;&gt;"",OR(조회_주기="전체",$R303=조회_주기),$J303&gt;=조회_최소,$J303&lt;=조회_최대),1,0)</f>
        <v/>
      </c>
      <c r="AB303">
        <f>IF($AA303=1,$AB302+1,$AB302)</f>
        <v/>
      </c>
      <c r="AC303">
        <f>IF(검색어="",1,IF(ISNUMBER(SEARCH(검색어,$A303)),1,0))</f>
        <v/>
      </c>
      <c r="AD303">
        <f>IF($AC303=1,$AD302+1,$AD302)</f>
        <v/>
      </c>
      <c r="AE303">
        <f>IFERROR(INDEX($A$4:$A$594,MATCH(300,$AD$4:$AD$594,0)),"")</f>
        <v/>
      </c>
    </row>
    <row r="304">
      <c r="A304" s="99" t="inlineStr">
        <is>
          <t>KODEX ESG종합채권(A-이상)액티브</t>
        </is>
      </c>
      <c r="B304" s="99" t="inlineStr">
        <is>
          <t>439860</t>
        </is>
      </c>
      <c r="C304" s="99" t="inlineStr">
        <is>
          <t>삼성자산운용(ETF)</t>
        </is>
      </c>
      <c r="D304" s="100" t="n">
        <v>113945</v>
      </c>
      <c r="E304" s="100" t="n">
        <v>391173185000</v>
      </c>
      <c r="F304" s="100" t="n">
        <v>39795611</v>
      </c>
      <c r="G304" s="101" t="n">
        <v>0.0007000000000000001</v>
      </c>
      <c r="H304" s="101" t="n">
        <v>0.0252</v>
      </c>
      <c r="I304" s="101" t="n">
        <v>0.0168</v>
      </c>
      <c r="J304" s="101" t="n">
        <v>0.016991</v>
      </c>
      <c r="K304" s="100" t="n">
        <v>1</v>
      </c>
      <c r="L304" s="102" t="inlineStr">
        <is>
          <t>20251212</t>
        </is>
      </c>
      <c r="M304" s="99" t="inlineStr">
        <is>
          <t>제외</t>
        </is>
      </c>
      <c r="N304" s="99" t="inlineStr">
        <is>
          <t>60일 거래대금 0.4억(기준 5억 미만)</t>
        </is>
      </c>
      <c r="O304" s="99" t="inlineStr">
        <is>
          <t>KAP ESG 종합채권지수(A- 이상, 총수익)</t>
        </is>
      </c>
      <c r="P304" s="99" t="inlineStr">
        <is>
          <t>일반</t>
        </is>
      </c>
      <c r="Q304" s="99" t="inlineStr">
        <is>
          <t>채권</t>
        </is>
      </c>
      <c r="R304" s="99" t="inlineStr">
        <is>
          <t>연배당</t>
        </is>
      </c>
      <c r="S304" s="100" t="n">
        <v>1</v>
      </c>
      <c r="T304" s="101" t="n">
        <v>1</v>
      </c>
      <c r="U304" s="103" t="n">
        <v>-0.006999999999999999</v>
      </c>
      <c r="V304" s="103" t="n">
        <v>-0.0236</v>
      </c>
      <c r="W304" s="103" t="n">
        <v>0.0046</v>
      </c>
      <c r="X304" s="103" t="n">
        <v>0.007900000000000001</v>
      </c>
      <c r="Y304" s="99" t="inlineStr">
        <is>
          <t>20250922~20261002</t>
        </is>
      </c>
      <c r="Z304" s="99" t="inlineStr"/>
      <c r="AA304">
        <f>IF(AND($J304&lt;&gt;"",OR(조회_주기="전체",$R304=조회_주기),$J304&gt;=조회_최소,$J304&lt;=조회_최대),1,0)</f>
        <v/>
      </c>
      <c r="AB304">
        <f>IF($AA304=1,$AB303+1,$AB303)</f>
        <v/>
      </c>
      <c r="AC304">
        <f>IF(검색어="",1,IF(ISNUMBER(SEARCH(검색어,$A304)),1,0))</f>
        <v/>
      </c>
      <c r="AD304">
        <f>IF($AC304=1,$AD303+1,$AD303)</f>
        <v/>
      </c>
      <c r="AE304">
        <f>IFERROR(INDEX($A$4:$A$594,MATCH(301,$AD$4:$AD$594,0)),"")</f>
        <v/>
      </c>
    </row>
    <row r="305">
      <c r="A305" s="99" t="inlineStr">
        <is>
          <t>TIGER 글로벌비만치료제TOP2Plus</t>
        </is>
      </c>
      <c r="B305" s="99" t="inlineStr">
        <is>
          <t>476690</t>
        </is>
      </c>
      <c r="C305" s="99" t="inlineStr">
        <is>
          <t>미래에셋자산운용</t>
        </is>
      </c>
      <c r="D305" s="100" t="n">
        <v>9720</v>
      </c>
      <c r="E305" s="100" t="n">
        <v>29160000000</v>
      </c>
      <c r="F305" s="100" t="n">
        <v>164346858</v>
      </c>
      <c r="G305" s="101" t="n">
        <v>0.004500000000000001</v>
      </c>
      <c r="H305" s="101" t="n">
        <v>0.2449</v>
      </c>
      <c r="I305" s="101" t="n">
        <v>0.0011</v>
      </c>
      <c r="J305" s="101" t="n">
        <v>0.016975</v>
      </c>
      <c r="K305" s="100" t="n">
        <v>31</v>
      </c>
      <c r="L305" s="102" t="inlineStr">
        <is>
          <t>20260929</t>
        </is>
      </c>
      <c r="M305" s="99" t="inlineStr">
        <is>
          <t>제외</t>
        </is>
      </c>
      <c r="N305" s="99" t="inlineStr">
        <is>
          <t>순자산 292억(기준 300억 미만), 60일 거래대금 1.6억(기준 5억 미만)</t>
        </is>
      </c>
      <c r="O305" s="99" t="inlineStr">
        <is>
          <t>Indxx Global Obesity Treatment Top 2 Plus Index</t>
        </is>
      </c>
      <c r="P305" s="99" t="inlineStr">
        <is>
          <t>일반</t>
        </is>
      </c>
      <c r="Q305" s="99" t="inlineStr">
        <is>
          <t>주식</t>
        </is>
      </c>
      <c r="R305" s="99" t="inlineStr">
        <is>
          <t>월배당</t>
        </is>
      </c>
      <c r="S305" s="100" t="n">
        <v>11</v>
      </c>
      <c r="T305" s="101" t="n">
        <v>0.8545</v>
      </c>
      <c r="U305" s="103" t="n">
        <v>0.09390000000000001</v>
      </c>
      <c r="V305" s="103" t="n">
        <v>0.0756</v>
      </c>
      <c r="W305" s="103" t="n">
        <v>-0.047</v>
      </c>
      <c r="X305" s="103" t="n">
        <v>-0.2042</v>
      </c>
      <c r="Y305" s="99" t="inlineStr">
        <is>
          <t>20250922~20261002</t>
        </is>
      </c>
      <c r="Z305" s="99" t="inlineStr"/>
      <c r="AA305">
        <f>IF(AND($J305&lt;&gt;"",OR(조회_주기="전체",$R305=조회_주기),$J305&gt;=조회_최소,$J305&lt;=조회_최대),1,0)</f>
        <v/>
      </c>
      <c r="AB305">
        <f>IF($AA305=1,$AB304+1,$AB304)</f>
        <v/>
      </c>
      <c r="AC305">
        <f>IF(검색어="",1,IF(ISNUMBER(SEARCH(검색어,$A305)),1,0))</f>
        <v/>
      </c>
      <c r="AD305">
        <f>IF($AC305=1,$AD304+1,$AD304)</f>
        <v/>
      </c>
      <c r="AE305">
        <f>IFERROR(INDEX($A$4:$A$594,MATCH(302,$AD$4:$AD$594,0)),"")</f>
        <v/>
      </c>
    </row>
    <row r="306">
      <c r="A306" s="99" t="inlineStr">
        <is>
          <t>KODEX 장기종합채권(AA-이상)액티브</t>
        </is>
      </c>
      <c r="B306" s="99" t="inlineStr">
        <is>
          <t>363570</t>
        </is>
      </c>
      <c r="C306" s="99" t="inlineStr">
        <is>
          <t>삼성자산운용(ETF)</t>
        </is>
      </c>
      <c r="D306" s="100" t="n">
        <v>87175</v>
      </c>
      <c r="E306" s="100" t="n">
        <v>228660025000</v>
      </c>
      <c r="F306" s="100" t="n">
        <v>261861350</v>
      </c>
      <c r="G306" s="101" t="n">
        <v>0.00045</v>
      </c>
      <c r="H306" s="101" t="n">
        <v>0.08439999999999999</v>
      </c>
      <c r="I306" s="101" t="n">
        <v>0.0151</v>
      </c>
      <c r="J306" s="101" t="n">
        <v>0.016851</v>
      </c>
      <c r="K306" s="100" t="n">
        <v>1</v>
      </c>
      <c r="L306" s="102" t="inlineStr">
        <is>
          <t>20251212</t>
        </is>
      </c>
      <c r="M306" s="99" t="inlineStr">
        <is>
          <t>제외</t>
        </is>
      </c>
      <c r="N306" s="99" t="inlineStr">
        <is>
          <t>60일 거래대금 2.6억(기준 5억 미만)</t>
        </is>
      </c>
      <c r="O306" s="99" t="inlineStr">
        <is>
          <t>KAP 한국장기종합채권지수(AA- 이상,총수익)</t>
        </is>
      </c>
      <c r="P306" s="99" t="inlineStr">
        <is>
          <t>일반</t>
        </is>
      </c>
      <c r="Q306" s="99" t="inlineStr">
        <is>
          <t>채권</t>
        </is>
      </c>
      <c r="R306" s="99" t="inlineStr">
        <is>
          <t>연배당</t>
        </is>
      </c>
      <c r="S306" s="100" t="n">
        <v>1</v>
      </c>
      <c r="T306" s="101" t="n">
        <v>0</v>
      </c>
      <c r="U306" s="103" t="n">
        <v>-0.1411</v>
      </c>
      <c r="V306" s="103" t="n">
        <v>-0.1553</v>
      </c>
      <c r="W306" s="103" t="n">
        <v>-0.061</v>
      </c>
      <c r="X306" s="103" t="n">
        <v>-0.003</v>
      </c>
      <c r="Y306" s="99" t="inlineStr">
        <is>
          <t>20250922~20261002</t>
        </is>
      </c>
      <c r="Z306" s="99" t="inlineStr"/>
      <c r="AA306">
        <f>IF(AND($J306&lt;&gt;"",OR(조회_주기="전체",$R306=조회_주기),$J306&gt;=조회_최소,$J306&lt;=조회_최대),1,0)</f>
        <v/>
      </c>
      <c r="AB306">
        <f>IF($AA306=1,$AB305+1,$AB305)</f>
        <v/>
      </c>
      <c r="AC306">
        <f>IF(검색어="",1,IF(ISNUMBER(SEARCH(검색어,$A306)),1,0))</f>
        <v/>
      </c>
      <c r="AD306">
        <f>IF($AC306=1,$AD305+1,$AD305)</f>
        <v/>
      </c>
      <c r="AE306">
        <f>IFERROR(INDEX($A$4:$A$594,MATCH(303,$AD$4:$AD$594,0)),"")</f>
        <v/>
      </c>
    </row>
    <row r="307">
      <c r="A307" s="99" t="inlineStr">
        <is>
          <t>SOL 자동차TOP3플러스</t>
        </is>
      </c>
      <c r="B307" s="99" t="inlineStr">
        <is>
          <t>466930</t>
        </is>
      </c>
      <c r="C307" s="99" t="inlineStr">
        <is>
          <t>신한자산운용</t>
        </is>
      </c>
      <c r="D307" s="100" t="n">
        <v>23505</v>
      </c>
      <c r="E307" s="100" t="n">
        <v>184514250000</v>
      </c>
      <c r="F307" s="100" t="n">
        <v>12028898689</v>
      </c>
      <c r="G307" s="101" t="n">
        <v>0.004500000000000001</v>
      </c>
      <c r="H307" s="101" t="n">
        <v>0.5776</v>
      </c>
      <c r="I307" s="101" t="n">
        <v>0.0155</v>
      </c>
      <c r="J307" s="101" t="n">
        <v>0.016677</v>
      </c>
      <c r="K307" s="100" t="n">
        <v>3</v>
      </c>
      <c r="L307" s="102" t="inlineStr">
        <is>
          <t>20260429</t>
        </is>
      </c>
      <c r="M307" s="99" t="inlineStr">
        <is>
          <t>제외</t>
        </is>
      </c>
      <c r="N307" s="99" t="inlineStr">
        <is>
          <t>변동성 57.8%(1년 기준, 기준 35% 초과)</t>
        </is>
      </c>
      <c r="O307" s="99" t="inlineStr">
        <is>
          <t>FnGuide 자동차 TOP3 플러스 지수</t>
        </is>
      </c>
      <c r="P307" s="99" t="inlineStr">
        <is>
          <t>일반</t>
        </is>
      </c>
      <c r="Q307" s="99" t="inlineStr">
        <is>
          <t>주식</t>
        </is>
      </c>
      <c r="R307" s="99" t="inlineStr">
        <is>
          <t>연배당</t>
        </is>
      </c>
      <c r="S307" s="100" t="n">
        <v>1</v>
      </c>
      <c r="T307" s="101" t="n">
        <v>1</v>
      </c>
      <c r="U307" s="103" t="n"/>
      <c r="V307" s="103" t="n"/>
      <c r="W307" s="103" t="n">
        <v>0.1496</v>
      </c>
      <c r="X307" s="103" t="n">
        <v>-0.2225</v>
      </c>
      <c r="Y307" s="99" t="inlineStr"/>
      <c r="Z307" s="99" t="inlineStr">
        <is>
          <t>창 안 급변일 1일(20260304) — 내지 않음</t>
        </is>
      </c>
      <c r="AA307">
        <f>IF(AND($J307&lt;&gt;"",OR(조회_주기="전체",$R307=조회_주기),$J307&gt;=조회_최소,$J307&lt;=조회_최대),1,0)</f>
        <v/>
      </c>
      <c r="AB307">
        <f>IF($AA307=1,$AB306+1,$AB306)</f>
        <v/>
      </c>
      <c r="AC307">
        <f>IF(검색어="",1,IF(ISNUMBER(SEARCH(검색어,$A307)),1,0))</f>
        <v/>
      </c>
      <c r="AD307">
        <f>IF($AC307=1,$AD306+1,$AD306)</f>
        <v/>
      </c>
      <c r="AE307">
        <f>IFERROR(INDEX($A$4:$A$594,MATCH(304,$AD$4:$AD$594,0)),"")</f>
        <v/>
      </c>
    </row>
    <row r="308">
      <c r="A308" s="99" t="inlineStr">
        <is>
          <t>TIGER 중국소비테마</t>
        </is>
      </c>
      <c r="B308" s="99" t="inlineStr">
        <is>
          <t>150460</t>
        </is>
      </c>
      <c r="C308" s="99" t="inlineStr">
        <is>
          <t>미래에셋자산운용</t>
        </is>
      </c>
      <c r="D308" s="100" t="n">
        <v>7205</v>
      </c>
      <c r="E308" s="100" t="n">
        <v>52956750000</v>
      </c>
      <c r="F308" s="100" t="n">
        <v>190764895</v>
      </c>
      <c r="G308" s="101" t="n">
        <v>0.005</v>
      </c>
      <c r="H308" s="101" t="n">
        <v>0.3005</v>
      </c>
      <c r="I308" s="101" t="n">
        <v>0.0121</v>
      </c>
      <c r="J308" s="101" t="n">
        <v>0.015961</v>
      </c>
      <c r="K308" s="100" t="n">
        <v>7</v>
      </c>
      <c r="L308" s="102" t="inlineStr">
        <is>
          <t>20260429</t>
        </is>
      </c>
      <c r="M308" s="99" t="inlineStr">
        <is>
          <t>제외</t>
        </is>
      </c>
      <c r="N308" s="99" t="inlineStr">
        <is>
          <t>60일 거래대금 1.9억(기준 5억 미만)</t>
        </is>
      </c>
      <c r="O308" s="99" t="inlineStr">
        <is>
          <t>FnGuide 중국내수테마</t>
        </is>
      </c>
      <c r="P308" s="99" t="inlineStr">
        <is>
          <t>일반</t>
        </is>
      </c>
      <c r="Q308" s="99" t="inlineStr">
        <is>
          <t>주식</t>
        </is>
      </c>
      <c r="R308" s="99" t="inlineStr">
        <is>
          <t>연배당</t>
        </is>
      </c>
      <c r="S308" s="100" t="n">
        <v>1</v>
      </c>
      <c r="T308" s="101" t="n">
        <v>0.6348</v>
      </c>
      <c r="U308" s="103" t="n">
        <v>-0.09390000000000001</v>
      </c>
      <c r="V308" s="103" t="n">
        <v>-0.108</v>
      </c>
      <c r="W308" s="103" t="n">
        <v>-0.0168</v>
      </c>
      <c r="X308" s="103" t="n">
        <v>-0.0263</v>
      </c>
      <c r="Y308" s="99" t="inlineStr">
        <is>
          <t>20250922~20261002</t>
        </is>
      </c>
      <c r="Z308" s="99" t="inlineStr"/>
      <c r="AA308">
        <f>IF(AND($J308&lt;&gt;"",OR(조회_주기="전체",$R308=조회_주기),$J308&gt;=조회_최소,$J308&lt;=조회_최대),1,0)</f>
        <v/>
      </c>
      <c r="AB308">
        <f>IF($AA308=1,$AB307+1,$AB307)</f>
        <v/>
      </c>
      <c r="AC308">
        <f>IF(검색어="",1,IF(ISNUMBER(SEARCH(검색어,$A308)),1,0))</f>
        <v/>
      </c>
      <c r="AD308">
        <f>IF($AC308=1,$AD307+1,$AD307)</f>
        <v/>
      </c>
      <c r="AE308">
        <f>IFERROR(INDEX($A$4:$A$594,MATCH(305,$AD$4:$AD$594,0)),"")</f>
        <v/>
      </c>
    </row>
    <row r="309">
      <c r="A309" s="99" t="inlineStr">
        <is>
          <t>KODEX 일본TOPIX100</t>
        </is>
      </c>
      <c r="B309" s="99" t="inlineStr">
        <is>
          <t>101280</t>
        </is>
      </c>
      <c r="C309" s="99" t="inlineStr">
        <is>
          <t>삼성자산운용(ETF)</t>
        </is>
      </c>
      <c r="D309" s="100" t="n">
        <v>30315</v>
      </c>
      <c r="E309" s="100" t="n">
        <v>52141800000</v>
      </c>
      <c r="F309" s="100" t="n">
        <v>370026035</v>
      </c>
      <c r="G309" s="101" t="n">
        <v>0.0019</v>
      </c>
      <c r="H309" s="101" t="n">
        <v>0.2483</v>
      </c>
      <c r="I309" s="101" t="n">
        <v>0.0017</v>
      </c>
      <c r="J309" s="101" t="n">
        <v>0.015669</v>
      </c>
      <c r="K309" s="100" t="n">
        <v>10</v>
      </c>
      <c r="L309" s="102" t="inlineStr">
        <is>
          <t>20260730</t>
        </is>
      </c>
      <c r="M309" s="99" t="inlineStr">
        <is>
          <t>제외</t>
        </is>
      </c>
      <c r="N309" s="99" t="inlineStr">
        <is>
          <t>60일 거래대금 3.7억(기준 5억 미만)</t>
        </is>
      </c>
      <c r="O309" s="99" t="inlineStr">
        <is>
          <t>TOPIX 100</t>
        </is>
      </c>
      <c r="P309" s="99" t="inlineStr">
        <is>
          <t>일반</t>
        </is>
      </c>
      <c r="Q309" s="99" t="inlineStr">
        <is>
          <t>주식</t>
        </is>
      </c>
      <c r="R309" s="99" t="inlineStr">
        <is>
          <t>분기배당</t>
        </is>
      </c>
      <c r="S309" s="100" t="n">
        <v>3</v>
      </c>
      <c r="T309" s="101" t="n">
        <v>1</v>
      </c>
      <c r="U309" s="103" t="n">
        <v>0.2404</v>
      </c>
      <c r="V309" s="103" t="n">
        <v>0.2213</v>
      </c>
      <c r="W309" s="103" t="n">
        <v>0.0545</v>
      </c>
      <c r="X309" s="103" t="n">
        <v>-0.0541</v>
      </c>
      <c r="Y309" s="99" t="inlineStr">
        <is>
          <t>20250922~20261002</t>
        </is>
      </c>
      <c r="Z309" s="99" t="inlineStr"/>
      <c r="AA309">
        <f>IF(AND($J309&lt;&gt;"",OR(조회_주기="전체",$R309=조회_주기),$J309&gt;=조회_최소,$J309&lt;=조회_최대),1,0)</f>
        <v/>
      </c>
      <c r="AB309">
        <f>IF($AA309=1,$AB308+1,$AB308)</f>
        <v/>
      </c>
      <c r="AC309">
        <f>IF(검색어="",1,IF(ISNUMBER(SEARCH(검색어,$A309)),1,0))</f>
        <v/>
      </c>
      <c r="AD309">
        <f>IF($AC309=1,$AD308+1,$AD308)</f>
        <v/>
      </c>
      <c r="AE309">
        <f>IFERROR(INDEX($A$4:$A$594,MATCH(306,$AD$4:$AD$594,0)),"")</f>
        <v/>
      </c>
    </row>
    <row r="310">
      <c r="A310" s="99" t="inlineStr">
        <is>
          <t>KODEX 27-12 회사채(AA-이상)액티브</t>
        </is>
      </c>
      <c r="B310" s="99" t="inlineStr">
        <is>
          <t>0007F0</t>
        </is>
      </c>
      <c r="C310" s="99" t="inlineStr">
        <is>
          <t>삼성자산운용(ETF)</t>
        </is>
      </c>
      <c r="D310" s="100" t="n">
        <v>10200</v>
      </c>
      <c r="E310" s="100" t="n">
        <v>648924000000</v>
      </c>
      <c r="F310" s="100" t="n">
        <v>368639670</v>
      </c>
      <c r="G310" s="101" t="n">
        <v>0.0009</v>
      </c>
      <c r="H310" s="101" t="n">
        <v>0.0188</v>
      </c>
      <c r="I310" s="101" t="n">
        <v>0.0154</v>
      </c>
      <c r="J310" s="101" t="n">
        <v>0.015392</v>
      </c>
      <c r="K310" s="100" t="n">
        <v>1</v>
      </c>
      <c r="L310" s="102" t="inlineStr">
        <is>
          <t>20251212</t>
        </is>
      </c>
      <c r="M310" s="99" t="inlineStr">
        <is>
          <t>제외</t>
        </is>
      </c>
      <c r="N310" s="99" t="inlineStr">
        <is>
          <t>60일 거래대금 3.7억(기준 5억 미만)</t>
        </is>
      </c>
      <c r="O310" s="99" t="inlineStr">
        <is>
          <t>KAP 27-12 회사채 총수익 지수(AA-이상)</t>
        </is>
      </c>
      <c r="P310" s="99" t="inlineStr">
        <is>
          <t>일반</t>
        </is>
      </c>
      <c r="Q310" s="99" t="inlineStr">
        <is>
          <t>채권</t>
        </is>
      </c>
      <c r="R310" s="99" t="inlineStr">
        <is>
          <t>연배당</t>
        </is>
      </c>
      <c r="S310" s="100" t="n">
        <v>1</v>
      </c>
      <c r="T310" s="101" t="n">
        <v>1</v>
      </c>
      <c r="U310" s="103" t="n">
        <v>0.006999999999999999</v>
      </c>
      <c r="V310" s="103" t="n">
        <v>-0.0083</v>
      </c>
      <c r="W310" s="103" t="n">
        <v>0.0128</v>
      </c>
      <c r="X310" s="103" t="n">
        <v>0.0097</v>
      </c>
      <c r="Y310" s="99" t="inlineStr">
        <is>
          <t>20250922~20261002</t>
        </is>
      </c>
      <c r="Z310" s="99" t="inlineStr"/>
      <c r="AA310">
        <f>IF(AND($J310&lt;&gt;"",OR(조회_주기="전체",$R310=조회_주기),$J310&gt;=조회_최소,$J310&lt;=조회_최대),1,0)</f>
        <v/>
      </c>
      <c r="AB310">
        <f>IF($AA310=1,$AB309+1,$AB309)</f>
        <v/>
      </c>
      <c r="AC310">
        <f>IF(검색어="",1,IF(ISNUMBER(SEARCH(검색어,$A310)),1,0))</f>
        <v/>
      </c>
      <c r="AD310">
        <f>IF($AC310=1,$AD309+1,$AD309)</f>
        <v/>
      </c>
      <c r="AE310">
        <f>IFERROR(INDEX($A$4:$A$594,MATCH(307,$AD$4:$AD$594,0)),"")</f>
        <v/>
      </c>
    </row>
    <row r="311">
      <c r="A311" s="99" t="inlineStr">
        <is>
          <t>ACE 11월만기자동연장회사채AA-이상액티브</t>
        </is>
      </c>
      <c r="B311" s="99" t="inlineStr">
        <is>
          <t>473440</t>
        </is>
      </c>
      <c r="C311" s="99" t="inlineStr">
        <is>
          <t>한국투신운용(ETF)</t>
        </is>
      </c>
      <c r="D311" s="100" t="n">
        <v>10865</v>
      </c>
      <c r="E311" s="100" t="n">
        <v>94525500000</v>
      </c>
      <c r="F311" s="100" t="n">
        <v>30042106</v>
      </c>
      <c r="G311" s="101" t="n">
        <v>0.0005</v>
      </c>
      <c r="H311" s="101" t="n">
        <v>0.0158</v>
      </c>
      <c r="I311" s="101" t="n">
        <v>0.0155</v>
      </c>
      <c r="J311" s="101" t="n">
        <v>0.01537</v>
      </c>
      <c r="K311" s="100" t="n">
        <v>1</v>
      </c>
      <c r="L311" s="102" t="inlineStr">
        <is>
          <t>20251127</t>
        </is>
      </c>
      <c r="M311" s="99" t="inlineStr">
        <is>
          <t>제외</t>
        </is>
      </c>
      <c r="N311" s="99" t="inlineStr">
        <is>
          <t>60일 거래대금 0.3억(기준 5억 미만)</t>
        </is>
      </c>
      <c r="O311" s="99" t="inlineStr">
        <is>
          <t>KIS 11월 만기자동연장회사채 (AA-이상) 총수익 지수</t>
        </is>
      </c>
      <c r="P311" s="99" t="inlineStr">
        <is>
          <t>일반</t>
        </is>
      </c>
      <c r="Q311" s="99" t="inlineStr">
        <is>
          <t>채권</t>
        </is>
      </c>
      <c r="R311" s="99" t="inlineStr">
        <is>
          <t>연배당</t>
        </is>
      </c>
      <c r="S311" s="100" t="n">
        <v>1</v>
      </c>
      <c r="T311" s="101" t="n">
        <v>1</v>
      </c>
      <c r="U311" s="103" t="n">
        <v>0.0302</v>
      </c>
      <c r="V311" s="103" t="n">
        <v>0.0146</v>
      </c>
      <c r="W311" s="103" t="n">
        <v>0.0151</v>
      </c>
      <c r="X311" s="103" t="n">
        <v>0.0089</v>
      </c>
      <c r="Y311" s="99" t="inlineStr">
        <is>
          <t>20250922~20261002</t>
        </is>
      </c>
      <c r="Z311" s="99" t="inlineStr"/>
      <c r="AA311">
        <f>IF(AND($J311&lt;&gt;"",OR(조회_주기="전체",$R311=조회_주기),$J311&gt;=조회_최소,$J311&lt;=조회_최대),1,0)</f>
        <v/>
      </c>
      <c r="AB311">
        <f>IF($AA311=1,$AB310+1,$AB310)</f>
        <v/>
      </c>
      <c r="AC311">
        <f>IF(검색어="",1,IF(ISNUMBER(SEARCH(검색어,$A311)),1,0))</f>
        <v/>
      </c>
      <c r="AD311">
        <f>IF($AC311=1,$AD310+1,$AD310)</f>
        <v/>
      </c>
      <c r="AE311">
        <f>IFERROR(INDEX($A$4:$A$594,MATCH(308,$AD$4:$AD$594,0)),"")</f>
        <v/>
      </c>
    </row>
    <row r="312">
      <c r="A312" s="99" t="inlineStr">
        <is>
          <t>TIGER 미국캐시카우100</t>
        </is>
      </c>
      <c r="B312" s="99" t="inlineStr">
        <is>
          <t>465670</t>
        </is>
      </c>
      <c r="C312" s="99" t="inlineStr">
        <is>
          <t>미래에셋자산운용</t>
        </is>
      </c>
      <c r="D312" s="100" t="n">
        <v>15655</v>
      </c>
      <c r="E312" s="100" t="n">
        <v>19568750000</v>
      </c>
      <c r="F312" s="100" t="n">
        <v>344978534</v>
      </c>
      <c r="G312" s="101" t="n">
        <v>0.0025</v>
      </c>
      <c r="H312" s="101" t="n">
        <v>0.1735</v>
      </c>
      <c r="I312" s="101" t="n">
        <v>0.0014</v>
      </c>
      <c r="J312" s="101" t="n">
        <v>0.015331</v>
      </c>
      <c r="K312" s="100" t="n">
        <v>36</v>
      </c>
      <c r="L312" s="102" t="inlineStr">
        <is>
          <t>20260929</t>
        </is>
      </c>
      <c r="M312" s="99" t="inlineStr">
        <is>
          <t>제외</t>
        </is>
      </c>
      <c r="N312" s="99" t="inlineStr">
        <is>
          <t>순자산 196억(기준 300억 미만), 60일 거래대금 3.4억(기준 5억 미만)</t>
        </is>
      </c>
      <c r="O312" s="99" t="inlineStr">
        <is>
          <t>Global X U.S. Cash Flow Kings 100 Index PR</t>
        </is>
      </c>
      <c r="P312" s="99" t="inlineStr">
        <is>
          <t>일반</t>
        </is>
      </c>
      <c r="Q312" s="99" t="inlineStr">
        <is>
          <t>주식</t>
        </is>
      </c>
      <c r="R312" s="99" t="inlineStr">
        <is>
          <t>월배당</t>
        </is>
      </c>
      <c r="S312" s="100" t="n">
        <v>11</v>
      </c>
      <c r="T312" s="101" t="n">
        <v>1</v>
      </c>
      <c r="U312" s="103" t="n">
        <v>0.1797</v>
      </c>
      <c r="V312" s="103" t="n">
        <v>0.162</v>
      </c>
      <c r="W312" s="103" t="n">
        <v>0.0475</v>
      </c>
      <c r="X312" s="103" t="n">
        <v>-0.0493</v>
      </c>
      <c r="Y312" s="99" t="inlineStr">
        <is>
          <t>20250922~20261002</t>
        </is>
      </c>
      <c r="Z312" s="99" t="inlineStr"/>
      <c r="AA312">
        <f>IF(AND($J312&lt;&gt;"",OR(조회_주기="전체",$R312=조회_주기),$J312&gt;=조회_최소,$J312&lt;=조회_최대),1,0)</f>
        <v/>
      </c>
      <c r="AB312">
        <f>IF($AA312=1,$AB311+1,$AB311)</f>
        <v/>
      </c>
      <c r="AC312">
        <f>IF(검색어="",1,IF(ISNUMBER(SEARCH(검색어,$A312)),1,0))</f>
        <v/>
      </c>
      <c r="AD312">
        <f>IF($AC312=1,$AD311+1,$AD311)</f>
        <v/>
      </c>
      <c r="AE312">
        <f>IFERROR(INDEX($A$4:$A$594,MATCH(309,$AD$4:$AD$594,0)),"")</f>
        <v/>
      </c>
    </row>
    <row r="313">
      <c r="A313" s="99" t="inlineStr">
        <is>
          <t>HANARO e커머스</t>
        </is>
      </c>
      <c r="B313" s="99" t="inlineStr">
        <is>
          <t>322400</t>
        </is>
      </c>
      <c r="C313" s="99" t="inlineStr">
        <is>
          <t>NH-Amundi자산운용</t>
        </is>
      </c>
      <c r="D313" s="100" t="n">
        <v>9485</v>
      </c>
      <c r="E313" s="100" t="n">
        <v>31300500000</v>
      </c>
      <c r="F313" s="100" t="n">
        <v>40999120</v>
      </c>
      <c r="G313" s="101" t="n">
        <v>0.004500000000000001</v>
      </c>
      <c r="H313" s="101" t="n">
        <v>0.349</v>
      </c>
      <c r="I313" s="101" t="n">
        <v>0.0114</v>
      </c>
      <c r="J313" s="101" t="n">
        <v>0.01476</v>
      </c>
      <c r="K313" s="100" t="n">
        <v>6</v>
      </c>
      <c r="L313" s="102" t="inlineStr">
        <is>
          <t>20260429</t>
        </is>
      </c>
      <c r="M313" s="99" t="inlineStr">
        <is>
          <t>제외</t>
        </is>
      </c>
      <c r="N313" s="99" t="inlineStr">
        <is>
          <t>60일 거래대금 0.4억(기준 5억 미만)</t>
        </is>
      </c>
      <c r="O313" s="99" t="inlineStr">
        <is>
          <t>FnGuide E커머스 지수</t>
        </is>
      </c>
      <c r="P313" s="99" t="inlineStr">
        <is>
          <t>일반</t>
        </is>
      </c>
      <c r="Q313" s="99" t="inlineStr">
        <is>
          <t>주식</t>
        </is>
      </c>
      <c r="R313" s="99" t="inlineStr">
        <is>
          <t>연배당</t>
        </is>
      </c>
      <c r="S313" s="100" t="n">
        <v>1</v>
      </c>
      <c r="T313" s="101" t="n">
        <v>1</v>
      </c>
      <c r="U313" s="103" t="n">
        <v>-0.2087</v>
      </c>
      <c r="V313" s="103" t="n">
        <v>-0.2202</v>
      </c>
      <c r="W313" s="103" t="n">
        <v>-0.129</v>
      </c>
      <c r="X313" s="103" t="n">
        <v>-0.09609999999999999</v>
      </c>
      <c r="Y313" s="99" t="inlineStr">
        <is>
          <t>20250922~20261002</t>
        </is>
      </c>
      <c r="Z313" s="99" t="inlineStr"/>
      <c r="AA313">
        <f>IF(AND($J313&lt;&gt;"",OR(조회_주기="전체",$R313=조회_주기),$J313&gt;=조회_최소,$J313&lt;=조회_최대),1,0)</f>
        <v/>
      </c>
      <c r="AB313">
        <f>IF($AA313=1,$AB312+1,$AB312)</f>
        <v/>
      </c>
      <c r="AC313">
        <f>IF(검색어="",1,IF(ISNUMBER(SEARCH(검색어,$A313)),1,0))</f>
        <v/>
      </c>
      <c r="AD313">
        <f>IF($AC313=1,$AD312+1,$AD312)</f>
        <v/>
      </c>
      <c r="AE313">
        <f>IFERROR(INDEX($A$4:$A$594,MATCH(310,$AD$4:$AD$594,0)),"")</f>
        <v/>
      </c>
    </row>
    <row r="314">
      <c r="A314" s="99" t="inlineStr">
        <is>
          <t>1Q 현대차그룹채권(A+이상)&amp;국고통안</t>
        </is>
      </c>
      <c r="B314" s="99" t="inlineStr">
        <is>
          <t>492500</t>
        </is>
      </c>
      <c r="C314" s="99" t="inlineStr">
        <is>
          <t>하나자산운용</t>
        </is>
      </c>
      <c r="D314" s="100" t="n">
        <v>51435</v>
      </c>
      <c r="E314" s="100" t="n">
        <v>67997070000</v>
      </c>
      <c r="F314" s="100" t="n">
        <v>27845006</v>
      </c>
      <c r="G314" s="101" t="n">
        <v>0.001</v>
      </c>
      <c r="H314" s="101" t="n">
        <v>0.0181</v>
      </c>
      <c r="I314" s="101" t="n">
        <v>0.0146</v>
      </c>
      <c r="J314" s="101" t="n">
        <v>0.014718</v>
      </c>
      <c r="K314" s="100" t="n">
        <v>1</v>
      </c>
      <c r="L314" s="102" t="inlineStr">
        <is>
          <t>20251229</t>
        </is>
      </c>
      <c r="M314" s="99" t="inlineStr">
        <is>
          <t>제외</t>
        </is>
      </c>
      <c r="N314" s="99" t="inlineStr">
        <is>
          <t>60일 거래대금 0.3억(기준 5억 미만)</t>
        </is>
      </c>
      <c r="O314" s="99" t="inlineStr">
        <is>
          <t>KIS-하나 현대자동차그룹 채권(A+이상)&amp;국고통안 총수익지수</t>
        </is>
      </c>
      <c r="P314" s="99" t="inlineStr">
        <is>
          <t>일반</t>
        </is>
      </c>
      <c r="Q314" s="99" t="inlineStr">
        <is>
          <t>채권</t>
        </is>
      </c>
      <c r="R314" s="99" t="inlineStr">
        <is>
          <t>연배당</t>
        </is>
      </c>
      <c r="S314" s="100" t="n">
        <v>1</v>
      </c>
      <c r="T314" s="101" t="n">
        <v>1</v>
      </c>
      <c r="U314" s="103" t="n">
        <v>0.0075</v>
      </c>
      <c r="V314" s="103" t="n">
        <v>-0.0072</v>
      </c>
      <c r="W314" s="103" t="n">
        <v>0.0104</v>
      </c>
      <c r="X314" s="103" t="n">
        <v>0.008</v>
      </c>
      <c r="Y314" s="99" t="inlineStr">
        <is>
          <t>20250922~20261002</t>
        </is>
      </c>
      <c r="Z314" s="99" t="inlineStr"/>
      <c r="AA314">
        <f>IF(AND($J314&lt;&gt;"",OR(조회_주기="전체",$R314=조회_주기),$J314&gt;=조회_최소,$J314&lt;=조회_최대),1,0)</f>
        <v/>
      </c>
      <c r="AB314">
        <f>IF($AA314=1,$AB313+1,$AB313)</f>
        <v/>
      </c>
      <c r="AC314">
        <f>IF(검색어="",1,IF(ISNUMBER(SEARCH(검색어,$A314)),1,0))</f>
        <v/>
      </c>
      <c r="AD314">
        <f>IF($AC314=1,$AD313+1,$AD313)</f>
        <v/>
      </c>
      <c r="AE314">
        <f>IFERROR(INDEX($A$4:$A$594,MATCH(311,$AD$4:$AD$594,0)),"")</f>
        <v/>
      </c>
    </row>
    <row r="315">
      <c r="A315" s="99" t="inlineStr">
        <is>
          <t>TIGER 경기방어</t>
        </is>
      </c>
      <c r="B315" s="99" t="inlineStr">
        <is>
          <t>139280</t>
        </is>
      </c>
      <c r="C315" s="99" t="inlineStr">
        <is>
          <t>미래에셋자산운용</t>
        </is>
      </c>
      <c r="D315" s="100" t="n">
        <v>12100</v>
      </c>
      <c r="E315" s="100" t="n">
        <v>38720000000</v>
      </c>
      <c r="F315" s="100" t="n">
        <v>157874289</v>
      </c>
      <c r="G315" s="101" t="n">
        <v>0.004</v>
      </c>
      <c r="H315" s="101" t="n">
        <v>0.2786</v>
      </c>
      <c r="I315" s="101" t="n">
        <v>0.001</v>
      </c>
      <c r="J315" s="101" t="n">
        <v>0.014628</v>
      </c>
      <c r="K315" s="100" t="n">
        <v>13</v>
      </c>
      <c r="L315" s="102" t="inlineStr">
        <is>
          <t>20260730</t>
        </is>
      </c>
      <c r="M315" s="99" t="inlineStr">
        <is>
          <t>제외</t>
        </is>
      </c>
      <c r="N315" s="99" t="inlineStr">
        <is>
          <t>60일 거래대금 1.6억(기준 5억 미만)</t>
        </is>
      </c>
      <c r="O315" s="99" t="inlineStr">
        <is>
          <t>K200경기방어소비재</t>
        </is>
      </c>
      <c r="P315" s="99" t="inlineStr">
        <is>
          <t>일반</t>
        </is>
      </c>
      <c r="Q315" s="99" t="inlineStr">
        <is>
          <t>주식</t>
        </is>
      </c>
      <c r="R315" s="99" t="inlineStr">
        <is>
          <t>연배당</t>
        </is>
      </c>
      <c r="S315" s="100" t="n">
        <v>2</v>
      </c>
      <c r="T315" s="101" t="n">
        <v>0.9605</v>
      </c>
      <c r="U315" s="103" t="n">
        <v>0.0616</v>
      </c>
      <c r="V315" s="103" t="n">
        <v>0.0464</v>
      </c>
      <c r="W315" s="103" t="n">
        <v>-0.0519</v>
      </c>
      <c r="X315" s="103" t="n">
        <v>-0.0167</v>
      </c>
      <c r="Y315" s="99" t="inlineStr">
        <is>
          <t>20250922~20261002</t>
        </is>
      </c>
      <c r="Z315" s="99" t="inlineStr"/>
      <c r="AA315">
        <f>IF(AND($J315&lt;&gt;"",OR(조회_주기="전체",$R315=조회_주기),$J315&gt;=조회_최소,$J315&lt;=조회_최대),1,0)</f>
        <v/>
      </c>
      <c r="AB315">
        <f>IF($AA315=1,$AB314+1,$AB314)</f>
        <v/>
      </c>
      <c r="AC315">
        <f>IF(검색어="",1,IF(ISNUMBER(SEARCH(검색어,$A315)),1,0))</f>
        <v/>
      </c>
      <c r="AD315">
        <f>IF($AC315=1,$AD314+1,$AD314)</f>
        <v/>
      </c>
      <c r="AE315">
        <f>IFERROR(INDEX($A$4:$A$594,MATCH(312,$AD$4:$AD$594,0)),"")</f>
        <v/>
      </c>
    </row>
    <row r="316">
      <c r="A316" s="99" t="inlineStr">
        <is>
          <t>KODEX 미국10년국채선물</t>
        </is>
      </c>
      <c r="B316" s="99" t="inlineStr">
        <is>
          <t>308620</t>
        </is>
      </c>
      <c r="C316" s="99" t="inlineStr">
        <is>
          <t>삼성자산운용(ETF)</t>
        </is>
      </c>
      <c r="D316" s="100" t="n">
        <v>10965</v>
      </c>
      <c r="E316" s="100" t="n">
        <v>92106000000</v>
      </c>
      <c r="F316" s="100" t="n">
        <v>420096501</v>
      </c>
      <c r="G316" s="101" t="n">
        <v>0.0009</v>
      </c>
      <c r="H316" s="101" t="n">
        <v>0.1077</v>
      </c>
      <c r="I316" s="101" t="n">
        <v>0.0129</v>
      </c>
      <c r="J316" s="101" t="n">
        <v>0.014592</v>
      </c>
      <c r="K316" s="100" t="n">
        <v>1</v>
      </c>
      <c r="L316" s="102" t="inlineStr">
        <is>
          <t>20251229</t>
        </is>
      </c>
      <c r="M316" s="99" t="inlineStr">
        <is>
          <t>제외</t>
        </is>
      </c>
      <c r="N316" s="99" t="inlineStr">
        <is>
          <t>60일 거래대금 4.2억(기준 5억 미만)</t>
        </is>
      </c>
      <c r="O316" s="99" t="inlineStr">
        <is>
          <t>S&amp;P 10-Year U.S. Treasury Note Futures KRW ER</t>
        </is>
      </c>
      <c r="P316" s="99" t="inlineStr">
        <is>
          <t>일반</t>
        </is>
      </c>
      <c r="Q316" s="99" t="inlineStr">
        <is>
          <t>채권</t>
        </is>
      </c>
      <c r="R316" s="99" t="inlineStr">
        <is>
          <t>연배당</t>
        </is>
      </c>
      <c r="S316" s="100" t="n">
        <v>1</v>
      </c>
      <c r="T316" s="101" t="n">
        <v>1</v>
      </c>
      <c r="U316" s="103" t="n">
        <v>-0.073</v>
      </c>
      <c r="V316" s="103" t="n">
        <v>-0.0863</v>
      </c>
      <c r="W316" s="103" t="n">
        <v>-0.1394</v>
      </c>
      <c r="X316" s="103" t="n">
        <v>-0.1475</v>
      </c>
      <c r="Y316" s="99" t="inlineStr">
        <is>
          <t>20250922~20261002</t>
        </is>
      </c>
      <c r="Z316" s="99" t="inlineStr"/>
      <c r="AA316">
        <f>IF(AND($J316&lt;&gt;"",OR(조회_주기="전체",$R316=조회_주기),$J316&gt;=조회_최소,$J316&lt;=조회_최대),1,0)</f>
        <v/>
      </c>
      <c r="AB316">
        <f>IF($AA316=1,$AB315+1,$AB315)</f>
        <v/>
      </c>
      <c r="AC316">
        <f>IF(검색어="",1,IF(ISNUMBER(SEARCH(검색어,$A316)),1,0))</f>
        <v/>
      </c>
      <c r="AD316">
        <f>IF($AC316=1,$AD315+1,$AD315)</f>
        <v/>
      </c>
      <c r="AE316">
        <f>IFERROR(INDEX($A$4:$A$594,MATCH(313,$AD$4:$AD$594,0)),"")</f>
        <v/>
      </c>
    </row>
    <row r="317">
      <c r="A317" s="99" t="inlineStr">
        <is>
          <t>ACE 단기채권알파액티브</t>
        </is>
      </c>
      <c r="B317" s="99" t="inlineStr">
        <is>
          <t>440640</t>
        </is>
      </c>
      <c r="C317" s="99" t="inlineStr">
        <is>
          <t>한국투신운용(ETF)</t>
        </is>
      </c>
      <c r="D317" s="100" t="n">
        <v>112950</v>
      </c>
      <c r="E317" s="100" t="n">
        <v>59750550000</v>
      </c>
      <c r="F317" s="100" t="n">
        <v>295470680</v>
      </c>
      <c r="G317" s="101" t="n">
        <v>0.0015</v>
      </c>
      <c r="H317" s="101" t="n">
        <v>0.015</v>
      </c>
      <c r="I317" s="101" t="n">
        <v>0.0146</v>
      </c>
      <c r="J317" s="101" t="n">
        <v>0.014475</v>
      </c>
      <c r="K317" s="100" t="n">
        <v>1</v>
      </c>
      <c r="L317" s="102" t="inlineStr">
        <is>
          <t>20251127</t>
        </is>
      </c>
      <c r="M317" s="99" t="inlineStr">
        <is>
          <t>제외</t>
        </is>
      </c>
      <c r="N317" s="99" t="inlineStr">
        <is>
          <t>60일 거래대금 3.0억(기준 5억 미만)</t>
        </is>
      </c>
      <c r="O317" s="99" t="inlineStr">
        <is>
          <t>KIS 단기채권알파 AA-이상 지수</t>
        </is>
      </c>
      <c r="P317" s="99" t="inlineStr">
        <is>
          <t>일반</t>
        </is>
      </c>
      <c r="Q317" s="99" t="inlineStr">
        <is>
          <t>채권</t>
        </is>
      </c>
      <c r="R317" s="99" t="inlineStr">
        <is>
          <t>연배당</t>
        </is>
      </c>
      <c r="S317" s="100" t="n">
        <v>1</v>
      </c>
      <c r="T317" s="101" t="n">
        <v>1</v>
      </c>
      <c r="U317" s="103" t="n">
        <v>0.0282</v>
      </c>
      <c r="V317" s="103" t="n">
        <v>0.0136</v>
      </c>
      <c r="W317" s="103" t="n">
        <v>0.0156</v>
      </c>
      <c r="X317" s="103" t="n">
        <v>0.008399999999999999</v>
      </c>
      <c r="Y317" s="99" t="inlineStr">
        <is>
          <t>20250922~20261002</t>
        </is>
      </c>
      <c r="Z317" s="99" t="inlineStr"/>
      <c r="AA317">
        <f>IF(AND($J317&lt;&gt;"",OR(조회_주기="전체",$R317=조회_주기),$J317&gt;=조회_최소,$J317&lt;=조회_최대),1,0)</f>
        <v/>
      </c>
      <c r="AB317">
        <f>IF($AA317=1,$AB316+1,$AB316)</f>
        <v/>
      </c>
      <c r="AC317">
        <f>IF(검색어="",1,IF(ISNUMBER(SEARCH(검색어,$A317)),1,0))</f>
        <v/>
      </c>
      <c r="AD317">
        <f>IF($AC317=1,$AD316+1,$AD316)</f>
        <v/>
      </c>
      <c r="AE317">
        <f>IFERROR(INDEX($A$4:$A$594,MATCH(314,$AD$4:$AD$594,0)),"")</f>
        <v/>
      </c>
    </row>
    <row r="318">
      <c r="A318" s="99" t="inlineStr">
        <is>
          <t>KODEX 미국S&amp;P500금융</t>
        </is>
      </c>
      <c r="B318" s="99" t="inlineStr">
        <is>
          <t>453650</t>
        </is>
      </c>
      <c r="C318" s="99" t="inlineStr">
        <is>
          <t>삼성자산운용(ETF)</t>
        </is>
      </c>
      <c r="D318" s="100" t="n">
        <v>17770</v>
      </c>
      <c r="E318" s="100" t="n">
        <v>44425000000</v>
      </c>
      <c r="F318" s="100" t="n">
        <v>443582502</v>
      </c>
      <c r="G318" s="101" t="n">
        <v>0.0025</v>
      </c>
      <c r="H318" s="101" t="n">
        <v>0.1683</v>
      </c>
      <c r="I318" s="101" t="n">
        <v>0.0031</v>
      </c>
      <c r="J318" s="101" t="n">
        <v>0.014294</v>
      </c>
      <c r="K318" s="100" t="n">
        <v>13</v>
      </c>
      <c r="L318" s="102" t="inlineStr">
        <is>
          <t>20260730</t>
        </is>
      </c>
      <c r="M318" s="99" t="inlineStr">
        <is>
          <t>제외</t>
        </is>
      </c>
      <c r="N318" s="99" t="inlineStr">
        <is>
          <t>60일 거래대금 4.4억(기준 5억 미만)</t>
        </is>
      </c>
      <c r="O318" s="99" t="inlineStr">
        <is>
          <t>S&amp;P Select Sector Financials</t>
        </is>
      </c>
      <c r="P318" s="99" t="inlineStr">
        <is>
          <t>일반</t>
        </is>
      </c>
      <c r="Q318" s="99" t="inlineStr">
        <is>
          <t>주식</t>
        </is>
      </c>
      <c r="R318" s="99" t="inlineStr">
        <is>
          <t>분기배당</t>
        </is>
      </c>
      <c r="S318" s="100" t="n">
        <v>3</v>
      </c>
      <c r="T318" s="101" t="n">
        <v>1</v>
      </c>
      <c r="U318" s="103" t="n">
        <v>-0.0326</v>
      </c>
      <c r="V318" s="103" t="n">
        <v>-0.0463</v>
      </c>
      <c r="W318" s="103" t="n">
        <v>-0.0328</v>
      </c>
      <c r="X318" s="103" t="n">
        <v>-0.1482</v>
      </c>
      <c r="Y318" s="99" t="inlineStr">
        <is>
          <t>20250922~20261002</t>
        </is>
      </c>
      <c r="Z318" s="99" t="inlineStr"/>
      <c r="AA318">
        <f>IF(AND($J318&lt;&gt;"",OR(조회_주기="전체",$R318=조회_주기),$J318&gt;=조회_최소,$J318&lt;=조회_최대),1,0)</f>
        <v/>
      </c>
      <c r="AB318">
        <f>IF($AA318=1,$AB317+1,$AB317)</f>
        <v/>
      </c>
      <c r="AC318">
        <f>IF(검색어="",1,IF(ISNUMBER(SEARCH(검색어,$A318)),1,0))</f>
        <v/>
      </c>
      <c r="AD318">
        <f>IF($AC318=1,$AD317+1,$AD317)</f>
        <v/>
      </c>
      <c r="AE318">
        <f>IFERROR(INDEX($A$4:$A$594,MATCH(315,$AD$4:$AD$594,0)),"")</f>
        <v/>
      </c>
    </row>
    <row r="319">
      <c r="A319" s="99" t="inlineStr">
        <is>
          <t>KIWOOM 미국테크100월간목표헤지액티브</t>
        </is>
      </c>
      <c r="B319" s="99" t="inlineStr">
        <is>
          <t>0084D0</t>
        </is>
      </c>
      <c r="C319" s="99" t="inlineStr">
        <is>
          <t>키움투자자산운용</t>
        </is>
      </c>
      <c r="D319" s="100" t="n">
        <v>11195</v>
      </c>
      <c r="E319" s="100" t="n">
        <v>8956000000</v>
      </c>
      <c r="F319" s="100" t="n">
        <v>36422068</v>
      </c>
      <c r="G319" s="101" t="n">
        <v>0.0049</v>
      </c>
      <c r="H319" s="101" t="n">
        <v>0.1363</v>
      </c>
      <c r="I319" s="101" t="n">
        <v>0.0012</v>
      </c>
      <c r="J319" s="101" t="n">
        <v>0.014292</v>
      </c>
      <c r="K319" s="100" t="n">
        <v>14</v>
      </c>
      <c r="L319" s="102" t="inlineStr">
        <is>
          <t>20260929</t>
        </is>
      </c>
      <c r="M319" s="99" t="inlineStr">
        <is>
          <t>제외</t>
        </is>
      </c>
      <c r="N319" s="99" t="inlineStr">
        <is>
          <t>순자산 90억(기준 300억 미만), 60일 거래대금 0.4억(기준 5억 미만)</t>
        </is>
      </c>
      <c r="O319" s="99" t="inlineStr">
        <is>
          <t>Akros U.S. Tech 100 Protective Allocation Monthly Index TR</t>
        </is>
      </c>
      <c r="P319" s="99" t="inlineStr">
        <is>
          <t>일반</t>
        </is>
      </c>
      <c r="Q319" s="99" t="inlineStr">
        <is>
          <t>멀티에셋</t>
        </is>
      </c>
      <c r="R319" s="99" t="inlineStr">
        <is>
          <t>월배당</t>
        </is>
      </c>
      <c r="S319" s="100" t="n">
        <v>11</v>
      </c>
      <c r="T319" s="101" t="n">
        <v>1</v>
      </c>
      <c r="U319" s="103" t="n">
        <v>0.1025</v>
      </c>
      <c r="V319" s="103" t="n">
        <v>0.08699999999999999</v>
      </c>
      <c r="W319" s="103" t="n">
        <v>0.04480000000000001</v>
      </c>
      <c r="X319" s="103" t="n">
        <v>-0.1111</v>
      </c>
      <c r="Y319" s="99" t="inlineStr">
        <is>
          <t>20250922~20261002</t>
        </is>
      </c>
      <c r="Z319" s="99" t="inlineStr"/>
      <c r="AA319">
        <f>IF(AND($J319&lt;&gt;"",OR(조회_주기="전체",$R319=조회_주기),$J319&gt;=조회_최소,$J319&lt;=조회_최대),1,0)</f>
        <v/>
      </c>
      <c r="AB319">
        <f>IF($AA319=1,$AB318+1,$AB318)</f>
        <v/>
      </c>
      <c r="AC319">
        <f>IF(검색어="",1,IF(ISNUMBER(SEARCH(검색어,$A319)),1,0))</f>
        <v/>
      </c>
      <c r="AD319">
        <f>IF($AC319=1,$AD318+1,$AD318)</f>
        <v/>
      </c>
      <c r="AE319">
        <f>IFERROR(INDEX($A$4:$A$594,MATCH(316,$AD$4:$AD$594,0)),"")</f>
        <v/>
      </c>
    </row>
    <row r="320">
      <c r="A320" s="99" t="inlineStr">
        <is>
          <t>ACE 미국배당퀄리티</t>
        </is>
      </c>
      <c r="B320" s="99" t="inlineStr">
        <is>
          <t>0046Y0</t>
        </is>
      </c>
      <c r="C320" s="99" t="inlineStr">
        <is>
          <t>한국투신운용(ETF)</t>
        </is>
      </c>
      <c r="D320" s="100" t="n">
        <v>12125</v>
      </c>
      <c r="E320" s="100" t="n">
        <v>52137500000</v>
      </c>
      <c r="F320" s="100" t="n">
        <v>161560735</v>
      </c>
      <c r="G320" s="101" t="n">
        <v>0.0015</v>
      </c>
      <c r="H320" s="101" t="n">
        <v>0.1298</v>
      </c>
      <c r="I320" s="101" t="n">
        <v>0.0011</v>
      </c>
      <c r="J320" s="101" t="n">
        <v>0.014268</v>
      </c>
      <c r="K320" s="100" t="n">
        <v>16</v>
      </c>
      <c r="L320" s="102" t="inlineStr">
        <is>
          <t>20260929</t>
        </is>
      </c>
      <c r="M320" s="99" t="inlineStr">
        <is>
          <t>제외</t>
        </is>
      </c>
      <c r="N320" s="99" t="inlineStr">
        <is>
          <t>60일 거래대금 1.6억(기준 5억 미만)</t>
        </is>
      </c>
      <c r="O320" s="99" t="inlineStr">
        <is>
          <t>Wisdom Tree U.S. Quality Dividend Growth Index</t>
        </is>
      </c>
      <c r="P320" s="99" t="inlineStr">
        <is>
          <t>일반</t>
        </is>
      </c>
      <c r="Q320" s="99" t="inlineStr">
        <is>
          <t>주식</t>
        </is>
      </c>
      <c r="R320" s="99" t="inlineStr">
        <is>
          <t>월배당</t>
        </is>
      </c>
      <c r="S320" s="100" t="n">
        <v>11</v>
      </c>
      <c r="T320" s="101" t="n">
        <v>1</v>
      </c>
      <c r="U320" s="103" t="n">
        <v>0.08900000000000001</v>
      </c>
      <c r="V320" s="103" t="n">
        <v>0.0737</v>
      </c>
      <c r="W320" s="103" t="n">
        <v>-0.009300000000000001</v>
      </c>
      <c r="X320" s="103" t="n">
        <v>-0.1021</v>
      </c>
      <c r="Y320" s="99" t="inlineStr">
        <is>
          <t>20250922~20261002</t>
        </is>
      </c>
      <c r="Z320" s="99" t="inlineStr"/>
      <c r="AA320">
        <f>IF(AND($J320&lt;&gt;"",OR(조회_주기="전체",$R320=조회_주기),$J320&gt;=조회_최소,$J320&lt;=조회_최대),1,0)</f>
        <v/>
      </c>
      <c r="AB320">
        <f>IF($AA320=1,$AB319+1,$AB319)</f>
        <v/>
      </c>
      <c r="AC320">
        <f>IF(검색어="",1,IF(ISNUMBER(SEARCH(검색어,$A320)),1,0))</f>
        <v/>
      </c>
      <c r="AD320">
        <f>IF($AC320=1,$AD319+1,$AD319)</f>
        <v/>
      </c>
      <c r="AE320">
        <f>IFERROR(INDEX($A$4:$A$594,MATCH(317,$AD$4:$AD$594,0)),"")</f>
        <v/>
      </c>
    </row>
    <row r="321">
      <c r="A321" s="99" t="inlineStr">
        <is>
          <t>RISE 코스피</t>
        </is>
      </c>
      <c r="B321" s="99" t="inlineStr">
        <is>
          <t>302450</t>
        </is>
      </c>
      <c r="C321" s="99" t="inlineStr">
        <is>
          <t>KB자산운용</t>
        </is>
      </c>
      <c r="D321" s="100" t="n">
        <v>72755</v>
      </c>
      <c r="E321" s="100" t="n">
        <v>400152500000</v>
      </c>
      <c r="F321" s="100" t="n">
        <v>4577195960</v>
      </c>
      <c r="G321" s="101" t="n">
        <v>0.0002</v>
      </c>
      <c r="H321" s="101" t="n">
        <v>0.5401</v>
      </c>
      <c r="I321" s="101" t="n">
        <v>0.001</v>
      </c>
      <c r="J321" s="101" t="n">
        <v>0.01413</v>
      </c>
      <c r="K321" s="100" t="n">
        <v>11</v>
      </c>
      <c r="L321" s="102" t="inlineStr">
        <is>
          <t>20260730</t>
        </is>
      </c>
      <c r="M321" s="99" t="inlineStr">
        <is>
          <t>제외</t>
        </is>
      </c>
      <c r="N321" s="99" t="inlineStr">
        <is>
          <t>변동성 54.0%(1년 기준, 기준 35% 초과)</t>
        </is>
      </c>
      <c r="O321" s="99" t="inlineStr">
        <is>
          <t>코스피</t>
        </is>
      </c>
      <c r="P321" s="99" t="inlineStr">
        <is>
          <t>일반</t>
        </is>
      </c>
      <c r="Q321" s="99" t="inlineStr">
        <is>
          <t>주식</t>
        </is>
      </c>
      <c r="R321" s="99" t="inlineStr">
        <is>
          <t>분기배당</t>
        </is>
      </c>
      <c r="S321" s="100" t="n">
        <v>3</v>
      </c>
      <c r="T321" s="101" t="n">
        <v>1</v>
      </c>
      <c r="U321" s="103" t="n"/>
      <c r="V321" s="103" t="n"/>
      <c r="W321" s="103" t="n"/>
      <c r="X321" s="103" t="n"/>
      <c r="Y321" s="99" t="inlineStr"/>
      <c r="Z321" s="99" t="inlineStr">
        <is>
          <t>창 안 급변일 1일(20260731) — 내지 않음 / 6개월: 창 안 급변일 1일(20260731) — 내지 않음 / 3개월: 창 안 급변일 1일(20260731) — 내지 않음</t>
        </is>
      </c>
      <c r="AA321">
        <f>IF(AND($J321&lt;&gt;"",OR(조회_주기="전체",$R321=조회_주기),$J321&gt;=조회_최소,$J321&lt;=조회_최대),1,0)</f>
        <v/>
      </c>
      <c r="AB321">
        <f>IF($AA321=1,$AB320+1,$AB320)</f>
        <v/>
      </c>
      <c r="AC321">
        <f>IF(검색어="",1,IF(ISNUMBER(SEARCH(검색어,$A321)),1,0))</f>
        <v/>
      </c>
      <c r="AD321">
        <f>IF($AC321=1,$AD320+1,$AD320)</f>
        <v/>
      </c>
      <c r="AE321">
        <f>IFERROR(INDEX($A$4:$A$594,MATCH(318,$AD$4:$AD$594,0)),"")</f>
        <v/>
      </c>
    </row>
    <row r="322">
      <c r="A322" s="99" t="inlineStr">
        <is>
          <t>WON 전단채플러스액티브</t>
        </is>
      </c>
      <c r="B322" s="99" t="inlineStr">
        <is>
          <t>496020</t>
        </is>
      </c>
      <c r="C322" s="99" t="inlineStr">
        <is>
          <t>우리자산운용</t>
        </is>
      </c>
      <c r="D322" s="100" t="n">
        <v>52630</v>
      </c>
      <c r="E322" s="100" t="n">
        <v>552930780000</v>
      </c>
      <c r="F322" s="100" t="n">
        <v>226934199</v>
      </c>
      <c r="G322" s="101" t="n">
        <v>0.0005</v>
      </c>
      <c r="H322" s="101" t="n">
        <v>0.0143</v>
      </c>
      <c r="I322" s="101" t="n">
        <v>0.0142</v>
      </c>
      <c r="J322" s="101" t="n">
        <v>0.013984</v>
      </c>
      <c r="K322" s="100" t="n">
        <v>1</v>
      </c>
      <c r="L322" s="102" t="inlineStr">
        <is>
          <t>20251229</t>
        </is>
      </c>
      <c r="M322" s="99" t="inlineStr">
        <is>
          <t>제외</t>
        </is>
      </c>
      <c r="N322" s="99" t="inlineStr">
        <is>
          <t>60일 거래대금 2.3억(기준 5억 미만)</t>
        </is>
      </c>
      <c r="O322" s="99" t="inlineStr">
        <is>
          <t>KIS 전단채플러스 TR 지수</t>
        </is>
      </c>
      <c r="P322" s="99" t="inlineStr">
        <is>
          <t>일반</t>
        </is>
      </c>
      <c r="Q322" s="99" t="inlineStr">
        <is>
          <t>단기자금(파킹형)</t>
        </is>
      </c>
      <c r="R322" s="99" t="inlineStr">
        <is>
          <t>연배당</t>
        </is>
      </c>
      <c r="S322" s="100" t="n">
        <v>1</v>
      </c>
      <c r="T322" s="101" t="n">
        <v>1</v>
      </c>
      <c r="U322" s="103" t="n">
        <v>0.0335</v>
      </c>
      <c r="V322" s="103" t="n">
        <v>0.0192</v>
      </c>
      <c r="W322" s="103" t="n">
        <v>0.0176</v>
      </c>
      <c r="X322" s="103" t="n">
        <v>0.009300000000000001</v>
      </c>
      <c r="Y322" s="99" t="inlineStr">
        <is>
          <t>20250922~20261002</t>
        </is>
      </c>
      <c r="Z322" s="99" t="inlineStr"/>
      <c r="AA322">
        <f>IF(AND($J322&lt;&gt;"",OR(조회_주기="전체",$R322=조회_주기),$J322&gt;=조회_최소,$J322&lt;=조회_최대),1,0)</f>
        <v/>
      </c>
      <c r="AB322">
        <f>IF($AA322=1,$AB321+1,$AB321)</f>
        <v/>
      </c>
      <c r="AC322">
        <f>IF(검색어="",1,IF(ISNUMBER(SEARCH(검색어,$A322)),1,0))</f>
        <v/>
      </c>
      <c r="AD322">
        <f>IF($AC322=1,$AD321+1,$AD321)</f>
        <v/>
      </c>
      <c r="AE322">
        <f>IFERROR(INDEX($A$4:$A$594,MATCH(319,$AD$4:$AD$594,0)),"")</f>
        <v/>
      </c>
    </row>
    <row r="323">
      <c r="A323" s="99" t="inlineStr">
        <is>
          <t>TIGER 미국방산TOP10</t>
        </is>
      </c>
      <c r="B323" s="99" t="inlineStr">
        <is>
          <t>494840</t>
        </is>
      </c>
      <c r="C323" s="99" t="inlineStr">
        <is>
          <t>미래에셋자산운용</t>
        </is>
      </c>
      <c r="D323" s="100" t="n">
        <v>11395</v>
      </c>
      <c r="E323" s="100" t="n">
        <v>38173250000</v>
      </c>
      <c r="F323" s="100" t="n">
        <v>326101436</v>
      </c>
      <c r="G323" s="101" t="n">
        <v>0.004500000000000001</v>
      </c>
      <c r="H323" s="101" t="n">
        <v>0.2419</v>
      </c>
      <c r="I323" s="101" t="n">
        <v>0.003</v>
      </c>
      <c r="J323" s="101" t="n">
        <v>0.013866</v>
      </c>
      <c r="K323" s="100" t="n">
        <v>7</v>
      </c>
      <c r="L323" s="102" t="inlineStr">
        <is>
          <t>20260730</t>
        </is>
      </c>
      <c r="M323" s="99" t="inlineStr">
        <is>
          <t>제외</t>
        </is>
      </c>
      <c r="N323" s="99" t="inlineStr">
        <is>
          <t>60일 거래대금 3.3억(기준 5억 미만)</t>
        </is>
      </c>
      <c r="O323" s="99" t="inlineStr">
        <is>
          <t>Mirae Asset US Defense Top 10 Index (Price Return)</t>
        </is>
      </c>
      <c r="P323" s="99" t="inlineStr">
        <is>
          <t>일반</t>
        </is>
      </c>
      <c r="Q323" s="99" t="inlineStr">
        <is>
          <t>주식</t>
        </is>
      </c>
      <c r="R323" s="99" t="inlineStr">
        <is>
          <t>분기배당</t>
        </is>
      </c>
      <c r="S323" s="100" t="n">
        <v>3</v>
      </c>
      <c r="T323" s="101" t="n">
        <v>1</v>
      </c>
      <c r="U323" s="103" t="n">
        <v>-0.0049</v>
      </c>
      <c r="V323" s="103" t="n">
        <v>-0.0186</v>
      </c>
      <c r="W323" s="103" t="n">
        <v>-0.2523</v>
      </c>
      <c r="X323" s="103" t="n">
        <v>-0.2113</v>
      </c>
      <c r="Y323" s="99" t="inlineStr">
        <is>
          <t>20250922~20261002</t>
        </is>
      </c>
      <c r="Z323" s="99" t="inlineStr"/>
      <c r="AA323">
        <f>IF(AND($J323&lt;&gt;"",OR(조회_주기="전체",$R323=조회_주기),$J323&gt;=조회_최소,$J323&lt;=조회_최대),1,0)</f>
        <v/>
      </c>
      <c r="AB323">
        <f>IF($AA323=1,$AB322+1,$AB322)</f>
        <v/>
      </c>
      <c r="AC323">
        <f>IF(검색어="",1,IF(ISNUMBER(SEARCH(검색어,$A323)),1,0))</f>
        <v/>
      </c>
      <c r="AD323">
        <f>IF($AC323=1,$AD322+1,$AD322)</f>
        <v/>
      </c>
      <c r="AE323">
        <f>IFERROR(INDEX($A$4:$A$594,MATCH(320,$AD$4:$AD$594,0)),"")</f>
        <v/>
      </c>
    </row>
    <row r="324">
      <c r="A324" s="99" t="inlineStr">
        <is>
          <t>PLUS 종합채권(AA-이상)액티브</t>
        </is>
      </c>
      <c r="B324" s="99" t="inlineStr">
        <is>
          <t>451000</t>
        </is>
      </c>
      <c r="C324" s="99" t="inlineStr">
        <is>
          <t>한화자산운용</t>
        </is>
      </c>
      <c r="D324" s="100" t="n">
        <v>107820</v>
      </c>
      <c r="E324" s="100" t="n">
        <v>564545520000</v>
      </c>
      <c r="F324" s="100" t="n">
        <v>29102954</v>
      </c>
      <c r="G324" s="101" t="n">
        <v>0.00045</v>
      </c>
      <c r="H324" s="101" t="n">
        <v>0.0438</v>
      </c>
      <c r="I324" s="101" t="n">
        <v>0.013</v>
      </c>
      <c r="J324" s="101" t="n">
        <v>0.013587</v>
      </c>
      <c r="K324" s="100" t="n">
        <v>1</v>
      </c>
      <c r="L324" s="102" t="inlineStr">
        <is>
          <t>20251212</t>
        </is>
      </c>
      <c r="M324" s="99" t="inlineStr">
        <is>
          <t>제외</t>
        </is>
      </c>
      <c r="N324" s="99" t="inlineStr">
        <is>
          <t>60일 거래대금 0.3억(기준 5억 미만)</t>
        </is>
      </c>
      <c r="O324" s="99" t="inlineStr">
        <is>
          <t>KAP 종합채권지수(AA-이상, 총수익)</t>
        </is>
      </c>
      <c r="P324" s="99" t="inlineStr">
        <is>
          <t>일반</t>
        </is>
      </c>
      <c r="Q324" s="99" t="inlineStr">
        <is>
          <t>채권</t>
        </is>
      </c>
      <c r="R324" s="99" t="inlineStr">
        <is>
          <t>연배당</t>
        </is>
      </c>
      <c r="S324" s="100" t="n">
        <v>1</v>
      </c>
      <c r="T324" s="101" t="n">
        <v>1</v>
      </c>
      <c r="U324" s="103" t="n">
        <v>-0.0621</v>
      </c>
      <c r="V324" s="103" t="n">
        <v>-0.0747</v>
      </c>
      <c r="W324" s="103" t="n">
        <v>-0.0217</v>
      </c>
      <c r="X324" s="103" t="n">
        <v>0.0032</v>
      </c>
      <c r="Y324" s="99" t="inlineStr">
        <is>
          <t>20250922~20261002</t>
        </is>
      </c>
      <c r="Z324" s="99" t="inlineStr"/>
      <c r="AA324">
        <f>IF(AND($J324&lt;&gt;"",OR(조회_주기="전체",$R324=조회_주기),$J324&gt;=조회_최소,$J324&lt;=조회_최대),1,0)</f>
        <v/>
      </c>
      <c r="AB324">
        <f>IF($AA324=1,$AB323+1,$AB323)</f>
        <v/>
      </c>
      <c r="AC324">
        <f>IF(검색어="",1,IF(ISNUMBER(SEARCH(검색어,$A324)),1,0))</f>
        <v/>
      </c>
      <c r="AD324">
        <f>IF($AC324=1,$AD323+1,$AD323)</f>
        <v/>
      </c>
      <c r="AE324">
        <f>IFERROR(INDEX($A$4:$A$594,MATCH(321,$AD$4:$AD$594,0)),"")</f>
        <v/>
      </c>
    </row>
    <row r="325">
      <c r="A325" s="99" t="inlineStr">
        <is>
          <t>TIGER 지주회사</t>
        </is>
      </c>
      <c r="B325" s="99" t="inlineStr">
        <is>
          <t>307520</t>
        </is>
      </c>
      <c r="C325" s="99" t="inlineStr">
        <is>
          <t>미래에셋자산운용</t>
        </is>
      </c>
      <c r="D325" s="100" t="n">
        <v>21710</v>
      </c>
      <c r="E325" s="100" t="n">
        <v>259434500000</v>
      </c>
      <c r="F325" s="100" t="n">
        <v>12389069156</v>
      </c>
      <c r="G325" s="101" t="n">
        <v>0.005</v>
      </c>
      <c r="H325" s="101" t="n">
        <v>0.4667</v>
      </c>
      <c r="I325" s="101" t="n">
        <v>0.0035</v>
      </c>
      <c r="J325" s="101" t="n">
        <v>0.01345</v>
      </c>
      <c r="K325" s="100" t="n">
        <v>12</v>
      </c>
      <c r="L325" s="102" t="inlineStr">
        <is>
          <t>20260730</t>
        </is>
      </c>
      <c r="M325" s="99" t="inlineStr">
        <is>
          <t>제외</t>
        </is>
      </c>
      <c r="N325" s="99" t="inlineStr">
        <is>
          <t>변동성 46.7%(1년 기준, 기준 35% 초과)</t>
        </is>
      </c>
      <c r="O325" s="99" t="inlineStr">
        <is>
          <t>FnGuide 지주회사 지수</t>
        </is>
      </c>
      <c r="P325" s="99" t="inlineStr">
        <is>
          <t>일반</t>
        </is>
      </c>
      <c r="Q325" s="99" t="inlineStr">
        <is>
          <t>주식</t>
        </is>
      </c>
      <c r="R325" s="99" t="inlineStr">
        <is>
          <t>연배당</t>
        </is>
      </c>
      <c r="S325" s="100" t="n">
        <v>2</v>
      </c>
      <c r="T325" s="101" t="n">
        <v>0.8356</v>
      </c>
      <c r="U325" s="103" t="n">
        <v>0.5099</v>
      </c>
      <c r="V325" s="103" t="n">
        <v>0.4899</v>
      </c>
      <c r="W325" s="103" t="n">
        <v>0.1173</v>
      </c>
      <c r="X325" s="103" t="n">
        <v>-0.04269999999999999</v>
      </c>
      <c r="Y325" s="99" t="inlineStr">
        <is>
          <t>20250922~20261002</t>
        </is>
      </c>
      <c r="Z325" s="99" t="inlineStr"/>
      <c r="AA325">
        <f>IF(AND($J325&lt;&gt;"",OR(조회_주기="전체",$R325=조회_주기),$J325&gt;=조회_최소,$J325&lt;=조회_최대),1,0)</f>
        <v/>
      </c>
      <c r="AB325">
        <f>IF($AA325=1,$AB324+1,$AB324)</f>
        <v/>
      </c>
      <c r="AC325">
        <f>IF(검색어="",1,IF(ISNUMBER(SEARCH(검색어,$A325)),1,0))</f>
        <v/>
      </c>
      <c r="AD325">
        <f>IF($AC325=1,$AD324+1,$AD324)</f>
        <v/>
      </c>
      <c r="AE325">
        <f>IFERROR(INDEX($A$4:$A$594,MATCH(322,$AD$4:$AD$594,0)),"")</f>
        <v/>
      </c>
    </row>
    <row r="326">
      <c r="A326" s="99" t="inlineStr">
        <is>
          <t>RISE 국고채10년액티브</t>
        </is>
      </c>
      <c r="B326" s="99" t="inlineStr">
        <is>
          <t>481430</t>
        </is>
      </c>
      <c r="C326" s="99" t="inlineStr">
        <is>
          <t>KB자산운용</t>
        </is>
      </c>
      <c r="D326" s="100" t="n">
        <v>98385</v>
      </c>
      <c r="E326" s="100" t="n">
        <v>45749025000</v>
      </c>
      <c r="F326" s="100" t="n">
        <v>305136765</v>
      </c>
      <c r="G326" s="101" t="n">
        <v>0.00012</v>
      </c>
      <c r="H326" s="101" t="n">
        <v>0.06709999999999999</v>
      </c>
      <c r="I326" s="101" t="n">
        <v>0.0127</v>
      </c>
      <c r="J326" s="101" t="n">
        <v>0.013427</v>
      </c>
      <c r="K326" s="100" t="n">
        <v>1</v>
      </c>
      <c r="L326" s="102" t="inlineStr">
        <is>
          <t>20251212</t>
        </is>
      </c>
      <c r="M326" s="99" t="inlineStr">
        <is>
          <t>제외</t>
        </is>
      </c>
      <c r="N326" s="99" t="inlineStr">
        <is>
          <t>60일 거래대금 3.1억(기준 5억 미만)</t>
        </is>
      </c>
      <c r="O326" s="99" t="inlineStr">
        <is>
          <t>KAP 국고채 10년 지수(총수익)</t>
        </is>
      </c>
      <c r="P326" s="99" t="inlineStr">
        <is>
          <t>일반</t>
        </is>
      </c>
      <c r="Q326" s="99" t="inlineStr">
        <is>
          <t>채권</t>
        </is>
      </c>
      <c r="R326" s="99" t="inlineStr">
        <is>
          <t>연배당</t>
        </is>
      </c>
      <c r="S326" s="100" t="n">
        <v>1</v>
      </c>
      <c r="T326" s="101" t="n">
        <v>1</v>
      </c>
      <c r="U326" s="103" t="n">
        <v>-0.08</v>
      </c>
      <c r="V326" s="103" t="n">
        <v>-0.0922</v>
      </c>
      <c r="W326" s="103" t="n">
        <v>-0.0252</v>
      </c>
      <c r="X326" s="103" t="n">
        <v>-0.0027</v>
      </c>
      <c r="Y326" s="99" t="inlineStr">
        <is>
          <t>20250922~20261002</t>
        </is>
      </c>
      <c r="Z326" s="99" t="inlineStr"/>
      <c r="AA326">
        <f>IF(AND($J326&lt;&gt;"",OR(조회_주기="전체",$R326=조회_주기),$J326&gt;=조회_최소,$J326&lt;=조회_최대),1,0)</f>
        <v/>
      </c>
      <c r="AB326">
        <f>IF($AA326=1,$AB325+1,$AB325)</f>
        <v/>
      </c>
      <c r="AC326">
        <f>IF(검색어="",1,IF(ISNUMBER(SEARCH(검색어,$A326)),1,0))</f>
        <v/>
      </c>
      <c r="AD326">
        <f>IF($AC326=1,$AD325+1,$AD325)</f>
        <v/>
      </c>
      <c r="AE326">
        <f>IFERROR(INDEX($A$4:$A$594,MATCH(323,$AD$4:$AD$594,0)),"")</f>
        <v/>
      </c>
    </row>
    <row r="327">
      <c r="A327" s="99" t="inlineStr">
        <is>
          <t>PLUS 단기채권액티브</t>
        </is>
      </c>
      <c r="B327" s="99" t="inlineStr">
        <is>
          <t>278620</t>
        </is>
      </c>
      <c r="C327" s="99" t="inlineStr">
        <is>
          <t>한화자산운용</t>
        </is>
      </c>
      <c r="D327" s="100" t="n">
        <v>119265</v>
      </c>
      <c r="E327" s="100" t="n">
        <v>67265460000</v>
      </c>
      <c r="F327" s="100" t="n">
        <v>148918462</v>
      </c>
      <c r="G327" s="101" t="n">
        <v>0.0007000000000000001</v>
      </c>
      <c r="H327" s="101" t="n">
        <v>0.0148</v>
      </c>
      <c r="I327" s="101" t="n">
        <v>0.0134</v>
      </c>
      <c r="J327" s="101" t="n">
        <v>0.013374</v>
      </c>
      <c r="K327" s="100" t="n">
        <v>1</v>
      </c>
      <c r="L327" s="102" t="inlineStr">
        <is>
          <t>20251212</t>
        </is>
      </c>
      <c r="M327" s="99" t="inlineStr">
        <is>
          <t>제외</t>
        </is>
      </c>
      <c r="N327" s="99" t="inlineStr">
        <is>
          <t>60일 거래대금 1.5억(기준 5억 미만)</t>
        </is>
      </c>
      <c r="O327" s="99" t="inlineStr">
        <is>
          <t>KAP 투자적격 크레딧 채권 1년 지수</t>
        </is>
      </c>
      <c r="P327" s="99" t="inlineStr">
        <is>
          <t>일반</t>
        </is>
      </c>
      <c r="Q327" s="99" t="inlineStr">
        <is>
          <t>채권</t>
        </is>
      </c>
      <c r="R327" s="99" t="inlineStr">
        <is>
          <t>연배당</t>
        </is>
      </c>
      <c r="S327" s="100" t="n">
        <v>1</v>
      </c>
      <c r="T327" s="101" t="n">
        <v>1</v>
      </c>
      <c r="U327" s="103" t="n">
        <v>0.021</v>
      </c>
      <c r="V327" s="103" t="n">
        <v>0.0076</v>
      </c>
      <c r="W327" s="103" t="n">
        <v>0.013</v>
      </c>
      <c r="X327" s="103" t="n">
        <v>0.0091</v>
      </c>
      <c r="Y327" s="99" t="inlineStr">
        <is>
          <t>20250922~20261002</t>
        </is>
      </c>
      <c r="Z327" s="99" t="inlineStr"/>
      <c r="AA327">
        <f>IF(AND($J327&lt;&gt;"",OR(조회_주기="전체",$R327=조회_주기),$J327&gt;=조회_최소,$J327&lt;=조회_최대),1,0)</f>
        <v/>
      </c>
      <c r="AB327">
        <f>IF($AA327=1,$AB326+1,$AB326)</f>
        <v/>
      </c>
      <c r="AC327">
        <f>IF(검색어="",1,IF(ISNUMBER(SEARCH(검색어,$A327)),1,0))</f>
        <v/>
      </c>
      <c r="AD327">
        <f>IF($AC327=1,$AD326+1,$AD326)</f>
        <v/>
      </c>
      <c r="AE327">
        <f>IFERROR(INDEX($A$4:$A$594,MATCH(324,$AD$4:$AD$594,0)),"")</f>
        <v/>
      </c>
    </row>
    <row r="328">
      <c r="A328" s="99" t="inlineStr">
        <is>
          <t>PLUS 국고채10년액티브</t>
        </is>
      </c>
      <c r="B328" s="99" t="inlineStr">
        <is>
          <t>461460</t>
        </is>
      </c>
      <c r="C328" s="99" t="inlineStr">
        <is>
          <t>한화자산운용</t>
        </is>
      </c>
      <c r="D328" s="100" t="n">
        <v>51495</v>
      </c>
      <c r="E328" s="100" t="n">
        <v>96398640000</v>
      </c>
      <c r="F328" s="100" t="n">
        <v>375580272</v>
      </c>
      <c r="G328" s="101" t="n">
        <v>0.00045</v>
      </c>
      <c r="H328" s="101" t="n">
        <v>0.06660000000000001</v>
      </c>
      <c r="I328" s="101" t="n">
        <v>0.0126</v>
      </c>
      <c r="J328" s="101" t="n">
        <v>0.013225</v>
      </c>
      <c r="K328" s="100" t="n">
        <v>1</v>
      </c>
      <c r="L328" s="102" t="inlineStr">
        <is>
          <t>20251212</t>
        </is>
      </c>
      <c r="M328" s="99" t="inlineStr">
        <is>
          <t>제외</t>
        </is>
      </c>
      <c r="N328" s="99" t="inlineStr">
        <is>
          <t>60일 거래대금 3.8억(기준 5억 미만)</t>
        </is>
      </c>
      <c r="O328" s="99" t="inlineStr">
        <is>
          <t>KAP 국고채 10년 동일가중 지수(총수익)</t>
        </is>
      </c>
      <c r="P328" s="99" t="inlineStr">
        <is>
          <t>일반</t>
        </is>
      </c>
      <c r="Q328" s="99" t="inlineStr">
        <is>
          <t>채권</t>
        </is>
      </c>
      <c r="R328" s="99" t="inlineStr">
        <is>
          <t>연배당</t>
        </is>
      </c>
      <c r="S328" s="100" t="n">
        <v>1</v>
      </c>
      <c r="T328" s="101" t="n">
        <v>1</v>
      </c>
      <c r="U328" s="103" t="n">
        <v>-0.0795</v>
      </c>
      <c r="V328" s="103" t="n">
        <v>-0.0916</v>
      </c>
      <c r="W328" s="103" t="n">
        <v>-0.0257</v>
      </c>
      <c r="X328" s="103" t="n">
        <v>-0.0024</v>
      </c>
      <c r="Y328" s="99" t="inlineStr">
        <is>
          <t>20250922~20261002</t>
        </is>
      </c>
      <c r="Z328" s="99" t="inlineStr"/>
      <c r="AA328">
        <f>IF(AND($J328&lt;&gt;"",OR(조회_주기="전체",$R328=조회_주기),$J328&gt;=조회_최소,$J328&lt;=조회_최대),1,0)</f>
        <v/>
      </c>
      <c r="AB328">
        <f>IF($AA328=1,$AB327+1,$AB327)</f>
        <v/>
      </c>
      <c r="AC328">
        <f>IF(검색어="",1,IF(ISNUMBER(SEARCH(검색어,$A328)),1,0))</f>
        <v/>
      </c>
      <c r="AD328">
        <f>IF($AC328=1,$AD327+1,$AD327)</f>
        <v/>
      </c>
      <c r="AE328">
        <f>IFERROR(INDEX($A$4:$A$594,MATCH(325,$AD$4:$AD$594,0)),"")</f>
        <v/>
      </c>
    </row>
    <row r="329">
      <c r="A329" s="99" t="inlineStr">
        <is>
          <t>RISE 글로벌테크놀로지(합성 H)</t>
        </is>
      </c>
      <c r="B329" s="99" t="inlineStr">
        <is>
          <t>276650</t>
        </is>
      </c>
      <c r="C329" s="99" t="inlineStr">
        <is>
          <t>KB자산운용</t>
        </is>
      </c>
      <c r="D329" s="100" t="n">
        <v>48860</v>
      </c>
      <c r="E329" s="100" t="n">
        <v>36645000000</v>
      </c>
      <c r="F329" s="100" t="n">
        <v>34770888</v>
      </c>
      <c r="G329" s="101" t="n">
        <v>0.004</v>
      </c>
      <c r="H329" s="101" t="n">
        <v>0.2249</v>
      </c>
      <c r="I329" s="101" t="n">
        <v>0.0164</v>
      </c>
      <c r="J329" s="101" t="n">
        <v>0.013181</v>
      </c>
      <c r="K329" s="100" t="n">
        <v>1</v>
      </c>
      <c r="L329" s="102" t="inlineStr">
        <is>
          <t>20251229</t>
        </is>
      </c>
      <c r="M329" s="99" t="inlineStr">
        <is>
          <t>제외</t>
        </is>
      </c>
      <c r="N329" s="99" t="inlineStr">
        <is>
          <t>60일 거래대금 0.3억(기준 5억 미만)</t>
        </is>
      </c>
      <c r="O329" s="99" t="inlineStr">
        <is>
          <t>S&amp;P Global 1200 Information Technology and Interactive Media</t>
        </is>
      </c>
      <c r="P329" s="99" t="inlineStr">
        <is>
          <t>일반</t>
        </is>
      </c>
      <c r="Q329" s="99" t="inlineStr">
        <is>
          <t>주식</t>
        </is>
      </c>
      <c r="R329" s="99" t="inlineStr">
        <is>
          <t>연배당</t>
        </is>
      </c>
      <c r="S329" s="100" t="n">
        <v>1</v>
      </c>
      <c r="T329" s="101" t="n">
        <v>1</v>
      </c>
      <c r="U329" s="103" t="n">
        <v>0.3006</v>
      </c>
      <c r="V329" s="103" t="n">
        <v>0.2835</v>
      </c>
      <c r="W329" s="103" t="n">
        <v>0.3495</v>
      </c>
      <c r="X329" s="103" t="n">
        <v>0.0587</v>
      </c>
      <c r="Y329" s="99" t="inlineStr">
        <is>
          <t>20250922~20261002</t>
        </is>
      </c>
      <c r="Z329" s="99" t="inlineStr"/>
      <c r="AA329">
        <f>IF(AND($J329&lt;&gt;"",OR(조회_주기="전체",$R329=조회_주기),$J329&gt;=조회_최소,$J329&lt;=조회_최대),1,0)</f>
        <v/>
      </c>
      <c r="AB329">
        <f>IF($AA329=1,$AB328+1,$AB328)</f>
        <v/>
      </c>
      <c r="AC329">
        <f>IF(검색어="",1,IF(ISNUMBER(SEARCH(검색어,$A329)),1,0))</f>
        <v/>
      </c>
      <c r="AD329">
        <f>IF($AC329=1,$AD328+1,$AD328)</f>
        <v/>
      </c>
      <c r="AE329">
        <f>IFERROR(INDEX($A$4:$A$594,MATCH(326,$AD$4:$AD$594,0)),"")</f>
        <v/>
      </c>
    </row>
    <row r="330">
      <c r="A330" s="99" t="inlineStr">
        <is>
          <t>ACE 코스피</t>
        </is>
      </c>
      <c r="B330" s="99" t="inlineStr">
        <is>
          <t>305050</t>
        </is>
      </c>
      <c r="C330" s="99" t="inlineStr">
        <is>
          <t>한국투신운용(ETF)</t>
        </is>
      </c>
      <c r="D330" s="100" t="n">
        <v>72950</v>
      </c>
      <c r="E330" s="100" t="n">
        <v>47417500000</v>
      </c>
      <c r="F330" s="100" t="n">
        <v>373777957</v>
      </c>
      <c r="G330" s="101" t="n">
        <v>0.0002</v>
      </c>
      <c r="H330" s="101" t="n">
        <v>0.5397</v>
      </c>
      <c r="I330" s="101" t="n">
        <v>0.0135</v>
      </c>
      <c r="J330" s="101" t="n">
        <v>0.012886</v>
      </c>
      <c r="K330" s="100" t="n">
        <v>5</v>
      </c>
      <c r="L330" s="102" t="inlineStr">
        <is>
          <t>20260429</t>
        </is>
      </c>
      <c r="M330" s="99" t="inlineStr">
        <is>
          <t>제외</t>
        </is>
      </c>
      <c r="N330" s="99" t="inlineStr">
        <is>
          <t>60일 거래대금 3.7억(기준 5억 미만), 변동성 54.0%(1년 기준, 기준 35% 초과)</t>
        </is>
      </c>
      <c r="O330" s="99" t="inlineStr">
        <is>
          <t>코스피</t>
        </is>
      </c>
      <c r="P330" s="99" t="inlineStr">
        <is>
          <t>일반</t>
        </is>
      </c>
      <c r="Q330" s="99" t="inlineStr">
        <is>
          <t>주식</t>
        </is>
      </c>
      <c r="R330" s="99" t="inlineStr">
        <is>
          <t>연배당</t>
        </is>
      </c>
      <c r="S330" s="100" t="n">
        <v>1</v>
      </c>
      <c r="T330" s="101" t="n">
        <v>1</v>
      </c>
      <c r="U330" s="103" t="n"/>
      <c r="V330" s="103" t="n"/>
      <c r="W330" s="103" t="n"/>
      <c r="X330" s="103" t="n"/>
      <c r="Y330" s="99" t="inlineStr"/>
      <c r="Z330" s="99" t="inlineStr">
        <is>
          <t>창 안 급변일 1일(20260731) — 내지 않음 / 6개월: 창 안 급변일 1일(20260731) — 내지 않음 / 3개월: 창 안 급변일 1일(20260731) — 내지 않음</t>
        </is>
      </c>
      <c r="AA330">
        <f>IF(AND($J330&lt;&gt;"",OR(조회_주기="전체",$R330=조회_주기),$J330&gt;=조회_최소,$J330&lt;=조회_최대),1,0)</f>
        <v/>
      </c>
      <c r="AB330">
        <f>IF($AA330=1,$AB329+1,$AB329)</f>
        <v/>
      </c>
      <c r="AC330">
        <f>IF(검색어="",1,IF(ISNUMBER(SEARCH(검색어,$A330)),1,0))</f>
        <v/>
      </c>
      <c r="AD330">
        <f>IF($AC330=1,$AD329+1,$AD329)</f>
        <v/>
      </c>
      <c r="AE330">
        <f>IFERROR(INDEX($A$4:$A$594,MATCH(327,$AD$4:$AD$594,0)),"")</f>
        <v/>
      </c>
    </row>
    <row r="331">
      <c r="A331" s="99" t="inlineStr">
        <is>
          <t>ACE 2월만기자동연장회사채AA-이상액티브</t>
        </is>
      </c>
      <c r="B331" s="99" t="inlineStr">
        <is>
          <t>475260</t>
        </is>
      </c>
      <c r="C331" s="99" t="inlineStr">
        <is>
          <t>한국투신운용(ETF)</t>
        </is>
      </c>
      <c r="D331" s="100" t="n">
        <v>10770</v>
      </c>
      <c r="E331" s="100" t="n">
        <v>49649700000</v>
      </c>
      <c r="F331" s="100" t="n">
        <v>5532437</v>
      </c>
      <c r="G331" s="101" t="n">
        <v>0.0005</v>
      </c>
      <c r="H331" s="101" t="n">
        <v>0.013</v>
      </c>
      <c r="I331" s="101" t="n">
        <v>0.0127</v>
      </c>
      <c r="J331" s="101" t="n">
        <v>0.012535</v>
      </c>
      <c r="K331" s="100" t="n">
        <v>1</v>
      </c>
      <c r="L331" s="102" t="inlineStr">
        <is>
          <t>20251127</t>
        </is>
      </c>
      <c r="M331" s="99" t="inlineStr">
        <is>
          <t>제외</t>
        </is>
      </c>
      <c r="N331" s="99" t="inlineStr">
        <is>
          <t>60일 거래대금 0.1억(기준 5억 미만)</t>
        </is>
      </c>
      <c r="O331" s="99" t="inlineStr">
        <is>
          <t>KAP 2월 만기자동연장 회사채(AA-이상) 총수익지수</t>
        </is>
      </c>
      <c r="P331" s="99" t="inlineStr">
        <is>
          <t>일반</t>
        </is>
      </c>
      <c r="Q331" s="99" t="inlineStr">
        <is>
          <t>채권</t>
        </is>
      </c>
      <c r="R331" s="99" t="inlineStr">
        <is>
          <t>연배당</t>
        </is>
      </c>
      <c r="S331" s="100" t="n">
        <v>1</v>
      </c>
      <c r="T331" s="101" t="n">
        <v>1</v>
      </c>
      <c r="U331" s="103" t="n">
        <v>0.0277</v>
      </c>
      <c r="V331" s="103" t="n">
        <v>0.0149</v>
      </c>
      <c r="W331" s="103" t="n">
        <v>0.0136</v>
      </c>
      <c r="X331" s="103" t="n">
        <v>0.009000000000000001</v>
      </c>
      <c r="Y331" s="99" t="inlineStr">
        <is>
          <t>20250922~20261002</t>
        </is>
      </c>
      <c r="Z331" s="99" t="inlineStr"/>
      <c r="AA331">
        <f>IF(AND($J331&lt;&gt;"",OR(조회_주기="전체",$R331=조회_주기),$J331&gt;=조회_최소,$J331&lt;=조회_최대),1,0)</f>
        <v/>
      </c>
      <c r="AB331">
        <f>IF($AA331=1,$AB330+1,$AB330)</f>
        <v/>
      </c>
      <c r="AC331">
        <f>IF(검색어="",1,IF(ISNUMBER(SEARCH(검색어,$A331)),1,0))</f>
        <v/>
      </c>
      <c r="AD331">
        <f>IF($AC331=1,$AD330+1,$AD330)</f>
        <v/>
      </c>
      <c r="AE331">
        <f>IFERROR(INDEX($A$4:$A$594,MATCH(328,$AD$4:$AD$594,0)),"")</f>
        <v/>
      </c>
    </row>
    <row r="332">
      <c r="A332" s="99" t="inlineStr">
        <is>
          <t>ACE 미국WideMoat동일가중</t>
        </is>
      </c>
      <c r="B332" s="99" t="inlineStr">
        <is>
          <t>309230</t>
        </is>
      </c>
      <c r="C332" s="99" t="inlineStr">
        <is>
          <t>한국투신운용(ETF)</t>
        </is>
      </c>
      <c r="D332" s="100" t="n">
        <v>28775</v>
      </c>
      <c r="E332" s="100" t="n">
        <v>105892000000</v>
      </c>
      <c r="F332" s="100" t="n">
        <v>250050903</v>
      </c>
      <c r="G332" s="101" t="n">
        <v>0.004</v>
      </c>
      <c r="H332" s="101" t="n">
        <v>0.1588</v>
      </c>
      <c r="I332" s="101" t="n">
        <v>0.0031</v>
      </c>
      <c r="J332" s="101" t="n">
        <v>0.012441</v>
      </c>
      <c r="K332" s="100" t="n">
        <v>10</v>
      </c>
      <c r="L332" s="102" t="inlineStr">
        <is>
          <t>20260730</t>
        </is>
      </c>
      <c r="M332" s="99" t="inlineStr">
        <is>
          <t>제외</t>
        </is>
      </c>
      <c r="N332" s="99" t="inlineStr">
        <is>
          <t>60일 거래대금 2.5억(기준 5억 미만)</t>
        </is>
      </c>
      <c r="O332" s="99" t="inlineStr">
        <is>
          <t>Morningstar Wide Moat Focus Index</t>
        </is>
      </c>
      <c r="P332" s="99" t="inlineStr">
        <is>
          <t>일반</t>
        </is>
      </c>
      <c r="Q332" s="99" t="inlineStr">
        <is>
          <t>주식</t>
        </is>
      </c>
      <c r="R332" s="99" t="inlineStr">
        <is>
          <t>분기배당</t>
        </is>
      </c>
      <c r="S332" s="100" t="n">
        <v>3</v>
      </c>
      <c r="T332" s="101" t="n">
        <v>1</v>
      </c>
      <c r="U332" s="103" t="n">
        <v>0.0455</v>
      </c>
      <c r="V332" s="103" t="n">
        <v>0.0327</v>
      </c>
      <c r="W332" s="103" t="n">
        <v>-0.0232</v>
      </c>
      <c r="X332" s="103" t="n">
        <v>-0.1212</v>
      </c>
      <c r="Y332" s="99" t="inlineStr">
        <is>
          <t>20250922~20261002</t>
        </is>
      </c>
      <c r="Z332" s="99" t="inlineStr"/>
      <c r="AA332">
        <f>IF(AND($J332&lt;&gt;"",OR(조회_주기="전체",$R332=조회_주기),$J332&gt;=조회_최소,$J332&lt;=조회_최대),1,0)</f>
        <v/>
      </c>
      <c r="AB332">
        <f>IF($AA332=1,$AB331+1,$AB331)</f>
        <v/>
      </c>
      <c r="AC332">
        <f>IF(검색어="",1,IF(ISNUMBER(SEARCH(검색어,$A332)),1,0))</f>
        <v/>
      </c>
      <c r="AD332">
        <f>IF($AC332=1,$AD331+1,$AD331)</f>
        <v/>
      </c>
      <c r="AE332">
        <f>IFERROR(INDEX($A$4:$A$594,MATCH(329,$AD$4:$AD$594,0)),"")</f>
        <v/>
      </c>
    </row>
    <row r="333">
      <c r="A333" s="99" t="inlineStr">
        <is>
          <t>1Q 중단기회사채(A-이상)액티브</t>
        </is>
      </c>
      <c r="B333" s="99" t="inlineStr">
        <is>
          <t>0052T0</t>
        </is>
      </c>
      <c r="C333" s="99" t="inlineStr">
        <is>
          <t>하나자산운용</t>
        </is>
      </c>
      <c r="D333" s="100" t="n">
        <v>50855</v>
      </c>
      <c r="E333" s="100" t="n">
        <v>90013350000</v>
      </c>
      <c r="F333" s="100" t="n">
        <v>457408819</v>
      </c>
      <c r="G333" s="101" t="n">
        <v>0.0005</v>
      </c>
      <c r="H333" s="101" t="n">
        <v>0.0159</v>
      </c>
      <c r="I333" s="101" t="n">
        <v>0.0123</v>
      </c>
      <c r="J333" s="101" t="n">
        <v>0.012192</v>
      </c>
      <c r="K333" s="100" t="n">
        <v>1</v>
      </c>
      <c r="L333" s="102" t="inlineStr">
        <is>
          <t>20251113</t>
        </is>
      </c>
      <c r="M333" s="99" t="inlineStr">
        <is>
          <t>제외</t>
        </is>
      </c>
      <c r="N333" s="99" t="inlineStr">
        <is>
          <t>60일 거래대금 4.6억(기준 5억 미만)</t>
        </is>
      </c>
      <c r="O333" s="99" t="inlineStr">
        <is>
          <t>KEDI 중단기크레딧플러스채권(AAA~A-) 지수(총수익)</t>
        </is>
      </c>
      <c r="P333" s="99" t="inlineStr">
        <is>
          <t>일반</t>
        </is>
      </c>
      <c r="Q333" s="99" t="inlineStr">
        <is>
          <t>채권</t>
        </is>
      </c>
      <c r="R333" s="99" t="inlineStr">
        <is>
          <t>연배당</t>
        </is>
      </c>
      <c r="S333" s="100" t="n">
        <v>1</v>
      </c>
      <c r="T333" s="101" t="n">
        <v>0.7081</v>
      </c>
      <c r="U333" s="103" t="n">
        <v>0.0198</v>
      </c>
      <c r="V333" s="103" t="n">
        <v>0.0075</v>
      </c>
      <c r="W333" s="103" t="n">
        <v>0.0155</v>
      </c>
      <c r="X333" s="103" t="n">
        <v>0.0095</v>
      </c>
      <c r="Y333" s="99" t="inlineStr">
        <is>
          <t>20250922~20261002</t>
        </is>
      </c>
      <c r="Z333" s="99" t="inlineStr"/>
      <c r="AA333">
        <f>IF(AND($J333&lt;&gt;"",OR(조회_주기="전체",$R333=조회_주기),$J333&gt;=조회_최소,$J333&lt;=조회_최대),1,0)</f>
        <v/>
      </c>
      <c r="AB333">
        <f>IF($AA333=1,$AB332+1,$AB332)</f>
        <v/>
      </c>
      <c r="AC333">
        <f>IF(검색어="",1,IF(ISNUMBER(SEARCH(검색어,$A333)),1,0))</f>
        <v/>
      </c>
      <c r="AD333">
        <f>IF($AC333=1,$AD332+1,$AD332)</f>
        <v/>
      </c>
      <c r="AE333">
        <f>IFERROR(INDEX($A$4:$A$594,MATCH(330,$AD$4:$AD$594,0)),"")</f>
        <v/>
      </c>
    </row>
    <row r="334">
      <c r="A334" s="99" t="inlineStr">
        <is>
          <t>ACE 라이프자산주주가치액티브</t>
        </is>
      </c>
      <c r="B334" s="99" t="inlineStr">
        <is>
          <t>494330</t>
        </is>
      </c>
      <c r="C334" s="99" t="inlineStr">
        <is>
          <t>한국투신운용(ETF)</t>
        </is>
      </c>
      <c r="D334" s="100" t="n">
        <v>33105</v>
      </c>
      <c r="E334" s="100" t="n">
        <v>188698500000</v>
      </c>
      <c r="F334" s="100" t="n">
        <v>1575102773</v>
      </c>
      <c r="G334" s="101" t="n">
        <v>0.005</v>
      </c>
      <c r="H334" s="101" t="n">
        <v>0.4378</v>
      </c>
      <c r="I334" s="101" t="n">
        <v>0.0035</v>
      </c>
      <c r="J334" s="101" t="n">
        <v>0.012083</v>
      </c>
      <c r="K334" s="100" t="n">
        <v>6</v>
      </c>
      <c r="L334" s="102" t="inlineStr">
        <is>
          <t>20260730</t>
        </is>
      </c>
      <c r="M334" s="99" t="inlineStr">
        <is>
          <t>제외</t>
        </is>
      </c>
      <c r="N334" s="99" t="inlineStr">
        <is>
          <t>변동성 43.8%(1년 기준, 기준 35% 초과)</t>
        </is>
      </c>
      <c r="O334" s="99" t="inlineStr">
        <is>
          <t>FnGuide 기업가치 지수</t>
        </is>
      </c>
      <c r="P334" s="99" t="inlineStr">
        <is>
          <t>일반</t>
        </is>
      </c>
      <c r="Q334" s="99" t="inlineStr">
        <is>
          <t>주식</t>
        </is>
      </c>
      <c r="R334" s="99" t="inlineStr">
        <is>
          <t>분기배당</t>
        </is>
      </c>
      <c r="S334" s="100" t="n">
        <v>3</v>
      </c>
      <c r="T334" s="101" t="n">
        <v>1</v>
      </c>
      <c r="U334" s="103" t="n">
        <v>1.3731</v>
      </c>
      <c r="V334" s="103" t="n">
        <v>1.3448</v>
      </c>
      <c r="W334" s="103" t="n">
        <v>0.5756</v>
      </c>
      <c r="X334" s="103" t="n">
        <v>0.005600000000000001</v>
      </c>
      <c r="Y334" s="99" t="inlineStr">
        <is>
          <t>20250922~20261002</t>
        </is>
      </c>
      <c r="Z334" s="99" t="inlineStr"/>
      <c r="AA334">
        <f>IF(AND($J334&lt;&gt;"",OR(조회_주기="전체",$R334=조회_주기),$J334&gt;=조회_최소,$J334&lt;=조회_최대),1,0)</f>
        <v/>
      </c>
      <c r="AB334">
        <f>IF($AA334=1,$AB333+1,$AB333)</f>
        <v/>
      </c>
      <c r="AC334">
        <f>IF(검색어="",1,IF(ISNUMBER(SEARCH(검색어,$A334)),1,0))</f>
        <v/>
      </c>
      <c r="AD334">
        <f>IF($AC334=1,$AD333+1,$AD333)</f>
        <v/>
      </c>
      <c r="AE334">
        <f>IFERROR(INDEX($A$4:$A$594,MATCH(331,$AD$4:$AD$594,0)),"")</f>
        <v/>
      </c>
    </row>
    <row r="335">
      <c r="A335" s="99" t="inlineStr">
        <is>
          <t>WON 종합채권(AA-이상)액티브</t>
        </is>
      </c>
      <c r="B335" s="99" t="inlineStr">
        <is>
          <t>488720</t>
        </is>
      </c>
      <c r="C335" s="99" t="inlineStr">
        <is>
          <t>우리자산운용</t>
        </is>
      </c>
      <c r="D335" s="100" t="n">
        <v>48870</v>
      </c>
      <c r="E335" s="100" t="n">
        <v>160098120000</v>
      </c>
      <c r="F335" s="100" t="n">
        <v>196097297</v>
      </c>
      <c r="G335" s="101" t="n">
        <v>0.00045</v>
      </c>
      <c r="H335" s="101" t="n">
        <v>0.0435</v>
      </c>
      <c r="I335" s="101" t="n">
        <v>0.0116</v>
      </c>
      <c r="J335" s="101" t="n">
        <v>0.012073</v>
      </c>
      <c r="K335" s="100" t="n">
        <v>1</v>
      </c>
      <c r="L335" s="102" t="inlineStr">
        <is>
          <t>20251229</t>
        </is>
      </c>
      <c r="M335" s="99" t="inlineStr">
        <is>
          <t>제외</t>
        </is>
      </c>
      <c r="N335" s="99" t="inlineStr">
        <is>
          <t>60일 거래대금 2.0억(기준 5억 미만)</t>
        </is>
      </c>
      <c r="O335" s="99" t="inlineStr">
        <is>
          <t>KIS 종합채권시장 총수익지수(AA-이상)</t>
        </is>
      </c>
      <c r="P335" s="99" t="inlineStr">
        <is>
          <t>일반</t>
        </is>
      </c>
      <c r="Q335" s="99" t="inlineStr">
        <is>
          <t>채권</t>
        </is>
      </c>
      <c r="R335" s="99" t="inlineStr">
        <is>
          <t>연배당</t>
        </is>
      </c>
      <c r="S335" s="100" t="n">
        <v>1</v>
      </c>
      <c r="T335" s="101" t="n">
        <v>1</v>
      </c>
      <c r="U335" s="103" t="n">
        <v>-0.0558</v>
      </c>
      <c r="V335" s="103" t="n">
        <v>-0.06709999999999999</v>
      </c>
      <c r="W335" s="103" t="n">
        <v>-0.018</v>
      </c>
      <c r="X335" s="103" t="n">
        <v>0.0039</v>
      </c>
      <c r="Y335" s="99" t="inlineStr">
        <is>
          <t>20250922~20261002</t>
        </is>
      </c>
      <c r="Z335" s="99" t="inlineStr"/>
      <c r="AA335">
        <f>IF(AND($J335&lt;&gt;"",OR(조회_주기="전체",$R335=조회_주기),$J335&gt;=조회_최소,$J335&lt;=조회_최대),1,0)</f>
        <v/>
      </c>
      <c r="AB335">
        <f>IF($AA335=1,$AB334+1,$AB334)</f>
        <v/>
      </c>
      <c r="AC335">
        <f>IF(검색어="",1,IF(ISNUMBER(SEARCH(검색어,$A335)),1,0))</f>
        <v/>
      </c>
      <c r="AD335">
        <f>IF($AC335=1,$AD334+1,$AD334)</f>
        <v/>
      </c>
      <c r="AE335">
        <f>IFERROR(INDEX($A$4:$A$594,MATCH(332,$AD$4:$AD$594,0)),"")</f>
        <v/>
      </c>
    </row>
    <row r="336">
      <c r="A336" s="99" t="inlineStr">
        <is>
          <t>ACE 포스코그룹포커스</t>
        </is>
      </c>
      <c r="B336" s="99" t="inlineStr">
        <is>
          <t>469170</t>
        </is>
      </c>
      <c r="C336" s="99" t="inlineStr">
        <is>
          <t>한국투신운용(ETF)</t>
        </is>
      </c>
      <c r="D336" s="100" t="n">
        <v>5915</v>
      </c>
      <c r="E336" s="100" t="n">
        <v>120666000000</v>
      </c>
      <c r="F336" s="100" t="n">
        <v>4362934534</v>
      </c>
      <c r="G336" s="101" t="n">
        <v>0.003</v>
      </c>
      <c r="H336" s="101" t="n">
        <v>0.5218</v>
      </c>
      <c r="I336" s="101" t="n">
        <v>0.0017</v>
      </c>
      <c r="J336" s="101" t="n">
        <v>0.012003</v>
      </c>
      <c r="K336" s="100" t="n">
        <v>10</v>
      </c>
      <c r="L336" s="102" t="inlineStr">
        <is>
          <t>20260730</t>
        </is>
      </c>
      <c r="M336" s="99" t="inlineStr">
        <is>
          <t>제외</t>
        </is>
      </c>
      <c r="N336" s="99" t="inlineStr">
        <is>
          <t>변동성 52.2%(1년 기준, 기준 35% 초과)</t>
        </is>
      </c>
      <c r="O336" s="99" t="inlineStr">
        <is>
          <t>FnGuide 포스코그룹 포커스 지수</t>
        </is>
      </c>
      <c r="P336" s="99" t="inlineStr">
        <is>
          <t>일반</t>
        </is>
      </c>
      <c r="Q336" s="99" t="inlineStr">
        <is>
          <t>주식</t>
        </is>
      </c>
      <c r="R336" s="99" t="inlineStr">
        <is>
          <t>분기배당</t>
        </is>
      </c>
      <c r="S336" s="100" t="n">
        <v>3</v>
      </c>
      <c r="T336" s="101" t="n">
        <v>1</v>
      </c>
      <c r="U336" s="103" t="n"/>
      <c r="V336" s="103" t="n"/>
      <c r="W336" s="103" t="n">
        <v>-0.1945</v>
      </c>
      <c r="X336" s="103" t="n">
        <v>0.07400000000000001</v>
      </c>
      <c r="Y336" s="99" t="inlineStr"/>
      <c r="Z336" s="99" t="inlineStr">
        <is>
          <t>창 안 급변일 1일(20260304) — 내지 않음</t>
        </is>
      </c>
      <c r="AA336">
        <f>IF(AND($J336&lt;&gt;"",OR(조회_주기="전체",$R336=조회_주기),$J336&gt;=조회_최소,$J336&lt;=조회_최대),1,0)</f>
        <v/>
      </c>
      <c r="AB336">
        <f>IF($AA336=1,$AB335+1,$AB335)</f>
        <v/>
      </c>
      <c r="AC336">
        <f>IF(검색어="",1,IF(ISNUMBER(SEARCH(검색어,$A336)),1,0))</f>
        <v/>
      </c>
      <c r="AD336">
        <f>IF($AC336=1,$AD335+1,$AD335)</f>
        <v/>
      </c>
      <c r="AE336">
        <f>IFERROR(INDEX($A$4:$A$594,MATCH(333,$AD$4:$AD$594,0)),"")</f>
        <v/>
      </c>
    </row>
    <row r="337">
      <c r="A337" s="99" t="inlineStr">
        <is>
          <t>아이엠에셋 200</t>
        </is>
      </c>
      <c r="B337" s="99" t="inlineStr">
        <is>
          <t>0007N0</t>
        </is>
      </c>
      <c r="C337" s="99" t="inlineStr">
        <is>
          <t>iM에셋자산운용</t>
        </is>
      </c>
      <c r="D337" s="100" t="n">
        <v>112775</v>
      </c>
      <c r="E337" s="100" t="n">
        <v>90220000000</v>
      </c>
      <c r="F337" s="100" t="n">
        <v>272906794</v>
      </c>
      <c r="G337" s="101" t="n">
        <v>0.0005</v>
      </c>
      <c r="H337" s="101" t="n">
        <v>0.5847</v>
      </c>
      <c r="I337" s="101" t="n">
        <v>0.0017</v>
      </c>
      <c r="J337" s="101" t="n">
        <v>0.011971</v>
      </c>
      <c r="K337" s="100" t="n">
        <v>2</v>
      </c>
      <c r="L337" s="102" t="inlineStr">
        <is>
          <t>20260730</t>
        </is>
      </c>
      <c r="M337" s="99" t="inlineStr">
        <is>
          <t>제외</t>
        </is>
      </c>
      <c r="N337" s="99" t="inlineStr">
        <is>
          <t>60일 거래대금 2.7억(기준 5억 미만), 변동성 58.5%(1년 기준, 기준 35% 초과)</t>
        </is>
      </c>
      <c r="O337" s="99" t="inlineStr">
        <is>
          <t>KOSPI 200</t>
        </is>
      </c>
      <c r="P337" s="99" t="inlineStr">
        <is>
          <t>일반</t>
        </is>
      </c>
      <c r="Q337" s="99" t="inlineStr">
        <is>
          <t>주식</t>
        </is>
      </c>
      <c r="R337" s="99" t="inlineStr">
        <is>
          <t>연배당</t>
        </is>
      </c>
      <c r="S337" s="100" t="n">
        <v>2</v>
      </c>
      <c r="T337" s="101" t="n">
        <v>1</v>
      </c>
      <c r="U337" s="103" t="n"/>
      <c r="V337" s="103" t="n"/>
      <c r="W337" s="103" t="n"/>
      <c r="X337" s="103" t="n"/>
      <c r="Y337" s="99" t="inlineStr"/>
      <c r="Z337" s="99" t="inlineStr">
        <is>
          <t>창 안 급변일 1일(20260731) — 내지 않음 / 6개월: 창 안 급변일 1일(20260731) — 내지 않음 / 3개월: 창 안 급변일 1일(20260731) — 내지 않음</t>
        </is>
      </c>
      <c r="AA337">
        <f>IF(AND($J337&lt;&gt;"",OR(조회_주기="전체",$R337=조회_주기),$J337&gt;=조회_최소,$J337&lt;=조회_최대),1,0)</f>
        <v/>
      </c>
      <c r="AB337">
        <f>IF($AA337=1,$AB336+1,$AB336)</f>
        <v/>
      </c>
      <c r="AC337">
        <f>IF(검색어="",1,IF(ISNUMBER(SEARCH(검색어,$A337)),1,0))</f>
        <v/>
      </c>
      <c r="AD337">
        <f>IF($AC337=1,$AD336+1,$AD336)</f>
        <v/>
      </c>
      <c r="AE337">
        <f>IFERROR(INDEX($A$4:$A$594,MATCH(334,$AD$4:$AD$594,0)),"")</f>
        <v/>
      </c>
    </row>
    <row r="338">
      <c r="A338" s="99" t="inlineStr">
        <is>
          <t>RISE 단기특수은행채액티브</t>
        </is>
      </c>
      <c r="B338" s="99" t="inlineStr">
        <is>
          <t>0061Z0</t>
        </is>
      </c>
      <c r="C338" s="99" t="inlineStr">
        <is>
          <t>KB자산운용</t>
        </is>
      </c>
      <c r="D338" s="100" t="n">
        <v>51140</v>
      </c>
      <c r="E338" s="100" t="n">
        <v>629635680000</v>
      </c>
      <c r="F338" s="100" t="n">
        <v>339746852</v>
      </c>
      <c r="G338" s="101" t="n">
        <v>0.0001</v>
      </c>
      <c r="H338" s="101" t="n">
        <v>0.0123</v>
      </c>
      <c r="I338" s="101" t="n">
        <v>0.0121</v>
      </c>
      <c r="J338" s="101" t="n">
        <v>0.011967</v>
      </c>
      <c r="K338" s="100" t="n">
        <v>1</v>
      </c>
      <c r="L338" s="102" t="inlineStr">
        <is>
          <t>20251212</t>
        </is>
      </c>
      <c r="M338" s="99" t="inlineStr">
        <is>
          <t>제외</t>
        </is>
      </c>
      <c r="N338" s="99" t="inlineStr">
        <is>
          <t>60일 거래대금 3.4억(기준 5억 미만)</t>
        </is>
      </c>
      <c r="O338" s="99" t="inlineStr">
        <is>
          <t>KAP 단기 특수은행채 지수</t>
        </is>
      </c>
      <c r="P338" s="99" t="inlineStr">
        <is>
          <t>일반</t>
        </is>
      </c>
      <c r="Q338" s="99" t="inlineStr">
        <is>
          <t>단기자금(파킹형)</t>
        </is>
      </c>
      <c r="R338" s="99" t="inlineStr">
        <is>
          <t>연배당</t>
        </is>
      </c>
      <c r="S338" s="100" t="n">
        <v>1</v>
      </c>
      <c r="T338" s="101" t="n">
        <v>0.9477</v>
      </c>
      <c r="U338" s="103" t="n">
        <v>0.0281</v>
      </c>
      <c r="V338" s="103" t="n">
        <v>0.0159</v>
      </c>
      <c r="W338" s="103" t="n">
        <v>0.0145</v>
      </c>
      <c r="X338" s="103" t="n">
        <v>0.0075</v>
      </c>
      <c r="Y338" s="99" t="inlineStr">
        <is>
          <t>20250922~20261002</t>
        </is>
      </c>
      <c r="Z338" s="99" t="inlineStr"/>
      <c r="AA338">
        <f>IF(AND($J338&lt;&gt;"",OR(조회_주기="전체",$R338=조회_주기),$J338&gt;=조회_최소,$J338&lt;=조회_최대),1,0)</f>
        <v/>
      </c>
      <c r="AB338">
        <f>IF($AA338=1,$AB337+1,$AB337)</f>
        <v/>
      </c>
      <c r="AC338">
        <f>IF(검색어="",1,IF(ISNUMBER(SEARCH(검색어,$A338)),1,0))</f>
        <v/>
      </c>
      <c r="AD338">
        <f>IF($AC338=1,$AD337+1,$AD337)</f>
        <v/>
      </c>
      <c r="AE338">
        <f>IFERROR(INDEX($A$4:$A$594,MATCH(335,$AD$4:$AD$594,0)),"")</f>
        <v/>
      </c>
    </row>
    <row r="339">
      <c r="A339" s="99" t="inlineStr">
        <is>
          <t>RISE 중국본토대형주CSI100</t>
        </is>
      </c>
      <c r="B339" s="99" t="inlineStr">
        <is>
          <t>174360</t>
        </is>
      </c>
      <c r="C339" s="99" t="inlineStr">
        <is>
          <t>KB자산운용</t>
        </is>
      </c>
      <c r="D339" s="100" t="n">
        <v>21790</v>
      </c>
      <c r="E339" s="100" t="n">
        <v>30506000000</v>
      </c>
      <c r="F339" s="100" t="n">
        <v>90137121</v>
      </c>
      <c r="G339" s="101" t="n">
        <v>0.006500000000000001</v>
      </c>
      <c r="H339" s="101" t="n">
        <v>0.2342</v>
      </c>
      <c r="I339" s="101" t="n">
        <v>0.0109</v>
      </c>
      <c r="J339" s="101" t="n">
        <v>0.011932</v>
      </c>
      <c r="K339" s="100" t="n">
        <v>1</v>
      </c>
      <c r="L339" s="102" t="inlineStr">
        <is>
          <t>20251229</t>
        </is>
      </c>
      <c r="M339" s="99" t="inlineStr">
        <is>
          <t>제외</t>
        </is>
      </c>
      <c r="N339" s="99" t="inlineStr">
        <is>
          <t>60일 거래대금 0.9억(기준 5억 미만)</t>
        </is>
      </c>
      <c r="O339" s="99" t="inlineStr">
        <is>
          <t>CSI 100 INDEX</t>
        </is>
      </c>
      <c r="P339" s="99" t="inlineStr">
        <is>
          <t>일반</t>
        </is>
      </c>
      <c r="Q339" s="99" t="inlineStr">
        <is>
          <t>주식</t>
        </is>
      </c>
      <c r="R339" s="99" t="inlineStr">
        <is>
          <t>연배당</t>
        </is>
      </c>
      <c r="S339" s="100" t="n">
        <v>1</v>
      </c>
      <c r="T339" s="101" t="n">
        <v>1</v>
      </c>
      <c r="U339" s="103" t="n">
        <v>0.0074</v>
      </c>
      <c r="V339" s="103" t="n">
        <v>-0.0046</v>
      </c>
      <c r="W339" s="103" t="n">
        <v>-0.1065</v>
      </c>
      <c r="X339" s="103" t="n">
        <v>-0.1955</v>
      </c>
      <c r="Y339" s="99" t="inlineStr">
        <is>
          <t>20250922~20261002</t>
        </is>
      </c>
      <c r="Z339" s="99" t="inlineStr"/>
      <c r="AA339">
        <f>IF(AND($J339&lt;&gt;"",OR(조회_주기="전체",$R339=조회_주기),$J339&gt;=조회_최소,$J339&lt;=조회_최대),1,0)</f>
        <v/>
      </c>
      <c r="AB339">
        <f>IF($AA339=1,$AB338+1,$AB338)</f>
        <v/>
      </c>
      <c r="AC339">
        <f>IF(검색어="",1,IF(ISNUMBER(SEARCH(검색어,$A339)),1,0))</f>
        <v/>
      </c>
      <c r="AD339">
        <f>IF($AC339=1,$AD338+1,$AD338)</f>
        <v/>
      </c>
      <c r="AE339">
        <f>IFERROR(INDEX($A$4:$A$594,MATCH(336,$AD$4:$AD$594,0)),"")</f>
        <v/>
      </c>
    </row>
    <row r="340">
      <c r="A340" s="99" t="inlineStr">
        <is>
          <t>ACE 8월만기자동연장회사채AA-이상액티브</t>
        </is>
      </c>
      <c r="B340" s="99" t="inlineStr">
        <is>
          <t>475280</t>
        </is>
      </c>
      <c r="C340" s="99" t="inlineStr">
        <is>
          <t>한국투신운용(ETF)</t>
        </is>
      </c>
      <c r="D340" s="100" t="n">
        <v>10755</v>
      </c>
      <c r="E340" s="100" t="n">
        <v>85179600000</v>
      </c>
      <c r="F340" s="100" t="n">
        <v>18533632</v>
      </c>
      <c r="G340" s="101" t="n">
        <v>0.0005</v>
      </c>
      <c r="H340" s="101" t="n">
        <v>0.0125</v>
      </c>
      <c r="I340" s="101" t="n">
        <v>0.0121</v>
      </c>
      <c r="J340" s="101" t="n">
        <v>0.011901</v>
      </c>
      <c r="K340" s="100" t="n">
        <v>1</v>
      </c>
      <c r="L340" s="102" t="inlineStr">
        <is>
          <t>20251127</t>
        </is>
      </c>
      <c r="M340" s="99" t="inlineStr">
        <is>
          <t>제외</t>
        </is>
      </c>
      <c r="N340" s="99" t="inlineStr">
        <is>
          <t>60일 거래대금 0.2억(기준 5억 미만)</t>
        </is>
      </c>
      <c r="O340" s="99" t="inlineStr">
        <is>
          <t>KAP 8월 만기자동연장 회사채(AA-이상) 총수익지수</t>
        </is>
      </c>
      <c r="P340" s="99" t="inlineStr">
        <is>
          <t>일반</t>
        </is>
      </c>
      <c r="Q340" s="99" t="inlineStr">
        <is>
          <t>채권</t>
        </is>
      </c>
      <c r="R340" s="99" t="inlineStr">
        <is>
          <t>연배당</t>
        </is>
      </c>
      <c r="S340" s="100" t="n">
        <v>1</v>
      </c>
      <c r="T340" s="101" t="n">
        <v>1</v>
      </c>
      <c r="U340" s="103" t="n">
        <v>0.0264</v>
      </c>
      <c r="V340" s="103" t="n">
        <v>0.0143</v>
      </c>
      <c r="W340" s="103" t="n">
        <v>0.0144</v>
      </c>
      <c r="X340" s="103" t="n">
        <v>0.0068</v>
      </c>
      <c r="Y340" s="99" t="inlineStr">
        <is>
          <t>20250922~20261002</t>
        </is>
      </c>
      <c r="Z340" s="99" t="inlineStr"/>
      <c r="AA340">
        <f>IF(AND($J340&lt;&gt;"",OR(조회_주기="전체",$R340=조회_주기),$J340&gt;=조회_최소,$J340&lt;=조회_최대),1,0)</f>
        <v/>
      </c>
      <c r="AB340">
        <f>IF($AA340=1,$AB339+1,$AB339)</f>
        <v/>
      </c>
      <c r="AC340">
        <f>IF(검색어="",1,IF(ISNUMBER(SEARCH(검색어,$A340)),1,0))</f>
        <v/>
      </c>
      <c r="AD340">
        <f>IF($AC340=1,$AD339+1,$AD339)</f>
        <v/>
      </c>
      <c r="AE340">
        <f>IFERROR(INDEX($A$4:$A$594,MATCH(337,$AD$4:$AD$594,0)),"")</f>
        <v/>
      </c>
    </row>
    <row r="341">
      <c r="A341" s="99" t="inlineStr">
        <is>
          <t>1Q 200액티브</t>
        </is>
      </c>
      <c r="B341" s="99" t="inlineStr">
        <is>
          <t>451060</t>
        </is>
      </c>
      <c r="C341" s="99" t="inlineStr">
        <is>
          <t>하나자산운용</t>
        </is>
      </c>
      <c r="D341" s="100" t="n">
        <v>35915</v>
      </c>
      <c r="E341" s="100" t="n">
        <v>452529000000</v>
      </c>
      <c r="F341" s="100" t="n">
        <v>3515654509</v>
      </c>
      <c r="G341" s="101" t="n">
        <v>0.0001</v>
      </c>
      <c r="H341" s="101" t="n">
        <v>0.5905</v>
      </c>
      <c r="I341" s="101" t="n">
        <v>0.0011</v>
      </c>
      <c r="J341" s="101" t="n">
        <v>0.011833</v>
      </c>
      <c r="K341" s="100" t="n">
        <v>4</v>
      </c>
      <c r="L341" s="102" t="inlineStr">
        <is>
          <t>20260730</t>
        </is>
      </c>
      <c r="M341" s="99" t="inlineStr">
        <is>
          <t>제외</t>
        </is>
      </c>
      <c r="N341" s="99" t="inlineStr">
        <is>
          <t>변동성 59.1%(1년 기준, 기준 35% 초과)</t>
        </is>
      </c>
      <c r="O341" s="99" t="inlineStr">
        <is>
          <t>KOSPI 200</t>
        </is>
      </c>
      <c r="P341" s="99" t="inlineStr">
        <is>
          <t>일반</t>
        </is>
      </c>
      <c r="Q341" s="99" t="inlineStr">
        <is>
          <t>주식</t>
        </is>
      </c>
      <c r="R341" s="99" t="inlineStr">
        <is>
          <t>분기배당</t>
        </is>
      </c>
      <c r="S341" s="100" t="n">
        <v>3</v>
      </c>
      <c r="T341" s="101" t="n">
        <v>1</v>
      </c>
      <c r="U341" s="103" t="n"/>
      <c r="V341" s="103" t="n"/>
      <c r="W341" s="103" t="n"/>
      <c r="X341" s="103" t="n"/>
      <c r="Y341" s="99" t="inlineStr"/>
      <c r="Z341" s="99" t="inlineStr">
        <is>
          <t>창 안 급변일 1일(20260731) — 내지 않음 / 6개월: 창 안 급변일 1일(20260731) — 내지 않음 / 3개월: 창 안 급변일 1일(20260731) — 내지 않음</t>
        </is>
      </c>
      <c r="AA341">
        <f>IF(AND($J341&lt;&gt;"",OR(조회_주기="전체",$R341=조회_주기),$J341&gt;=조회_최소,$J341&lt;=조회_최대),1,0)</f>
        <v/>
      </c>
      <c r="AB341">
        <f>IF($AA341=1,$AB340+1,$AB340)</f>
        <v/>
      </c>
      <c r="AC341">
        <f>IF(검색어="",1,IF(ISNUMBER(SEARCH(검색어,$A341)),1,0))</f>
        <v/>
      </c>
      <c r="AD341">
        <f>IF($AC341=1,$AD340+1,$AD340)</f>
        <v/>
      </c>
      <c r="AE341">
        <f>IFERROR(INDEX($A$4:$A$594,MATCH(338,$AD$4:$AD$594,0)),"")</f>
        <v/>
      </c>
    </row>
    <row r="342">
      <c r="A342" s="99" t="inlineStr">
        <is>
          <t>KODEX 코리아밸류업</t>
        </is>
      </c>
      <c r="B342" s="99" t="inlineStr">
        <is>
          <t>495850</t>
        </is>
      </c>
      <c r="C342" s="99" t="inlineStr">
        <is>
          <t>삼성자산운용(ETF)</t>
        </is>
      </c>
      <c r="D342" s="100" t="n">
        <v>32525</v>
      </c>
      <c r="E342" s="100" t="n">
        <v>798488750000</v>
      </c>
      <c r="F342" s="100" t="n">
        <v>8332643528</v>
      </c>
      <c r="G342" s="101" t="n">
        <v>8.000000000000001e-05</v>
      </c>
      <c r="H342" s="101" t="n">
        <v>0.5246</v>
      </c>
      <c r="I342" s="101" t="n">
        <v>0.0012</v>
      </c>
      <c r="J342" s="101" t="n">
        <v>0.011806</v>
      </c>
      <c r="K342" s="100" t="n">
        <v>22</v>
      </c>
      <c r="L342" s="102" t="inlineStr">
        <is>
          <t>20260929</t>
        </is>
      </c>
      <c r="M342" s="99" t="inlineStr">
        <is>
          <t>제외</t>
        </is>
      </c>
      <c r="N342" s="99" t="inlineStr">
        <is>
          <t>변동성 52.5%(1년 기준, 기준 35% 초과)</t>
        </is>
      </c>
      <c r="O342" s="99" t="inlineStr">
        <is>
          <t>코리아 밸류업 지수</t>
        </is>
      </c>
      <c r="P342" s="99" t="inlineStr">
        <is>
          <t>일반</t>
        </is>
      </c>
      <c r="Q342" s="99" t="inlineStr">
        <is>
          <t>주식</t>
        </is>
      </c>
      <c r="R342" s="99" t="inlineStr">
        <is>
          <t>월배당</t>
        </is>
      </c>
      <c r="S342" s="100" t="n">
        <v>11</v>
      </c>
      <c r="T342" s="101" t="n">
        <v>1</v>
      </c>
      <c r="U342" s="103" t="n">
        <v>1.3531</v>
      </c>
      <c r="V342" s="103" t="n">
        <v>1.3256</v>
      </c>
      <c r="W342" s="103" t="n">
        <v>0.3634000000000001</v>
      </c>
      <c r="X342" s="103" t="n">
        <v>-0.1431</v>
      </c>
      <c r="Y342" s="99" t="inlineStr">
        <is>
          <t>20250922~20261002</t>
        </is>
      </c>
      <c r="Z342" s="99" t="inlineStr"/>
      <c r="AA342">
        <f>IF(AND($J342&lt;&gt;"",OR(조회_주기="전체",$R342=조회_주기),$J342&gt;=조회_최소,$J342&lt;=조회_최대),1,0)</f>
        <v/>
      </c>
      <c r="AB342">
        <f>IF($AA342=1,$AB341+1,$AB341)</f>
        <v/>
      </c>
      <c r="AC342">
        <f>IF(검색어="",1,IF(ISNUMBER(SEARCH(검색어,$A342)),1,0))</f>
        <v/>
      </c>
      <c r="AD342">
        <f>IF($AC342=1,$AD341+1,$AD341)</f>
        <v/>
      </c>
      <c r="AE342">
        <f>IFERROR(INDEX($A$4:$A$594,MATCH(339,$AD$4:$AD$594,0)),"")</f>
        <v/>
      </c>
    </row>
    <row r="343">
      <c r="A343" s="99" t="inlineStr">
        <is>
          <t>TIGER LG그룹플러스</t>
        </is>
      </c>
      <c r="B343" s="99" t="inlineStr">
        <is>
          <t>138530</t>
        </is>
      </c>
      <c r="C343" s="99" t="inlineStr">
        <is>
          <t>미래에셋자산운용</t>
        </is>
      </c>
      <c r="D343" s="100" t="n">
        <v>12065</v>
      </c>
      <c r="E343" s="100" t="n">
        <v>77457300000</v>
      </c>
      <c r="F343" s="100" t="n">
        <v>1870025684</v>
      </c>
      <c r="G343" s="101" t="n">
        <v>0.0015</v>
      </c>
      <c r="H343" s="101" t="n">
        <v>0.4676</v>
      </c>
      <c r="I343" s="101" t="n">
        <v>0.0091</v>
      </c>
      <c r="J343" s="101" t="n">
        <v>0.011604</v>
      </c>
      <c r="K343" s="100" t="n">
        <v>9</v>
      </c>
      <c r="L343" s="102" t="inlineStr">
        <is>
          <t>20260429</t>
        </is>
      </c>
      <c r="M343" s="99" t="inlineStr">
        <is>
          <t>제외</t>
        </is>
      </c>
      <c r="N343" s="99" t="inlineStr">
        <is>
          <t>변동성 46.8%(1년 기준, 기준 35% 초과)</t>
        </is>
      </c>
      <c r="O343" s="99" t="inlineStr">
        <is>
          <t>FnGuide LG그룹+ FW</t>
        </is>
      </c>
      <c r="P343" s="99" t="inlineStr">
        <is>
          <t>일반</t>
        </is>
      </c>
      <c r="Q343" s="99" t="inlineStr">
        <is>
          <t>주식</t>
        </is>
      </c>
      <c r="R343" s="99" t="inlineStr">
        <is>
          <t>연배당</t>
        </is>
      </c>
      <c r="S343" s="100" t="n">
        <v>1</v>
      </c>
      <c r="T343" s="101" t="n">
        <v>1</v>
      </c>
      <c r="U343" s="103" t="n"/>
      <c r="V343" s="103" t="n"/>
      <c r="W343" s="103" t="n"/>
      <c r="X343" s="103" t="n">
        <v>0.0111</v>
      </c>
      <c r="Y343" s="99" t="inlineStr"/>
      <c r="Z343" s="99" t="inlineStr">
        <is>
          <t>창 안 급변일 1일(20260529) — 내지 않음 / 6개월: 창 안 급변일 1일(20260529) — 내지 않음</t>
        </is>
      </c>
      <c r="AA343">
        <f>IF(AND($J343&lt;&gt;"",OR(조회_주기="전체",$R343=조회_주기),$J343&gt;=조회_최소,$J343&lt;=조회_최대),1,0)</f>
        <v/>
      </c>
      <c r="AB343">
        <f>IF($AA343=1,$AB342+1,$AB342)</f>
        <v/>
      </c>
      <c r="AC343">
        <f>IF(검색어="",1,IF(ISNUMBER(SEARCH(검색어,$A343)),1,0))</f>
        <v/>
      </c>
      <c r="AD343">
        <f>IF($AC343=1,$AD342+1,$AD342)</f>
        <v/>
      </c>
      <c r="AE343">
        <f>IFERROR(INDEX($A$4:$A$594,MATCH(340,$AD$4:$AD$594,0)),"")</f>
        <v/>
      </c>
    </row>
    <row r="344">
      <c r="A344" s="99" t="inlineStr">
        <is>
          <t>PLUS 미국나스닥100미국채혼합50</t>
        </is>
      </c>
      <c r="B344" s="99" t="inlineStr">
        <is>
          <t>0089B0</t>
        </is>
      </c>
      <c r="C344" s="99" t="inlineStr">
        <is>
          <t>한화자산운용</t>
        </is>
      </c>
      <c r="D344" s="100" t="n">
        <v>11160</v>
      </c>
      <c r="E344" s="100" t="n">
        <v>32364000000</v>
      </c>
      <c r="F344" s="100" t="n">
        <v>394146084</v>
      </c>
      <c r="G344" s="101" t="n">
        <v>0.0015</v>
      </c>
      <c r="H344" s="101" t="n">
        <v>0.1306</v>
      </c>
      <c r="I344" s="101" t="n">
        <v>0.001</v>
      </c>
      <c r="J344" s="101" t="n">
        <v>0.011559</v>
      </c>
      <c r="K344" s="100" t="n">
        <v>10</v>
      </c>
      <c r="L344" s="102" t="inlineStr">
        <is>
          <t>20260929</t>
        </is>
      </c>
      <c r="M344" s="99" t="inlineStr">
        <is>
          <t>제외</t>
        </is>
      </c>
      <c r="N344" s="99" t="inlineStr">
        <is>
          <t>60일 거래대금 3.9억(기준 5억 미만)</t>
        </is>
      </c>
      <c r="O344" s="99" t="inlineStr">
        <is>
          <t>Nasdaq-100 US T-Bills 1-3 Month 50/50 Index</t>
        </is>
      </c>
      <c r="P344" s="99" t="inlineStr">
        <is>
          <t>일반</t>
        </is>
      </c>
      <c r="Q344" s="99" t="inlineStr">
        <is>
          <t>멀티에셋</t>
        </is>
      </c>
      <c r="R344" s="99" t="inlineStr">
        <is>
          <t>월배당</t>
        </is>
      </c>
      <c r="S344" s="100" t="n">
        <v>10</v>
      </c>
      <c r="T344" s="101" t="n">
        <v>1</v>
      </c>
      <c r="U344" s="103" t="n">
        <v>0.1005</v>
      </c>
      <c r="V344" s="103" t="n">
        <v>0.08789999999999999</v>
      </c>
      <c r="W344" s="103" t="n">
        <v>0.018</v>
      </c>
      <c r="X344" s="103" t="n">
        <v>-0.09480000000000001</v>
      </c>
      <c r="Y344" s="99" t="inlineStr">
        <is>
          <t>20250922~20261002</t>
        </is>
      </c>
      <c r="Z344" s="99" t="inlineStr"/>
      <c r="AA344">
        <f>IF(AND($J344&lt;&gt;"",OR(조회_주기="전체",$R344=조회_주기),$J344&gt;=조회_최소,$J344&lt;=조회_최대),1,0)</f>
        <v/>
      </c>
      <c r="AB344">
        <f>IF($AA344=1,$AB343+1,$AB343)</f>
        <v/>
      </c>
      <c r="AC344">
        <f>IF(검색어="",1,IF(ISNUMBER(SEARCH(검색어,$A344)),1,0))</f>
        <v/>
      </c>
      <c r="AD344">
        <f>IF($AC344=1,$AD343+1,$AD343)</f>
        <v/>
      </c>
      <c r="AE344">
        <f>IFERROR(INDEX($A$4:$A$594,MATCH(341,$AD$4:$AD$594,0)),"")</f>
        <v/>
      </c>
    </row>
    <row r="345">
      <c r="A345" s="99" t="inlineStr">
        <is>
          <t>ACE 중장기국공채액티브</t>
        </is>
      </c>
      <c r="B345" s="99" t="inlineStr">
        <is>
          <t>272910</t>
        </is>
      </c>
      <c r="C345" s="99" t="inlineStr">
        <is>
          <t>한국투신운용(ETF)</t>
        </is>
      </c>
      <c r="D345" s="100" t="n">
        <v>106315</v>
      </c>
      <c r="E345" s="100" t="n">
        <v>73144720000</v>
      </c>
      <c r="F345" s="100" t="n">
        <v>6585827</v>
      </c>
      <c r="G345" s="101" t="n">
        <v>0.0008</v>
      </c>
      <c r="H345" s="101" t="n">
        <v>0.0305</v>
      </c>
      <c r="I345" s="101" t="n">
        <v>0.0111</v>
      </c>
      <c r="J345" s="101" t="n">
        <v>0.011306</v>
      </c>
      <c r="K345" s="100" t="n">
        <v>2</v>
      </c>
      <c r="L345" s="102" t="inlineStr">
        <is>
          <t>20251127</t>
        </is>
      </c>
      <c r="M345" s="99" t="inlineStr">
        <is>
          <t>제외</t>
        </is>
      </c>
      <c r="N345" s="99" t="inlineStr">
        <is>
          <t>60일 거래대금 0.1억(기준 5억 미만)</t>
        </is>
      </c>
      <c r="O345" s="99" t="inlineStr">
        <is>
          <t>KIS 종합채권 국공채 1-10Y</t>
        </is>
      </c>
      <c r="P345" s="99" t="inlineStr">
        <is>
          <t>일반</t>
        </is>
      </c>
      <c r="Q345" s="99" t="inlineStr">
        <is>
          <t>채권</t>
        </is>
      </c>
      <c r="R345" s="99" t="inlineStr">
        <is>
          <t>연배당</t>
        </is>
      </c>
      <c r="S345" s="100" t="n">
        <v>1</v>
      </c>
      <c r="T345" s="101" t="n">
        <v>1</v>
      </c>
      <c r="U345" s="103" t="n">
        <v>-0.0186</v>
      </c>
      <c r="V345" s="103" t="n">
        <v>-0.0296</v>
      </c>
      <c r="W345" s="103" t="n">
        <v>0.0014</v>
      </c>
      <c r="X345" s="103" t="n">
        <v>0.005500000000000001</v>
      </c>
      <c r="Y345" s="99" t="inlineStr">
        <is>
          <t>20250922~20261002</t>
        </is>
      </c>
      <c r="Z345" s="99" t="inlineStr"/>
      <c r="AA345">
        <f>IF(AND($J345&lt;&gt;"",OR(조회_주기="전체",$R345=조회_주기),$J345&gt;=조회_최소,$J345&lt;=조회_최대),1,0)</f>
        <v/>
      </c>
      <c r="AB345">
        <f>IF($AA345=1,$AB344+1,$AB344)</f>
        <v/>
      </c>
      <c r="AC345">
        <f>IF(검색어="",1,IF(ISNUMBER(SEARCH(검색어,$A345)),1,0))</f>
        <v/>
      </c>
      <c r="AD345">
        <f>IF($AC345=1,$AD344+1,$AD344)</f>
        <v/>
      </c>
      <c r="AE345">
        <f>IFERROR(INDEX($A$4:$A$594,MATCH(342,$AD$4:$AD$594,0)),"")</f>
        <v/>
      </c>
    </row>
    <row r="346">
      <c r="A346" s="99" t="inlineStr">
        <is>
          <t>1Q 종합채권(AA-이상)액티브</t>
        </is>
      </c>
      <c r="B346" s="99" t="inlineStr">
        <is>
          <t>0017Y0</t>
        </is>
      </c>
      <c r="C346" s="99" t="inlineStr">
        <is>
          <t>하나자산운용</t>
        </is>
      </c>
      <c r="D346" s="100" t="n">
        <v>94565</v>
      </c>
      <c r="E346" s="100" t="n">
        <v>82176985000</v>
      </c>
      <c r="F346" s="100" t="n">
        <v>107238305</v>
      </c>
      <c r="G346" s="101" t="n">
        <v>0.00025</v>
      </c>
      <c r="H346" s="101" t="n">
        <v>0.0452</v>
      </c>
      <c r="I346" s="101" t="n">
        <v>0.0107</v>
      </c>
      <c r="J346" s="101" t="n">
        <v>0.011262</v>
      </c>
      <c r="K346" s="100" t="n">
        <v>1</v>
      </c>
      <c r="L346" s="102" t="inlineStr">
        <is>
          <t>20251113</t>
        </is>
      </c>
      <c r="M346" s="99" t="inlineStr">
        <is>
          <t>제외</t>
        </is>
      </c>
      <c r="N346" s="99" t="inlineStr">
        <is>
          <t>60일 거래대금 1.1억(기준 5억 미만)</t>
        </is>
      </c>
      <c r="O346" s="99" t="inlineStr">
        <is>
          <t>KIS 종합채권형 지수(AA-이상)</t>
        </is>
      </c>
      <c r="P346" s="99" t="inlineStr">
        <is>
          <t>일반</t>
        </is>
      </c>
      <c r="Q346" s="99" t="inlineStr">
        <is>
          <t>채권</t>
        </is>
      </c>
      <c r="R346" s="99" t="inlineStr">
        <is>
          <t>연배당</t>
        </is>
      </c>
      <c r="S346" s="100" t="n">
        <v>1</v>
      </c>
      <c r="T346" s="101" t="n">
        <v>0</v>
      </c>
      <c r="U346" s="103" t="n">
        <v>-0.0617</v>
      </c>
      <c r="V346" s="103" t="n">
        <v>-0.0722</v>
      </c>
      <c r="W346" s="103" t="n">
        <v>-0.0225</v>
      </c>
      <c r="X346" s="103" t="n">
        <v>0.0031</v>
      </c>
      <c r="Y346" s="99" t="inlineStr">
        <is>
          <t>20250922~20261002</t>
        </is>
      </c>
      <c r="Z346" s="99" t="inlineStr"/>
      <c r="AA346">
        <f>IF(AND($J346&lt;&gt;"",OR(조회_주기="전체",$R346=조회_주기),$J346&gt;=조회_최소,$J346&lt;=조회_최대),1,0)</f>
        <v/>
      </c>
      <c r="AB346">
        <f>IF($AA346=1,$AB345+1,$AB345)</f>
        <v/>
      </c>
      <c r="AC346">
        <f>IF(검색어="",1,IF(ISNUMBER(SEARCH(검색어,$A346)),1,0))</f>
        <v/>
      </c>
      <c r="AD346">
        <f>IF($AC346=1,$AD345+1,$AD345)</f>
        <v/>
      </c>
      <c r="AE346">
        <f>IFERROR(INDEX($A$4:$A$594,MATCH(343,$AD$4:$AD$594,0)),"")</f>
        <v/>
      </c>
    </row>
    <row r="347">
      <c r="A347" s="99" t="inlineStr">
        <is>
          <t>ACE 미국빅테크TOP7 Plus레버리지(합성)</t>
        </is>
      </c>
      <c r="B347" s="99" t="inlineStr">
        <is>
          <t>465610</t>
        </is>
      </c>
      <c r="C347" s="99" t="inlineStr">
        <is>
          <t>한국투신운용(ETF)</t>
        </is>
      </c>
      <c r="D347" s="100" t="n">
        <v>41960</v>
      </c>
      <c r="E347" s="100" t="n">
        <v>100704000000</v>
      </c>
      <c r="F347" s="100" t="n">
        <v>443009021</v>
      </c>
      <c r="G347" s="101" t="n">
        <v>0.006</v>
      </c>
      <c r="H347" s="101" t="n">
        <v>0.4253</v>
      </c>
      <c r="I347" s="101" t="n">
        <v>0.0116</v>
      </c>
      <c r="J347" s="101" t="n">
        <v>0.011201</v>
      </c>
      <c r="K347" s="100" t="n">
        <v>1</v>
      </c>
      <c r="L347" s="102" t="inlineStr">
        <is>
          <t>20251229</t>
        </is>
      </c>
      <c r="M347" s="99" t="inlineStr">
        <is>
          <t>제외</t>
        </is>
      </c>
      <c r="N347" s="99" t="inlineStr">
        <is>
          <t>60일 거래대금 4.4억(기준 5억 미만), 변동성 42.5%(1년 기준, 기준 35% 초과)</t>
        </is>
      </c>
      <c r="O347" s="99" t="inlineStr">
        <is>
          <t>Solactive US Big Tech Top 7 Plus Index PR</t>
        </is>
      </c>
      <c r="P347" s="99" t="inlineStr">
        <is>
          <t>일반</t>
        </is>
      </c>
      <c r="Q347" s="99" t="inlineStr">
        <is>
          <t>주식</t>
        </is>
      </c>
      <c r="R347" s="99" t="inlineStr">
        <is>
          <t>연배당</t>
        </is>
      </c>
      <c r="S347" s="100" t="n">
        <v>1</v>
      </c>
      <c r="T347" s="101" t="n">
        <v>1</v>
      </c>
      <c r="U347" s="103" t="n">
        <v>0.182</v>
      </c>
      <c r="V347" s="103" t="n">
        <v>0.1687</v>
      </c>
      <c r="W347" s="103" t="n">
        <v>0.2044</v>
      </c>
      <c r="X347" s="103" t="n">
        <v>-0.0677</v>
      </c>
      <c r="Y347" s="99" t="inlineStr">
        <is>
          <t>20250922~20261002</t>
        </is>
      </c>
      <c r="Z347" s="99" t="inlineStr"/>
      <c r="AA347">
        <f>IF(AND($J347&lt;&gt;"",OR(조회_주기="전체",$R347=조회_주기),$J347&gt;=조회_최소,$J347&lt;=조회_최대),1,0)</f>
        <v/>
      </c>
      <c r="AB347">
        <f>IF($AA347=1,$AB346+1,$AB346)</f>
        <v/>
      </c>
      <c r="AC347">
        <f>IF(검색어="",1,IF(ISNUMBER(SEARCH(검색어,$A347)),1,0))</f>
        <v/>
      </c>
      <c r="AD347">
        <f>IF($AC347=1,$AD346+1,$AD346)</f>
        <v/>
      </c>
      <c r="AE347">
        <f>IFERROR(INDEX($A$4:$A$594,MATCH(344,$AD$4:$AD$594,0)),"")</f>
        <v/>
      </c>
    </row>
    <row r="348">
      <c r="A348" s="99" t="inlineStr">
        <is>
          <t>SOL 미국S&amp;P500엔화노출(H)</t>
        </is>
      </c>
      <c r="B348" s="99" t="inlineStr">
        <is>
          <t>499150</t>
        </is>
      </c>
      <c r="C348" s="99" t="inlineStr">
        <is>
          <t>신한자산운용</t>
        </is>
      </c>
      <c r="D348" s="100" t="n">
        <v>10715</v>
      </c>
      <c r="E348" s="100" t="n">
        <v>5357500000</v>
      </c>
      <c r="F348" s="100" t="n">
        <v>20847247</v>
      </c>
      <c r="G348" s="101" t="n">
        <v>0.0015</v>
      </c>
      <c r="H348" s="101" t="n">
        <v>0.1535</v>
      </c>
      <c r="I348" s="101" t="n">
        <v>0.0009</v>
      </c>
      <c r="J348" s="101" t="n">
        <v>0.011106</v>
      </c>
      <c r="K348" s="100" t="n">
        <v>21</v>
      </c>
      <c r="L348" s="102" t="inlineStr">
        <is>
          <t>20260929</t>
        </is>
      </c>
      <c r="M348" s="99" t="inlineStr">
        <is>
          <t>제외</t>
        </is>
      </c>
      <c r="N348" s="99" t="inlineStr">
        <is>
          <t>순자산 54억(기준 300억 미만), 60일 거래대금 0.2억(기준 5억 미만)</t>
        </is>
      </c>
      <c r="O348" s="99" t="inlineStr">
        <is>
          <t>S&amp;P 500 YEN Hdg</t>
        </is>
      </c>
      <c r="P348" s="99" t="inlineStr">
        <is>
          <t>일반</t>
        </is>
      </c>
      <c r="Q348" s="99" t="inlineStr">
        <is>
          <t>주식</t>
        </is>
      </c>
      <c r="R348" s="99" t="inlineStr">
        <is>
          <t>월배당</t>
        </is>
      </c>
      <c r="S348" s="100" t="n">
        <v>11</v>
      </c>
      <c r="T348" s="101" t="n">
        <v>1</v>
      </c>
      <c r="U348" s="103" t="n">
        <v>0.005600000000000001</v>
      </c>
      <c r="V348" s="103" t="n">
        <v>-0.005600000000000001</v>
      </c>
      <c r="W348" s="103" t="n">
        <v>0.0323</v>
      </c>
      <c r="X348" s="103" t="n">
        <v>-0.08869999999999999</v>
      </c>
      <c r="Y348" s="99" t="inlineStr">
        <is>
          <t>20250922~20261002</t>
        </is>
      </c>
      <c r="Z348" s="99" t="inlineStr"/>
      <c r="AA348">
        <f>IF(AND($J348&lt;&gt;"",OR(조회_주기="전체",$R348=조회_주기),$J348&gt;=조회_최소,$J348&lt;=조회_최대),1,0)</f>
        <v/>
      </c>
      <c r="AB348">
        <f>IF($AA348=1,$AB347+1,$AB347)</f>
        <v/>
      </c>
      <c r="AC348">
        <f>IF(검색어="",1,IF(ISNUMBER(SEARCH(검색어,$A348)),1,0))</f>
        <v/>
      </c>
      <c r="AD348">
        <f>IF($AC348=1,$AD347+1,$AD347)</f>
        <v/>
      </c>
      <c r="AE348">
        <f>IFERROR(INDEX($A$4:$A$594,MATCH(345,$AD$4:$AD$594,0)),"")</f>
        <v/>
      </c>
    </row>
    <row r="349">
      <c r="A349" s="99" t="inlineStr">
        <is>
          <t>RISE 종합채권(A-이상)액티브</t>
        </is>
      </c>
      <c r="B349" s="99" t="inlineStr">
        <is>
          <t>385540</t>
        </is>
      </c>
      <c r="C349" s="99" t="inlineStr">
        <is>
          <t>KB자산운용</t>
        </is>
      </c>
      <c r="D349" s="100" t="n">
        <v>103480</v>
      </c>
      <c r="E349" s="100" t="n">
        <v>2187567200000</v>
      </c>
      <c r="F349" s="100" t="n">
        <v>426299650</v>
      </c>
      <c r="G349" s="101" t="n">
        <v>0.00012</v>
      </c>
      <c r="H349" s="101" t="n">
        <v>0.0428</v>
      </c>
      <c r="I349" s="101" t="n">
        <v>0.0106</v>
      </c>
      <c r="J349" s="101" t="n">
        <v>0.011084</v>
      </c>
      <c r="K349" s="100" t="n">
        <v>1</v>
      </c>
      <c r="L349" s="102" t="inlineStr">
        <is>
          <t>20251212</t>
        </is>
      </c>
      <c r="M349" s="99" t="inlineStr">
        <is>
          <t>제외</t>
        </is>
      </c>
      <c r="N349" s="99" t="inlineStr">
        <is>
          <t>60일 거래대금 4.3억(기준 5억 미만)</t>
        </is>
      </c>
      <c r="O349" s="99" t="inlineStr">
        <is>
          <t>KIS 종합채권 지수(A-이상)</t>
        </is>
      </c>
      <c r="P349" s="99" t="inlineStr">
        <is>
          <t>일반</t>
        </is>
      </c>
      <c r="Q349" s="99" t="inlineStr">
        <is>
          <t>채권</t>
        </is>
      </c>
      <c r="R349" s="99" t="inlineStr">
        <is>
          <t>연배당</t>
        </is>
      </c>
      <c r="S349" s="100" t="n">
        <v>1</v>
      </c>
      <c r="T349" s="101" t="n">
        <v>1</v>
      </c>
      <c r="U349" s="103" t="n">
        <v>-0.0568</v>
      </c>
      <c r="V349" s="103" t="n">
        <v>-0.0672</v>
      </c>
      <c r="W349" s="103" t="n">
        <v>-0.0205</v>
      </c>
      <c r="X349" s="103" t="n">
        <v>0.0032</v>
      </c>
      <c r="Y349" s="99" t="inlineStr">
        <is>
          <t>20250922~20261002</t>
        </is>
      </c>
      <c r="Z349" s="99" t="inlineStr"/>
      <c r="AA349">
        <f>IF(AND($J349&lt;&gt;"",OR(조회_주기="전체",$R349=조회_주기),$J349&gt;=조회_최소,$J349&lt;=조회_최대),1,0)</f>
        <v/>
      </c>
      <c r="AB349">
        <f>IF($AA349=1,$AB348+1,$AB348)</f>
        <v/>
      </c>
      <c r="AC349">
        <f>IF(검색어="",1,IF(ISNUMBER(SEARCH(검색어,$A349)),1,0))</f>
        <v/>
      </c>
      <c r="AD349">
        <f>IF($AC349=1,$AD348+1,$AD348)</f>
        <v/>
      </c>
      <c r="AE349">
        <f>IFERROR(INDEX($A$4:$A$594,MATCH(346,$AD$4:$AD$594,0)),"")</f>
        <v/>
      </c>
    </row>
    <row r="350">
      <c r="A350" s="99" t="inlineStr">
        <is>
          <t>TIGER 골드선물(H)</t>
        </is>
      </c>
      <c r="B350" s="99" t="inlineStr">
        <is>
          <t>319640</t>
        </is>
      </c>
      <c r="C350" s="99" t="inlineStr">
        <is>
          <t>미래에셋자산운용</t>
        </is>
      </c>
      <c r="D350" s="100" t="n">
        <v>24575</v>
      </c>
      <c r="E350" s="100" t="n">
        <v>113045000000</v>
      </c>
      <c r="F350" s="100" t="n">
        <v>437508417</v>
      </c>
      <c r="G350" s="101" t="n">
        <v>0.0039</v>
      </c>
      <c r="H350" s="101" t="n">
        <v>0.2911</v>
      </c>
      <c r="I350" s="101" t="n">
        <v>0.0098</v>
      </c>
      <c r="J350" s="101" t="n">
        <v>0.011068</v>
      </c>
      <c r="K350" s="100" t="n">
        <v>1</v>
      </c>
      <c r="L350" s="102" t="inlineStr">
        <is>
          <t>20251229</t>
        </is>
      </c>
      <c r="M350" s="99" t="inlineStr">
        <is>
          <t>제외</t>
        </is>
      </c>
      <c r="N350" s="99" t="inlineStr">
        <is>
          <t>60일 거래대금 4.4억(기준 5억 미만)</t>
        </is>
      </c>
      <c r="O350" s="99" t="inlineStr">
        <is>
          <t>S&amp;P GSCI Gold Index TR CME</t>
        </is>
      </c>
      <c r="P350" s="99" t="inlineStr">
        <is>
          <t>일반</t>
        </is>
      </c>
      <c r="Q350" s="99" t="inlineStr">
        <is>
          <t>원자재</t>
        </is>
      </c>
      <c r="R350" s="99" t="inlineStr">
        <is>
          <t>연배당</t>
        </is>
      </c>
      <c r="S350" s="100" t="n">
        <v>1</v>
      </c>
      <c r="T350" s="101" t="n">
        <v>1</v>
      </c>
      <c r="U350" s="103" t="n">
        <v>0.0819</v>
      </c>
      <c r="V350" s="103" t="n">
        <v>0.07000000000000001</v>
      </c>
      <c r="W350" s="103" t="n">
        <v>-0.123</v>
      </c>
      <c r="X350" s="103" t="n">
        <v>0.0016</v>
      </c>
      <c r="Y350" s="99" t="inlineStr">
        <is>
          <t>20250922~20261002</t>
        </is>
      </c>
      <c r="Z350" s="99" t="inlineStr"/>
      <c r="AA350">
        <f>IF(AND($J350&lt;&gt;"",OR(조회_주기="전체",$R350=조회_주기),$J350&gt;=조회_최소,$J350&lt;=조회_최대),1,0)</f>
        <v/>
      </c>
      <c r="AB350">
        <f>IF($AA350=1,$AB349+1,$AB349)</f>
        <v/>
      </c>
      <c r="AC350">
        <f>IF(검색어="",1,IF(ISNUMBER(SEARCH(검색어,$A350)),1,0))</f>
        <v/>
      </c>
      <c r="AD350">
        <f>IF($AC350=1,$AD349+1,$AD349)</f>
        <v/>
      </c>
      <c r="AE350">
        <f>IFERROR(INDEX($A$4:$A$594,MATCH(347,$AD$4:$AD$594,0)),"")</f>
        <v/>
      </c>
    </row>
    <row r="351">
      <c r="A351" s="99" t="inlineStr">
        <is>
          <t>1Q 코리아밸류업</t>
        </is>
      </c>
      <c r="B351" s="99" t="inlineStr">
        <is>
          <t>495330</t>
        </is>
      </c>
      <c r="C351" s="99" t="inlineStr">
        <is>
          <t>하나자산운용</t>
        </is>
      </c>
      <c r="D351" s="100" t="n">
        <v>32305</v>
      </c>
      <c r="E351" s="100" t="n">
        <v>138911500000</v>
      </c>
      <c r="F351" s="100" t="n">
        <v>380652643</v>
      </c>
      <c r="G351" s="101" t="n">
        <v>0.0002</v>
      </c>
      <c r="H351" s="101" t="n">
        <v>0.5249</v>
      </c>
      <c r="I351" s="101" t="n">
        <v>0.0009</v>
      </c>
      <c r="J351" s="101" t="n">
        <v>0.010989</v>
      </c>
      <c r="K351" s="100" t="n">
        <v>21</v>
      </c>
      <c r="L351" s="102" t="inlineStr">
        <is>
          <t>20260929</t>
        </is>
      </c>
      <c r="M351" s="99" t="inlineStr">
        <is>
          <t>제외</t>
        </is>
      </c>
      <c r="N351" s="99" t="inlineStr">
        <is>
          <t>60일 거래대금 3.8억(기준 5억 미만), 변동성 52.5%(1년 기준, 기준 35% 초과)</t>
        </is>
      </c>
      <c r="O351" s="99" t="inlineStr">
        <is>
          <t>코리아 밸류업 지수</t>
        </is>
      </c>
      <c r="P351" s="99" t="inlineStr">
        <is>
          <t>일반</t>
        </is>
      </c>
      <c r="Q351" s="99" t="inlineStr">
        <is>
          <t>주식</t>
        </is>
      </c>
      <c r="R351" s="99" t="inlineStr">
        <is>
          <t>월배당</t>
        </is>
      </c>
      <c r="S351" s="100" t="n">
        <v>10</v>
      </c>
      <c r="T351" s="101" t="n">
        <v>1</v>
      </c>
      <c r="U351" s="103" t="n">
        <v>1.3582</v>
      </c>
      <c r="V351" s="103" t="n">
        <v>1.3326</v>
      </c>
      <c r="W351" s="103" t="n">
        <v>0.363</v>
      </c>
      <c r="X351" s="103" t="n">
        <v>-0.1428</v>
      </c>
      <c r="Y351" s="99" t="inlineStr">
        <is>
          <t>20250922~20261002</t>
        </is>
      </c>
      <c r="Z351" s="99" t="inlineStr"/>
      <c r="AA351">
        <f>IF(AND($J351&lt;&gt;"",OR(조회_주기="전체",$R351=조회_주기),$J351&gt;=조회_최소,$J351&lt;=조회_최대),1,0)</f>
        <v/>
      </c>
      <c r="AB351">
        <f>IF($AA351=1,$AB350+1,$AB350)</f>
        <v/>
      </c>
      <c r="AC351">
        <f>IF(검색어="",1,IF(ISNUMBER(SEARCH(검색어,$A351)),1,0))</f>
        <v/>
      </c>
      <c r="AD351">
        <f>IF($AC351=1,$AD350+1,$AD350)</f>
        <v/>
      </c>
      <c r="AE351">
        <f>IFERROR(INDEX($A$4:$A$594,MATCH(348,$AD$4:$AD$594,0)),"")</f>
        <v/>
      </c>
    </row>
    <row r="352">
      <c r="A352" s="99" t="inlineStr">
        <is>
          <t>WON 국공채머니마켓액티브</t>
        </is>
      </c>
      <c r="B352" s="99" t="inlineStr">
        <is>
          <t>458030</t>
        </is>
      </c>
      <c r="C352" s="99" t="inlineStr">
        <is>
          <t>우리자산운용</t>
        </is>
      </c>
      <c r="D352" s="100" t="n">
        <v>55190</v>
      </c>
      <c r="E352" s="100" t="n">
        <v>99783520000</v>
      </c>
      <c r="F352" s="100" t="n">
        <v>34294329</v>
      </c>
      <c r="G352" s="101" t="n">
        <v>0.00065</v>
      </c>
      <c r="H352" s="101" t="n">
        <v>0.0111</v>
      </c>
      <c r="I352" s="101" t="n">
        <v>0.0111</v>
      </c>
      <c r="J352" s="101" t="n">
        <v>0.010944</v>
      </c>
      <c r="K352" s="100" t="n">
        <v>1</v>
      </c>
      <c r="L352" s="102" t="inlineStr">
        <is>
          <t>20251229</t>
        </is>
      </c>
      <c r="M352" s="99" t="inlineStr">
        <is>
          <t>제외</t>
        </is>
      </c>
      <c r="N352" s="99" t="inlineStr">
        <is>
          <t>60일 거래대금 0.3억(기준 5억 미만)</t>
        </is>
      </c>
      <c r="O352" s="99" t="inlineStr">
        <is>
          <t>KAP 국공채 머니마켓 총수익 지수</t>
        </is>
      </c>
      <c r="P352" s="99" t="inlineStr">
        <is>
          <t>일반</t>
        </is>
      </c>
      <c r="Q352" s="99" t="inlineStr">
        <is>
          <t>단기자금(파킹형)</t>
        </is>
      </c>
      <c r="R352" s="99" t="inlineStr">
        <is>
          <t>연배당</t>
        </is>
      </c>
      <c r="S352" s="100" t="n">
        <v>1</v>
      </c>
      <c r="T352" s="101" t="n">
        <v>1</v>
      </c>
      <c r="U352" s="103" t="n">
        <v>0.0278</v>
      </c>
      <c r="V352" s="103" t="n">
        <v>0.0167</v>
      </c>
      <c r="W352" s="103" t="n">
        <v>0.0143</v>
      </c>
      <c r="X352" s="103" t="n">
        <v>0.0075</v>
      </c>
      <c r="Y352" s="99" t="inlineStr">
        <is>
          <t>20250922~20261002</t>
        </is>
      </c>
      <c r="Z352" s="99" t="inlineStr"/>
      <c r="AA352">
        <f>IF(AND($J352&lt;&gt;"",OR(조회_주기="전체",$R352=조회_주기),$J352&gt;=조회_최소,$J352&lt;=조회_최대),1,0)</f>
        <v/>
      </c>
      <c r="AB352">
        <f>IF($AA352=1,$AB351+1,$AB351)</f>
        <v/>
      </c>
      <c r="AC352">
        <f>IF(검색어="",1,IF(ISNUMBER(SEARCH(검색어,$A352)),1,0))</f>
        <v/>
      </c>
      <c r="AD352">
        <f>IF($AC352=1,$AD351+1,$AD351)</f>
        <v/>
      </c>
      <c r="AE352">
        <f>IFERROR(INDEX($A$4:$A$594,MATCH(349,$AD$4:$AD$594,0)),"")</f>
        <v/>
      </c>
    </row>
    <row r="353">
      <c r="A353" s="99" t="inlineStr">
        <is>
          <t>TIGER 모멘텀</t>
        </is>
      </c>
      <c r="B353" s="99" t="inlineStr">
        <is>
          <t>147970</t>
        </is>
      </c>
      <c r="C353" s="99" t="inlineStr">
        <is>
          <t>미래에셋자산운용</t>
        </is>
      </c>
      <c r="D353" s="100" t="n">
        <v>80285</v>
      </c>
      <c r="E353" s="100" t="n">
        <v>36931100000</v>
      </c>
      <c r="F353" s="100" t="n">
        <v>383895145</v>
      </c>
      <c r="G353" s="101" t="n">
        <v>0.0029</v>
      </c>
      <c r="H353" s="101" t="n">
        <v>0.4893</v>
      </c>
      <c r="I353" s="101" t="n">
        <v>0.008399999999999999</v>
      </c>
      <c r="J353" s="101" t="n">
        <v>0.010836</v>
      </c>
      <c r="K353" s="100" t="n">
        <v>9</v>
      </c>
      <c r="L353" s="102" t="inlineStr">
        <is>
          <t>20260429</t>
        </is>
      </c>
      <c r="M353" s="99" t="inlineStr">
        <is>
          <t>제외</t>
        </is>
      </c>
      <c r="N353" s="99" t="inlineStr">
        <is>
          <t>60일 거래대금 3.8억(기준 5억 미만), 변동성 48.9%(1년 기준, 기준 35% 초과)</t>
        </is>
      </c>
      <c r="O353" s="99" t="inlineStr">
        <is>
          <t>FnGuide 모멘텀</t>
        </is>
      </c>
      <c r="P353" s="99" t="inlineStr">
        <is>
          <t>일반</t>
        </is>
      </c>
      <c r="Q353" s="99" t="inlineStr">
        <is>
          <t>주식</t>
        </is>
      </c>
      <c r="R353" s="99" t="inlineStr">
        <is>
          <t>연배당</t>
        </is>
      </c>
      <c r="S353" s="100" t="n">
        <v>1</v>
      </c>
      <c r="T353" s="101" t="n">
        <v>1</v>
      </c>
      <c r="U353" s="103" t="n">
        <v>0.6937000000000001</v>
      </c>
      <c r="V353" s="103" t="n">
        <v>0.6756</v>
      </c>
      <c r="W353" s="103" t="n">
        <v>0.2196</v>
      </c>
      <c r="X353" s="103" t="n">
        <v>-0.1397</v>
      </c>
      <c r="Y353" s="99" t="inlineStr">
        <is>
          <t>20250922~20261002</t>
        </is>
      </c>
      <c r="Z353" s="99" t="inlineStr"/>
      <c r="AA353">
        <f>IF(AND($J353&lt;&gt;"",OR(조회_주기="전체",$R353=조회_주기),$J353&gt;=조회_최소,$J353&lt;=조회_최대),1,0)</f>
        <v/>
      </c>
      <c r="AB353">
        <f>IF($AA353=1,$AB352+1,$AB352)</f>
        <v/>
      </c>
      <c r="AC353">
        <f>IF(검색어="",1,IF(ISNUMBER(SEARCH(검색어,$A353)),1,0))</f>
        <v/>
      </c>
      <c r="AD353">
        <f>IF($AC353=1,$AD352+1,$AD352)</f>
        <v/>
      </c>
      <c r="AE353">
        <f>IFERROR(INDEX($A$4:$A$594,MATCH(350,$AD$4:$AD$594,0)),"")</f>
        <v/>
      </c>
    </row>
    <row r="354">
      <c r="A354" s="99" t="inlineStr">
        <is>
          <t>RISE TDF2040액티브 적격</t>
        </is>
      </c>
      <c r="B354" s="99" t="inlineStr">
        <is>
          <t>442560</t>
        </is>
      </c>
      <c r="C354" s="99" t="inlineStr">
        <is>
          <t>KB자산운용</t>
        </is>
      </c>
      <c r="D354" s="100" t="n">
        <v>16365</v>
      </c>
      <c r="E354" s="100" t="n">
        <v>56459250000</v>
      </c>
      <c r="F354" s="100" t="n">
        <v>288486709</v>
      </c>
      <c r="G354" s="101" t="n">
        <v>0.0001</v>
      </c>
      <c r="H354" s="101" t="n">
        <v>0.1199</v>
      </c>
      <c r="I354" s="101" t="n">
        <v>0.0033</v>
      </c>
      <c r="J354" s="101" t="n">
        <v>0.010816</v>
      </c>
      <c r="K354" s="100" t="n">
        <v>2</v>
      </c>
      <c r="L354" s="102" t="inlineStr">
        <is>
          <t>20260730</t>
        </is>
      </c>
      <c r="M354" s="99" t="inlineStr">
        <is>
          <t>제외</t>
        </is>
      </c>
      <c r="N354" s="99" t="inlineStr">
        <is>
          <t>60일 거래대금 2.9억(기준 5억 미만)</t>
        </is>
      </c>
      <c r="O354" s="99" t="inlineStr">
        <is>
          <t>iSelect Tactical Asset Allocation TDF 2040 PR Index</t>
        </is>
      </c>
      <c r="P354" s="99" t="inlineStr">
        <is>
          <t>일반</t>
        </is>
      </c>
      <c r="Q354" s="99" t="inlineStr">
        <is>
          <t>멀티에셋</t>
        </is>
      </c>
      <c r="R354" s="99" t="inlineStr">
        <is>
          <t>반기배당</t>
        </is>
      </c>
      <c r="S354" s="100" t="n">
        <v>2</v>
      </c>
      <c r="T354" s="101" t="n">
        <v>1</v>
      </c>
      <c r="U354" s="103" t="n">
        <v>0.1514</v>
      </c>
      <c r="V354" s="103" t="n">
        <v>0.139</v>
      </c>
      <c r="W354" s="103" t="n">
        <v>0.068</v>
      </c>
      <c r="X354" s="103" t="n">
        <v>-0.0721</v>
      </c>
      <c r="Y354" s="99" t="inlineStr">
        <is>
          <t>20250922~20261002</t>
        </is>
      </c>
      <c r="Z354" s="99" t="inlineStr"/>
      <c r="AA354">
        <f>IF(AND($J354&lt;&gt;"",OR(조회_주기="전체",$R354=조회_주기),$J354&gt;=조회_최소,$J354&lt;=조회_최대),1,0)</f>
        <v/>
      </c>
      <c r="AB354">
        <f>IF($AA354=1,$AB353+1,$AB353)</f>
        <v/>
      </c>
      <c r="AC354">
        <f>IF(검색어="",1,IF(ISNUMBER(SEARCH(검색어,$A354)),1,0))</f>
        <v/>
      </c>
      <c r="AD354">
        <f>IF($AC354=1,$AD353+1,$AD353)</f>
        <v/>
      </c>
      <c r="AE354">
        <f>IFERROR(INDEX($A$4:$A$594,MATCH(351,$AD$4:$AD$594,0)),"")</f>
        <v/>
      </c>
    </row>
    <row r="355">
      <c r="A355" s="99" t="inlineStr">
        <is>
          <t>TIGER 27-04회사채(A+이상)액티브</t>
        </is>
      </c>
      <c r="B355" s="99" t="inlineStr">
        <is>
          <t>480260</t>
        </is>
      </c>
      <c r="C355" s="99" t="inlineStr">
        <is>
          <t>미래에셋자산운용</t>
        </is>
      </c>
      <c r="D355" s="100" t="n">
        <v>53925</v>
      </c>
      <c r="E355" s="100" t="n">
        <v>388583550000</v>
      </c>
      <c r="F355" s="100" t="n">
        <v>432896605</v>
      </c>
      <c r="G355" s="101" t="n">
        <v>0.001</v>
      </c>
      <c r="H355" s="101" t="n">
        <v>0.0127</v>
      </c>
      <c r="I355" s="101" t="n">
        <v>0.0108</v>
      </c>
      <c r="J355" s="101" t="n">
        <v>0.010774</v>
      </c>
      <c r="K355" s="100" t="n">
        <v>1</v>
      </c>
      <c r="L355" s="102" t="inlineStr">
        <is>
          <t>20251127</t>
        </is>
      </c>
      <c r="M355" s="99" t="inlineStr">
        <is>
          <t>제외</t>
        </is>
      </c>
      <c r="N355" s="99" t="inlineStr">
        <is>
          <t>60일 거래대금 4.3억(기준 5억 미만)</t>
        </is>
      </c>
      <c r="O355" s="99" t="inlineStr">
        <is>
          <t>KIS 회사채 2704만기형 지수</t>
        </is>
      </c>
      <c r="P355" s="99" t="inlineStr">
        <is>
          <t>일반</t>
        </is>
      </c>
      <c r="Q355" s="99" t="inlineStr">
        <is>
          <t>채권</t>
        </is>
      </c>
      <c r="R355" s="99" t="inlineStr">
        <is>
          <t>연배당</t>
        </is>
      </c>
      <c r="S355" s="100" t="n">
        <v>1</v>
      </c>
      <c r="T355" s="101" t="n">
        <v>1</v>
      </c>
      <c r="U355" s="103" t="n">
        <v>0.0136</v>
      </c>
      <c r="V355" s="103" t="n">
        <v>0.0028</v>
      </c>
      <c r="W355" s="103" t="n">
        <v>0.0129</v>
      </c>
      <c r="X355" s="103" t="n">
        <v>0.0083</v>
      </c>
      <c r="Y355" s="99" t="inlineStr">
        <is>
          <t>20250922~20261002</t>
        </is>
      </c>
      <c r="Z355" s="99" t="inlineStr"/>
      <c r="AA355">
        <f>IF(AND($J355&lt;&gt;"",OR(조회_주기="전체",$R355=조회_주기),$J355&gt;=조회_최소,$J355&lt;=조회_최대),1,0)</f>
        <v/>
      </c>
      <c r="AB355">
        <f>IF($AA355=1,$AB354+1,$AB354)</f>
        <v/>
      </c>
      <c r="AC355">
        <f>IF(검색어="",1,IF(ISNUMBER(SEARCH(검색어,$A355)),1,0))</f>
        <v/>
      </c>
      <c r="AD355">
        <f>IF($AC355=1,$AD354+1,$AD354)</f>
        <v/>
      </c>
      <c r="AE355">
        <f>IFERROR(INDEX($A$4:$A$594,MATCH(352,$AD$4:$AD$594,0)),"")</f>
        <v/>
      </c>
    </row>
    <row r="356">
      <c r="A356" s="99" t="inlineStr">
        <is>
          <t>RISE 코리아밸류업</t>
        </is>
      </c>
      <c r="B356" s="99" t="inlineStr">
        <is>
          <t>495050</t>
        </is>
      </c>
      <c r="C356" s="99" t="inlineStr">
        <is>
          <t>KB자산운용</t>
        </is>
      </c>
      <c r="D356" s="100" t="n">
        <v>32640</v>
      </c>
      <c r="E356" s="100" t="n">
        <v>961248000000</v>
      </c>
      <c r="F356" s="100" t="n">
        <v>8521637953</v>
      </c>
      <c r="G356" s="101" t="n">
        <v>8.000000000000001e-05</v>
      </c>
      <c r="H356" s="101" t="n">
        <v>0.5249</v>
      </c>
      <c r="I356" s="101" t="n">
        <v>0.0011</v>
      </c>
      <c r="J356" s="101" t="n">
        <v>0.010662</v>
      </c>
      <c r="K356" s="100" t="n">
        <v>19</v>
      </c>
      <c r="L356" s="102" t="inlineStr">
        <is>
          <t>20260914</t>
        </is>
      </c>
      <c r="M356" s="99" t="inlineStr">
        <is>
          <t>제외</t>
        </is>
      </c>
      <c r="N356" s="99" t="inlineStr">
        <is>
          <t>변동성 52.5%(1년 기준, 기준 35% 초과)</t>
        </is>
      </c>
      <c r="O356" s="99" t="inlineStr">
        <is>
          <t>코리아 밸류업 지수</t>
        </is>
      </c>
      <c r="P356" s="99" t="inlineStr">
        <is>
          <t>일반</t>
        </is>
      </c>
      <c r="Q356" s="99" t="inlineStr">
        <is>
          <t>주식</t>
        </is>
      </c>
      <c r="R356" s="99" t="inlineStr">
        <is>
          <t>월배당</t>
        </is>
      </c>
      <c r="S356" s="100" t="n">
        <v>10</v>
      </c>
      <c r="T356" s="101" t="n">
        <v>1</v>
      </c>
      <c r="U356" s="103" t="n">
        <v>1.369</v>
      </c>
      <c r="V356" s="103" t="n">
        <v>1.3441</v>
      </c>
      <c r="W356" s="103" t="n">
        <v>0.3677</v>
      </c>
      <c r="X356" s="103" t="n">
        <v>-0.1423</v>
      </c>
      <c r="Y356" s="99" t="inlineStr">
        <is>
          <t>20250922~20261002</t>
        </is>
      </c>
      <c r="Z356" s="99" t="inlineStr"/>
      <c r="AA356">
        <f>IF(AND($J356&lt;&gt;"",OR(조회_주기="전체",$R356=조회_주기),$J356&gt;=조회_최소,$J356&lt;=조회_최대),1,0)</f>
        <v/>
      </c>
      <c r="AB356">
        <f>IF($AA356=1,$AB355+1,$AB355)</f>
        <v/>
      </c>
      <c r="AC356">
        <f>IF(검색어="",1,IF(ISNUMBER(SEARCH(검색어,$A356)),1,0))</f>
        <v/>
      </c>
      <c r="AD356">
        <f>IF($AC356=1,$AD355+1,$AD355)</f>
        <v/>
      </c>
      <c r="AE356">
        <f>IFERROR(INDEX($A$4:$A$594,MATCH(353,$AD$4:$AD$594,0)),"")</f>
        <v/>
      </c>
    </row>
    <row r="357">
      <c r="A357" s="99" t="inlineStr">
        <is>
          <t>TIGER 차이나CSI300레버리지(합성)</t>
        </is>
      </c>
      <c r="B357" s="99" t="inlineStr">
        <is>
          <t>204480</t>
        </is>
      </c>
      <c r="C357" s="99" t="inlineStr">
        <is>
          <t>미래에셋자산운용</t>
        </is>
      </c>
      <c r="D357" s="100" t="n">
        <v>20765</v>
      </c>
      <c r="E357" s="100" t="n">
        <v>49420700000</v>
      </c>
      <c r="F357" s="100" t="n">
        <v>115617632</v>
      </c>
      <c r="G357" s="101" t="n">
        <v>0.0058</v>
      </c>
      <c r="H357" s="101" t="n">
        <v>0.4593</v>
      </c>
      <c r="I357" s="101" t="n">
        <v>0.008100000000000001</v>
      </c>
      <c r="J357" s="101" t="n">
        <v>0.010595</v>
      </c>
      <c r="K357" s="100" t="n">
        <v>1</v>
      </c>
      <c r="L357" s="102" t="inlineStr">
        <is>
          <t>20251229</t>
        </is>
      </c>
      <c r="M357" s="99" t="inlineStr">
        <is>
          <t>제외</t>
        </is>
      </c>
      <c r="N357" s="99" t="inlineStr">
        <is>
          <t>60일 거래대금 1.2억(기준 5억 미만), 변동성 45.9%(1년 기준, 기준 35% 초과)</t>
        </is>
      </c>
      <c r="O357" s="99" t="inlineStr">
        <is>
          <t>CSI 300 INDEX</t>
        </is>
      </c>
      <c r="P357" s="99" t="inlineStr">
        <is>
          <t>일반</t>
        </is>
      </c>
      <c r="Q357" s="99" t="inlineStr">
        <is>
          <t>주식</t>
        </is>
      </c>
      <c r="R357" s="99" t="inlineStr">
        <is>
          <t>연배당</t>
        </is>
      </c>
      <c r="S357" s="100" t="n">
        <v>1</v>
      </c>
      <c r="T357" s="101" t="n">
        <v>1</v>
      </c>
      <c r="U357" s="103" t="n">
        <v>-0.1075</v>
      </c>
      <c r="V357" s="103" t="n">
        <v>-0.1168</v>
      </c>
      <c r="W357" s="103" t="n">
        <v>-0.2594</v>
      </c>
      <c r="X357" s="103" t="n">
        <v>-0.3821</v>
      </c>
      <c r="Y357" s="99" t="inlineStr">
        <is>
          <t>20250922~20261002</t>
        </is>
      </c>
      <c r="Z357" s="99" t="inlineStr"/>
      <c r="AA357">
        <f>IF(AND($J357&lt;&gt;"",OR(조회_주기="전체",$R357=조회_주기),$J357&gt;=조회_최소,$J357&lt;=조회_최대),1,0)</f>
        <v/>
      </c>
      <c r="AB357">
        <f>IF($AA357=1,$AB356+1,$AB356)</f>
        <v/>
      </c>
      <c r="AC357">
        <f>IF(검색어="",1,IF(ISNUMBER(SEARCH(검색어,$A357)),1,0))</f>
        <v/>
      </c>
      <c r="AD357">
        <f>IF($AC357=1,$AD356+1,$AD356)</f>
        <v/>
      </c>
      <c r="AE357">
        <f>IFERROR(INDEX($A$4:$A$594,MATCH(354,$AD$4:$AD$594,0)),"")</f>
        <v/>
      </c>
    </row>
    <row r="358">
      <c r="A358" s="99" t="inlineStr">
        <is>
          <t>KODEX Top10동일가중</t>
        </is>
      </c>
      <c r="B358" s="99" t="inlineStr">
        <is>
          <t>395170</t>
        </is>
      </c>
      <c r="C358" s="99" t="inlineStr">
        <is>
          <t>삼성자산운용(ETF)</t>
        </is>
      </c>
      <c r="D358" s="100" t="n">
        <v>15600</v>
      </c>
      <c r="E358" s="100" t="n">
        <v>31200000000</v>
      </c>
      <c r="F358" s="100" t="n">
        <v>223242764</v>
      </c>
      <c r="G358" s="101" t="n">
        <v>0.0015</v>
      </c>
      <c r="H358" s="101" t="n">
        <v>0.528</v>
      </c>
      <c r="I358" s="101" t="n">
        <v>0.0007000000000000001</v>
      </c>
      <c r="J358" s="101" t="n">
        <v>0.010449</v>
      </c>
      <c r="K358" s="100" t="n">
        <v>7</v>
      </c>
      <c r="L358" s="102" t="inlineStr">
        <is>
          <t>20260730</t>
        </is>
      </c>
      <c r="M358" s="99" t="inlineStr">
        <is>
          <t>제외</t>
        </is>
      </c>
      <c r="N358" s="99" t="inlineStr">
        <is>
          <t>60일 거래대금 2.2억(기준 5억 미만), 변동성 52.8%(1년 기준, 기준 35% 초과)</t>
        </is>
      </c>
      <c r="O358" s="99" t="inlineStr">
        <is>
          <t>FnGuide TOP10 동일가중 지수</t>
        </is>
      </c>
      <c r="P358" s="99" t="inlineStr">
        <is>
          <t>일반</t>
        </is>
      </c>
      <c r="Q358" s="99" t="inlineStr">
        <is>
          <t>주식</t>
        </is>
      </c>
      <c r="R358" s="99" t="inlineStr">
        <is>
          <t>분기배당</t>
        </is>
      </c>
      <c r="S358" s="100" t="n">
        <v>3</v>
      </c>
      <c r="T358" s="101" t="n">
        <v>0.9939</v>
      </c>
      <c r="U358" s="103" t="n"/>
      <c r="V358" s="103" t="n"/>
      <c r="W358" s="103" t="n"/>
      <c r="X358" s="103" t="n"/>
      <c r="Y358" s="99" t="inlineStr"/>
      <c r="Z358" s="99" t="inlineStr">
        <is>
          <t>창 안 급변일 1일(20260731) — 내지 않음 / 6개월: 창 안 급변일 1일(20260731) — 내지 않음 / 3개월: 창 안 급변일 1일(20260731) — 내지 않음</t>
        </is>
      </c>
      <c r="AA358">
        <f>IF(AND($J358&lt;&gt;"",OR(조회_주기="전체",$R358=조회_주기),$J358&gt;=조회_최소,$J358&lt;=조회_최대),1,0)</f>
        <v/>
      </c>
      <c r="AB358">
        <f>IF($AA358=1,$AB357+1,$AB357)</f>
        <v/>
      </c>
      <c r="AC358">
        <f>IF(검색어="",1,IF(ISNUMBER(SEARCH(검색어,$A358)),1,0))</f>
        <v/>
      </c>
      <c r="AD358">
        <f>IF($AC358=1,$AD357+1,$AD357)</f>
        <v/>
      </c>
      <c r="AE358">
        <f>IFERROR(INDEX($A$4:$A$594,MATCH(355,$AD$4:$AD$594,0)),"")</f>
        <v/>
      </c>
    </row>
    <row r="359">
      <c r="A359" s="99" t="inlineStr">
        <is>
          <t>TIGER 중장기국채</t>
        </is>
      </c>
      <c r="B359" s="99" t="inlineStr">
        <is>
          <t>302190</t>
        </is>
      </c>
      <c r="C359" s="99" t="inlineStr">
        <is>
          <t>미래에셋자산운용</t>
        </is>
      </c>
      <c r="D359" s="100" t="n">
        <v>50185</v>
      </c>
      <c r="E359" s="100" t="n">
        <v>194717800000</v>
      </c>
      <c r="F359" s="100" t="n">
        <v>311491852</v>
      </c>
      <c r="G359" s="101" t="n">
        <v>0.0015</v>
      </c>
      <c r="H359" s="101" t="n">
        <v>0.0441</v>
      </c>
      <c r="I359" s="101" t="n">
        <v>0.009899999999999999</v>
      </c>
      <c r="J359" s="101" t="n">
        <v>0.010262</v>
      </c>
      <c r="K359" s="100" t="n">
        <v>5</v>
      </c>
      <c r="L359" s="102" t="inlineStr">
        <is>
          <t>20251127</t>
        </is>
      </c>
      <c r="M359" s="99" t="inlineStr">
        <is>
          <t>제외</t>
        </is>
      </c>
      <c r="N359" s="99" t="inlineStr">
        <is>
          <t>60일 거래대금 3.1억(기준 5억 미만)</t>
        </is>
      </c>
      <c r="O359" s="99" t="inlineStr">
        <is>
          <t>KIS 3Y10Y KTB</t>
        </is>
      </c>
      <c r="P359" s="99" t="inlineStr">
        <is>
          <t>일반</t>
        </is>
      </c>
      <c r="Q359" s="99" t="inlineStr">
        <is>
          <t>채권</t>
        </is>
      </c>
      <c r="R359" s="99" t="inlineStr">
        <is>
          <t>연배당</t>
        </is>
      </c>
      <c r="S359" s="100" t="n">
        <v>1</v>
      </c>
      <c r="T359" s="101" t="n">
        <v>1</v>
      </c>
      <c r="U359" s="103" t="n">
        <v>-0.04190000000000001</v>
      </c>
      <c r="V359" s="103" t="n">
        <v>-0.0516</v>
      </c>
      <c r="W359" s="103" t="n">
        <v>-0.0097</v>
      </c>
      <c r="X359" s="103" t="n">
        <v>0.0021</v>
      </c>
      <c r="Y359" s="99" t="inlineStr">
        <is>
          <t>20250922~20261002</t>
        </is>
      </c>
      <c r="Z359" s="99" t="inlineStr"/>
      <c r="AA359">
        <f>IF(AND($J359&lt;&gt;"",OR(조회_주기="전체",$R359=조회_주기),$J359&gt;=조회_최소,$J359&lt;=조회_최대),1,0)</f>
        <v/>
      </c>
      <c r="AB359">
        <f>IF($AA359=1,$AB358+1,$AB358)</f>
        <v/>
      </c>
      <c r="AC359">
        <f>IF(검색어="",1,IF(ISNUMBER(SEARCH(검색어,$A359)),1,0))</f>
        <v/>
      </c>
      <c r="AD359">
        <f>IF($AC359=1,$AD358+1,$AD358)</f>
        <v/>
      </c>
      <c r="AE359">
        <f>IFERROR(INDEX($A$4:$A$594,MATCH(356,$AD$4:$AD$594,0)),"")</f>
        <v/>
      </c>
    </row>
    <row r="360">
      <c r="A360" s="99" t="inlineStr">
        <is>
          <t>TIGER 미국S&amp;P500선물(H)</t>
        </is>
      </c>
      <c r="B360" s="99" t="inlineStr">
        <is>
          <t>143850</t>
        </is>
      </c>
      <c r="C360" s="99" t="inlineStr">
        <is>
          <t>미래에셋자산운용</t>
        </is>
      </c>
      <c r="D360" s="100" t="n">
        <v>77275</v>
      </c>
      <c r="E360" s="100" t="n">
        <v>90798125000</v>
      </c>
      <c r="F360" s="100" t="n">
        <v>269747990</v>
      </c>
      <c r="G360" s="101" t="n">
        <v>0.003</v>
      </c>
      <c r="H360" s="101" t="n">
        <v>0.128</v>
      </c>
      <c r="I360" s="101" t="n">
        <v>0.0109</v>
      </c>
      <c r="J360" s="101" t="n">
        <v>0.010159</v>
      </c>
      <c r="K360" s="100" t="n">
        <v>1</v>
      </c>
      <c r="L360" s="102" t="inlineStr">
        <is>
          <t>20251229</t>
        </is>
      </c>
      <c r="M360" s="99" t="inlineStr">
        <is>
          <t>제외</t>
        </is>
      </c>
      <c r="N360" s="99" t="inlineStr">
        <is>
          <t>60일 거래대금 2.7억(기준 5억 미만)</t>
        </is>
      </c>
      <c r="O360" s="99" t="inlineStr">
        <is>
          <t>S&amp;P 500 Futures Index</t>
        </is>
      </c>
      <c r="P360" s="99" t="inlineStr">
        <is>
          <t>일반</t>
        </is>
      </c>
      <c r="Q360" s="99" t="inlineStr">
        <is>
          <t>주식</t>
        </is>
      </c>
      <c r="R360" s="99" t="inlineStr">
        <is>
          <t>연배당</t>
        </is>
      </c>
      <c r="S360" s="100" t="n">
        <v>1</v>
      </c>
      <c r="T360" s="101" t="n">
        <v>1</v>
      </c>
      <c r="U360" s="103" t="n">
        <v>0.1075</v>
      </c>
      <c r="V360" s="103" t="n">
        <v>0.09630000000000001</v>
      </c>
      <c r="W360" s="103" t="n">
        <v>0.1456</v>
      </c>
      <c r="X360" s="103" t="n">
        <v>0.0163</v>
      </c>
      <c r="Y360" s="99" t="inlineStr">
        <is>
          <t>20250922~20261002</t>
        </is>
      </c>
      <c r="Z360" s="99" t="inlineStr"/>
      <c r="AA360">
        <f>IF(AND($J360&lt;&gt;"",OR(조회_주기="전체",$R360=조회_주기),$J360&gt;=조회_최소,$J360&lt;=조회_최대),1,0)</f>
        <v/>
      </c>
      <c r="AB360">
        <f>IF($AA360=1,$AB359+1,$AB359)</f>
        <v/>
      </c>
      <c r="AC360">
        <f>IF(검색어="",1,IF(ISNUMBER(SEARCH(검색어,$A360)),1,0))</f>
        <v/>
      </c>
      <c r="AD360">
        <f>IF($AC360=1,$AD359+1,$AD359)</f>
        <v/>
      </c>
      <c r="AE360">
        <f>IFERROR(INDEX($A$4:$A$594,MATCH(357,$AD$4:$AD$594,0)),"")</f>
        <v/>
      </c>
    </row>
    <row r="361">
      <c r="A361" s="99" t="inlineStr">
        <is>
          <t>RISE 미국S&amp;P500(H)</t>
        </is>
      </c>
      <c r="B361" s="99" t="inlineStr">
        <is>
          <t>453330</t>
        </is>
      </c>
      <c r="C361" s="99" t="inlineStr">
        <is>
          <t>KB자산운용</t>
        </is>
      </c>
      <c r="D361" s="100" t="n">
        <v>18175</v>
      </c>
      <c r="E361" s="100" t="n">
        <v>85422500000</v>
      </c>
      <c r="F361" s="100" t="n">
        <v>471167937</v>
      </c>
      <c r="G361" s="101" t="n">
        <v>4.7e-05</v>
      </c>
      <c r="H361" s="101" t="n">
        <v>0.1315</v>
      </c>
      <c r="I361" s="101" t="n">
        <v>0.0008</v>
      </c>
      <c r="J361" s="101" t="n">
        <v>0.010069</v>
      </c>
      <c r="K361" s="100" t="n">
        <v>42</v>
      </c>
      <c r="L361" s="102" t="inlineStr">
        <is>
          <t>20260929</t>
        </is>
      </c>
      <c r="M361" s="99" t="inlineStr">
        <is>
          <t>제외</t>
        </is>
      </c>
      <c r="N361" s="99" t="inlineStr">
        <is>
          <t>60일 거래대금 4.7억(기준 5억 미만)</t>
        </is>
      </c>
      <c r="O361" s="99" t="inlineStr">
        <is>
          <t>S&amp;P 500</t>
        </is>
      </c>
      <c r="P361" s="99" t="inlineStr">
        <is>
          <t>일반</t>
        </is>
      </c>
      <c r="Q361" s="99" t="inlineStr">
        <is>
          <t>주식</t>
        </is>
      </c>
      <c r="R361" s="99" t="inlineStr">
        <is>
          <t>월배당</t>
        </is>
      </c>
      <c r="S361" s="100" t="n">
        <v>11</v>
      </c>
      <c r="T361" s="101" t="n">
        <v>1</v>
      </c>
      <c r="U361" s="103" t="n">
        <v>0.1422</v>
      </c>
      <c r="V361" s="103" t="n">
        <v>0.1307</v>
      </c>
      <c r="W361" s="103" t="n">
        <v>0.1602</v>
      </c>
      <c r="X361" s="103" t="n">
        <v>0.0208</v>
      </c>
      <c r="Y361" s="99" t="inlineStr">
        <is>
          <t>20250922~20261002</t>
        </is>
      </c>
      <c r="Z361" s="99" t="inlineStr"/>
      <c r="AA361">
        <f>IF(AND($J361&lt;&gt;"",OR(조회_주기="전체",$R361=조회_주기),$J361&gt;=조회_최소,$J361&lt;=조회_최대),1,0)</f>
        <v/>
      </c>
      <c r="AB361">
        <f>IF($AA361=1,$AB360+1,$AB360)</f>
        <v/>
      </c>
      <c r="AC361">
        <f>IF(검색어="",1,IF(ISNUMBER(SEARCH(검색어,$A361)),1,0))</f>
        <v/>
      </c>
      <c r="AD361">
        <f>IF($AC361=1,$AD360+1,$AD360)</f>
        <v/>
      </c>
      <c r="AE361">
        <f>IFERROR(INDEX($A$4:$A$594,MATCH(358,$AD$4:$AD$594,0)),"")</f>
        <v/>
      </c>
    </row>
    <row r="362">
      <c r="A362" s="99" t="inlineStr">
        <is>
          <t>KODEX 삼성그룹밸류</t>
        </is>
      </c>
      <c r="B362" s="99" t="inlineStr">
        <is>
          <t>213610</t>
        </is>
      </c>
      <c r="C362" s="99" t="inlineStr">
        <is>
          <t>삼성자산운용(ETF)</t>
        </is>
      </c>
      <c r="D362" s="100" t="n">
        <v>22430</v>
      </c>
      <c r="E362" s="100" t="n">
        <v>266917000000</v>
      </c>
      <c r="F362" s="100" t="n">
        <v>495036129</v>
      </c>
      <c r="G362" s="101" t="n">
        <v>0.0009</v>
      </c>
      <c r="H362" s="101" t="n">
        <v>0.4595</v>
      </c>
      <c r="I362" s="101" t="n">
        <v>0.0002</v>
      </c>
      <c r="J362" s="101" t="n">
        <v>0.009987000000000001</v>
      </c>
      <c r="K362" s="100" t="n">
        <v>6</v>
      </c>
      <c r="L362" s="102" t="inlineStr">
        <is>
          <t>20260730</t>
        </is>
      </c>
      <c r="M362" s="99" t="inlineStr">
        <is>
          <t>제외</t>
        </is>
      </c>
      <c r="N362" s="99" t="inlineStr">
        <is>
          <t>60일 거래대금 5.0억(기준 5억 미만), 변동성 45.9%(1년 기준, 기준 35% 초과)</t>
        </is>
      </c>
      <c r="O362" s="99" t="inlineStr">
        <is>
          <t>WISE 삼성그룹밸류인덱스</t>
        </is>
      </c>
      <c r="P362" s="99" t="inlineStr">
        <is>
          <t>일반</t>
        </is>
      </c>
      <c r="Q362" s="99" t="inlineStr">
        <is>
          <t>주식</t>
        </is>
      </c>
      <c r="R362" s="99" t="inlineStr">
        <is>
          <t>연배당</t>
        </is>
      </c>
      <c r="S362" s="100" t="n">
        <v>2</v>
      </c>
      <c r="T362" s="101" t="n">
        <v>1</v>
      </c>
      <c r="U362" s="103" t="n">
        <v>1.0549</v>
      </c>
      <c r="V362" s="103" t="n">
        <v>1.0346</v>
      </c>
      <c r="W362" s="103" t="n">
        <v>0.3358</v>
      </c>
      <c r="X362" s="103" t="n">
        <v>-0.09539999999999998</v>
      </c>
      <c r="Y362" s="99" t="inlineStr">
        <is>
          <t>20250922~20261002</t>
        </is>
      </c>
      <c r="Z362" s="99" t="inlineStr"/>
      <c r="AA362">
        <f>IF(AND($J362&lt;&gt;"",OR(조회_주기="전체",$R362=조회_주기),$J362&gt;=조회_최소,$J362&lt;=조회_최대),1,0)</f>
        <v/>
      </c>
      <c r="AB362">
        <f>IF($AA362=1,$AB361+1,$AB361)</f>
        <v/>
      </c>
      <c r="AC362">
        <f>IF(검색어="",1,IF(ISNUMBER(SEARCH(검색어,$A362)),1,0))</f>
        <v/>
      </c>
      <c r="AD362">
        <f>IF($AC362=1,$AD361+1,$AD361)</f>
        <v/>
      </c>
      <c r="AE362">
        <f>IFERROR(INDEX($A$4:$A$594,MATCH(359,$AD$4:$AD$594,0)),"")</f>
        <v/>
      </c>
    </row>
    <row r="363">
      <c r="A363" s="99" t="inlineStr">
        <is>
          <t>HK 200</t>
        </is>
      </c>
      <c r="B363" s="99" t="inlineStr">
        <is>
          <t>491700</t>
        </is>
      </c>
      <c r="C363" s="99" t="inlineStr">
        <is>
          <t>흥국자산운용</t>
        </is>
      </c>
      <c r="D363" s="100" t="n">
        <v>112615</v>
      </c>
      <c r="E363" s="100" t="n">
        <v>67569000000</v>
      </c>
      <c r="F363" s="100" t="n">
        <v>260170170</v>
      </c>
      <c r="G363" s="101" t="n">
        <v>0.0005</v>
      </c>
      <c r="H363" s="101" t="n">
        <v>0.5857</v>
      </c>
      <c r="I363" s="101" t="n">
        <v>0.0067</v>
      </c>
      <c r="J363" s="101" t="n">
        <v>0.009972</v>
      </c>
      <c r="K363" s="100" t="n">
        <v>3</v>
      </c>
      <c r="L363" s="102" t="inlineStr">
        <is>
          <t>20260429</t>
        </is>
      </c>
      <c r="M363" s="99" t="inlineStr">
        <is>
          <t>제외</t>
        </is>
      </c>
      <c r="N363" s="99" t="inlineStr">
        <is>
          <t>60일 거래대금 2.6억(기준 5억 미만), 변동성 58.6%(1년 기준, 기준 35% 초과)</t>
        </is>
      </c>
      <c r="O363" s="99" t="inlineStr">
        <is>
          <t>KOSPI 200</t>
        </is>
      </c>
      <c r="P363" s="99" t="inlineStr">
        <is>
          <t>일반</t>
        </is>
      </c>
      <c r="Q363" s="99" t="inlineStr">
        <is>
          <t>주식</t>
        </is>
      </c>
      <c r="R363" s="99" t="inlineStr">
        <is>
          <t>연배당</t>
        </is>
      </c>
      <c r="S363" s="100" t="n">
        <v>1</v>
      </c>
      <c r="T363" s="101" t="n">
        <v>1</v>
      </c>
      <c r="U363" s="103" t="n"/>
      <c r="V363" s="103" t="n"/>
      <c r="W363" s="103" t="n"/>
      <c r="X363" s="103" t="n"/>
      <c r="Y363" s="99" t="inlineStr"/>
      <c r="Z363" s="99" t="inlineStr">
        <is>
          <t>창 안 급변일 1일(20260731) — 내지 않음 / 6개월: 창 안 급변일 1일(20260731) — 내지 않음 / 3개월: 창 안 급변일 1일(20260731) — 내지 않음</t>
        </is>
      </c>
      <c r="AA363">
        <f>IF(AND($J363&lt;&gt;"",OR(조회_주기="전체",$R363=조회_주기),$J363&gt;=조회_최소,$J363&lt;=조회_최대),1,0)</f>
        <v/>
      </c>
      <c r="AB363">
        <f>IF($AA363=1,$AB362+1,$AB362)</f>
        <v/>
      </c>
      <c r="AC363">
        <f>IF(검색어="",1,IF(ISNUMBER(SEARCH(검색어,$A363)),1,0))</f>
        <v/>
      </c>
      <c r="AD363">
        <f>IF($AC363=1,$AD362+1,$AD362)</f>
        <v/>
      </c>
      <c r="AE363">
        <f>IFERROR(INDEX($A$4:$A$594,MATCH(360,$AD$4:$AD$594,0)),"")</f>
        <v/>
      </c>
    </row>
    <row r="364">
      <c r="A364" s="99" t="inlineStr">
        <is>
          <t>TIGER 코리아밸류업</t>
        </is>
      </c>
      <c r="B364" s="99" t="inlineStr">
        <is>
          <t>496080</t>
        </is>
      </c>
      <c r="C364" s="99" t="inlineStr">
        <is>
          <t>미래에셋자산운용</t>
        </is>
      </c>
      <c r="D364" s="100" t="n">
        <v>32575</v>
      </c>
      <c r="E364" s="100" t="n">
        <v>501655000000</v>
      </c>
      <c r="F364" s="100" t="n">
        <v>9699397660</v>
      </c>
      <c r="G364" s="101" t="n">
        <v>8.000000000000001e-05</v>
      </c>
      <c r="H364" s="101" t="n">
        <v>0.5226</v>
      </c>
      <c r="I364" s="101" t="n">
        <v>0.0014</v>
      </c>
      <c r="J364" s="101" t="n">
        <v>0.009946</v>
      </c>
      <c r="K364" s="100" t="n">
        <v>21</v>
      </c>
      <c r="L364" s="102" t="inlineStr">
        <is>
          <t>20260929</t>
        </is>
      </c>
      <c r="M364" s="99" t="inlineStr">
        <is>
          <t>제외</t>
        </is>
      </c>
      <c r="N364" s="99" t="inlineStr">
        <is>
          <t>변동성 52.3%(1년 기준, 기준 35% 초과)</t>
        </is>
      </c>
      <c r="O364" s="99" t="inlineStr">
        <is>
          <t>코리아 밸류업 지수</t>
        </is>
      </c>
      <c r="P364" s="99" t="inlineStr">
        <is>
          <t>일반</t>
        </is>
      </c>
      <c r="Q364" s="99" t="inlineStr">
        <is>
          <t>주식</t>
        </is>
      </c>
      <c r="R364" s="99" t="inlineStr">
        <is>
          <t>월배당</t>
        </is>
      </c>
      <c r="S364" s="100" t="n">
        <v>11</v>
      </c>
      <c r="T364" s="101" t="n">
        <v>1</v>
      </c>
      <c r="U364" s="103" t="n">
        <v>1.3552</v>
      </c>
      <c r="V364" s="103" t="n">
        <v>1.332</v>
      </c>
      <c r="W364" s="103" t="n">
        <v>0.3643</v>
      </c>
      <c r="X364" s="103" t="n">
        <v>-0.1403</v>
      </c>
      <c r="Y364" s="99" t="inlineStr">
        <is>
          <t>20250922~20261002</t>
        </is>
      </c>
      <c r="Z364" s="99" t="inlineStr"/>
      <c r="AA364">
        <f>IF(AND($J364&lt;&gt;"",OR(조회_주기="전체",$R364=조회_주기),$J364&gt;=조회_최소,$J364&lt;=조회_최대),1,0)</f>
        <v/>
      </c>
      <c r="AB364">
        <f>IF($AA364=1,$AB363+1,$AB363)</f>
        <v/>
      </c>
      <c r="AC364">
        <f>IF(검색어="",1,IF(ISNUMBER(SEARCH(검색어,$A364)),1,0))</f>
        <v/>
      </c>
      <c r="AD364">
        <f>IF($AC364=1,$AD363+1,$AD363)</f>
        <v/>
      </c>
      <c r="AE364">
        <f>IFERROR(INDEX($A$4:$A$594,MATCH(361,$AD$4:$AD$594,0)),"")</f>
        <v/>
      </c>
    </row>
    <row r="365">
      <c r="A365" s="99" t="inlineStr">
        <is>
          <t>HANARO 코리아밸류업</t>
        </is>
      </c>
      <c r="B365" s="99" t="inlineStr">
        <is>
          <t>495750</t>
        </is>
      </c>
      <c r="C365" s="99" t="inlineStr">
        <is>
          <t>NH-Amundi자산운용</t>
        </is>
      </c>
      <c r="D365" s="100" t="n">
        <v>32570</v>
      </c>
      <c r="E365" s="100" t="n">
        <v>79796500000</v>
      </c>
      <c r="F365" s="100" t="n">
        <v>54367085</v>
      </c>
      <c r="G365" s="101" t="n">
        <v>8.000000000000001e-05</v>
      </c>
      <c r="H365" s="101" t="n">
        <v>0.5233</v>
      </c>
      <c r="I365" s="101" t="n">
        <v>0.0031</v>
      </c>
      <c r="J365" s="101" t="n">
        <v>0.009825</v>
      </c>
      <c r="K365" s="100" t="n">
        <v>6</v>
      </c>
      <c r="L365" s="102" t="inlineStr">
        <is>
          <t>20260730</t>
        </is>
      </c>
      <c r="M365" s="99" t="inlineStr">
        <is>
          <t>제외</t>
        </is>
      </c>
      <c r="N365" s="99" t="inlineStr">
        <is>
          <t>60일 거래대금 0.5억(기준 5억 미만), 변동성 52.3%(1년 기준, 기준 35% 초과)</t>
        </is>
      </c>
      <c r="O365" s="99" t="inlineStr">
        <is>
          <t>코리아 밸류업 지수</t>
        </is>
      </c>
      <c r="P365" s="99" t="inlineStr">
        <is>
          <t>일반</t>
        </is>
      </c>
      <c r="Q365" s="99" t="inlineStr">
        <is>
          <t>주식</t>
        </is>
      </c>
      <c r="R365" s="99" t="inlineStr">
        <is>
          <t>분기배당</t>
        </is>
      </c>
      <c r="S365" s="100" t="n">
        <v>3</v>
      </c>
      <c r="T365" s="101" t="n">
        <v>1</v>
      </c>
      <c r="U365" s="103" t="n">
        <v>1.3658</v>
      </c>
      <c r="V365" s="103" t="n">
        <v>1.3428</v>
      </c>
      <c r="W365" s="103" t="n">
        <v>0.364</v>
      </c>
      <c r="X365" s="103" t="n">
        <v>-0.1413</v>
      </c>
      <c r="Y365" s="99" t="inlineStr">
        <is>
          <t>20250922~20261002</t>
        </is>
      </c>
      <c r="Z365" s="99" t="inlineStr"/>
      <c r="AA365">
        <f>IF(AND($J365&lt;&gt;"",OR(조회_주기="전체",$R365=조회_주기),$J365&gt;=조회_최소,$J365&lt;=조회_최대),1,0)</f>
        <v/>
      </c>
      <c r="AB365">
        <f>IF($AA365=1,$AB364+1,$AB364)</f>
        <v/>
      </c>
      <c r="AC365">
        <f>IF(검색어="",1,IF(ISNUMBER(SEARCH(검색어,$A365)),1,0))</f>
        <v/>
      </c>
      <c r="AD365">
        <f>IF($AC365=1,$AD364+1,$AD364)</f>
        <v/>
      </c>
      <c r="AE365">
        <f>IFERROR(INDEX($A$4:$A$594,MATCH(362,$AD$4:$AD$594,0)),"")</f>
        <v/>
      </c>
    </row>
    <row r="366">
      <c r="A366" s="99" t="inlineStr">
        <is>
          <t>PLUS 코리아밸류업</t>
        </is>
      </c>
      <c r="B366" s="99" t="inlineStr">
        <is>
          <t>495040</t>
        </is>
      </c>
      <c r="C366" s="99" t="inlineStr">
        <is>
          <t>한화자산운용</t>
        </is>
      </c>
      <c r="D366" s="100" t="n">
        <v>32145</v>
      </c>
      <c r="E366" s="100" t="n">
        <v>86791500000</v>
      </c>
      <c r="F366" s="100" t="n">
        <v>138024066</v>
      </c>
      <c r="G366" s="101" t="n">
        <v>8.999999999999999e-05</v>
      </c>
      <c r="H366" s="101" t="n">
        <v>0.5234000000000001</v>
      </c>
      <c r="I366" s="101" t="n">
        <v>0.0014</v>
      </c>
      <c r="J366" s="101" t="n">
        <v>0.009799</v>
      </c>
      <c r="K366" s="100" t="n">
        <v>21</v>
      </c>
      <c r="L366" s="102" t="inlineStr">
        <is>
          <t>20260914</t>
        </is>
      </c>
      <c r="M366" s="99" t="inlineStr">
        <is>
          <t>제외</t>
        </is>
      </c>
      <c r="N366" s="99" t="inlineStr">
        <is>
          <t>60일 거래대금 1.4억(기준 5억 미만), 변동성 52.3%(1년 기준, 기준 35% 초과)</t>
        </is>
      </c>
      <c r="O366" s="99" t="inlineStr">
        <is>
          <t>코리아 밸류업 지수</t>
        </is>
      </c>
      <c r="P366" s="99" t="inlineStr">
        <is>
          <t>일반</t>
        </is>
      </c>
      <c r="Q366" s="99" t="inlineStr">
        <is>
          <t>주식</t>
        </is>
      </c>
      <c r="R366" s="99" t="inlineStr">
        <is>
          <t>월배당</t>
        </is>
      </c>
      <c r="S366" s="100" t="n">
        <v>11</v>
      </c>
      <c r="T366" s="101" t="n">
        <v>0.9143</v>
      </c>
      <c r="U366" s="103" t="n">
        <v>1.354</v>
      </c>
      <c r="V366" s="103" t="n">
        <v>1.3313</v>
      </c>
      <c r="W366" s="103" t="n">
        <v>0.3589</v>
      </c>
      <c r="X366" s="103" t="n">
        <v>-0.1424</v>
      </c>
      <c r="Y366" s="99" t="inlineStr">
        <is>
          <t>20250922~20261002</t>
        </is>
      </c>
      <c r="Z366" s="99" t="inlineStr"/>
      <c r="AA366">
        <f>IF(AND($J366&lt;&gt;"",OR(조회_주기="전체",$R366=조회_주기),$J366&gt;=조회_최소,$J366&lt;=조회_최대),1,0)</f>
        <v/>
      </c>
      <c r="AB366">
        <f>IF($AA366=1,$AB365+1,$AB365)</f>
        <v/>
      </c>
      <c r="AC366">
        <f>IF(검색어="",1,IF(ISNUMBER(SEARCH(검색어,$A366)),1,0))</f>
        <v/>
      </c>
      <c r="AD366">
        <f>IF($AC366=1,$AD365+1,$AD365)</f>
        <v/>
      </c>
      <c r="AE366">
        <f>IFERROR(INDEX($A$4:$A$594,MATCH(363,$AD$4:$AD$594,0)),"")</f>
        <v/>
      </c>
    </row>
    <row r="367">
      <c r="A367" s="99" t="inlineStr">
        <is>
          <t>KIWOOM 미국S&amp;P500(H)</t>
        </is>
      </c>
      <c r="B367" s="99" t="inlineStr">
        <is>
          <t>449780</t>
        </is>
      </c>
      <c r="C367" s="99" t="inlineStr">
        <is>
          <t>키움투자자산운용</t>
        </is>
      </c>
      <c r="D367" s="100" t="n">
        <v>18655</v>
      </c>
      <c r="E367" s="100" t="n">
        <v>33579000000</v>
      </c>
      <c r="F367" s="100" t="n">
        <v>164011459</v>
      </c>
      <c r="G367" s="101" t="n">
        <v>0.0004</v>
      </c>
      <c r="H367" s="101" t="n">
        <v>0.1297</v>
      </c>
      <c r="I367" s="101" t="n">
        <v>0.0024</v>
      </c>
      <c r="J367" s="101" t="n">
        <v>0.009594999999999999</v>
      </c>
      <c r="K367" s="100" t="n">
        <v>7</v>
      </c>
      <c r="L367" s="102" t="inlineStr">
        <is>
          <t>20260730</t>
        </is>
      </c>
      <c r="M367" s="99" t="inlineStr">
        <is>
          <t>제외</t>
        </is>
      </c>
      <c r="N367" s="99" t="inlineStr">
        <is>
          <t>60일 거래대금 1.6억(기준 5억 미만)</t>
        </is>
      </c>
      <c r="O367" s="99" t="inlineStr">
        <is>
          <t>S&amp;P 500</t>
        </is>
      </c>
      <c r="P367" s="99" t="inlineStr">
        <is>
          <t>일반</t>
        </is>
      </c>
      <c r="Q367" s="99" t="inlineStr">
        <is>
          <t>주식</t>
        </is>
      </c>
      <c r="R367" s="99" t="inlineStr">
        <is>
          <t>분기배당</t>
        </is>
      </c>
      <c r="S367" s="100" t="n">
        <v>3</v>
      </c>
      <c r="T367" s="101" t="n">
        <v>1</v>
      </c>
      <c r="U367" s="103" t="n">
        <v>0.1326</v>
      </c>
      <c r="V367" s="103" t="n">
        <v>0.1218</v>
      </c>
      <c r="W367" s="103" t="n">
        <v>0.1471</v>
      </c>
      <c r="X367" s="103" t="n">
        <v>0.0133</v>
      </c>
      <c r="Y367" s="99" t="inlineStr">
        <is>
          <t>20250922~20261002</t>
        </is>
      </c>
      <c r="Z367" s="99" t="inlineStr"/>
      <c r="AA367">
        <f>IF(AND($J367&lt;&gt;"",OR(조회_주기="전체",$R367=조회_주기),$J367&gt;=조회_최소,$J367&lt;=조회_최대),1,0)</f>
        <v/>
      </c>
      <c r="AB367">
        <f>IF($AA367=1,$AB366+1,$AB366)</f>
        <v/>
      </c>
      <c r="AC367">
        <f>IF(검색어="",1,IF(ISNUMBER(SEARCH(검색어,$A367)),1,0))</f>
        <v/>
      </c>
      <c r="AD367">
        <f>IF($AC367=1,$AD366+1,$AD366)</f>
        <v/>
      </c>
      <c r="AE367">
        <f>IFERROR(INDEX($A$4:$A$594,MATCH(364,$AD$4:$AD$594,0)),"")</f>
        <v/>
      </c>
    </row>
    <row r="368">
      <c r="A368" s="99" t="inlineStr">
        <is>
          <t>KIWOOM 200</t>
        </is>
      </c>
      <c r="B368" s="99" t="inlineStr">
        <is>
          <t>069660</t>
        </is>
      </c>
      <c r="C368" s="99" t="inlineStr">
        <is>
          <t>키움투자자산운용</t>
        </is>
      </c>
      <c r="D368" s="100" t="n">
        <v>112045</v>
      </c>
      <c r="E368" s="100" t="n">
        <v>851542000000</v>
      </c>
      <c r="F368" s="100" t="n">
        <v>16769725739</v>
      </c>
      <c r="G368" s="101" t="n">
        <v>0.0005</v>
      </c>
      <c r="H368" s="101" t="n">
        <v>0.5844</v>
      </c>
      <c r="I368" s="101" t="n">
        <v>0.0015</v>
      </c>
      <c r="J368" s="101" t="n">
        <v>0.009549999999999999</v>
      </c>
      <c r="K368" s="100" t="n">
        <v>12</v>
      </c>
      <c r="L368" s="102" t="inlineStr">
        <is>
          <t>20260730</t>
        </is>
      </c>
      <c r="M368" s="99" t="inlineStr">
        <is>
          <t>제외</t>
        </is>
      </c>
      <c r="N368" s="99" t="inlineStr">
        <is>
          <t>변동성 58.4%(1년 기준, 기준 35% 초과)</t>
        </is>
      </c>
      <c r="O368" s="99" t="inlineStr">
        <is>
          <t>KOSPI 200</t>
        </is>
      </c>
      <c r="P368" s="99" t="inlineStr">
        <is>
          <t>일반</t>
        </is>
      </c>
      <c r="Q368" s="99" t="inlineStr">
        <is>
          <t>주식</t>
        </is>
      </c>
      <c r="R368" s="99" t="inlineStr">
        <is>
          <t>분기배당</t>
        </is>
      </c>
      <c r="S368" s="100" t="n">
        <v>3</v>
      </c>
      <c r="T368" s="101" t="n">
        <v>0.9748</v>
      </c>
      <c r="U368" s="103" t="n"/>
      <c r="V368" s="103" t="n"/>
      <c r="W368" s="103" t="n"/>
      <c r="X368" s="103" t="n"/>
      <c r="Y368" s="99" t="inlineStr"/>
      <c r="Z368" s="99" t="inlineStr">
        <is>
          <t>창 안 급변일 1일(20260731) — 내지 않음 / 6개월: 창 안 급변일 1일(20260731) — 내지 않음 / 3개월: 창 안 급변일 1일(20260731) — 내지 않음</t>
        </is>
      </c>
      <c r="AA368">
        <f>IF(AND($J368&lt;&gt;"",OR(조회_주기="전체",$R368=조회_주기),$J368&gt;=조회_최소,$J368&lt;=조회_최대),1,0)</f>
        <v/>
      </c>
      <c r="AB368">
        <f>IF($AA368=1,$AB367+1,$AB367)</f>
        <v/>
      </c>
      <c r="AC368">
        <f>IF(검색어="",1,IF(ISNUMBER(SEARCH(검색어,$A368)),1,0))</f>
        <v/>
      </c>
      <c r="AD368">
        <f>IF($AC368=1,$AD367+1,$AD367)</f>
        <v/>
      </c>
      <c r="AE368">
        <f>IFERROR(INDEX($A$4:$A$594,MATCH(365,$AD$4:$AD$594,0)),"")</f>
        <v/>
      </c>
    </row>
    <row r="369">
      <c r="A369" s="99" t="inlineStr">
        <is>
          <t>TIGER 글로벌자율주행&amp;전기차SOLACTIVE</t>
        </is>
      </c>
      <c r="B369" s="99" t="inlineStr">
        <is>
          <t>394660</t>
        </is>
      </c>
      <c r="C369" s="99" t="inlineStr">
        <is>
          <t>미래에셋자산운용</t>
        </is>
      </c>
      <c r="D369" s="100" t="n">
        <v>14830</v>
      </c>
      <c r="E369" s="100" t="n">
        <v>97284800000</v>
      </c>
      <c r="F369" s="100" t="n">
        <v>120774679</v>
      </c>
      <c r="G369" s="101" t="n">
        <v>0.0049</v>
      </c>
      <c r="H369" s="101" t="n">
        <v>0.273</v>
      </c>
      <c r="I369" s="101" t="n">
        <v>0.009599999999999999</v>
      </c>
      <c r="J369" s="101" t="n">
        <v>0.009507999999999999</v>
      </c>
      <c r="K369" s="100" t="n">
        <v>1</v>
      </c>
      <c r="L369" s="102" t="inlineStr">
        <is>
          <t>20251229</t>
        </is>
      </c>
      <c r="M369" s="99" t="inlineStr">
        <is>
          <t>제외</t>
        </is>
      </c>
      <c r="N369" s="99" t="inlineStr">
        <is>
          <t>60일 거래대금 1.2억(기준 5억 미만)</t>
        </is>
      </c>
      <c r="O369" s="99" t="inlineStr">
        <is>
          <t>Solactive Autonomous &amp; Electric Vehicles Index PR</t>
        </is>
      </c>
      <c r="P369" s="99" t="inlineStr">
        <is>
          <t>일반</t>
        </is>
      </c>
      <c r="Q369" s="99" t="inlineStr">
        <is>
          <t>주식</t>
        </is>
      </c>
      <c r="R369" s="99" t="inlineStr">
        <is>
          <t>연배당</t>
        </is>
      </c>
      <c r="S369" s="100" t="n">
        <v>1</v>
      </c>
      <c r="T369" s="101" t="n">
        <v>1</v>
      </c>
      <c r="U369" s="103" t="n">
        <v>0.1468</v>
      </c>
      <c r="V369" s="103" t="n">
        <v>0.136</v>
      </c>
      <c r="W369" s="103" t="n">
        <v>-0.0406</v>
      </c>
      <c r="X369" s="103" t="n">
        <v>-0.2104</v>
      </c>
      <c r="Y369" s="99" t="inlineStr">
        <is>
          <t>20250922~20261002</t>
        </is>
      </c>
      <c r="Z369" s="99" t="inlineStr"/>
      <c r="AA369">
        <f>IF(AND($J369&lt;&gt;"",OR(조회_주기="전체",$R369=조회_주기),$J369&gt;=조회_최소,$J369&lt;=조회_최대),1,0)</f>
        <v/>
      </c>
      <c r="AB369">
        <f>IF($AA369=1,$AB368+1,$AB368)</f>
        <v/>
      </c>
      <c r="AC369">
        <f>IF(검색어="",1,IF(ISNUMBER(SEARCH(검색어,$A369)),1,0))</f>
        <v/>
      </c>
      <c r="AD369">
        <f>IF($AC369=1,$AD368+1,$AD368)</f>
        <v/>
      </c>
      <c r="AE369">
        <f>IFERROR(INDEX($A$4:$A$594,MATCH(366,$AD$4:$AD$594,0)),"")</f>
        <v/>
      </c>
    </row>
    <row r="370">
      <c r="A370" s="99" t="inlineStr">
        <is>
          <t>TIGER 인도빌리언컨슈머</t>
        </is>
      </c>
      <c r="B370" s="99" t="inlineStr">
        <is>
          <t>479730</t>
        </is>
      </c>
      <c r="C370" s="99" t="inlineStr">
        <is>
          <t>미래에셋자산운용</t>
        </is>
      </c>
      <c r="D370" s="100" t="n">
        <v>8875</v>
      </c>
      <c r="E370" s="100" t="n">
        <v>52362500000</v>
      </c>
      <c r="F370" s="100" t="n">
        <v>161859554</v>
      </c>
      <c r="G370" s="101" t="n">
        <v>0.0049</v>
      </c>
      <c r="H370" s="101" t="n">
        <v>0.1979</v>
      </c>
      <c r="I370" s="101" t="n">
        <v>0.0033</v>
      </c>
      <c r="J370" s="101" t="n">
        <v>0.009352000000000001</v>
      </c>
      <c r="K370" s="100" t="n">
        <v>9</v>
      </c>
      <c r="L370" s="102" t="inlineStr">
        <is>
          <t>20260730</t>
        </is>
      </c>
      <c r="M370" s="99" t="inlineStr">
        <is>
          <t>제외</t>
        </is>
      </c>
      <c r="N370" s="99" t="inlineStr">
        <is>
          <t>60일 거래대금 1.6억(기준 5억 미만)</t>
        </is>
      </c>
      <c r="O370" s="99" t="inlineStr">
        <is>
          <t>Mirae Asset India Billion Consumer Index PR</t>
        </is>
      </c>
      <c r="P370" s="99" t="inlineStr">
        <is>
          <t>일반</t>
        </is>
      </c>
      <c r="Q370" s="99" t="inlineStr">
        <is>
          <t>주식</t>
        </is>
      </c>
      <c r="R370" s="99" t="inlineStr">
        <is>
          <t>분기배당</t>
        </is>
      </c>
      <c r="S370" s="100" t="n">
        <v>3</v>
      </c>
      <c r="T370" s="101" t="n">
        <v>1</v>
      </c>
      <c r="U370" s="103" t="n">
        <v>-0.1894</v>
      </c>
      <c r="V370" s="103" t="n">
        <v>-0.1969</v>
      </c>
      <c r="W370" s="103" t="n">
        <v>-0.09390000000000001</v>
      </c>
      <c r="X370" s="103" t="n">
        <v>-0.1727</v>
      </c>
      <c r="Y370" s="99" t="inlineStr">
        <is>
          <t>20250922~20261002</t>
        </is>
      </c>
      <c r="Z370" s="99" t="inlineStr"/>
      <c r="AA370">
        <f>IF(AND($J370&lt;&gt;"",OR(조회_주기="전체",$R370=조회_주기),$J370&gt;=조회_최소,$J370&lt;=조회_최대),1,0)</f>
        <v/>
      </c>
      <c r="AB370">
        <f>IF($AA370=1,$AB369+1,$AB369)</f>
        <v/>
      </c>
      <c r="AC370">
        <f>IF(검색어="",1,IF(ISNUMBER(SEARCH(검색어,$A370)),1,0))</f>
        <v/>
      </c>
      <c r="AD370">
        <f>IF($AC370=1,$AD369+1,$AD369)</f>
        <v/>
      </c>
      <c r="AE370">
        <f>IFERROR(INDEX($A$4:$A$594,MATCH(367,$AD$4:$AD$594,0)),"")</f>
        <v/>
      </c>
    </row>
    <row r="371">
      <c r="A371" s="99" t="inlineStr">
        <is>
          <t>TIGER 미국나스닥100레버리지(합성)</t>
        </is>
      </c>
      <c r="B371" s="99" t="inlineStr">
        <is>
          <t>418660</t>
        </is>
      </c>
      <c r="C371" s="99" t="inlineStr">
        <is>
          <t>미래에셋자산운용</t>
        </is>
      </c>
      <c r="D371" s="100" t="n">
        <v>41110</v>
      </c>
      <c r="E371" s="100" t="n">
        <v>756424000000</v>
      </c>
      <c r="F371" s="100" t="n">
        <v>11203029554</v>
      </c>
      <c r="G371" s="101" t="n">
        <v>0.0025</v>
      </c>
      <c r="H371" s="101" t="n">
        <v>0.415</v>
      </c>
      <c r="I371" s="101" t="n">
        <v>0.0107</v>
      </c>
      <c r="J371" s="101" t="n">
        <v>0.009242999999999999</v>
      </c>
      <c r="K371" s="100" t="n">
        <v>1</v>
      </c>
      <c r="L371" s="102" t="inlineStr">
        <is>
          <t>20251229</t>
        </is>
      </c>
      <c r="M371" s="99" t="inlineStr">
        <is>
          <t>제외</t>
        </is>
      </c>
      <c r="N371" s="99" t="inlineStr">
        <is>
          <t>변동성 41.5%(1년 기준, 기준 35% 초과)</t>
        </is>
      </c>
      <c r="O371" s="99" t="inlineStr">
        <is>
          <t>나스닥 100</t>
        </is>
      </c>
      <c r="P371" s="99" t="inlineStr">
        <is>
          <t>일반</t>
        </is>
      </c>
      <c r="Q371" s="99" t="inlineStr">
        <is>
          <t>주식</t>
        </is>
      </c>
      <c r="R371" s="99" t="inlineStr">
        <is>
          <t>연배당</t>
        </is>
      </c>
      <c r="S371" s="100" t="n">
        <v>1</v>
      </c>
      <c r="T371" s="101" t="n">
        <v>1</v>
      </c>
      <c r="U371" s="103" t="n">
        <v>0.3313</v>
      </c>
      <c r="V371" s="103" t="n">
        <v>0.319</v>
      </c>
      <c r="W371" s="103" t="n">
        <v>0.2463</v>
      </c>
      <c r="X371" s="103" t="n">
        <v>-0.1618</v>
      </c>
      <c r="Y371" s="99" t="inlineStr">
        <is>
          <t>20250922~20261002</t>
        </is>
      </c>
      <c r="Z371" s="99" t="inlineStr"/>
      <c r="AA371">
        <f>IF(AND($J371&lt;&gt;"",OR(조회_주기="전체",$R371=조회_주기),$J371&gt;=조회_최소,$J371&lt;=조회_최대),1,0)</f>
        <v/>
      </c>
      <c r="AB371">
        <f>IF($AA371=1,$AB370+1,$AB370)</f>
        <v/>
      </c>
      <c r="AC371">
        <f>IF(검색어="",1,IF(ISNUMBER(SEARCH(검색어,$A371)),1,0))</f>
        <v/>
      </c>
      <c r="AD371">
        <f>IF($AC371=1,$AD370+1,$AD370)</f>
        <v/>
      </c>
      <c r="AE371">
        <f>IFERROR(INDEX($A$4:$A$594,MATCH(368,$AD$4:$AD$594,0)),"")</f>
        <v/>
      </c>
    </row>
    <row r="372">
      <c r="A372" s="99" t="inlineStr">
        <is>
          <t>KIWOOM 코리아밸류업</t>
        </is>
      </c>
      <c r="B372" s="99" t="inlineStr">
        <is>
          <t>496090</t>
        </is>
      </c>
      <c r="C372" s="99" t="inlineStr">
        <is>
          <t>키움투자자산운용</t>
        </is>
      </c>
      <c r="D372" s="100" t="n">
        <v>32570</v>
      </c>
      <c r="E372" s="100" t="n">
        <v>107481000000</v>
      </c>
      <c r="F372" s="100" t="n">
        <v>71735633</v>
      </c>
      <c r="G372" s="101" t="n">
        <v>8.999999999999999e-05</v>
      </c>
      <c r="H372" s="101" t="n">
        <v>0.524</v>
      </c>
      <c r="I372" s="101" t="n">
        <v>0.0018</v>
      </c>
      <c r="J372" s="101" t="n">
        <v>0.009211</v>
      </c>
      <c r="K372" s="100" t="n">
        <v>6</v>
      </c>
      <c r="L372" s="102" t="inlineStr">
        <is>
          <t>20260730</t>
        </is>
      </c>
      <c r="M372" s="99" t="inlineStr">
        <is>
          <t>제외</t>
        </is>
      </c>
      <c r="N372" s="99" t="inlineStr">
        <is>
          <t>60일 거래대금 0.7억(기준 5억 미만), 변동성 52.4%(1년 기준, 기준 35% 초과)</t>
        </is>
      </c>
      <c r="O372" s="99" t="inlineStr">
        <is>
          <t>코리아 밸류업 지수</t>
        </is>
      </c>
      <c r="P372" s="99" t="inlineStr">
        <is>
          <t>일반</t>
        </is>
      </c>
      <c r="Q372" s="99" t="inlineStr">
        <is>
          <t>주식</t>
        </is>
      </c>
      <c r="R372" s="99" t="inlineStr">
        <is>
          <t>분기배당</t>
        </is>
      </c>
      <c r="S372" s="100" t="n">
        <v>3</v>
      </c>
      <c r="T372" s="101" t="n">
        <v>1</v>
      </c>
      <c r="U372" s="103" t="n">
        <v>1.3638</v>
      </c>
      <c r="V372" s="103" t="n">
        <v>1.3422</v>
      </c>
      <c r="W372" s="103" t="n">
        <v>0.3654</v>
      </c>
      <c r="X372" s="103" t="n">
        <v>-0.141</v>
      </c>
      <c r="Y372" s="99" t="inlineStr">
        <is>
          <t>20250922~20261002</t>
        </is>
      </c>
      <c r="Z372" s="99" t="inlineStr"/>
      <c r="AA372">
        <f>IF(AND($J372&lt;&gt;"",OR(조회_주기="전체",$R372=조회_주기),$J372&gt;=조회_최소,$J372&lt;=조회_최대),1,0)</f>
        <v/>
      </c>
      <c r="AB372">
        <f>IF($AA372=1,$AB371+1,$AB371)</f>
        <v/>
      </c>
      <c r="AC372">
        <f>IF(검색어="",1,IF(ISNUMBER(SEARCH(검색어,$A372)),1,0))</f>
        <v/>
      </c>
      <c r="AD372">
        <f>IF($AC372=1,$AD371+1,$AD371)</f>
        <v/>
      </c>
      <c r="AE372">
        <f>IFERROR(INDEX($A$4:$A$594,MATCH(369,$AD$4:$AD$594,0)),"")</f>
        <v/>
      </c>
    </row>
    <row r="373">
      <c r="A373" s="99" t="inlineStr">
        <is>
          <t>FOCUS AI코리아액티브</t>
        </is>
      </c>
      <c r="B373" s="99" t="inlineStr">
        <is>
          <t>448570</t>
        </is>
      </c>
      <c r="C373" s="99" t="inlineStr">
        <is>
          <t>브이아이자산운용</t>
        </is>
      </c>
      <c r="D373" s="100" t="n">
        <v>30505</v>
      </c>
      <c r="E373" s="100" t="n">
        <v>41181750000</v>
      </c>
      <c r="F373" s="100" t="n">
        <v>11629396</v>
      </c>
      <c r="G373" s="101" t="n">
        <v>0.00455</v>
      </c>
      <c r="H373" s="101" t="n">
        <v>0.4593</v>
      </c>
      <c r="I373" s="101" t="n">
        <v>0.0097</v>
      </c>
      <c r="J373" s="101" t="n">
        <v>0.009179</v>
      </c>
      <c r="K373" s="100" t="n">
        <v>4</v>
      </c>
      <c r="L373" s="102" t="inlineStr">
        <is>
          <t>20260429</t>
        </is>
      </c>
      <c r="M373" s="99" t="inlineStr">
        <is>
          <t>제외</t>
        </is>
      </c>
      <c r="N373" s="99" t="inlineStr">
        <is>
          <t>60일 거래대금 0.1억(기준 5억 미만), 변동성 45.9%(1년 기준, 기준 35% 초과)</t>
        </is>
      </c>
      <c r="O373" s="99" t="inlineStr">
        <is>
          <t>코스피</t>
        </is>
      </c>
      <c r="P373" s="99" t="inlineStr">
        <is>
          <t>일반</t>
        </is>
      </c>
      <c r="Q373" s="99" t="inlineStr">
        <is>
          <t>주식</t>
        </is>
      </c>
      <c r="R373" s="99" t="inlineStr">
        <is>
          <t>연배당</t>
        </is>
      </c>
      <c r="S373" s="100" t="n">
        <v>1</v>
      </c>
      <c r="T373" s="101" t="n">
        <v>1</v>
      </c>
      <c r="U373" s="103" t="n">
        <v>0.8529000000000001</v>
      </c>
      <c r="V373" s="103" t="n">
        <v>0.8362000000000001</v>
      </c>
      <c r="W373" s="103" t="n">
        <v>0.2222</v>
      </c>
      <c r="X373" s="103" t="n">
        <v>-0.09210000000000002</v>
      </c>
      <c r="Y373" s="99" t="inlineStr">
        <is>
          <t>20250922~20261002</t>
        </is>
      </c>
      <c r="Z373" s="99" t="inlineStr"/>
      <c r="AA373">
        <f>IF(AND($J373&lt;&gt;"",OR(조회_주기="전체",$R373=조회_주기),$J373&gt;=조회_최소,$J373&lt;=조회_최대),1,0)</f>
        <v/>
      </c>
      <c r="AB373">
        <f>IF($AA373=1,$AB372+1,$AB372)</f>
        <v/>
      </c>
      <c r="AC373">
        <f>IF(검색어="",1,IF(ISNUMBER(SEARCH(검색어,$A373)),1,0))</f>
        <v/>
      </c>
      <c r="AD373">
        <f>IF($AC373=1,$AD372+1,$AD372)</f>
        <v/>
      </c>
      <c r="AE373">
        <f>IFERROR(INDEX($A$4:$A$594,MATCH(370,$AD$4:$AD$594,0)),"")</f>
        <v/>
      </c>
    </row>
    <row r="374">
      <c r="A374" s="99" t="inlineStr">
        <is>
          <t>ACE 삼성그룹섹터가중</t>
        </is>
      </c>
      <c r="B374" s="99" t="inlineStr">
        <is>
          <t>108450</t>
        </is>
      </c>
      <c r="C374" s="99" t="inlineStr">
        <is>
          <t>한국투신운용(ETF)</t>
        </is>
      </c>
      <c r="D374" s="100" t="n">
        <v>40420</v>
      </c>
      <c r="E374" s="100" t="n">
        <v>80840000000</v>
      </c>
      <c r="F374" s="100" t="n">
        <v>606372551</v>
      </c>
      <c r="G374" s="101" t="n">
        <v>0.0015</v>
      </c>
      <c r="H374" s="101" t="n">
        <v>0.4839</v>
      </c>
      <c r="I374" s="101" t="n">
        <v>0.009899999999999999</v>
      </c>
      <c r="J374" s="101" t="n">
        <v>0.009154000000000001</v>
      </c>
      <c r="K374" s="100" t="n">
        <v>5</v>
      </c>
      <c r="L374" s="102" t="inlineStr">
        <is>
          <t>20260429</t>
        </is>
      </c>
      <c r="M374" s="99" t="inlineStr">
        <is>
          <t>제외</t>
        </is>
      </c>
      <c r="N374" s="99" t="inlineStr">
        <is>
          <t>변동성 48.4%(1년 기준, 기준 35% 초과)</t>
        </is>
      </c>
      <c r="O374" s="99" t="inlineStr">
        <is>
          <t>FnGuide SAMs SW</t>
        </is>
      </c>
      <c r="P374" s="99" t="inlineStr">
        <is>
          <t>일반</t>
        </is>
      </c>
      <c r="Q374" s="99" t="inlineStr">
        <is>
          <t>주식</t>
        </is>
      </c>
      <c r="R374" s="99" t="inlineStr">
        <is>
          <t>연배당</t>
        </is>
      </c>
      <c r="S374" s="100" t="n">
        <v>1</v>
      </c>
      <c r="T374" s="101" t="n">
        <v>1</v>
      </c>
      <c r="U374" s="103" t="n">
        <v>1.1506</v>
      </c>
      <c r="V374" s="103" t="n">
        <v>1.1311</v>
      </c>
      <c r="W374" s="103" t="n">
        <v>0.332</v>
      </c>
      <c r="X374" s="103" t="n">
        <v>-0.09470000000000001</v>
      </c>
      <c r="Y374" s="99" t="inlineStr">
        <is>
          <t>20250922~20261002</t>
        </is>
      </c>
      <c r="Z374" s="99" t="inlineStr"/>
      <c r="AA374">
        <f>IF(AND($J374&lt;&gt;"",OR(조회_주기="전체",$R374=조회_주기),$J374&gt;=조회_최소,$J374&lt;=조회_최대),1,0)</f>
        <v/>
      </c>
      <c r="AB374">
        <f>IF($AA374=1,$AB373+1,$AB373)</f>
        <v/>
      </c>
      <c r="AC374">
        <f>IF(검색어="",1,IF(ISNUMBER(SEARCH(검색어,$A374)),1,0))</f>
        <v/>
      </c>
      <c r="AD374">
        <f>IF($AC374=1,$AD373+1,$AD373)</f>
        <v/>
      </c>
      <c r="AE374">
        <f>IFERROR(INDEX($A$4:$A$594,MATCH(371,$AD$4:$AD$594,0)),"")</f>
        <v/>
      </c>
    </row>
    <row r="375">
      <c r="A375" s="99" t="inlineStr">
        <is>
          <t>SOL 미국S&amp;P500ESG</t>
        </is>
      </c>
      <c r="B375" s="99" t="inlineStr">
        <is>
          <t>399110</t>
        </is>
      </c>
      <c r="C375" s="99" t="inlineStr">
        <is>
          <t>신한자산운용</t>
        </is>
      </c>
      <c r="D375" s="100" t="n">
        <v>20460</v>
      </c>
      <c r="E375" s="100" t="n">
        <v>116622000000</v>
      </c>
      <c r="F375" s="100" t="n">
        <v>336477947</v>
      </c>
      <c r="G375" s="101" t="n">
        <v>0.0015</v>
      </c>
      <c r="H375" s="101" t="n">
        <v>0.1482</v>
      </c>
      <c r="I375" s="101" t="n">
        <v>0.0022</v>
      </c>
      <c r="J375" s="101" t="n">
        <v>0.009091</v>
      </c>
      <c r="K375" s="100" t="n">
        <v>18</v>
      </c>
      <c r="L375" s="102" t="inlineStr">
        <is>
          <t>20260730</t>
        </is>
      </c>
      <c r="M375" s="99" t="inlineStr">
        <is>
          <t>제외</t>
        </is>
      </c>
      <c r="N375" s="99" t="inlineStr">
        <is>
          <t>60일 거래대금 3.4억(기준 5억 미만)</t>
        </is>
      </c>
      <c r="O375" s="99" t="inlineStr">
        <is>
          <t>S&amp;P 500 Scored &amp; Screened Index (USD)</t>
        </is>
      </c>
      <c r="P375" s="99" t="inlineStr">
        <is>
          <t>일반</t>
        </is>
      </c>
      <c r="Q375" s="99" t="inlineStr">
        <is>
          <t>주식</t>
        </is>
      </c>
      <c r="R375" s="99" t="inlineStr">
        <is>
          <t>분기배당</t>
        </is>
      </c>
      <c r="S375" s="100" t="n">
        <v>3</v>
      </c>
      <c r="T375" s="101" t="n">
        <v>1</v>
      </c>
      <c r="U375" s="103" t="n">
        <v>0.1462</v>
      </c>
      <c r="V375" s="103" t="n">
        <v>0.1358</v>
      </c>
      <c r="W375" s="103" t="n">
        <v>0.0441</v>
      </c>
      <c r="X375" s="103" t="n">
        <v>-0.0917</v>
      </c>
      <c r="Y375" s="99" t="inlineStr">
        <is>
          <t>20250922~20261002</t>
        </is>
      </c>
      <c r="Z375" s="99" t="inlineStr"/>
      <c r="AA375">
        <f>IF(AND($J375&lt;&gt;"",OR(조회_주기="전체",$R375=조회_주기),$J375&gt;=조회_최소,$J375&lt;=조회_최대),1,0)</f>
        <v/>
      </c>
      <c r="AB375">
        <f>IF($AA375=1,$AB374+1,$AB374)</f>
        <v/>
      </c>
      <c r="AC375">
        <f>IF(검색어="",1,IF(ISNUMBER(SEARCH(검색어,$A375)),1,0))</f>
        <v/>
      </c>
      <c r="AD375">
        <f>IF($AC375=1,$AD374+1,$AD374)</f>
        <v/>
      </c>
      <c r="AE375">
        <f>IFERROR(INDEX($A$4:$A$594,MATCH(372,$AD$4:$AD$594,0)),"")</f>
        <v/>
      </c>
    </row>
    <row r="376">
      <c r="A376" s="99" t="inlineStr">
        <is>
          <t>ACE KPOP포커스</t>
        </is>
      </c>
      <c r="B376" s="99" t="inlineStr">
        <is>
          <t>475050</t>
        </is>
      </c>
      <c r="C376" s="99" t="inlineStr">
        <is>
          <t>한국투신운용(ETF)</t>
        </is>
      </c>
      <c r="D376" s="100" t="n">
        <v>6620</v>
      </c>
      <c r="E376" s="100" t="n">
        <v>98638000000</v>
      </c>
      <c r="F376" s="100" t="n">
        <v>3974333056</v>
      </c>
      <c r="G376" s="101" t="n">
        <v>0.003</v>
      </c>
      <c r="H376" s="101" t="n">
        <v>0.4602000000000001</v>
      </c>
      <c r="I376" s="101" t="n">
        <v>0.0062</v>
      </c>
      <c r="J376" s="101" t="n">
        <v>0.009063</v>
      </c>
      <c r="K376" s="100" t="n">
        <v>2</v>
      </c>
      <c r="L376" s="102" t="inlineStr">
        <is>
          <t>20260429</t>
        </is>
      </c>
      <c r="M376" s="99" t="inlineStr">
        <is>
          <t>제외</t>
        </is>
      </c>
      <c r="N376" s="99" t="inlineStr">
        <is>
          <t>변동성 46.0%(1년 기준, 기준 35% 초과)</t>
        </is>
      </c>
      <c r="O376" s="99" t="inlineStr">
        <is>
          <t>iSelect K-POP 포커스 지수</t>
        </is>
      </c>
      <c r="P376" s="99" t="inlineStr">
        <is>
          <t>일반</t>
        </is>
      </c>
      <c r="Q376" s="99" t="inlineStr">
        <is>
          <t>주식</t>
        </is>
      </c>
      <c r="R376" s="99" t="inlineStr">
        <is>
          <t>연배당</t>
        </is>
      </c>
      <c r="S376" s="100" t="n">
        <v>1</v>
      </c>
      <c r="T376" s="101" t="n">
        <v>0.95</v>
      </c>
      <c r="U376" s="103" t="n">
        <v>-0.4867</v>
      </c>
      <c r="V376" s="103" t="n">
        <v>-0.4914</v>
      </c>
      <c r="W376" s="103" t="n">
        <v>-0.2888</v>
      </c>
      <c r="X376" s="103" t="n">
        <v>-0.1389</v>
      </c>
      <c r="Y376" s="99" t="inlineStr">
        <is>
          <t>20250922~20261002</t>
        </is>
      </c>
      <c r="Z376" s="99" t="inlineStr"/>
      <c r="AA376">
        <f>IF(AND($J376&lt;&gt;"",OR(조회_주기="전체",$R376=조회_주기),$J376&gt;=조회_최소,$J376&lt;=조회_최대),1,0)</f>
        <v/>
      </c>
      <c r="AB376">
        <f>IF($AA376=1,$AB375+1,$AB375)</f>
        <v/>
      </c>
      <c r="AC376">
        <f>IF(검색어="",1,IF(ISNUMBER(SEARCH(검색어,$A376)),1,0))</f>
        <v/>
      </c>
      <c r="AD376">
        <f>IF($AC376=1,$AD375+1,$AD375)</f>
        <v/>
      </c>
      <c r="AE376">
        <f>IFERROR(INDEX($A$4:$A$594,MATCH(373,$AD$4:$AD$594,0)),"")</f>
        <v/>
      </c>
    </row>
    <row r="377">
      <c r="A377" s="99" t="inlineStr">
        <is>
          <t>TIGER 200 중공업</t>
        </is>
      </c>
      <c r="B377" s="99" t="inlineStr">
        <is>
          <t>139230</t>
        </is>
      </c>
      <c r="C377" s="99" t="inlineStr">
        <is>
          <t>미래에셋자산운용</t>
        </is>
      </c>
      <c r="D377" s="100" t="n">
        <v>12490</v>
      </c>
      <c r="E377" s="100" t="n">
        <v>243804800000</v>
      </c>
      <c r="F377" s="100" t="n">
        <v>2699514106</v>
      </c>
      <c r="G377" s="101" t="n">
        <v>0.004</v>
      </c>
      <c r="H377" s="101" t="n">
        <v>0.5296999999999999</v>
      </c>
      <c r="I377" s="101" t="n">
        <v>0.008</v>
      </c>
      <c r="J377" s="101" t="n">
        <v>0.009046999999999999</v>
      </c>
      <c r="K377" s="100" t="n">
        <v>6</v>
      </c>
      <c r="L377" s="102" t="inlineStr">
        <is>
          <t>20260730</t>
        </is>
      </c>
      <c r="M377" s="99" t="inlineStr">
        <is>
          <t>제외</t>
        </is>
      </c>
      <c r="N377" s="99" t="inlineStr">
        <is>
          <t>변동성 53.0%(1년 기준, 기준 35% 초과)</t>
        </is>
      </c>
      <c r="O377" s="99" t="inlineStr">
        <is>
          <t>K200중공업</t>
        </is>
      </c>
      <c r="P377" s="99" t="inlineStr">
        <is>
          <t>일반</t>
        </is>
      </c>
      <c r="Q377" s="99" t="inlineStr">
        <is>
          <t>주식</t>
        </is>
      </c>
      <c r="R377" s="99" t="inlineStr">
        <is>
          <t>연배당</t>
        </is>
      </c>
      <c r="S377" s="100" t="n">
        <v>1</v>
      </c>
      <c r="T377" s="101" t="n">
        <v>0.2832</v>
      </c>
      <c r="U377" s="103" t="n"/>
      <c r="V377" s="103" t="n"/>
      <c r="W377" s="103" t="n">
        <v>-0.1764</v>
      </c>
      <c r="X377" s="103" t="n">
        <v>-0.1742</v>
      </c>
      <c r="Y377" s="99" t="inlineStr"/>
      <c r="Z377" s="99" t="inlineStr">
        <is>
          <t>창 안 급변일 1일(20260304) — 내지 않음</t>
        </is>
      </c>
      <c r="AA377">
        <f>IF(AND($J377&lt;&gt;"",OR(조회_주기="전체",$R377=조회_주기),$J377&gt;=조회_최소,$J377&lt;=조회_최대),1,0)</f>
        <v/>
      </c>
      <c r="AB377">
        <f>IF($AA377=1,$AB376+1,$AB376)</f>
        <v/>
      </c>
      <c r="AC377">
        <f>IF(검색어="",1,IF(ISNUMBER(SEARCH(검색어,$A377)),1,0))</f>
        <v/>
      </c>
      <c r="AD377">
        <f>IF($AC377=1,$AD376+1,$AD376)</f>
        <v/>
      </c>
      <c r="AE377">
        <f>IFERROR(INDEX($A$4:$A$594,MATCH(374,$AD$4:$AD$594,0)),"")</f>
        <v/>
      </c>
    </row>
    <row r="378">
      <c r="A378" s="99" t="inlineStr">
        <is>
          <t>RISE 200</t>
        </is>
      </c>
      <c r="B378" s="99" t="inlineStr">
        <is>
          <t>148020</t>
        </is>
      </c>
      <c r="C378" s="99" t="inlineStr">
        <is>
          <t>KB자산운용</t>
        </is>
      </c>
      <c r="D378" s="100" t="n">
        <v>112965</v>
      </c>
      <c r="E378" s="100" t="n">
        <v>4558137750000</v>
      </c>
      <c r="F378" s="100" t="n">
        <v>129598320531</v>
      </c>
      <c r="G378" s="101" t="n">
        <v>0.00017</v>
      </c>
      <c r="H378" s="101" t="n">
        <v>0.5857</v>
      </c>
      <c r="I378" s="101" t="n">
        <v>0.0013</v>
      </c>
      <c r="J378" s="101" t="n">
        <v>0.008940999999999999</v>
      </c>
      <c r="K378" s="100" t="n">
        <v>20</v>
      </c>
      <c r="L378" s="102" t="inlineStr">
        <is>
          <t>20260730</t>
        </is>
      </c>
      <c r="M378" s="99" t="inlineStr">
        <is>
          <t>제외</t>
        </is>
      </c>
      <c r="N378" s="99" t="inlineStr">
        <is>
          <t>변동성 58.6%(1년 기준, 기준 35% 초과)</t>
        </is>
      </c>
      <c r="O378" s="99" t="inlineStr">
        <is>
          <t>KOSPI 200</t>
        </is>
      </c>
      <c r="P378" s="99" t="inlineStr">
        <is>
          <t>일반</t>
        </is>
      </c>
      <c r="Q378" s="99" t="inlineStr">
        <is>
          <t>주식</t>
        </is>
      </c>
      <c r="R378" s="99" t="inlineStr">
        <is>
          <t>분기배당</t>
        </is>
      </c>
      <c r="S378" s="100" t="n">
        <v>3</v>
      </c>
      <c r="T378" s="101" t="n">
        <v>1</v>
      </c>
      <c r="U378" s="103" t="n"/>
      <c r="V378" s="103" t="n"/>
      <c r="W378" s="103" t="n"/>
      <c r="X378" s="103" t="n"/>
      <c r="Y378" s="99" t="inlineStr"/>
      <c r="Z378" s="99" t="inlineStr">
        <is>
          <t>창 안 급변일 1일(20260731) — 내지 않음 / 6개월: 창 안 급변일 1일(20260731) — 내지 않음 / 3개월: 창 안 급변일 1일(20260731) — 내지 않음</t>
        </is>
      </c>
      <c r="AA378">
        <f>IF(AND($J378&lt;&gt;"",OR(조회_주기="전체",$R378=조회_주기),$J378&gt;=조회_최소,$J378&lt;=조회_최대),1,0)</f>
        <v/>
      </c>
      <c r="AB378">
        <f>IF($AA378=1,$AB377+1,$AB377)</f>
        <v/>
      </c>
      <c r="AC378">
        <f>IF(검색어="",1,IF(ISNUMBER(SEARCH(검색어,$A378)),1,0))</f>
        <v/>
      </c>
      <c r="AD378">
        <f>IF($AC378=1,$AD377+1,$AD377)</f>
        <v/>
      </c>
      <c r="AE378">
        <f>IFERROR(INDEX($A$4:$A$594,MATCH(375,$AD$4:$AD$594,0)),"")</f>
        <v/>
      </c>
    </row>
    <row r="379">
      <c r="A379" s="99" t="inlineStr">
        <is>
          <t>TIGER 조선TOP10</t>
        </is>
      </c>
      <c r="B379" s="99" t="inlineStr">
        <is>
          <t>494670</t>
        </is>
      </c>
      <c r="C379" s="99" t="inlineStr">
        <is>
          <t>미래에셋자산운용</t>
        </is>
      </c>
      <c r="D379" s="100" t="n">
        <v>20790</v>
      </c>
      <c r="E379" s="100" t="n">
        <v>528066000000</v>
      </c>
      <c r="F379" s="100" t="n">
        <v>15493659689</v>
      </c>
      <c r="G379" s="101" t="n">
        <v>0.0035</v>
      </c>
      <c r="H379" s="101" t="n">
        <v>0.5436</v>
      </c>
      <c r="I379" s="101" t="n">
        <v>0.004</v>
      </c>
      <c r="J379" s="101" t="n">
        <v>0.008899000000000001</v>
      </c>
      <c r="K379" s="100" t="n">
        <v>3</v>
      </c>
      <c r="L379" s="102" t="inlineStr">
        <is>
          <t>20260429</t>
        </is>
      </c>
      <c r="M379" s="99" t="inlineStr">
        <is>
          <t>제외</t>
        </is>
      </c>
      <c r="N379" s="99" t="inlineStr">
        <is>
          <t>변동성 54.4%(1년 기준, 기준 35% 초과)</t>
        </is>
      </c>
      <c r="O379" s="99" t="inlineStr">
        <is>
          <t>iSelect 조선 TOP10 지수</t>
        </is>
      </c>
      <c r="P379" s="99" t="inlineStr">
        <is>
          <t>일반</t>
        </is>
      </c>
      <c r="Q379" s="99" t="inlineStr">
        <is>
          <t>주식</t>
        </is>
      </c>
      <c r="R379" s="99" t="inlineStr">
        <is>
          <t>연배당</t>
        </is>
      </c>
      <c r="S379" s="100" t="n">
        <v>1</v>
      </c>
      <c r="T379" s="101" t="n">
        <v>0.3297</v>
      </c>
      <c r="U379" s="103" t="n"/>
      <c r="V379" s="103" t="n"/>
      <c r="W379" s="103" t="n">
        <v>-0.2306</v>
      </c>
      <c r="X379" s="103" t="n">
        <v>-0.1708</v>
      </c>
      <c r="Y379" s="99" t="inlineStr"/>
      <c r="Z379" s="99" t="inlineStr">
        <is>
          <t>창 안 급변일 1일(20260304) — 내지 않음</t>
        </is>
      </c>
      <c r="AA379">
        <f>IF(AND($J379&lt;&gt;"",OR(조회_주기="전체",$R379=조회_주기),$J379&gt;=조회_최소,$J379&lt;=조회_최대),1,0)</f>
        <v/>
      </c>
      <c r="AB379">
        <f>IF($AA379=1,$AB378+1,$AB378)</f>
        <v/>
      </c>
      <c r="AC379">
        <f>IF(검색어="",1,IF(ISNUMBER(SEARCH(검색어,$A379)),1,0))</f>
        <v/>
      </c>
      <c r="AD379">
        <f>IF($AC379=1,$AD378+1,$AD378)</f>
        <v/>
      </c>
      <c r="AE379">
        <f>IFERROR(INDEX($A$4:$A$594,MATCH(376,$AD$4:$AD$594,0)),"")</f>
        <v/>
      </c>
    </row>
    <row r="380">
      <c r="A380" s="99" t="inlineStr">
        <is>
          <t>마이티 다이나믹퀀트액티브</t>
        </is>
      </c>
      <c r="B380" s="99" t="inlineStr">
        <is>
          <t>442260</t>
        </is>
      </c>
      <c r="C380" s="99" t="inlineStr">
        <is>
          <t>DB자산운용</t>
        </is>
      </c>
      <c r="D380" s="100" t="n">
        <v>39380</v>
      </c>
      <c r="E380" s="100" t="n">
        <v>48831200000</v>
      </c>
      <c r="F380" s="100" t="n">
        <v>201383851</v>
      </c>
      <c r="G380" s="101" t="n">
        <v>0.00295</v>
      </c>
      <c r="H380" s="101" t="n">
        <v>0.5981000000000001</v>
      </c>
      <c r="I380" s="101" t="n">
        <v>0.009899999999999999</v>
      </c>
      <c r="J380" s="101" t="n">
        <v>0.008888</v>
      </c>
      <c r="K380" s="100" t="n">
        <v>4</v>
      </c>
      <c r="L380" s="102" t="inlineStr">
        <is>
          <t>20260429</t>
        </is>
      </c>
      <c r="M380" s="99" t="inlineStr">
        <is>
          <t>제외</t>
        </is>
      </c>
      <c r="N380" s="99" t="inlineStr">
        <is>
          <t>60일 거래대금 2.0억(기준 5억 미만), 변동성 59.8%(1년 기준, 기준 35% 초과)</t>
        </is>
      </c>
      <c r="O380" s="99" t="inlineStr">
        <is>
          <t>KOSPI 200</t>
        </is>
      </c>
      <c r="P380" s="99" t="inlineStr">
        <is>
          <t>일반</t>
        </is>
      </c>
      <c r="Q380" s="99" t="inlineStr">
        <is>
          <t>주식</t>
        </is>
      </c>
      <c r="R380" s="99" t="inlineStr">
        <is>
          <t>연배당</t>
        </is>
      </c>
      <c r="S380" s="100" t="n">
        <v>1</v>
      </c>
      <c r="T380" s="101" t="n">
        <v>0.9857</v>
      </c>
      <c r="U380" s="103" t="n"/>
      <c r="V380" s="103" t="n"/>
      <c r="W380" s="103" t="n"/>
      <c r="X380" s="103" t="n"/>
      <c r="Y380" s="99" t="inlineStr"/>
      <c r="Z380" s="99" t="inlineStr">
        <is>
          <t>창 안 급변일 1일(20260731) — 내지 않음 / 6개월: 창 안 급변일 1일(20260731) — 내지 않음 / 3개월: 창 안 급변일 1일(20260731) — 내지 않음</t>
        </is>
      </c>
      <c r="AA380">
        <f>IF(AND($J380&lt;&gt;"",OR(조회_주기="전체",$R380=조회_주기),$J380&gt;=조회_최소,$J380&lt;=조회_최대),1,0)</f>
        <v/>
      </c>
      <c r="AB380">
        <f>IF($AA380=1,$AB379+1,$AB379)</f>
        <v/>
      </c>
      <c r="AC380">
        <f>IF(검색어="",1,IF(ISNUMBER(SEARCH(검색어,$A380)),1,0))</f>
        <v/>
      </c>
      <c r="AD380">
        <f>IF($AC380=1,$AD379+1,$AD379)</f>
        <v/>
      </c>
      <c r="AE380">
        <f>IFERROR(INDEX($A$4:$A$594,MATCH(377,$AD$4:$AD$594,0)),"")</f>
        <v/>
      </c>
    </row>
    <row r="381">
      <c r="A381" s="99" t="inlineStr">
        <is>
          <t>TIGER 차이나휴머노이드로봇</t>
        </is>
      </c>
      <c r="B381" s="99" t="inlineStr">
        <is>
          <t>0053L0</t>
        </is>
      </c>
      <c r="C381" s="99" t="inlineStr">
        <is>
          <t>미래에셋자산운용</t>
        </is>
      </c>
      <c r="D381" s="100" t="n">
        <v>8560</v>
      </c>
      <c r="E381" s="100" t="n">
        <v>231120000000</v>
      </c>
      <c r="F381" s="100" t="n">
        <v>4765388685</v>
      </c>
      <c r="G381" s="101" t="n">
        <v>0.0049</v>
      </c>
      <c r="H381" s="101" t="n">
        <v>0.3693</v>
      </c>
      <c r="I381" s="101" t="n">
        <v>0.0037</v>
      </c>
      <c r="J381" s="101" t="n">
        <v>0.008879</v>
      </c>
      <c r="K381" s="100" t="n">
        <v>5</v>
      </c>
      <c r="L381" s="102" t="inlineStr">
        <is>
          <t>20260730</t>
        </is>
      </c>
      <c r="M381" s="99" t="inlineStr">
        <is>
          <t>제외</t>
        </is>
      </c>
      <c r="N381" s="99" t="inlineStr">
        <is>
          <t>변동성 36.9%(1년 기준, 기준 35% 초과)</t>
        </is>
      </c>
      <c r="O381" s="99" t="inlineStr">
        <is>
          <t>Mirae Asset China Humanoid Robot Index</t>
        </is>
      </c>
      <c r="P381" s="99" t="inlineStr">
        <is>
          <t>일반</t>
        </is>
      </c>
      <c r="Q381" s="99" t="inlineStr">
        <is>
          <t>주식</t>
        </is>
      </c>
      <c r="R381" s="99" t="inlineStr">
        <is>
          <t>분기배당</t>
        </is>
      </c>
      <c r="S381" s="100" t="n">
        <v>3</v>
      </c>
      <c r="T381" s="101" t="n">
        <v>1</v>
      </c>
      <c r="U381" s="103" t="n">
        <v>-0.3372</v>
      </c>
      <c r="V381" s="103" t="n">
        <v>-0.343</v>
      </c>
      <c r="W381" s="103" t="n">
        <v>-0.2744</v>
      </c>
      <c r="X381" s="103" t="n">
        <v>-0.2903</v>
      </c>
      <c r="Y381" s="99" t="inlineStr">
        <is>
          <t>20250922~20261002</t>
        </is>
      </c>
      <c r="Z381" s="99" t="inlineStr"/>
      <c r="AA381">
        <f>IF(AND($J381&lt;&gt;"",OR(조회_주기="전체",$R381=조회_주기),$J381&gt;=조회_최소,$J381&lt;=조회_최대),1,0)</f>
        <v/>
      </c>
      <c r="AB381">
        <f>IF($AA381=1,$AB380+1,$AB380)</f>
        <v/>
      </c>
      <c r="AC381">
        <f>IF(검색어="",1,IF(ISNUMBER(SEARCH(검색어,$A381)),1,0))</f>
        <v/>
      </c>
      <c r="AD381">
        <f>IF($AC381=1,$AD380+1,$AD380)</f>
        <v/>
      </c>
      <c r="AE381">
        <f>IFERROR(INDEX($A$4:$A$594,MATCH(378,$AD$4:$AD$594,0)),"")</f>
        <v/>
      </c>
    </row>
    <row r="382">
      <c r="A382" s="99" t="inlineStr">
        <is>
          <t>KODEX KRX300</t>
        </is>
      </c>
      <c r="B382" s="99" t="inlineStr">
        <is>
          <t>292190</t>
        </is>
      </c>
      <c r="C382" s="99" t="inlineStr">
        <is>
          <t>삼성자산운용(ETF)</t>
        </is>
      </c>
      <c r="D382" s="100" t="n">
        <v>49370</v>
      </c>
      <c r="E382" s="100" t="n">
        <v>74055000000</v>
      </c>
      <c r="F382" s="100" t="n">
        <v>1251725672</v>
      </c>
      <c r="G382" s="101" t="n">
        <v>0.0005</v>
      </c>
      <c r="H382" s="101" t="n">
        <v>0.5743</v>
      </c>
      <c r="I382" s="101" t="n">
        <v>0.0024</v>
      </c>
      <c r="J382" s="101" t="n">
        <v>0.008750000000000001</v>
      </c>
      <c r="K382" s="100" t="n">
        <v>6</v>
      </c>
      <c r="L382" s="102" t="inlineStr">
        <is>
          <t>20260730</t>
        </is>
      </c>
      <c r="M382" s="99" t="inlineStr">
        <is>
          <t>제외</t>
        </is>
      </c>
      <c r="N382" s="99" t="inlineStr">
        <is>
          <t>변동성 57.4%(1년 기준, 기준 35% 초과)</t>
        </is>
      </c>
      <c r="O382" s="99" t="inlineStr">
        <is>
          <t>KRX300</t>
        </is>
      </c>
      <c r="P382" s="99" t="inlineStr">
        <is>
          <t>일반</t>
        </is>
      </c>
      <c r="Q382" s="99" t="inlineStr">
        <is>
          <t>주식</t>
        </is>
      </c>
      <c r="R382" s="99" t="inlineStr">
        <is>
          <t>연배당</t>
        </is>
      </c>
      <c r="S382" s="100" t="n">
        <v>2</v>
      </c>
      <c r="T382" s="101" t="n">
        <v>1</v>
      </c>
      <c r="U382" s="103" t="n"/>
      <c r="V382" s="103" t="n"/>
      <c r="W382" s="103" t="n"/>
      <c r="X382" s="103" t="n"/>
      <c r="Y382" s="99" t="inlineStr"/>
      <c r="Z382" s="99" t="inlineStr">
        <is>
          <t>창 안 급변일 1일(20260731) — 내지 않음 / 6개월: 창 안 급변일 1일(20260731) — 내지 않음 / 3개월: 창 안 급변일 1일(20260731) — 내지 않음</t>
        </is>
      </c>
      <c r="AA382">
        <f>IF(AND($J382&lt;&gt;"",OR(조회_주기="전체",$R382=조회_주기),$J382&gt;=조회_최소,$J382&lt;=조회_최대),1,0)</f>
        <v/>
      </c>
      <c r="AB382">
        <f>IF($AA382=1,$AB381+1,$AB381)</f>
        <v/>
      </c>
      <c r="AC382">
        <f>IF(검색어="",1,IF(ISNUMBER(SEARCH(검색어,$A382)),1,0))</f>
        <v/>
      </c>
      <c r="AD382">
        <f>IF($AC382=1,$AD381+1,$AD381)</f>
        <v/>
      </c>
      <c r="AE382">
        <f>IFERROR(INDEX($A$4:$A$594,MATCH(379,$AD$4:$AD$594,0)),"")</f>
        <v/>
      </c>
    </row>
    <row r="383">
      <c r="A383" s="99" t="inlineStr">
        <is>
          <t>TIGER 코스닥150바이오테크</t>
        </is>
      </c>
      <c r="B383" s="99" t="inlineStr">
        <is>
          <t>261070</t>
        </is>
      </c>
      <c r="C383" s="99" t="inlineStr">
        <is>
          <t>미래에셋자산운용</t>
        </is>
      </c>
      <c r="D383" s="100" t="n">
        <v>11460</v>
      </c>
      <c r="E383" s="100" t="n">
        <v>54778800000</v>
      </c>
      <c r="F383" s="100" t="n">
        <v>2765642513</v>
      </c>
      <c r="G383" s="101" t="n">
        <v>0.004</v>
      </c>
      <c r="H383" s="101" t="n">
        <v>0.58</v>
      </c>
      <c r="I383" s="101" t="n">
        <v>0.0053</v>
      </c>
      <c r="J383" s="101" t="n">
        <v>0.008726000000000001</v>
      </c>
      <c r="K383" s="100" t="n">
        <v>5</v>
      </c>
      <c r="L383" s="102" t="inlineStr">
        <is>
          <t>20260429</t>
        </is>
      </c>
      <c r="M383" s="99" t="inlineStr">
        <is>
          <t>제외</t>
        </is>
      </c>
      <c r="N383" s="99" t="inlineStr">
        <is>
          <t>변동성 58.0%(1년 기준, 기준 35% 초과)</t>
        </is>
      </c>
      <c r="O383" s="99" t="inlineStr">
        <is>
          <t>코스닥 150 헬스케어</t>
        </is>
      </c>
      <c r="P383" s="99" t="inlineStr">
        <is>
          <t>일반</t>
        </is>
      </c>
      <c r="Q383" s="99" t="inlineStr">
        <is>
          <t>주식</t>
        </is>
      </c>
      <c r="R383" s="99" t="inlineStr">
        <is>
          <t>연배당</t>
        </is>
      </c>
      <c r="S383" s="100" t="n">
        <v>1</v>
      </c>
      <c r="T383" s="101" t="n">
        <v>0</v>
      </c>
      <c r="U383" s="103" t="n"/>
      <c r="V383" s="103" t="n"/>
      <c r="W383" s="103" t="n">
        <v>-0.3736</v>
      </c>
      <c r="X383" s="103" t="n">
        <v>-0.1774</v>
      </c>
      <c r="Y383" s="99" t="inlineStr"/>
      <c r="Z383" s="99" t="inlineStr">
        <is>
          <t>창 안 급변일 1일(20260304) — 내지 않음</t>
        </is>
      </c>
      <c r="AA383">
        <f>IF(AND($J383&lt;&gt;"",OR(조회_주기="전체",$R383=조회_주기),$J383&gt;=조회_최소,$J383&lt;=조회_최대),1,0)</f>
        <v/>
      </c>
      <c r="AB383">
        <f>IF($AA383=1,$AB382+1,$AB382)</f>
        <v/>
      </c>
      <c r="AC383">
        <f>IF(검색어="",1,IF(ISNUMBER(SEARCH(검색어,$A383)),1,0))</f>
        <v/>
      </c>
      <c r="AD383">
        <f>IF($AC383=1,$AD382+1,$AD382)</f>
        <v/>
      </c>
      <c r="AE383">
        <f>IFERROR(INDEX($A$4:$A$594,MATCH(380,$AD$4:$AD$594,0)),"")</f>
        <v/>
      </c>
    </row>
    <row r="384">
      <c r="A384" s="99" t="inlineStr">
        <is>
          <t>ACE 200</t>
        </is>
      </c>
      <c r="B384" s="99" t="inlineStr">
        <is>
          <t>105190</t>
        </is>
      </c>
      <c r="C384" s="99" t="inlineStr">
        <is>
          <t>한국투신운용(ETF)</t>
        </is>
      </c>
      <c r="D384" s="100" t="n">
        <v>112325</v>
      </c>
      <c r="E384" s="100" t="n">
        <v>1684875000000</v>
      </c>
      <c r="F384" s="100" t="n">
        <v>36895744500</v>
      </c>
      <c r="G384" s="101" t="n">
        <v>0.00017</v>
      </c>
      <c r="H384" s="101" t="n">
        <v>0.5861999999999999</v>
      </c>
      <c r="I384" s="101" t="n">
        <v>0.0017</v>
      </c>
      <c r="J384" s="101" t="n">
        <v>0.008636</v>
      </c>
      <c r="K384" s="100" t="n">
        <v>9</v>
      </c>
      <c r="L384" s="102" t="inlineStr">
        <is>
          <t>20260730</t>
        </is>
      </c>
      <c r="M384" s="99" t="inlineStr">
        <is>
          <t>제외</t>
        </is>
      </c>
      <c r="N384" s="99" t="inlineStr">
        <is>
          <t>변동성 58.6%(1년 기준, 기준 35% 초과)</t>
        </is>
      </c>
      <c r="O384" s="99" t="inlineStr">
        <is>
          <t>KOSPI 200</t>
        </is>
      </c>
      <c r="P384" s="99" t="inlineStr">
        <is>
          <t>일반</t>
        </is>
      </c>
      <c r="Q384" s="99" t="inlineStr">
        <is>
          <t>주식</t>
        </is>
      </c>
      <c r="R384" s="99" t="inlineStr">
        <is>
          <t>분기배당</t>
        </is>
      </c>
      <c r="S384" s="100" t="n">
        <v>3</v>
      </c>
      <c r="T384" s="101" t="n">
        <v>1</v>
      </c>
      <c r="U384" s="103" t="n"/>
      <c r="V384" s="103" t="n"/>
      <c r="W384" s="103" t="n"/>
      <c r="X384" s="103" t="n"/>
      <c r="Y384" s="99" t="inlineStr"/>
      <c r="Z384" s="99" t="inlineStr">
        <is>
          <t>창 안 급변일 1일(20260731) — 내지 않음 / 6개월: 창 안 급변일 1일(20260731) — 내지 않음 / 3개월: 창 안 급변일 1일(20260731) — 내지 않음</t>
        </is>
      </c>
      <c r="AA384">
        <f>IF(AND($J384&lt;&gt;"",OR(조회_주기="전체",$R384=조회_주기),$J384&gt;=조회_최소,$J384&lt;=조회_최대),1,0)</f>
        <v/>
      </c>
      <c r="AB384">
        <f>IF($AA384=1,$AB383+1,$AB383)</f>
        <v/>
      </c>
      <c r="AC384">
        <f>IF(검색어="",1,IF(ISNUMBER(SEARCH(검색어,$A384)),1,0))</f>
        <v/>
      </c>
      <c r="AD384">
        <f>IF($AC384=1,$AD383+1,$AD383)</f>
        <v/>
      </c>
      <c r="AE384">
        <f>IFERROR(INDEX($A$4:$A$594,MATCH(381,$AD$4:$AD$594,0)),"")</f>
        <v/>
      </c>
    </row>
    <row r="385">
      <c r="A385" s="99" t="inlineStr">
        <is>
          <t>KODEX 가치주</t>
        </is>
      </c>
      <c r="B385" s="99" t="inlineStr">
        <is>
          <t>275290</t>
        </is>
      </c>
      <c r="C385" s="99" t="inlineStr">
        <is>
          <t>삼성자산운용(ETF)</t>
        </is>
      </c>
      <c r="D385" s="100" t="n">
        <v>35455</v>
      </c>
      <c r="E385" s="100" t="n">
        <v>31909500000</v>
      </c>
      <c r="F385" s="100" t="n">
        <v>155883326</v>
      </c>
      <c r="G385" s="101" t="n">
        <v>0.003</v>
      </c>
      <c r="H385" s="101" t="n">
        <v>0.5556</v>
      </c>
      <c r="I385" s="101" t="n">
        <v>0.0031</v>
      </c>
      <c r="J385" s="101" t="n">
        <v>0.008602</v>
      </c>
      <c r="K385" s="100" t="n">
        <v>6</v>
      </c>
      <c r="L385" s="102" t="inlineStr">
        <is>
          <t>20260730</t>
        </is>
      </c>
      <c r="M385" s="99" t="inlineStr">
        <is>
          <t>제외</t>
        </is>
      </c>
      <c r="N385" s="99" t="inlineStr">
        <is>
          <t>60일 거래대금 1.6억(기준 5억 미만), 변동성 55.6%(1년 기준, 기준 35% 초과)</t>
        </is>
      </c>
      <c r="O385" s="99" t="inlineStr">
        <is>
          <t>MSCI Korea IMI Enhanced Value</t>
        </is>
      </c>
      <c r="P385" s="99" t="inlineStr">
        <is>
          <t>일반</t>
        </is>
      </c>
      <c r="Q385" s="99" t="inlineStr">
        <is>
          <t>주식</t>
        </is>
      </c>
      <c r="R385" s="99" t="inlineStr">
        <is>
          <t>연배당</t>
        </is>
      </c>
      <c r="S385" s="100" t="n">
        <v>2</v>
      </c>
      <c r="T385" s="101" t="n">
        <v>1</v>
      </c>
      <c r="U385" s="103" t="n"/>
      <c r="V385" s="103" t="n"/>
      <c r="W385" s="103" t="n"/>
      <c r="X385" s="103" t="n"/>
      <c r="Y385" s="99" t="inlineStr"/>
      <c r="Z385" s="99" t="inlineStr">
        <is>
          <t>창 안 급변일 1일(20260731) — 내지 않음 / 6개월: 창 안 급변일 1일(20260731) — 내지 않음 / 3개월: 창 안 급변일 1일(20260731) — 내지 않음</t>
        </is>
      </c>
      <c r="AA385">
        <f>IF(AND($J385&lt;&gt;"",OR(조회_주기="전체",$R385=조회_주기),$J385&gt;=조회_최소,$J385&lt;=조회_최대),1,0)</f>
        <v/>
      </c>
      <c r="AB385">
        <f>IF($AA385=1,$AB384+1,$AB384)</f>
        <v/>
      </c>
      <c r="AC385">
        <f>IF(검색어="",1,IF(ISNUMBER(SEARCH(검색어,$A385)),1,0))</f>
        <v/>
      </c>
      <c r="AD385">
        <f>IF($AC385=1,$AD384+1,$AD384)</f>
        <v/>
      </c>
      <c r="AE385">
        <f>IFERROR(INDEX($A$4:$A$594,MATCH(382,$AD$4:$AD$594,0)),"")</f>
        <v/>
      </c>
    </row>
    <row r="386">
      <c r="A386" s="99" t="inlineStr">
        <is>
          <t>KODEX 코스피</t>
        </is>
      </c>
      <c r="B386" s="99" t="inlineStr">
        <is>
          <t>226490</t>
        </is>
      </c>
      <c r="C386" s="99" t="inlineStr">
        <is>
          <t>삼성자산운용(ETF)</t>
        </is>
      </c>
      <c r="D386" s="100" t="n">
        <v>72150</v>
      </c>
      <c r="E386" s="100" t="n">
        <v>1439392500000</v>
      </c>
      <c r="F386" s="100" t="n">
        <v>36256278739</v>
      </c>
      <c r="G386" s="101" t="n">
        <v>0.0015</v>
      </c>
      <c r="H386" s="101" t="n">
        <v>0.5404</v>
      </c>
      <c r="I386" s="101" t="n">
        <v>0.0026</v>
      </c>
      <c r="J386" s="101" t="n">
        <v>0.008579</v>
      </c>
      <c r="K386" s="100" t="n">
        <v>6</v>
      </c>
      <c r="L386" s="102" t="inlineStr">
        <is>
          <t>20260730</t>
        </is>
      </c>
      <c r="M386" s="99" t="inlineStr">
        <is>
          <t>제외</t>
        </is>
      </c>
      <c r="N386" s="99" t="inlineStr">
        <is>
          <t>변동성 54.0%(1년 기준, 기준 35% 초과)</t>
        </is>
      </c>
      <c r="O386" s="99" t="inlineStr">
        <is>
          <t>코스피</t>
        </is>
      </c>
      <c r="P386" s="99" t="inlineStr">
        <is>
          <t>일반</t>
        </is>
      </c>
      <c r="Q386" s="99" t="inlineStr">
        <is>
          <t>주식</t>
        </is>
      </c>
      <c r="R386" s="99" t="inlineStr">
        <is>
          <t>연배당</t>
        </is>
      </c>
      <c r="S386" s="100" t="n">
        <v>2</v>
      </c>
      <c r="T386" s="101" t="n">
        <v>1</v>
      </c>
      <c r="U386" s="103" t="n"/>
      <c r="V386" s="103" t="n"/>
      <c r="W386" s="103" t="n"/>
      <c r="X386" s="103" t="n"/>
      <c r="Y386" s="99" t="inlineStr"/>
      <c r="Z386" s="99" t="inlineStr">
        <is>
          <t>창 안 급변일 1일(20260731) — 내지 않음 / 6개월: 창 안 급변일 1일(20260731) — 내지 않음 / 3개월: 창 안 급변일 1일(20260731) — 내지 않음</t>
        </is>
      </c>
      <c r="AA386">
        <f>IF(AND($J386&lt;&gt;"",OR(조회_주기="전체",$R386=조회_주기),$J386&gt;=조회_최소,$J386&lt;=조회_최대),1,0)</f>
        <v/>
      </c>
      <c r="AB386">
        <f>IF($AA386=1,$AB385+1,$AB385)</f>
        <v/>
      </c>
      <c r="AC386">
        <f>IF(검색어="",1,IF(ISNUMBER(SEARCH(검색어,$A386)),1,0))</f>
        <v/>
      </c>
      <c r="AD386">
        <f>IF($AC386=1,$AD385+1,$AD385)</f>
        <v/>
      </c>
      <c r="AE386">
        <f>IFERROR(INDEX($A$4:$A$594,MATCH(383,$AD$4:$AD$594,0)),"")</f>
        <v/>
      </c>
    </row>
    <row r="387">
      <c r="A387" s="99" t="inlineStr">
        <is>
          <t>TIGER 200 건설</t>
        </is>
      </c>
      <c r="B387" s="99" t="inlineStr">
        <is>
          <t>139220</t>
        </is>
      </c>
      <c r="C387" s="99" t="inlineStr">
        <is>
          <t>미래에셋자산운용</t>
        </is>
      </c>
      <c r="D387" s="100" t="n">
        <v>7600</v>
      </c>
      <c r="E387" s="100" t="n">
        <v>129504000000</v>
      </c>
      <c r="F387" s="100" t="n">
        <v>4650753104</v>
      </c>
      <c r="G387" s="101" t="n">
        <v>0.004</v>
      </c>
      <c r="H387" s="101" t="n">
        <v>0.6006</v>
      </c>
      <c r="I387" s="101" t="n">
        <v>0.0062</v>
      </c>
      <c r="J387" s="101" t="n">
        <v>0.008553</v>
      </c>
      <c r="K387" s="100" t="n">
        <v>5</v>
      </c>
      <c r="L387" s="102" t="inlineStr">
        <is>
          <t>20260429</t>
        </is>
      </c>
      <c r="M387" s="99" t="inlineStr">
        <is>
          <t>제외</t>
        </is>
      </c>
      <c r="N387" s="99" t="inlineStr">
        <is>
          <t>변동성 60.1%(1년 기준, 기준 35% 초과)</t>
        </is>
      </c>
      <c r="O387" s="99" t="inlineStr">
        <is>
          <t>K200건설</t>
        </is>
      </c>
      <c r="P387" s="99" t="inlineStr">
        <is>
          <t>일반</t>
        </is>
      </c>
      <c r="Q387" s="99" t="inlineStr">
        <is>
          <t>주식</t>
        </is>
      </c>
      <c r="R387" s="99" t="inlineStr">
        <is>
          <t>연배당</t>
        </is>
      </c>
      <c r="S387" s="100" t="n">
        <v>1</v>
      </c>
      <c r="T387" s="101" t="n">
        <v>1</v>
      </c>
      <c r="U387" s="103" t="n"/>
      <c r="V387" s="103" t="n"/>
      <c r="W387" s="103" t="n"/>
      <c r="X387" s="103" t="n">
        <v>-0.0441</v>
      </c>
      <c r="Y387" s="99" t="inlineStr"/>
      <c r="Z387" s="99" t="inlineStr">
        <is>
          <t>창 안 급변일 2일(20260304,20260408) — 내지 않음 / 6개월: 창 안 급변일 1일(20260408) — 내지 않음</t>
        </is>
      </c>
      <c r="AA387">
        <f>IF(AND($J387&lt;&gt;"",OR(조회_주기="전체",$R387=조회_주기),$J387&gt;=조회_최소,$J387&lt;=조회_최대),1,0)</f>
        <v/>
      </c>
      <c r="AB387">
        <f>IF($AA387=1,$AB386+1,$AB386)</f>
        <v/>
      </c>
      <c r="AC387">
        <f>IF(검색어="",1,IF(ISNUMBER(SEARCH(검색어,$A387)),1,0))</f>
        <v/>
      </c>
      <c r="AD387">
        <f>IF($AC387=1,$AD386+1,$AD386)</f>
        <v/>
      </c>
      <c r="AE387">
        <f>IFERROR(INDEX($A$4:$A$594,MATCH(384,$AD$4:$AD$594,0)),"")</f>
        <v/>
      </c>
    </row>
    <row r="388">
      <c r="A388" s="99" t="inlineStr">
        <is>
          <t>PLUS 200</t>
        </is>
      </c>
      <c r="B388" s="99" t="inlineStr">
        <is>
          <t>152100</t>
        </is>
      </c>
      <c r="C388" s="99" t="inlineStr">
        <is>
          <t>한화자산운용</t>
        </is>
      </c>
      <c r="D388" s="100" t="n">
        <v>113730</v>
      </c>
      <c r="E388" s="100" t="n">
        <v>1529668500000</v>
      </c>
      <c r="F388" s="100" t="n">
        <v>38883489433</v>
      </c>
      <c r="G388" s="101" t="n">
        <v>0.00017</v>
      </c>
      <c r="H388" s="101" t="n">
        <v>0.5861999999999999</v>
      </c>
      <c r="I388" s="101" t="n">
        <v>0.0017</v>
      </c>
      <c r="J388" s="101" t="n">
        <v>0.008529</v>
      </c>
      <c r="K388" s="100" t="n">
        <v>14</v>
      </c>
      <c r="L388" s="102" t="inlineStr">
        <is>
          <t>20260730</t>
        </is>
      </c>
      <c r="M388" s="99" t="inlineStr">
        <is>
          <t>제외</t>
        </is>
      </c>
      <c r="N388" s="99" t="inlineStr">
        <is>
          <t>변동성 58.6%(1년 기준, 기준 35% 초과)</t>
        </is>
      </c>
      <c r="O388" s="99" t="inlineStr">
        <is>
          <t>KOSPI 200</t>
        </is>
      </c>
      <c r="P388" s="99" t="inlineStr">
        <is>
          <t>일반</t>
        </is>
      </c>
      <c r="Q388" s="99" t="inlineStr">
        <is>
          <t>주식</t>
        </is>
      </c>
      <c r="R388" s="99" t="inlineStr">
        <is>
          <t>분기배당</t>
        </is>
      </c>
      <c r="S388" s="100" t="n">
        <v>3</v>
      </c>
      <c r="T388" s="101" t="n">
        <v>1</v>
      </c>
      <c r="U388" s="103" t="n"/>
      <c r="V388" s="103" t="n"/>
      <c r="W388" s="103" t="n"/>
      <c r="X388" s="103" t="n"/>
      <c r="Y388" s="99" t="inlineStr"/>
      <c r="Z388" s="99" t="inlineStr">
        <is>
          <t>창 안 급변일 1일(20260731) — 내지 않음 / 6개월: 창 안 급변일 1일(20260731) — 내지 않음 / 3개월: 창 안 급변일 1일(20260731) — 내지 않음</t>
        </is>
      </c>
      <c r="AA388">
        <f>IF(AND($J388&lt;&gt;"",OR(조회_주기="전체",$R388=조회_주기),$J388&gt;=조회_최소,$J388&lt;=조회_최대),1,0)</f>
        <v/>
      </c>
      <c r="AB388">
        <f>IF($AA388=1,$AB387+1,$AB387)</f>
        <v/>
      </c>
      <c r="AC388">
        <f>IF(검색어="",1,IF(ISNUMBER(SEARCH(검색어,$A388)),1,0))</f>
        <v/>
      </c>
      <c r="AD388">
        <f>IF($AC388=1,$AD387+1,$AD387)</f>
        <v/>
      </c>
      <c r="AE388">
        <f>IFERROR(INDEX($A$4:$A$594,MATCH(385,$AD$4:$AD$594,0)),"")</f>
        <v/>
      </c>
    </row>
    <row r="389">
      <c r="A389" s="99" t="inlineStr">
        <is>
          <t>파워 200</t>
        </is>
      </c>
      <c r="B389" s="99" t="inlineStr">
        <is>
          <t>152870</t>
        </is>
      </c>
      <c r="C389" s="99" t="inlineStr">
        <is>
          <t>교보자산운용</t>
        </is>
      </c>
      <c r="D389" s="100" t="n">
        <v>113165</v>
      </c>
      <c r="E389" s="100" t="n">
        <v>158431000000</v>
      </c>
      <c r="F389" s="100" t="n">
        <v>1053689270</v>
      </c>
      <c r="G389" s="101" t="n">
        <v>0.00145</v>
      </c>
      <c r="H389" s="101" t="n">
        <v>0.5853</v>
      </c>
      <c r="I389" s="101" t="n">
        <v>0.001</v>
      </c>
      <c r="J389" s="101" t="n">
        <v>0.008519000000000001</v>
      </c>
      <c r="K389" s="100" t="n">
        <v>14</v>
      </c>
      <c r="L389" s="102" t="inlineStr">
        <is>
          <t>20260730</t>
        </is>
      </c>
      <c r="M389" s="99" t="inlineStr">
        <is>
          <t>제외</t>
        </is>
      </c>
      <c r="N389" s="99" t="inlineStr">
        <is>
          <t>변동성 58.5%(1년 기준, 기준 35% 초과)</t>
        </is>
      </c>
      <c r="O389" s="99" t="inlineStr">
        <is>
          <t>KOSPI 200</t>
        </is>
      </c>
      <c r="P389" s="99" t="inlineStr">
        <is>
          <t>일반</t>
        </is>
      </c>
      <c r="Q389" s="99" t="inlineStr">
        <is>
          <t>주식</t>
        </is>
      </c>
      <c r="R389" s="99" t="inlineStr">
        <is>
          <t>연배당</t>
        </is>
      </c>
      <c r="S389" s="100" t="n">
        <v>2</v>
      </c>
      <c r="T389" s="101" t="n">
        <v>0.8371</v>
      </c>
      <c r="U389" s="103" t="n"/>
      <c r="V389" s="103" t="n"/>
      <c r="W389" s="103" t="n"/>
      <c r="X389" s="103" t="n"/>
      <c r="Y389" s="99" t="inlineStr"/>
      <c r="Z389" s="99" t="inlineStr">
        <is>
          <t>창 안 급변일 1일(20260731) — 내지 않음 / 6개월: 창 안 급변일 1일(20260731) — 내지 않음 / 3개월: 창 안 급변일 1일(20260731) — 내지 않음</t>
        </is>
      </c>
      <c r="AA389">
        <f>IF(AND($J389&lt;&gt;"",OR(조회_주기="전체",$R389=조회_주기),$J389&gt;=조회_최소,$J389&lt;=조회_최대),1,0)</f>
        <v/>
      </c>
      <c r="AB389">
        <f>IF($AA389=1,$AB388+1,$AB388)</f>
        <v/>
      </c>
      <c r="AC389">
        <f>IF(검색어="",1,IF(ISNUMBER(SEARCH(검색어,$A389)),1,0))</f>
        <v/>
      </c>
      <c r="AD389">
        <f>IF($AC389=1,$AD388+1,$AD388)</f>
        <v/>
      </c>
      <c r="AE389">
        <f>IFERROR(INDEX($A$4:$A$594,MATCH(386,$AD$4:$AD$594,0)),"")</f>
        <v/>
      </c>
    </row>
    <row r="390">
      <c r="A390" s="99" t="inlineStr">
        <is>
          <t>PLUS 일본반도체소부장</t>
        </is>
      </c>
      <c r="B390" s="99" t="inlineStr">
        <is>
          <t>464920</t>
        </is>
      </c>
      <c r="C390" s="99" t="inlineStr">
        <is>
          <t>한화자산운용</t>
        </is>
      </c>
      <c r="D390" s="100" t="n">
        <v>25935</v>
      </c>
      <c r="E390" s="100" t="n">
        <v>31122000000</v>
      </c>
      <c r="F390" s="100" t="n">
        <v>492752098</v>
      </c>
      <c r="G390" s="101" t="n">
        <v>0.005</v>
      </c>
      <c r="H390" s="101" t="n">
        <v>0.4881</v>
      </c>
      <c r="I390" s="101" t="n">
        <v>0.0086</v>
      </c>
      <c r="J390" s="101" t="n">
        <v>0.008289999999999999</v>
      </c>
      <c r="K390" s="100" t="n">
        <v>2</v>
      </c>
      <c r="L390" s="102" t="inlineStr">
        <is>
          <t>20260429</t>
        </is>
      </c>
      <c r="M390" s="99" t="inlineStr">
        <is>
          <t>제외</t>
        </is>
      </c>
      <c r="N390" s="99" t="inlineStr">
        <is>
          <t>60일 거래대금 4.9억(기준 5억 미만), 변동성 48.8%(1년 기준, 기준 35% 초과)</t>
        </is>
      </c>
      <c r="O390" s="99" t="inlineStr">
        <is>
          <t>Solactive Japan Semiconductor Materials and Equipment Index</t>
        </is>
      </c>
      <c r="P390" s="99" t="inlineStr">
        <is>
          <t>일반</t>
        </is>
      </c>
      <c r="Q390" s="99" t="inlineStr">
        <is>
          <t>주식</t>
        </is>
      </c>
      <c r="R390" s="99" t="inlineStr">
        <is>
          <t>연배당</t>
        </is>
      </c>
      <c r="S390" s="100" t="n">
        <v>1</v>
      </c>
      <c r="T390" s="101" t="n">
        <v>1</v>
      </c>
      <c r="U390" s="103" t="n">
        <v>0.6907</v>
      </c>
      <c r="V390" s="103" t="n">
        <v>0.6766</v>
      </c>
      <c r="W390" s="103" t="n">
        <v>0.1889</v>
      </c>
      <c r="X390" s="103" t="n">
        <v>-0.1375</v>
      </c>
      <c r="Y390" s="99" t="inlineStr">
        <is>
          <t>20250922~20261002</t>
        </is>
      </c>
      <c r="Z390" s="99" t="inlineStr"/>
      <c r="AA390">
        <f>IF(AND($J390&lt;&gt;"",OR(조회_주기="전체",$R390=조회_주기),$J390&gt;=조회_최소,$J390&lt;=조회_최대),1,0)</f>
        <v/>
      </c>
      <c r="AB390">
        <f>IF($AA390=1,$AB389+1,$AB389)</f>
        <v/>
      </c>
      <c r="AC390">
        <f>IF(검색어="",1,IF(ISNUMBER(SEARCH(검색어,$A390)),1,0))</f>
        <v/>
      </c>
      <c r="AD390">
        <f>IF($AC390=1,$AD389+1,$AD389)</f>
        <v/>
      </c>
      <c r="AE390">
        <f>IFERROR(INDEX($A$4:$A$594,MATCH(387,$AD$4:$AD$594,0)),"")</f>
        <v/>
      </c>
    </row>
    <row r="391">
      <c r="A391" s="99" t="inlineStr">
        <is>
          <t>TIGER 200</t>
        </is>
      </c>
      <c r="B391" s="99" t="inlineStr">
        <is>
          <t>102110</t>
        </is>
      </c>
      <c r="C391" s="99" t="inlineStr">
        <is>
          <t>미래에셋자산운용</t>
        </is>
      </c>
      <c r="D391" s="100" t="n">
        <v>112235</v>
      </c>
      <c r="E391" s="100" t="n">
        <v>10477137250000</v>
      </c>
      <c r="F391" s="100" t="n">
        <v>1016882568280</v>
      </c>
      <c r="G391" s="101" t="n">
        <v>0.0005</v>
      </c>
      <c r="H391" s="101" t="n">
        <v>0.5865</v>
      </c>
      <c r="I391" s="101" t="n">
        <v>0.0015</v>
      </c>
      <c r="J391" s="101" t="n">
        <v>0.008267999999999999</v>
      </c>
      <c r="K391" s="100" t="n">
        <v>20</v>
      </c>
      <c r="L391" s="102" t="inlineStr">
        <is>
          <t>20260730</t>
        </is>
      </c>
      <c r="M391" s="99" t="inlineStr">
        <is>
          <t>제외</t>
        </is>
      </c>
      <c r="N391" s="99" t="inlineStr">
        <is>
          <t>변동성 58.7%(1년 기준, 기준 35% 초과)</t>
        </is>
      </c>
      <c r="O391" s="99" t="inlineStr">
        <is>
          <t>KOSPI 200</t>
        </is>
      </c>
      <c r="P391" s="99" t="inlineStr">
        <is>
          <t>일반</t>
        </is>
      </c>
      <c r="Q391" s="99" t="inlineStr">
        <is>
          <t>주식</t>
        </is>
      </c>
      <c r="R391" s="99" t="inlineStr">
        <is>
          <t>분기배당</t>
        </is>
      </c>
      <c r="S391" s="100" t="n">
        <v>3</v>
      </c>
      <c r="T391" s="101" t="n">
        <v>0.9623</v>
      </c>
      <c r="U391" s="103" t="n"/>
      <c r="V391" s="103" t="n"/>
      <c r="W391" s="103" t="n"/>
      <c r="X391" s="103" t="n"/>
      <c r="Y391" s="99" t="inlineStr"/>
      <c r="Z391" s="99" t="inlineStr">
        <is>
          <t>창 안 급변일 1일(20260731) — 내지 않음 / 6개월: 창 안 급변일 1일(20260731) — 내지 않음 / 3개월: 창 안 급변일 1일(20260731) — 내지 않음</t>
        </is>
      </c>
      <c r="AA391">
        <f>IF(AND($J391&lt;&gt;"",OR(조회_주기="전체",$R391=조회_주기),$J391&gt;=조회_최소,$J391&lt;=조회_최대),1,0)</f>
        <v/>
      </c>
      <c r="AB391">
        <f>IF($AA391=1,$AB390+1,$AB390)</f>
        <v/>
      </c>
      <c r="AC391">
        <f>IF(검색어="",1,IF(ISNUMBER(SEARCH(검색어,$A391)),1,0))</f>
        <v/>
      </c>
      <c r="AD391">
        <f>IF($AC391=1,$AD390+1,$AD390)</f>
        <v/>
      </c>
      <c r="AE391">
        <f>IFERROR(INDEX($A$4:$A$594,MATCH(388,$AD$4:$AD$594,0)),"")</f>
        <v/>
      </c>
    </row>
    <row r="392">
      <c r="A392" s="99" t="inlineStr">
        <is>
          <t>TIGER 코리아TOP10</t>
        </is>
      </c>
      <c r="B392" s="99" t="inlineStr">
        <is>
          <t>292150</t>
        </is>
      </c>
      <c r="C392" s="99" t="inlineStr">
        <is>
          <t>미래에셋자산운용</t>
        </is>
      </c>
      <c r="D392" s="100" t="n">
        <v>38960</v>
      </c>
      <c r="E392" s="100" t="n">
        <v>1920728000000</v>
      </c>
      <c r="F392" s="100" t="n">
        <v>32550145581</v>
      </c>
      <c r="G392" s="101" t="n">
        <v>0.0015</v>
      </c>
      <c r="H392" s="101" t="n">
        <v>0.5929</v>
      </c>
      <c r="I392" s="101" t="n">
        <v>0.0027</v>
      </c>
      <c r="J392" s="101" t="n">
        <v>0.008265</v>
      </c>
      <c r="K392" s="100" t="n">
        <v>16</v>
      </c>
      <c r="L392" s="102" t="inlineStr">
        <is>
          <t>20260730</t>
        </is>
      </c>
      <c r="M392" s="99" t="inlineStr">
        <is>
          <t>제외</t>
        </is>
      </c>
      <c r="N392" s="99" t="inlineStr">
        <is>
          <t>변동성 59.3%(1년 기준, 기준 35% 초과)</t>
        </is>
      </c>
      <c r="O392" s="99" t="inlineStr">
        <is>
          <t>FnGuide TOP10 지수</t>
        </is>
      </c>
      <c r="P392" s="99" t="inlineStr">
        <is>
          <t>일반</t>
        </is>
      </c>
      <c r="Q392" s="99" t="inlineStr">
        <is>
          <t>주식</t>
        </is>
      </c>
      <c r="R392" s="99" t="inlineStr">
        <is>
          <t>분기배당</t>
        </is>
      </c>
      <c r="S392" s="100" t="n">
        <v>3</v>
      </c>
      <c r="T392" s="101" t="n">
        <v>1</v>
      </c>
      <c r="U392" s="103" t="n"/>
      <c r="V392" s="103" t="n"/>
      <c r="W392" s="103" t="n"/>
      <c r="X392" s="103" t="n"/>
      <c r="Y392" s="99" t="inlineStr"/>
      <c r="Z392" s="99" t="inlineStr">
        <is>
          <t>창 안 급변일 1일(20260731) — 내지 않음 / 6개월: 창 안 급변일 1일(20260731) — 내지 않음 / 3개월: 창 안 급변일 1일(20260731) — 내지 않음</t>
        </is>
      </c>
      <c r="AA392">
        <f>IF(AND($J392&lt;&gt;"",OR(조회_주기="전체",$R392=조회_주기),$J392&gt;=조회_최소,$J392&lt;=조회_최대),1,0)</f>
        <v/>
      </c>
      <c r="AB392">
        <f>IF($AA392=1,$AB391+1,$AB391)</f>
        <v/>
      </c>
      <c r="AC392">
        <f>IF(검색어="",1,IF(ISNUMBER(SEARCH(검색어,$A392)),1,0))</f>
        <v/>
      </c>
      <c r="AD392">
        <f>IF($AC392=1,$AD391+1,$AD391)</f>
        <v/>
      </c>
      <c r="AE392">
        <f>IFERROR(INDEX($A$4:$A$594,MATCH(389,$AD$4:$AD$594,0)),"")</f>
        <v/>
      </c>
    </row>
    <row r="393">
      <c r="A393" s="99" t="inlineStr">
        <is>
          <t>KODEX 자율주행액티브</t>
        </is>
      </c>
      <c r="B393" s="99" t="inlineStr">
        <is>
          <t>385520</t>
        </is>
      </c>
      <c r="C393" s="99" t="inlineStr">
        <is>
          <t>삼성자산운용(ETF)</t>
        </is>
      </c>
      <c r="D393" s="100" t="n">
        <v>16465</v>
      </c>
      <c r="E393" s="100" t="n">
        <v>35399750000</v>
      </c>
      <c r="F393" s="100" t="n">
        <v>117478985</v>
      </c>
      <c r="G393" s="101" t="n">
        <v>0.005</v>
      </c>
      <c r="H393" s="101" t="n">
        <v>0.5182</v>
      </c>
      <c r="I393" s="101" t="n">
        <v>0.0075</v>
      </c>
      <c r="J393" s="101" t="n">
        <v>0.00826</v>
      </c>
      <c r="K393" s="100" t="n">
        <v>5</v>
      </c>
      <c r="L393" s="102" t="inlineStr">
        <is>
          <t>20260429</t>
        </is>
      </c>
      <c r="M393" s="99" t="inlineStr">
        <is>
          <t>제외</t>
        </is>
      </c>
      <c r="N393" s="99" t="inlineStr">
        <is>
          <t>60일 거래대금 1.2억(기준 5억 미만), 변동성 51.8%(1년 기준, 기준 35% 초과)</t>
        </is>
      </c>
      <c r="O393" s="99" t="inlineStr">
        <is>
          <t>FnGuide K-미래차 지수</t>
        </is>
      </c>
      <c r="P393" s="99" t="inlineStr">
        <is>
          <t>일반</t>
        </is>
      </c>
      <c r="Q393" s="99" t="inlineStr">
        <is>
          <t>주식</t>
        </is>
      </c>
      <c r="R393" s="99" t="inlineStr">
        <is>
          <t>연배당</t>
        </is>
      </c>
      <c r="S393" s="100" t="n">
        <v>1</v>
      </c>
      <c r="T393" s="101" t="n">
        <v>1</v>
      </c>
      <c r="U393" s="103" t="n"/>
      <c r="V393" s="103" t="n"/>
      <c r="W393" s="103" t="n">
        <v>0.1717</v>
      </c>
      <c r="X393" s="103" t="n">
        <v>-0.0633</v>
      </c>
      <c r="Y393" s="99" t="inlineStr"/>
      <c r="Z393" s="99" t="inlineStr">
        <is>
          <t>창 안 급변일 1일(20260304) — 내지 않음</t>
        </is>
      </c>
      <c r="AA393">
        <f>IF(AND($J393&lt;&gt;"",OR(조회_주기="전체",$R393=조회_주기),$J393&gt;=조회_최소,$J393&lt;=조회_최대),1,0)</f>
        <v/>
      </c>
      <c r="AB393">
        <f>IF($AA393=1,$AB392+1,$AB392)</f>
        <v/>
      </c>
      <c r="AC393">
        <f>IF(검색어="",1,IF(ISNUMBER(SEARCH(검색어,$A393)),1,0))</f>
        <v/>
      </c>
      <c r="AD393">
        <f>IF($AC393=1,$AD392+1,$AD392)</f>
        <v/>
      </c>
      <c r="AE393">
        <f>IFERROR(INDEX($A$4:$A$594,MATCH(390,$AD$4:$AD$594,0)),"")</f>
        <v/>
      </c>
    </row>
    <row r="394">
      <c r="A394" s="99" t="inlineStr">
        <is>
          <t>KODEX 200ESG</t>
        </is>
      </c>
      <c r="B394" s="99" t="inlineStr">
        <is>
          <t>337160</t>
        </is>
      </c>
      <c r="C394" s="99" t="inlineStr">
        <is>
          <t>삼성자산운용(ETF)</t>
        </is>
      </c>
      <c r="D394" s="100" t="n">
        <v>49000</v>
      </c>
      <c r="E394" s="100" t="n">
        <v>166600000000</v>
      </c>
      <c r="F394" s="100" t="n">
        <v>1595844504</v>
      </c>
      <c r="G394" s="101" t="n">
        <v>0.0009</v>
      </c>
      <c r="H394" s="101" t="n">
        <v>0.5917</v>
      </c>
      <c r="I394" s="101" t="n">
        <v>0.002</v>
      </c>
      <c r="J394" s="101" t="n">
        <v>0.008224</v>
      </c>
      <c r="K394" s="100" t="n">
        <v>7</v>
      </c>
      <c r="L394" s="102" t="inlineStr">
        <is>
          <t>20260730</t>
        </is>
      </c>
      <c r="M394" s="99" t="inlineStr">
        <is>
          <t>제외</t>
        </is>
      </c>
      <c r="N394" s="99" t="inlineStr">
        <is>
          <t>변동성 59.2%(1년 기준, 기준 35% 초과)</t>
        </is>
      </c>
      <c r="O394" s="99" t="inlineStr">
        <is>
          <t>코스피 200 ESG 지수</t>
        </is>
      </c>
      <c r="P394" s="99" t="inlineStr">
        <is>
          <t>일반</t>
        </is>
      </c>
      <c r="Q394" s="99" t="inlineStr">
        <is>
          <t>주식</t>
        </is>
      </c>
      <c r="R394" s="99" t="inlineStr">
        <is>
          <t>분기배당</t>
        </is>
      </c>
      <c r="S394" s="100" t="n">
        <v>3</v>
      </c>
      <c r="T394" s="101" t="n">
        <v>1</v>
      </c>
      <c r="U394" s="103" t="n"/>
      <c r="V394" s="103" t="n"/>
      <c r="W394" s="103" t="n"/>
      <c r="X394" s="103" t="n"/>
      <c r="Y394" s="99" t="inlineStr"/>
      <c r="Z394" s="99" t="inlineStr">
        <is>
          <t>창 안 급변일 1일(20260731) — 내지 않음 / 6개월: 창 안 급변일 1일(20260731) — 내지 않음 / 3개월: 창 안 급변일 1일(20260731) — 내지 않음</t>
        </is>
      </c>
      <c r="AA394">
        <f>IF(AND($J394&lt;&gt;"",OR(조회_주기="전체",$R394=조회_주기),$J394&gt;=조회_최소,$J394&lt;=조회_최대),1,0)</f>
        <v/>
      </c>
      <c r="AB394">
        <f>IF($AA394=1,$AB393+1,$AB393)</f>
        <v/>
      </c>
      <c r="AC394">
        <f>IF(검색어="",1,IF(ISNUMBER(SEARCH(검색어,$A394)),1,0))</f>
        <v/>
      </c>
      <c r="AD394">
        <f>IF($AC394=1,$AD393+1,$AD393)</f>
        <v/>
      </c>
      <c r="AE394">
        <f>IFERROR(INDEX($A$4:$A$594,MATCH(391,$AD$4:$AD$594,0)),"")</f>
        <v/>
      </c>
    </row>
    <row r="395">
      <c r="A395" s="99" t="inlineStr">
        <is>
          <t>RISE 200채권혼합50</t>
        </is>
      </c>
      <c r="B395" s="99" t="inlineStr">
        <is>
          <t>183700</t>
        </is>
      </c>
      <c r="C395" s="99" t="inlineStr">
        <is>
          <t>KB자산운용</t>
        </is>
      </c>
      <c r="D395" s="100" t="n">
        <v>97560</v>
      </c>
      <c r="E395" s="100" t="n">
        <v>40975200000</v>
      </c>
      <c r="F395" s="100" t="n">
        <v>405518440</v>
      </c>
      <c r="G395" s="101" t="n">
        <v>0.002</v>
      </c>
      <c r="H395" s="101" t="n">
        <v>0.2634</v>
      </c>
      <c r="I395" s="101" t="n">
        <v>0.0033</v>
      </c>
      <c r="J395" s="101" t="n">
        <v>0.008199999999999999</v>
      </c>
      <c r="K395" s="100" t="n">
        <v>10</v>
      </c>
      <c r="L395" s="102" t="inlineStr">
        <is>
          <t>20260608</t>
        </is>
      </c>
      <c r="M395" s="99" t="inlineStr">
        <is>
          <t>제외</t>
        </is>
      </c>
      <c r="N395" s="99" t="inlineStr">
        <is>
          <t>60일 거래대금 4.1억(기준 5억 미만)</t>
        </is>
      </c>
      <c r="O395" s="99" t="inlineStr">
        <is>
          <t>코스피 200 KTB 혼합지수</t>
        </is>
      </c>
      <c r="P395" s="99" t="inlineStr">
        <is>
          <t>일반</t>
        </is>
      </c>
      <c r="Q395" s="99" t="inlineStr">
        <is>
          <t>멀티에셋</t>
        </is>
      </c>
      <c r="R395" s="99" t="inlineStr">
        <is>
          <t>반기배당</t>
        </is>
      </c>
      <c r="S395" s="100" t="n">
        <v>2</v>
      </c>
      <c r="T395" s="101" t="n">
        <v>1</v>
      </c>
      <c r="U395" s="103" t="n">
        <v>0.4363</v>
      </c>
      <c r="V395" s="103" t="n">
        <v>0.4247</v>
      </c>
      <c r="W395" s="103" t="n">
        <v>0.1669</v>
      </c>
      <c r="X395" s="103" t="n">
        <v>-0.0654</v>
      </c>
      <c r="Y395" s="99" t="inlineStr">
        <is>
          <t>20250922~20261002</t>
        </is>
      </c>
      <c r="Z395" s="99" t="inlineStr"/>
      <c r="AA395">
        <f>IF(AND($J395&lt;&gt;"",OR(조회_주기="전체",$R395=조회_주기),$J395&gt;=조회_최소,$J395&lt;=조회_최대),1,0)</f>
        <v/>
      </c>
      <c r="AB395">
        <f>IF($AA395=1,$AB394+1,$AB394)</f>
        <v/>
      </c>
      <c r="AC395">
        <f>IF(검색어="",1,IF(ISNUMBER(SEARCH(검색어,$A395)),1,0))</f>
        <v/>
      </c>
      <c r="AD395">
        <f>IF($AC395=1,$AD394+1,$AD394)</f>
        <v/>
      </c>
      <c r="AE395">
        <f>IFERROR(INDEX($A$4:$A$594,MATCH(392,$AD$4:$AD$594,0)),"")</f>
        <v/>
      </c>
    </row>
    <row r="396">
      <c r="A396" s="99" t="inlineStr">
        <is>
          <t>TIGER 일본반도체FACTSET</t>
        </is>
      </c>
      <c r="B396" s="99" t="inlineStr">
        <is>
          <t>465660</t>
        </is>
      </c>
      <c r="C396" s="99" t="inlineStr">
        <is>
          <t>미래에셋자산운용</t>
        </is>
      </c>
      <c r="D396" s="100" t="n">
        <v>26975</v>
      </c>
      <c r="E396" s="100" t="n">
        <v>33718750000</v>
      </c>
      <c r="F396" s="100" t="n">
        <v>994998728</v>
      </c>
      <c r="G396" s="101" t="n">
        <v>0.0049</v>
      </c>
      <c r="H396" s="101" t="n">
        <v>0.5674</v>
      </c>
      <c r="I396" s="101" t="n">
        <v>0.0012</v>
      </c>
      <c r="J396" s="101" t="n">
        <v>0.008156</v>
      </c>
      <c r="K396" s="100" t="n">
        <v>11</v>
      </c>
      <c r="L396" s="102" t="inlineStr">
        <is>
          <t>20260730</t>
        </is>
      </c>
      <c r="M396" s="99" t="inlineStr">
        <is>
          <t>제외</t>
        </is>
      </c>
      <c r="N396" s="99" t="inlineStr">
        <is>
          <t>변동성 56.7%(1년 기준, 기준 35% 초과)</t>
        </is>
      </c>
      <c r="O396" s="99" t="inlineStr">
        <is>
          <t>FactSet Japan Semiconductor Index (PR)</t>
        </is>
      </c>
      <c r="P396" s="99" t="inlineStr">
        <is>
          <t>일반</t>
        </is>
      </c>
      <c r="Q396" s="99" t="inlineStr">
        <is>
          <t>주식</t>
        </is>
      </c>
      <c r="R396" s="99" t="inlineStr">
        <is>
          <t>분기배당</t>
        </is>
      </c>
      <c r="S396" s="100" t="n">
        <v>3</v>
      </c>
      <c r="T396" s="101" t="n">
        <v>1</v>
      </c>
      <c r="U396" s="103" t="n"/>
      <c r="V396" s="103" t="n"/>
      <c r="W396" s="103" t="n"/>
      <c r="X396" s="103" t="n"/>
      <c r="Y396" s="99" t="inlineStr"/>
      <c r="Z396" s="99" t="inlineStr">
        <is>
          <t>창 안 급변일 1일(20260720) — 내지 않음 / 6개월: 창 안 급변일 1일(20260720) — 내지 않음 / 3개월: 창 안 급변일 1일(20260720) — 내지 않음</t>
        </is>
      </c>
      <c r="AA396">
        <f>IF(AND($J396&lt;&gt;"",OR(조회_주기="전체",$R396=조회_주기),$J396&gt;=조회_최소,$J396&lt;=조회_최대),1,0)</f>
        <v/>
      </c>
      <c r="AB396">
        <f>IF($AA396=1,$AB395+1,$AB395)</f>
        <v/>
      </c>
      <c r="AC396">
        <f>IF(검색어="",1,IF(ISNUMBER(SEARCH(검색어,$A396)),1,0))</f>
        <v/>
      </c>
      <c r="AD396">
        <f>IF($AC396=1,$AD395+1,$AD395)</f>
        <v/>
      </c>
      <c r="AE396">
        <f>IFERROR(INDEX($A$4:$A$594,MATCH(393,$AD$4:$AD$594,0)),"")</f>
        <v/>
      </c>
    </row>
    <row r="397">
      <c r="A397" s="99" t="inlineStr">
        <is>
          <t>KODEX 탄소효율그린뉴딜</t>
        </is>
      </c>
      <c r="B397" s="99" t="inlineStr">
        <is>
          <t>375770</t>
        </is>
      </c>
      <c r="C397" s="99" t="inlineStr">
        <is>
          <t>삼성자산운용(ETF)</t>
        </is>
      </c>
      <c r="D397" s="100" t="n">
        <v>25380</v>
      </c>
      <c r="E397" s="100" t="n">
        <v>45684000000</v>
      </c>
      <c r="F397" s="100" t="n">
        <v>20118906</v>
      </c>
      <c r="G397" s="101" t="n">
        <v>0.0009</v>
      </c>
      <c r="H397" s="101" t="n">
        <v>0.5421</v>
      </c>
      <c r="I397" s="101" t="n">
        <v>0.0023</v>
      </c>
      <c r="J397" s="101" t="n">
        <v>0.007998</v>
      </c>
      <c r="K397" s="100" t="n">
        <v>7</v>
      </c>
      <c r="L397" s="102" t="inlineStr">
        <is>
          <t>20260730</t>
        </is>
      </c>
      <c r="M397" s="99" t="inlineStr">
        <is>
          <t>제외</t>
        </is>
      </c>
      <c r="N397" s="99" t="inlineStr">
        <is>
          <t>60일 거래대금 0.2억(기준 5억 미만), 변동성 54.2%(1년 기준, 기준 35% 초과)</t>
        </is>
      </c>
      <c r="O397" s="99" t="inlineStr">
        <is>
          <t>KRX/S&amp;P 탄소효율 그린뉴딜지수</t>
        </is>
      </c>
      <c r="P397" s="99" t="inlineStr">
        <is>
          <t>일반</t>
        </is>
      </c>
      <c r="Q397" s="99" t="inlineStr">
        <is>
          <t>주식</t>
        </is>
      </c>
      <c r="R397" s="99" t="inlineStr">
        <is>
          <t>분기배당</t>
        </is>
      </c>
      <c r="S397" s="100" t="n">
        <v>3</v>
      </c>
      <c r="T397" s="101" t="n">
        <v>1</v>
      </c>
      <c r="U397" s="103" t="n"/>
      <c r="V397" s="103" t="n"/>
      <c r="W397" s="103" t="n"/>
      <c r="X397" s="103" t="n"/>
      <c r="Y397" s="99" t="inlineStr"/>
      <c r="Z397" s="99" t="inlineStr">
        <is>
          <t>창 안 급변일 1일(20260731) — 내지 않음 / 6개월: 창 안 급변일 1일(20260731) — 내지 않음 / 3개월: 창 안 급변일 1일(20260731) — 내지 않음</t>
        </is>
      </c>
      <c r="AA397">
        <f>IF(AND($J397&lt;&gt;"",OR(조회_주기="전체",$R397=조회_주기),$J397&gt;=조회_최소,$J397&lt;=조회_최대),1,0)</f>
        <v/>
      </c>
      <c r="AB397">
        <f>IF($AA397=1,$AB396+1,$AB396)</f>
        <v/>
      </c>
      <c r="AC397">
        <f>IF(검색어="",1,IF(ISNUMBER(SEARCH(검색어,$A397)),1,0))</f>
        <v/>
      </c>
      <c r="AD397">
        <f>IF($AC397=1,$AD396+1,$AD396)</f>
        <v/>
      </c>
      <c r="AE397">
        <f>IFERROR(INDEX($A$4:$A$594,MATCH(394,$AD$4:$AD$594,0)),"")</f>
        <v/>
      </c>
    </row>
    <row r="398">
      <c r="A398" s="99" t="inlineStr">
        <is>
          <t>KODEX 200액티브</t>
        </is>
      </c>
      <c r="B398" s="99" t="inlineStr">
        <is>
          <t>494890</t>
        </is>
      </c>
      <c r="C398" s="99" t="inlineStr">
        <is>
          <t>삼성자산운용(ETF)</t>
        </is>
      </c>
      <c r="D398" s="100" t="n">
        <v>32320</v>
      </c>
      <c r="E398" s="100" t="n">
        <v>1079488000000</v>
      </c>
      <c r="F398" s="100" t="n">
        <v>16069451775</v>
      </c>
      <c r="G398" s="101" t="n">
        <v>0.0015</v>
      </c>
      <c r="H398" s="101" t="n">
        <v>0.5903</v>
      </c>
      <c r="I398" s="101" t="n">
        <v>0.0021</v>
      </c>
      <c r="J398" s="101" t="n">
        <v>0.007983000000000001</v>
      </c>
      <c r="K398" s="100" t="n">
        <v>6</v>
      </c>
      <c r="L398" s="102" t="inlineStr">
        <is>
          <t>20260730</t>
        </is>
      </c>
      <c r="M398" s="99" t="inlineStr">
        <is>
          <t>제외</t>
        </is>
      </c>
      <c r="N398" s="99" t="inlineStr">
        <is>
          <t>변동성 59.0%(1년 기준, 기준 35% 초과)</t>
        </is>
      </c>
      <c r="O398" s="99" t="inlineStr">
        <is>
          <t>KOSPI 200</t>
        </is>
      </c>
      <c r="P398" s="99" t="inlineStr">
        <is>
          <t>일반</t>
        </is>
      </c>
      <c r="Q398" s="99" t="inlineStr">
        <is>
          <t>주식</t>
        </is>
      </c>
      <c r="R398" s="99" t="inlineStr">
        <is>
          <t>분기배당</t>
        </is>
      </c>
      <c r="S398" s="100" t="n">
        <v>3</v>
      </c>
      <c r="T398" s="101" t="n">
        <v>0.9883999999999999</v>
      </c>
      <c r="U398" s="103" t="n"/>
      <c r="V398" s="103" t="n"/>
      <c r="W398" s="103" t="n"/>
      <c r="X398" s="103" t="n"/>
      <c r="Y398" s="99" t="inlineStr"/>
      <c r="Z398" s="99" t="inlineStr">
        <is>
          <t>창 안 급변일 1일(20260731) — 내지 않음 / 6개월: 창 안 급변일 1일(20260731) — 내지 않음 / 3개월: 창 안 급변일 1일(20260731) — 내지 않음</t>
        </is>
      </c>
      <c r="AA398">
        <f>IF(AND($J398&lt;&gt;"",OR(조회_주기="전체",$R398=조회_주기),$J398&gt;=조회_최소,$J398&lt;=조회_최대),1,0)</f>
        <v/>
      </c>
      <c r="AB398">
        <f>IF($AA398=1,$AB397+1,$AB397)</f>
        <v/>
      </c>
      <c r="AC398">
        <f>IF(검색어="",1,IF(ISNUMBER(SEARCH(검색어,$A398)),1,0))</f>
        <v/>
      </c>
      <c r="AD398">
        <f>IF($AC398=1,$AD397+1,$AD397)</f>
        <v/>
      </c>
      <c r="AE398">
        <f>IFERROR(INDEX($A$4:$A$594,MATCH(395,$AD$4:$AD$594,0)),"")</f>
        <v/>
      </c>
    </row>
    <row r="399">
      <c r="A399" s="99" t="inlineStr">
        <is>
          <t>IBK 200</t>
        </is>
      </c>
      <c r="B399" s="99" t="inlineStr">
        <is>
          <t>472840</t>
        </is>
      </c>
      <c r="C399" s="99" t="inlineStr">
        <is>
          <t>IBK자산운용</t>
        </is>
      </c>
      <c r="D399" s="100" t="n">
        <v>111280</v>
      </c>
      <c r="E399" s="100" t="n">
        <v>41730000000</v>
      </c>
      <c r="F399" s="100" t="n">
        <v>239979611</v>
      </c>
      <c r="G399" s="101" t="n">
        <v>0.0008</v>
      </c>
      <c r="H399" s="101" t="n">
        <v>0.5853</v>
      </c>
      <c r="I399" s="101" t="n">
        <v>0.0013</v>
      </c>
      <c r="J399" s="101" t="n">
        <v>0.007971000000000001</v>
      </c>
      <c r="K399" s="100" t="n">
        <v>10</v>
      </c>
      <c r="L399" s="102" t="inlineStr">
        <is>
          <t>20260730</t>
        </is>
      </c>
      <c r="M399" s="99" t="inlineStr">
        <is>
          <t>제외</t>
        </is>
      </c>
      <c r="N399" s="99" t="inlineStr">
        <is>
          <t>60일 거래대금 2.4억(기준 5억 미만), 변동성 58.5%(1년 기준, 기준 35% 초과)</t>
        </is>
      </c>
      <c r="O399" s="99" t="inlineStr">
        <is>
          <t>KOSPI 200</t>
        </is>
      </c>
      <c r="P399" s="99" t="inlineStr">
        <is>
          <t>일반</t>
        </is>
      </c>
      <c r="Q399" s="99" t="inlineStr">
        <is>
          <t>주식</t>
        </is>
      </c>
      <c r="R399" s="99" t="inlineStr">
        <is>
          <t>분기배당</t>
        </is>
      </c>
      <c r="S399" s="100" t="n">
        <v>3</v>
      </c>
      <c r="T399" s="101" t="n">
        <v>0.9775</v>
      </c>
      <c r="U399" s="103" t="n"/>
      <c r="V399" s="103" t="n"/>
      <c r="W399" s="103" t="n"/>
      <c r="X399" s="103" t="n"/>
      <c r="Y399" s="99" t="inlineStr"/>
      <c r="Z399" s="99" t="inlineStr">
        <is>
          <t>창 안 급변일 1일(20260731) — 내지 않음 / 6개월: 창 안 급변일 1일(20260731) — 내지 않음 / 3개월: 창 안 급변일 1일(20260731) — 내지 않음</t>
        </is>
      </c>
      <c r="AA399">
        <f>IF(AND($J399&lt;&gt;"",OR(조회_주기="전체",$R399=조회_주기),$J399&gt;=조회_최소,$J399&lt;=조회_최대),1,0)</f>
        <v/>
      </c>
      <c r="AB399">
        <f>IF($AA399=1,$AB398+1,$AB398)</f>
        <v/>
      </c>
      <c r="AC399">
        <f>IF(검색어="",1,IF(ISNUMBER(SEARCH(검색어,$A399)),1,0))</f>
        <v/>
      </c>
      <c r="AD399">
        <f>IF($AC399=1,$AD398+1,$AD398)</f>
        <v/>
      </c>
      <c r="AE399">
        <f>IFERROR(INDEX($A$4:$A$594,MATCH(396,$AD$4:$AD$594,0)),"")</f>
        <v/>
      </c>
    </row>
    <row r="400">
      <c r="A400" s="99" t="inlineStr">
        <is>
          <t>DAISHIN K200</t>
        </is>
      </c>
      <c r="B400" s="99" t="inlineStr">
        <is>
          <t>434960</t>
        </is>
      </c>
      <c r="C400" s="99" t="inlineStr">
        <is>
          <t>대신자산운용</t>
        </is>
      </c>
      <c r="D400" s="100" t="n">
        <v>112940</v>
      </c>
      <c r="E400" s="100" t="n">
        <v>56470000000</v>
      </c>
      <c r="F400" s="100" t="n">
        <v>286075561</v>
      </c>
      <c r="G400" s="101" t="n">
        <v>0.001</v>
      </c>
      <c r="H400" s="101" t="n">
        <v>0.5871</v>
      </c>
      <c r="I400" s="101" t="n">
        <v>0.0013</v>
      </c>
      <c r="J400" s="101" t="n">
        <v>0.007969</v>
      </c>
      <c r="K400" s="100" t="n">
        <v>16</v>
      </c>
      <c r="L400" s="102" t="inlineStr">
        <is>
          <t>20260730</t>
        </is>
      </c>
      <c r="M400" s="99" t="inlineStr">
        <is>
          <t>제외</t>
        </is>
      </c>
      <c r="N400" s="99" t="inlineStr">
        <is>
          <t>60일 거래대금 2.9억(기준 5억 미만), 변동성 58.7%(1년 기준, 기준 35% 초과)</t>
        </is>
      </c>
      <c r="O400" s="99" t="inlineStr">
        <is>
          <t>KOSPI 200</t>
        </is>
      </c>
      <c r="P400" s="99" t="inlineStr">
        <is>
          <t>일반</t>
        </is>
      </c>
      <c r="Q400" s="99" t="inlineStr">
        <is>
          <t>주식</t>
        </is>
      </c>
      <c r="R400" s="99" t="inlineStr">
        <is>
          <t>분기배당</t>
        </is>
      </c>
      <c r="S400" s="100" t="n">
        <v>3</v>
      </c>
      <c r="T400" s="101" t="n">
        <v>0.9089</v>
      </c>
      <c r="U400" s="103" t="n"/>
      <c r="V400" s="103" t="n"/>
      <c r="W400" s="103" t="n"/>
      <c r="X400" s="103" t="n"/>
      <c r="Y400" s="99" t="inlineStr"/>
      <c r="Z400" s="99" t="inlineStr">
        <is>
          <t>창 안 급변일 1일(20260731) — 내지 않음 / 6개월: 창 안 급변일 1일(20260731) — 내지 않음 / 3개월: 창 안 급변일 1일(20260731) — 내지 않음</t>
        </is>
      </c>
      <c r="AA400">
        <f>IF(AND($J400&lt;&gt;"",OR(조회_주기="전체",$R400=조회_주기),$J400&gt;=조회_최소,$J400&lt;=조회_최대),1,0)</f>
        <v/>
      </c>
      <c r="AB400">
        <f>IF($AA400=1,$AB399+1,$AB399)</f>
        <v/>
      </c>
      <c r="AC400">
        <f>IF(검색어="",1,IF(ISNUMBER(SEARCH(검색어,$A400)),1,0))</f>
        <v/>
      </c>
      <c r="AD400">
        <f>IF($AC400=1,$AD399+1,$AD399)</f>
        <v/>
      </c>
      <c r="AE400">
        <f>IFERROR(INDEX($A$4:$A$594,MATCH(397,$AD$4:$AD$594,0)),"")</f>
        <v/>
      </c>
    </row>
    <row r="401">
      <c r="A401" s="99" t="inlineStr">
        <is>
          <t>PLUS TDF2060액티브 적격</t>
        </is>
      </c>
      <c r="B401" s="99" t="inlineStr">
        <is>
          <t>433880</t>
        </is>
      </c>
      <c r="C401" s="99" t="inlineStr">
        <is>
          <t>한화자산운용</t>
        </is>
      </c>
      <c r="D401" s="100" t="n">
        <v>18230</v>
      </c>
      <c r="E401" s="100" t="n">
        <v>66539500000</v>
      </c>
      <c r="F401" s="100" t="n">
        <v>283704834</v>
      </c>
      <c r="G401" s="101" t="n">
        <v>0.002</v>
      </c>
      <c r="H401" s="101" t="n">
        <v>0.1232</v>
      </c>
      <c r="I401" s="101" t="n">
        <v>0.0021</v>
      </c>
      <c r="J401" s="101" t="n">
        <v>0.007953999999999999</v>
      </c>
      <c r="K401" s="100" t="n">
        <v>5</v>
      </c>
      <c r="L401" s="102" t="inlineStr">
        <is>
          <t>20260730</t>
        </is>
      </c>
      <c r="M401" s="99" t="inlineStr">
        <is>
          <t>제외</t>
        </is>
      </c>
      <c r="N401" s="99" t="inlineStr">
        <is>
          <t>60일 거래대금 2.8억(기준 5억 미만)</t>
        </is>
      </c>
      <c r="O401" s="99" t="inlineStr">
        <is>
          <t>Morningstar Korea Lifetime Allocation Moderate 2060 GR KRW</t>
        </is>
      </c>
      <c r="P401" s="99" t="inlineStr">
        <is>
          <t>일반</t>
        </is>
      </c>
      <c r="Q401" s="99" t="inlineStr">
        <is>
          <t>멀티에셋</t>
        </is>
      </c>
      <c r="R401" s="99" t="inlineStr">
        <is>
          <t>분기배당</t>
        </is>
      </c>
      <c r="S401" s="100" t="n">
        <v>3</v>
      </c>
      <c r="T401" s="101" t="n">
        <v>1</v>
      </c>
      <c r="U401" s="103" t="n">
        <v>0.107</v>
      </c>
      <c r="V401" s="103" t="n">
        <v>0.09820000000000001</v>
      </c>
      <c r="W401" s="103" t="n">
        <v>0.0348</v>
      </c>
      <c r="X401" s="103" t="n">
        <v>-0.09359999999999999</v>
      </c>
      <c r="Y401" s="99" t="inlineStr">
        <is>
          <t>20250922~20261002</t>
        </is>
      </c>
      <c r="Z401" s="99" t="inlineStr"/>
      <c r="AA401">
        <f>IF(AND($J401&lt;&gt;"",OR(조회_주기="전체",$R401=조회_주기),$J401&gt;=조회_최소,$J401&lt;=조회_최대),1,0)</f>
        <v/>
      </c>
      <c r="AB401">
        <f>IF($AA401=1,$AB400+1,$AB400)</f>
        <v/>
      </c>
      <c r="AC401">
        <f>IF(검색어="",1,IF(ISNUMBER(SEARCH(검색어,$A401)),1,0))</f>
        <v/>
      </c>
      <c r="AD401">
        <f>IF($AC401=1,$AD400+1,$AD400)</f>
        <v/>
      </c>
      <c r="AE401">
        <f>IFERROR(INDEX($A$4:$A$594,MATCH(398,$AD$4:$AD$594,0)),"")</f>
        <v/>
      </c>
    </row>
    <row r="402">
      <c r="A402" s="99" t="inlineStr">
        <is>
          <t>HANARO 200</t>
        </is>
      </c>
      <c r="B402" s="99" t="inlineStr">
        <is>
          <t>293180</t>
        </is>
      </c>
      <c r="C402" s="99" t="inlineStr">
        <is>
          <t>NH-Amundi자산운용</t>
        </is>
      </c>
      <c r="D402" s="100" t="n">
        <v>112395</v>
      </c>
      <c r="E402" s="100" t="n">
        <v>438340500000</v>
      </c>
      <c r="F402" s="100" t="n">
        <v>7478854878</v>
      </c>
      <c r="G402" s="101" t="n">
        <v>0.00036</v>
      </c>
      <c r="H402" s="101" t="n">
        <v>0.5852000000000001</v>
      </c>
      <c r="I402" s="101" t="n">
        <v>0.002</v>
      </c>
      <c r="J402" s="101" t="n">
        <v>0.007919000000000001</v>
      </c>
      <c r="K402" s="100" t="n">
        <v>20</v>
      </c>
      <c r="L402" s="102" t="inlineStr">
        <is>
          <t>20260730</t>
        </is>
      </c>
      <c r="M402" s="99" t="inlineStr">
        <is>
          <t>제외</t>
        </is>
      </c>
      <c r="N402" s="99" t="inlineStr">
        <is>
          <t>변동성 58.5%(1년 기준, 기준 35% 초과)</t>
        </is>
      </c>
      <c r="O402" s="99" t="inlineStr">
        <is>
          <t>KOSPI 200</t>
        </is>
      </c>
      <c r="P402" s="99" t="inlineStr">
        <is>
          <t>일반</t>
        </is>
      </c>
      <c r="Q402" s="99" t="inlineStr">
        <is>
          <t>주식</t>
        </is>
      </c>
      <c r="R402" s="99" t="inlineStr">
        <is>
          <t>분기배당</t>
        </is>
      </c>
      <c r="S402" s="100" t="n">
        <v>3</v>
      </c>
      <c r="T402" s="101" t="n">
        <v>1</v>
      </c>
      <c r="U402" s="103" t="n"/>
      <c r="V402" s="103" t="n"/>
      <c r="W402" s="103" t="n"/>
      <c r="X402" s="103" t="n"/>
      <c r="Y402" s="99" t="inlineStr"/>
      <c r="Z402" s="99" t="inlineStr">
        <is>
          <t>창 안 급변일 1일(20260731) — 내지 않음 / 6개월: 창 안 급변일 1일(20260731) — 내지 않음 / 3개월: 창 안 급변일 1일(20260731) — 내지 않음</t>
        </is>
      </c>
      <c r="AA402">
        <f>IF(AND($J402&lt;&gt;"",OR(조회_주기="전체",$R402=조회_주기),$J402&gt;=조회_최소,$J402&lt;=조회_최대),1,0)</f>
        <v/>
      </c>
      <c r="AB402">
        <f>IF($AA402=1,$AB401+1,$AB401)</f>
        <v/>
      </c>
      <c r="AC402">
        <f>IF(검색어="",1,IF(ISNUMBER(SEARCH(검색어,$A402)),1,0))</f>
        <v/>
      </c>
      <c r="AD402">
        <f>IF($AC402=1,$AD401+1,$AD401)</f>
        <v/>
      </c>
      <c r="AE402">
        <f>IFERROR(INDEX($A$4:$A$594,MATCH(399,$AD$4:$AD$594,0)),"")</f>
        <v/>
      </c>
    </row>
    <row r="403">
      <c r="A403" s="99" t="inlineStr">
        <is>
          <t>KODEX 코스피100</t>
        </is>
      </c>
      <c r="B403" s="99" t="inlineStr">
        <is>
          <t>237350</t>
        </is>
      </c>
      <c r="C403" s="99" t="inlineStr">
        <is>
          <t>삼성자산운용(ETF)</t>
        </is>
      </c>
      <c r="D403" s="100" t="n">
        <v>89275</v>
      </c>
      <c r="E403" s="100" t="n">
        <v>955242500000</v>
      </c>
      <c r="F403" s="100" t="n">
        <v>27952140120</v>
      </c>
      <c r="G403" s="101" t="n">
        <v>0.0015</v>
      </c>
      <c r="H403" s="101" t="n">
        <v>0.5954</v>
      </c>
      <c r="I403" s="101" t="n">
        <v>0.0019</v>
      </c>
      <c r="J403" s="101" t="n">
        <v>0.007863</v>
      </c>
      <c r="K403" s="100" t="n">
        <v>6</v>
      </c>
      <c r="L403" s="102" t="inlineStr">
        <is>
          <t>20260730</t>
        </is>
      </c>
      <c r="M403" s="99" t="inlineStr">
        <is>
          <t>제외</t>
        </is>
      </c>
      <c r="N403" s="99" t="inlineStr">
        <is>
          <t>변동성 59.5%(1년 기준, 기준 35% 초과)</t>
        </is>
      </c>
      <c r="O403" s="99" t="inlineStr">
        <is>
          <t>KOSPI 100</t>
        </is>
      </c>
      <c r="P403" s="99" t="inlineStr">
        <is>
          <t>일반</t>
        </is>
      </c>
      <c r="Q403" s="99" t="inlineStr">
        <is>
          <t>주식</t>
        </is>
      </c>
      <c r="R403" s="99" t="inlineStr">
        <is>
          <t>연배당</t>
        </is>
      </c>
      <c r="S403" s="100" t="n">
        <v>2</v>
      </c>
      <c r="T403" s="101" t="n">
        <v>1</v>
      </c>
      <c r="U403" s="103" t="n"/>
      <c r="V403" s="103" t="n"/>
      <c r="W403" s="103" t="n"/>
      <c r="X403" s="103" t="n"/>
      <c r="Y403" s="99" t="inlineStr"/>
      <c r="Z403" s="99" t="inlineStr">
        <is>
          <t>창 안 급변일 1일(20260731) — 내지 않음 / 6개월: 창 안 급변일 1일(20260731) — 내지 않음 / 3개월: 창 안 급변일 1일(20260731) — 내지 않음</t>
        </is>
      </c>
      <c r="AA403">
        <f>IF(AND($J403&lt;&gt;"",OR(조회_주기="전체",$R403=조회_주기),$J403&gt;=조회_최소,$J403&lt;=조회_최대),1,0)</f>
        <v/>
      </c>
      <c r="AB403">
        <f>IF($AA403=1,$AB402+1,$AB402)</f>
        <v/>
      </c>
      <c r="AC403">
        <f>IF(검색어="",1,IF(ISNUMBER(SEARCH(검색어,$A403)),1,0))</f>
        <v/>
      </c>
      <c r="AD403">
        <f>IF($AC403=1,$AD402+1,$AD402)</f>
        <v/>
      </c>
      <c r="AE403">
        <f>IFERROR(INDEX($A$4:$A$594,MATCH(400,$AD$4:$AD$594,0)),"")</f>
        <v/>
      </c>
    </row>
    <row r="404">
      <c r="A404" s="99" t="inlineStr">
        <is>
          <t>TIGER 소프트웨어</t>
        </is>
      </c>
      <c r="B404" s="99" t="inlineStr">
        <is>
          <t>157490</t>
        </is>
      </c>
      <c r="C404" s="99" t="inlineStr">
        <is>
          <t>미래에셋자산운용</t>
        </is>
      </c>
      <c r="D404" s="100" t="n">
        <v>7910</v>
      </c>
      <c r="E404" s="100" t="n">
        <v>73404800000</v>
      </c>
      <c r="F404" s="100" t="n">
        <v>1358074334</v>
      </c>
      <c r="G404" s="101" t="n">
        <v>0.004</v>
      </c>
      <c r="H404" s="101" t="n">
        <v>0.419</v>
      </c>
      <c r="I404" s="101" t="n">
        <v>0.006500000000000001</v>
      </c>
      <c r="J404" s="101" t="n">
        <v>0.007838000000000001</v>
      </c>
      <c r="K404" s="100" t="n">
        <v>5</v>
      </c>
      <c r="L404" s="102" t="inlineStr">
        <is>
          <t>20260429</t>
        </is>
      </c>
      <c r="M404" s="99" t="inlineStr">
        <is>
          <t>제외</t>
        </is>
      </c>
      <c r="N404" s="99" t="inlineStr">
        <is>
          <t>변동성 41.9%(1년 기준, 기준 35% 초과)</t>
        </is>
      </c>
      <c r="O404" s="99" t="inlineStr">
        <is>
          <t>FnGuide 소프트웨어</t>
        </is>
      </c>
      <c r="P404" s="99" t="inlineStr">
        <is>
          <t>일반</t>
        </is>
      </c>
      <c r="Q404" s="99" t="inlineStr">
        <is>
          <t>주식</t>
        </is>
      </c>
      <c r="R404" s="99" t="inlineStr">
        <is>
          <t>연배당</t>
        </is>
      </c>
      <c r="S404" s="100" t="n">
        <v>1</v>
      </c>
      <c r="T404" s="101" t="n">
        <v>0.4516</v>
      </c>
      <c r="U404" s="103" t="n">
        <v>-0.1828</v>
      </c>
      <c r="V404" s="103" t="n">
        <v>-0.1892</v>
      </c>
      <c r="W404" s="103" t="n">
        <v>-0.07400000000000001</v>
      </c>
      <c r="X404" s="103" t="n">
        <v>-0.0395</v>
      </c>
      <c r="Y404" s="99" t="inlineStr">
        <is>
          <t>20250922~20261002</t>
        </is>
      </c>
      <c r="Z404" s="99" t="inlineStr"/>
      <c r="AA404">
        <f>IF(AND($J404&lt;&gt;"",OR(조회_주기="전체",$R404=조회_주기),$J404&gt;=조회_최소,$J404&lt;=조회_최대),1,0)</f>
        <v/>
      </c>
      <c r="AB404">
        <f>IF($AA404=1,$AB403+1,$AB403)</f>
        <v/>
      </c>
      <c r="AC404">
        <f>IF(검색어="",1,IF(ISNUMBER(SEARCH(검색어,$A404)),1,0))</f>
        <v/>
      </c>
      <c r="AD404">
        <f>IF($AC404=1,$AD403+1,$AD403)</f>
        <v/>
      </c>
      <c r="AE404">
        <f>IFERROR(INDEX($A$4:$A$594,MATCH(401,$AD$4:$AD$594,0)),"")</f>
        <v/>
      </c>
    </row>
    <row r="405">
      <c r="A405" s="99" t="inlineStr">
        <is>
          <t>HANARO Fn조선해운</t>
        </is>
      </c>
      <c r="B405" s="99" t="inlineStr">
        <is>
          <t>441540</t>
        </is>
      </c>
      <c r="C405" s="99" t="inlineStr">
        <is>
          <t>NH-Amundi자산운용</t>
        </is>
      </c>
      <c r="D405" s="100" t="n">
        <v>26070</v>
      </c>
      <c r="E405" s="100" t="n">
        <v>70389000000</v>
      </c>
      <c r="F405" s="100" t="n">
        <v>475838051</v>
      </c>
      <c r="G405" s="101" t="n">
        <v>0.004500000000000001</v>
      </c>
      <c r="H405" s="101" t="n">
        <v>0.4777</v>
      </c>
      <c r="I405" s="101" t="n">
        <v>0.0053</v>
      </c>
      <c r="J405" s="101" t="n">
        <v>0.007672</v>
      </c>
      <c r="K405" s="100" t="n">
        <v>4</v>
      </c>
      <c r="L405" s="102" t="inlineStr">
        <is>
          <t>20260429</t>
        </is>
      </c>
      <c r="M405" s="99" t="inlineStr">
        <is>
          <t>제외</t>
        </is>
      </c>
      <c r="N405" s="99" t="inlineStr">
        <is>
          <t>60일 거래대금 4.8억(기준 5억 미만), 변동성 47.8%(1년 기준, 기준 35% 초과)</t>
        </is>
      </c>
      <c r="O405" s="99" t="inlineStr">
        <is>
          <t>FnGuide 조선해운 지수</t>
        </is>
      </c>
      <c r="P405" s="99" t="inlineStr">
        <is>
          <t>일반</t>
        </is>
      </c>
      <c r="Q405" s="99" t="inlineStr">
        <is>
          <t>주식</t>
        </is>
      </c>
      <c r="R405" s="99" t="inlineStr">
        <is>
          <t>연배당</t>
        </is>
      </c>
      <c r="S405" s="100" t="n">
        <v>1</v>
      </c>
      <c r="T405" s="101" t="n">
        <v>1</v>
      </c>
      <c r="U405" s="103" t="n"/>
      <c r="V405" s="103" t="n"/>
      <c r="W405" s="103" t="n">
        <v>-0.1415</v>
      </c>
      <c r="X405" s="103" t="n">
        <v>-0.0925</v>
      </c>
      <c r="Y405" s="99" t="inlineStr"/>
      <c r="Z405" s="99" t="inlineStr">
        <is>
          <t>창 안 급변일 1일(20260304) — 내지 않음</t>
        </is>
      </c>
      <c r="AA405">
        <f>IF(AND($J405&lt;&gt;"",OR(조회_주기="전체",$R405=조회_주기),$J405&gt;=조회_최소,$J405&lt;=조회_최대),1,0)</f>
        <v/>
      </c>
      <c r="AB405">
        <f>IF($AA405=1,$AB404+1,$AB404)</f>
        <v/>
      </c>
      <c r="AC405">
        <f>IF(검색어="",1,IF(ISNUMBER(SEARCH(검색어,$A405)),1,0))</f>
        <v/>
      </c>
      <c r="AD405">
        <f>IF($AC405=1,$AD404+1,$AD404)</f>
        <v/>
      </c>
      <c r="AE405">
        <f>IFERROR(INDEX($A$4:$A$594,MATCH(402,$AD$4:$AD$594,0)),"")</f>
        <v/>
      </c>
    </row>
    <row r="406">
      <c r="A406" s="99" t="inlineStr">
        <is>
          <t>KODEX 차이나휴머노이드로봇</t>
        </is>
      </c>
      <c r="B406" s="99" t="inlineStr">
        <is>
          <t>0048K0</t>
        </is>
      </c>
      <c r="C406" s="99" t="inlineStr">
        <is>
          <t>삼성자산운용(ETF)</t>
        </is>
      </c>
      <c r="D406" s="100" t="n">
        <v>7600</v>
      </c>
      <c r="E406" s="100" t="n">
        <v>136420000000</v>
      </c>
      <c r="F406" s="100" t="n">
        <v>5976271802</v>
      </c>
      <c r="G406" s="101" t="n">
        <v>0.004500000000000001</v>
      </c>
      <c r="H406" s="101" t="n">
        <v>0.4056</v>
      </c>
      <c r="I406" s="101" t="n">
        <v>0.0027</v>
      </c>
      <c r="J406" s="101" t="n">
        <v>0.007632</v>
      </c>
      <c r="K406" s="100" t="n">
        <v>5</v>
      </c>
      <c r="L406" s="102" t="inlineStr">
        <is>
          <t>20260730</t>
        </is>
      </c>
      <c r="M406" s="99" t="inlineStr">
        <is>
          <t>제외</t>
        </is>
      </c>
      <c r="N406" s="99" t="inlineStr">
        <is>
          <t>변동성 40.6%(1년 기준, 기준 35% 초과)</t>
        </is>
      </c>
      <c r="O406" s="99" t="inlineStr">
        <is>
          <t>Solactive China humanoid Robotics Index (PR)</t>
        </is>
      </c>
      <c r="P406" s="99" t="inlineStr">
        <is>
          <t>일반</t>
        </is>
      </c>
      <c r="Q406" s="99" t="inlineStr">
        <is>
          <t>주식</t>
        </is>
      </c>
      <c r="R406" s="99" t="inlineStr">
        <is>
          <t>분기배당</t>
        </is>
      </c>
      <c r="S406" s="100" t="n">
        <v>3</v>
      </c>
      <c r="T406" s="101" t="n">
        <v>0.6034</v>
      </c>
      <c r="U406" s="103" t="n">
        <v>-0.3317</v>
      </c>
      <c r="V406" s="103" t="n">
        <v>-0.3367</v>
      </c>
      <c r="W406" s="103" t="n">
        <v>-0.224</v>
      </c>
      <c r="X406" s="103" t="n">
        <v>-0.3025</v>
      </c>
      <c r="Y406" s="99" t="inlineStr">
        <is>
          <t>20250922~20261002</t>
        </is>
      </c>
      <c r="Z406" s="99" t="inlineStr"/>
      <c r="AA406">
        <f>IF(AND($J406&lt;&gt;"",OR(조회_주기="전체",$R406=조회_주기),$J406&gt;=조회_최소,$J406&lt;=조회_최대),1,0)</f>
        <v/>
      </c>
      <c r="AB406">
        <f>IF($AA406=1,$AB405+1,$AB405)</f>
        <v/>
      </c>
      <c r="AC406">
        <f>IF(검색어="",1,IF(ISNUMBER(SEARCH(검색어,$A406)),1,0))</f>
        <v/>
      </c>
      <c r="AD406">
        <f>IF($AC406=1,$AD405+1,$AD405)</f>
        <v/>
      </c>
      <c r="AE406">
        <f>IFERROR(INDEX($A$4:$A$594,MATCH(403,$AD$4:$AD$594,0)),"")</f>
        <v/>
      </c>
    </row>
    <row r="407">
      <c r="A407" s="99" t="inlineStr">
        <is>
          <t>파워 코스피100</t>
        </is>
      </c>
      <c r="B407" s="99" t="inlineStr">
        <is>
          <t>140950</t>
        </is>
      </c>
      <c r="C407" s="99" t="inlineStr">
        <is>
          <t>교보자산운용</t>
        </is>
      </c>
      <c r="D407" s="100" t="n">
        <v>88045</v>
      </c>
      <c r="E407" s="100" t="n">
        <v>49305200000</v>
      </c>
      <c r="F407" s="100" t="n">
        <v>168797814</v>
      </c>
      <c r="G407" s="101" t="n">
        <v>0.00155</v>
      </c>
      <c r="H407" s="101" t="n">
        <v>0.5954</v>
      </c>
      <c r="I407" s="101" t="n">
        <v>0.001</v>
      </c>
      <c r="J407" s="101" t="n">
        <v>0.00761</v>
      </c>
      <c r="K407" s="100" t="n">
        <v>14</v>
      </c>
      <c r="L407" s="102" t="inlineStr">
        <is>
          <t>20260730</t>
        </is>
      </c>
      <c r="M407" s="99" t="inlineStr">
        <is>
          <t>제외</t>
        </is>
      </c>
      <c r="N407" s="99" t="inlineStr">
        <is>
          <t>60일 거래대금 1.7억(기준 5억 미만), 변동성 59.5%(1년 기준, 기준 35% 초과)</t>
        </is>
      </c>
      <c r="O407" s="99" t="inlineStr">
        <is>
          <t>KOSPI 100</t>
        </is>
      </c>
      <c r="P407" s="99" t="inlineStr">
        <is>
          <t>일반</t>
        </is>
      </c>
      <c r="Q407" s="99" t="inlineStr">
        <is>
          <t>주식</t>
        </is>
      </c>
      <c r="R407" s="99" t="inlineStr">
        <is>
          <t>연배당</t>
        </is>
      </c>
      <c r="S407" s="100" t="n">
        <v>2</v>
      </c>
      <c r="T407" s="101" t="n">
        <v>0.8836000000000001</v>
      </c>
      <c r="U407" s="103" t="n"/>
      <c r="V407" s="103" t="n"/>
      <c r="W407" s="103" t="n"/>
      <c r="X407" s="103" t="n"/>
      <c r="Y407" s="99" t="inlineStr"/>
      <c r="Z407" s="99" t="inlineStr">
        <is>
          <t>창 안 급변일 1일(20260731) — 내지 않음 / 6개월: 창 안 급변일 1일(20260731) — 내지 않음 / 3개월: 창 안 급변일 1일(20260731) — 내지 않음</t>
        </is>
      </c>
      <c r="AA407">
        <f>IF(AND($J407&lt;&gt;"",OR(조회_주기="전체",$R407=조회_주기),$J407&gt;=조회_최소,$J407&lt;=조회_최대),1,0)</f>
        <v/>
      </c>
      <c r="AB407">
        <f>IF($AA407=1,$AB406+1,$AB406)</f>
        <v/>
      </c>
      <c r="AC407">
        <f>IF(검색어="",1,IF(ISNUMBER(SEARCH(검색어,$A407)),1,0))</f>
        <v/>
      </c>
      <c r="AD407">
        <f>IF($AC407=1,$AD406+1,$AD406)</f>
        <v/>
      </c>
      <c r="AE407">
        <f>IFERROR(INDEX($A$4:$A$594,MATCH(404,$AD$4:$AD$594,0)),"")</f>
        <v/>
      </c>
    </row>
    <row r="408">
      <c r="A408" s="99" t="inlineStr">
        <is>
          <t>KODEX 200</t>
        </is>
      </c>
      <c r="B408" s="99" t="inlineStr">
        <is>
          <t>069500</t>
        </is>
      </c>
      <c r="C408" s="99" t="inlineStr">
        <is>
          <t>삼성자산운용(ETF)</t>
        </is>
      </c>
      <c r="D408" s="100" t="n">
        <v>112060</v>
      </c>
      <c r="E408" s="100" t="n">
        <v>25885860000000</v>
      </c>
      <c r="F408" s="100" t="n">
        <v>2439864804514</v>
      </c>
      <c r="G408" s="101" t="n">
        <v>0.0015</v>
      </c>
      <c r="H408" s="101" t="n">
        <v>0.5857</v>
      </c>
      <c r="I408" s="101" t="n">
        <v>0.002</v>
      </c>
      <c r="J408" s="101" t="n">
        <v>0.007576</v>
      </c>
      <c r="K408" s="100" t="n">
        <v>20</v>
      </c>
      <c r="L408" s="102" t="inlineStr">
        <is>
          <t>20260730</t>
        </is>
      </c>
      <c r="M408" s="99" t="inlineStr">
        <is>
          <t>제외</t>
        </is>
      </c>
      <c r="N408" s="99" t="inlineStr">
        <is>
          <t>변동성 58.6%(1년 기준, 기준 35% 초과)</t>
        </is>
      </c>
      <c r="O408" s="99" t="inlineStr">
        <is>
          <t>KOSPI 200</t>
        </is>
      </c>
      <c r="P408" s="99" t="inlineStr">
        <is>
          <t>일반</t>
        </is>
      </c>
      <c r="Q408" s="99" t="inlineStr">
        <is>
          <t>주식</t>
        </is>
      </c>
      <c r="R408" s="99" t="inlineStr">
        <is>
          <t>분기배당</t>
        </is>
      </c>
      <c r="S408" s="100" t="n">
        <v>3</v>
      </c>
      <c r="T408" s="101" t="n">
        <v>0.9611</v>
      </c>
      <c r="U408" s="103" t="n"/>
      <c r="V408" s="103" t="n"/>
      <c r="W408" s="103" t="n"/>
      <c r="X408" s="103" t="n"/>
      <c r="Y408" s="99" t="inlineStr"/>
      <c r="Z408" s="99" t="inlineStr">
        <is>
          <t>창 안 급변일 1일(20260731) — 내지 않음 / 6개월: 창 안 급변일 1일(20260731) — 내지 않음 / 3개월: 창 안 급변일 1일(20260731) — 내지 않음</t>
        </is>
      </c>
      <c r="AA408">
        <f>IF(AND($J408&lt;&gt;"",OR(조회_주기="전체",$R408=조회_주기),$J408&gt;=조회_최소,$J408&lt;=조회_최대),1,0)</f>
        <v/>
      </c>
      <c r="AB408">
        <f>IF($AA408=1,$AB407+1,$AB407)</f>
        <v/>
      </c>
      <c r="AC408">
        <f>IF(검색어="",1,IF(ISNUMBER(SEARCH(검색어,$A408)),1,0))</f>
        <v/>
      </c>
      <c r="AD408">
        <f>IF($AC408=1,$AD407+1,$AD407)</f>
        <v/>
      </c>
      <c r="AE408">
        <f>IFERROR(INDEX($A$4:$A$594,MATCH(405,$AD$4:$AD$594,0)),"")</f>
        <v/>
      </c>
    </row>
    <row r="409">
      <c r="A409" s="99" t="inlineStr">
        <is>
          <t>TIGER 미국S&amp;P500레버리지(합성 H)</t>
        </is>
      </c>
      <c r="B409" s="99" t="inlineStr">
        <is>
          <t>225040</t>
        </is>
      </c>
      <c r="C409" s="99" t="inlineStr">
        <is>
          <t>미래에셋자산운용</t>
        </is>
      </c>
      <c r="D409" s="100" t="n">
        <v>67500</v>
      </c>
      <c r="E409" s="100" t="n">
        <v>56700000000</v>
      </c>
      <c r="F409" s="100" t="n">
        <v>456962353</v>
      </c>
      <c r="G409" s="101" t="n">
        <v>0.0025</v>
      </c>
      <c r="H409" s="101" t="n">
        <v>0.2676</v>
      </c>
      <c r="I409" s="101" t="n">
        <v>0.008800000000000001</v>
      </c>
      <c r="J409" s="101" t="n">
        <v>0.007556</v>
      </c>
      <c r="K409" s="100" t="n">
        <v>1</v>
      </c>
      <c r="L409" s="102" t="inlineStr">
        <is>
          <t>20251229</t>
        </is>
      </c>
      <c r="M409" s="99" t="inlineStr">
        <is>
          <t>제외</t>
        </is>
      </c>
      <c r="N409" s="99" t="inlineStr">
        <is>
          <t>60일 거래대금 4.6억(기준 5억 미만)</t>
        </is>
      </c>
      <c r="O409" s="99" t="inlineStr">
        <is>
          <t>S&amp;P 500</t>
        </is>
      </c>
      <c r="P409" s="99" t="inlineStr">
        <is>
          <t>일반</t>
        </is>
      </c>
      <c r="Q409" s="99" t="inlineStr">
        <is>
          <t>주식</t>
        </is>
      </c>
      <c r="R409" s="99" t="inlineStr">
        <is>
          <t>연배당</t>
        </is>
      </c>
      <c r="S409" s="100" t="n">
        <v>1</v>
      </c>
      <c r="T409" s="101" t="n">
        <v>1</v>
      </c>
      <c r="U409" s="103" t="n">
        <v>0.2401</v>
      </c>
      <c r="V409" s="103" t="n">
        <v>0.2308</v>
      </c>
      <c r="W409" s="103" t="n">
        <v>0.3214</v>
      </c>
      <c r="X409" s="103" t="n">
        <v>0.0357</v>
      </c>
      <c r="Y409" s="99" t="inlineStr">
        <is>
          <t>20250922~20261002</t>
        </is>
      </c>
      <c r="Z409" s="99" t="inlineStr"/>
      <c r="AA409">
        <f>IF(AND($J409&lt;&gt;"",OR(조회_주기="전체",$R409=조회_주기),$J409&gt;=조회_최소,$J409&lt;=조회_최대),1,0)</f>
        <v/>
      </c>
      <c r="AB409">
        <f>IF($AA409=1,$AB408+1,$AB408)</f>
        <v/>
      </c>
      <c r="AC409">
        <f>IF(검색어="",1,IF(ISNUMBER(SEARCH(검색어,$A409)),1,0))</f>
        <v/>
      </c>
      <c r="AD409">
        <f>IF($AC409=1,$AD408+1,$AD408)</f>
        <v/>
      </c>
      <c r="AE409">
        <f>IFERROR(INDEX($A$4:$A$594,MATCH(406,$AD$4:$AD$594,0)),"")</f>
        <v/>
      </c>
    </row>
    <row r="410">
      <c r="A410" s="99" t="inlineStr">
        <is>
          <t>KODEX MSCI Korea</t>
        </is>
      </c>
      <c r="B410" s="99" t="inlineStr">
        <is>
          <t>156080</t>
        </is>
      </c>
      <c r="C410" s="99" t="inlineStr">
        <is>
          <t>삼성자산운용(ETF)</t>
        </is>
      </c>
      <c r="D410" s="100" t="n">
        <v>53210</v>
      </c>
      <c r="E410" s="100" t="n">
        <v>31926000000</v>
      </c>
      <c r="F410" s="100" t="n">
        <v>238186234</v>
      </c>
      <c r="G410" s="101" t="n">
        <v>0.0009</v>
      </c>
      <c r="H410" s="101" t="n">
        <v>0.6067</v>
      </c>
      <c r="I410" s="101" t="n">
        <v>0.0019</v>
      </c>
      <c r="J410" s="101" t="n">
        <v>0.00748</v>
      </c>
      <c r="K410" s="100" t="n">
        <v>6</v>
      </c>
      <c r="L410" s="102" t="inlineStr">
        <is>
          <t>20260730</t>
        </is>
      </c>
      <c r="M410" s="99" t="inlineStr">
        <is>
          <t>제외</t>
        </is>
      </c>
      <c r="N410" s="99" t="inlineStr">
        <is>
          <t>60일 거래대금 2.4억(기준 5억 미만), 변동성 60.7%(1년 기준, 기준 35% 초과)</t>
        </is>
      </c>
      <c r="O410" s="99" t="inlineStr">
        <is>
          <t>MSCI KOREA</t>
        </is>
      </c>
      <c r="P410" s="99" t="inlineStr">
        <is>
          <t>일반</t>
        </is>
      </c>
      <c r="Q410" s="99" t="inlineStr">
        <is>
          <t>주식</t>
        </is>
      </c>
      <c r="R410" s="99" t="inlineStr">
        <is>
          <t>연배당</t>
        </is>
      </c>
      <c r="S410" s="100" t="n">
        <v>2</v>
      </c>
      <c r="T410" s="101" t="n">
        <v>1</v>
      </c>
      <c r="U410" s="103" t="n"/>
      <c r="V410" s="103" t="n"/>
      <c r="W410" s="103" t="n"/>
      <c r="X410" s="103" t="n"/>
      <c r="Y410" s="99" t="inlineStr"/>
      <c r="Z410" s="99" t="inlineStr">
        <is>
          <t>창 안 급변일 1일(20260731) — 내지 않음 / 6개월: 창 안 급변일 1일(20260731) — 내지 않음 / 3개월: 창 안 급변일 1일(20260731) — 내지 않음</t>
        </is>
      </c>
      <c r="AA410">
        <f>IF(AND($J410&lt;&gt;"",OR(조회_주기="전체",$R410=조회_주기),$J410&gt;=조회_최소,$J410&lt;=조회_최대),1,0)</f>
        <v/>
      </c>
      <c r="AB410">
        <f>IF($AA410=1,$AB409+1,$AB409)</f>
        <v/>
      </c>
      <c r="AC410">
        <f>IF(검색어="",1,IF(ISNUMBER(SEARCH(검색어,$A410)),1,0))</f>
        <v/>
      </c>
      <c r="AD410">
        <f>IF($AC410=1,$AD409+1,$AD409)</f>
        <v/>
      </c>
      <c r="AE410">
        <f>IFERROR(INDEX($A$4:$A$594,MATCH(407,$AD$4:$AD$594,0)),"")</f>
        <v/>
      </c>
    </row>
    <row r="411">
      <c r="A411" s="99" t="inlineStr">
        <is>
          <t>KODEX 미국S&amp;P500선물(H)</t>
        </is>
      </c>
      <c r="B411" s="99" t="inlineStr">
        <is>
          <t>219480</t>
        </is>
      </c>
      <c r="C411" s="99" t="inlineStr">
        <is>
          <t>삼성자산운용(ETF)</t>
        </is>
      </c>
      <c r="D411" s="100" t="n">
        <v>33105</v>
      </c>
      <c r="E411" s="100" t="n">
        <v>147317250000</v>
      </c>
      <c r="F411" s="100" t="n">
        <v>413585673</v>
      </c>
      <c r="G411" s="101" t="n">
        <v>0.0005</v>
      </c>
      <c r="H411" s="101" t="n">
        <v>0.1307</v>
      </c>
      <c r="I411" s="101" t="n">
        <v>0.008</v>
      </c>
      <c r="J411" s="101" t="n">
        <v>0.007401</v>
      </c>
      <c r="K411" s="100" t="n">
        <v>1</v>
      </c>
      <c r="L411" s="102" t="inlineStr">
        <is>
          <t>20251229</t>
        </is>
      </c>
      <c r="M411" s="99" t="inlineStr">
        <is>
          <t>제외</t>
        </is>
      </c>
      <c r="N411" s="99" t="inlineStr">
        <is>
          <t>60일 거래대금 4.1억(기준 5억 미만)</t>
        </is>
      </c>
      <c r="O411" s="99" t="inlineStr">
        <is>
          <t>S&amp;P 500 Futures Total Return Index</t>
        </is>
      </c>
      <c r="P411" s="99" t="inlineStr">
        <is>
          <t>일반</t>
        </is>
      </c>
      <c r="Q411" s="99" t="inlineStr">
        <is>
          <t>주식</t>
        </is>
      </c>
      <c r="R411" s="99" t="inlineStr">
        <is>
          <t>연배당</t>
        </is>
      </c>
      <c r="S411" s="100" t="n">
        <v>1</v>
      </c>
      <c r="T411" s="101" t="n">
        <v>1</v>
      </c>
      <c r="U411" s="103" t="n">
        <v>0.1253</v>
      </c>
      <c r="V411" s="103" t="n">
        <v>0.117</v>
      </c>
      <c r="W411" s="103" t="n">
        <v>0.1559</v>
      </c>
      <c r="X411" s="103" t="n">
        <v>0.0228</v>
      </c>
      <c r="Y411" s="99" t="inlineStr">
        <is>
          <t>20250922~20261002</t>
        </is>
      </c>
      <c r="Z411" s="99" t="inlineStr"/>
      <c r="AA411">
        <f>IF(AND($J411&lt;&gt;"",OR(조회_주기="전체",$R411=조회_주기),$J411&gt;=조회_최소,$J411&lt;=조회_최대),1,0)</f>
        <v/>
      </c>
      <c r="AB411">
        <f>IF($AA411=1,$AB410+1,$AB410)</f>
        <v/>
      </c>
      <c r="AC411">
        <f>IF(검색어="",1,IF(ISNUMBER(SEARCH(검색어,$A411)),1,0))</f>
        <v/>
      </c>
      <c r="AD411">
        <f>IF($AC411=1,$AD410+1,$AD410)</f>
        <v/>
      </c>
      <c r="AE411">
        <f>IFERROR(INDEX($A$4:$A$594,MATCH(408,$AD$4:$AD$594,0)),"")</f>
        <v/>
      </c>
    </row>
    <row r="412">
      <c r="A412" s="99" t="inlineStr">
        <is>
          <t>TIGER 글로벌혁신블루칩TOP10</t>
        </is>
      </c>
      <c r="B412" s="99" t="inlineStr">
        <is>
          <t>464930</t>
        </is>
      </c>
      <c r="C412" s="99" t="inlineStr">
        <is>
          <t>미래에셋자산운용</t>
        </is>
      </c>
      <c r="D412" s="100" t="n">
        <v>20290</v>
      </c>
      <c r="E412" s="100" t="n">
        <v>101450000000</v>
      </c>
      <c r="F412" s="100" t="n">
        <v>233194017</v>
      </c>
      <c r="G412" s="101" t="n">
        <v>0.0049</v>
      </c>
      <c r="H412" s="101" t="n">
        <v>0.1875</v>
      </c>
      <c r="I412" s="101" t="n">
        <v>0.0075</v>
      </c>
      <c r="J412" s="101" t="n">
        <v>0.007392999999999999</v>
      </c>
      <c r="K412" s="100" t="n">
        <v>1</v>
      </c>
      <c r="L412" s="102" t="inlineStr">
        <is>
          <t>20251229</t>
        </is>
      </c>
      <c r="M412" s="99" t="inlineStr">
        <is>
          <t>제외</t>
        </is>
      </c>
      <c r="N412" s="99" t="inlineStr">
        <is>
          <t>60일 거래대금 2.3억(기준 5억 미만)</t>
        </is>
      </c>
      <c r="O412" s="99" t="inlineStr">
        <is>
          <t>Mirae Asset Global Innovative Bluechip Top 10 Index PR</t>
        </is>
      </c>
      <c r="P412" s="99" t="inlineStr">
        <is>
          <t>일반</t>
        </is>
      </c>
      <c r="Q412" s="99" t="inlineStr">
        <is>
          <t>주식</t>
        </is>
      </c>
      <c r="R412" s="99" t="inlineStr">
        <is>
          <t>연배당</t>
        </is>
      </c>
      <c r="S412" s="100" t="n">
        <v>1</v>
      </c>
      <c r="T412" s="101" t="n">
        <v>1</v>
      </c>
      <c r="U412" s="103" t="n">
        <v>0.1375</v>
      </c>
      <c r="V412" s="103" t="n">
        <v>0.1292</v>
      </c>
      <c r="W412" s="103" t="n">
        <v>0.0547</v>
      </c>
      <c r="X412" s="103" t="n">
        <v>-0.0828</v>
      </c>
      <c r="Y412" s="99" t="inlineStr">
        <is>
          <t>20250922~20261002</t>
        </is>
      </c>
      <c r="Z412" s="99" t="inlineStr"/>
      <c r="AA412">
        <f>IF(AND($J412&lt;&gt;"",OR(조회_주기="전체",$R412=조회_주기),$J412&gt;=조회_최소,$J412&lt;=조회_최대),1,0)</f>
        <v/>
      </c>
      <c r="AB412">
        <f>IF($AA412=1,$AB411+1,$AB411)</f>
        <v/>
      </c>
      <c r="AC412">
        <f>IF(검색어="",1,IF(ISNUMBER(SEARCH(검색어,$A412)),1,0))</f>
        <v/>
      </c>
      <c r="AD412">
        <f>IF($AC412=1,$AD411+1,$AD411)</f>
        <v/>
      </c>
      <c r="AE412">
        <f>IFERROR(INDEX($A$4:$A$594,MATCH(409,$AD$4:$AD$594,0)),"")</f>
        <v/>
      </c>
    </row>
    <row r="413">
      <c r="A413" s="99" t="inlineStr">
        <is>
          <t>KODEX 코스피대형주</t>
        </is>
      </c>
      <c r="B413" s="99" t="inlineStr">
        <is>
          <t>337140</t>
        </is>
      </c>
      <c r="C413" s="99" t="inlineStr">
        <is>
          <t>삼성자산운용(ETF)</t>
        </is>
      </c>
      <c r="D413" s="100" t="n">
        <v>37200</v>
      </c>
      <c r="E413" s="100" t="n">
        <v>81840000000</v>
      </c>
      <c r="F413" s="100" t="n">
        <v>1188815041</v>
      </c>
      <c r="G413" s="101" t="n">
        <v>0.0015</v>
      </c>
      <c r="H413" s="101" t="n">
        <v>0.5675</v>
      </c>
      <c r="I413" s="101" t="n">
        <v>0.002</v>
      </c>
      <c r="J413" s="101" t="n">
        <v>0.007391999999999999</v>
      </c>
      <c r="K413" s="100" t="n">
        <v>6</v>
      </c>
      <c r="L413" s="102" t="inlineStr">
        <is>
          <t>20260730</t>
        </is>
      </c>
      <c r="M413" s="99" t="inlineStr">
        <is>
          <t>제외</t>
        </is>
      </c>
      <c r="N413" s="99" t="inlineStr">
        <is>
          <t>변동성 56.7%(1년 기준, 기준 35% 초과)</t>
        </is>
      </c>
      <c r="O413" s="99" t="inlineStr">
        <is>
          <t>대형주</t>
        </is>
      </c>
      <c r="P413" s="99" t="inlineStr">
        <is>
          <t>일반</t>
        </is>
      </c>
      <c r="Q413" s="99" t="inlineStr">
        <is>
          <t>주식</t>
        </is>
      </c>
      <c r="R413" s="99" t="inlineStr">
        <is>
          <t>연배당</t>
        </is>
      </c>
      <c r="S413" s="100" t="n">
        <v>2</v>
      </c>
      <c r="T413" s="101" t="n">
        <v>1</v>
      </c>
      <c r="U413" s="103" t="n"/>
      <c r="V413" s="103" t="n"/>
      <c r="W413" s="103" t="n"/>
      <c r="X413" s="103" t="n"/>
      <c r="Y413" s="99" t="inlineStr"/>
      <c r="Z413" s="99" t="inlineStr">
        <is>
          <t>창 안 급변일 1일(20260731) — 내지 않음 / 6개월: 창 안 급변일 1일(20260731) — 내지 않음 / 3개월: 창 안 급변일 1일(20260731) — 내지 않음</t>
        </is>
      </c>
      <c r="AA413">
        <f>IF(AND($J413&lt;&gt;"",OR(조회_주기="전체",$R413=조회_주기),$J413&gt;=조회_최소,$J413&lt;=조회_최대),1,0)</f>
        <v/>
      </c>
      <c r="AB413">
        <f>IF($AA413=1,$AB412+1,$AB412)</f>
        <v/>
      </c>
      <c r="AC413">
        <f>IF(검색어="",1,IF(ISNUMBER(SEARCH(검색어,$A413)),1,0))</f>
        <v/>
      </c>
      <c r="AD413">
        <f>IF($AC413=1,$AD412+1,$AD412)</f>
        <v/>
      </c>
      <c r="AE413">
        <f>IFERROR(INDEX($A$4:$A$594,MATCH(410,$AD$4:$AD$594,0)),"")</f>
        <v/>
      </c>
    </row>
    <row r="414">
      <c r="A414" s="99" t="inlineStr">
        <is>
          <t>TIGER 코스피</t>
        </is>
      </c>
      <c r="B414" s="99" t="inlineStr">
        <is>
          <t>277630</t>
        </is>
      </c>
      <c r="C414" s="99" t="inlineStr">
        <is>
          <t>미래에셋자산운용</t>
        </is>
      </c>
      <c r="D414" s="100" t="n">
        <v>73395</v>
      </c>
      <c r="E414" s="100" t="n">
        <v>576150750000</v>
      </c>
      <c r="F414" s="100" t="n">
        <v>9859296046</v>
      </c>
      <c r="G414" s="101" t="n">
        <v>0.0015</v>
      </c>
      <c r="H414" s="101" t="n">
        <v>0.5389</v>
      </c>
      <c r="I414" s="101" t="n">
        <v>0.001</v>
      </c>
      <c r="J414" s="101" t="n">
        <v>0.007289</v>
      </c>
      <c r="K414" s="100" t="n">
        <v>15</v>
      </c>
      <c r="L414" s="102" t="inlineStr">
        <is>
          <t>20260730</t>
        </is>
      </c>
      <c r="M414" s="99" t="inlineStr">
        <is>
          <t>제외</t>
        </is>
      </c>
      <c r="N414" s="99" t="inlineStr">
        <is>
          <t>변동성 53.9%(1년 기준, 기준 35% 초과)</t>
        </is>
      </c>
      <c r="O414" s="99" t="inlineStr">
        <is>
          <t>코스피</t>
        </is>
      </c>
      <c r="P414" s="99" t="inlineStr">
        <is>
          <t>일반</t>
        </is>
      </c>
      <c r="Q414" s="99" t="inlineStr">
        <is>
          <t>주식</t>
        </is>
      </c>
      <c r="R414" s="99" t="inlineStr">
        <is>
          <t>분기배당</t>
        </is>
      </c>
      <c r="S414" s="100" t="n">
        <v>3</v>
      </c>
      <c r="T414" s="101" t="n">
        <v>1</v>
      </c>
      <c r="U414" s="103" t="n"/>
      <c r="V414" s="103" t="n"/>
      <c r="W414" s="103" t="n"/>
      <c r="X414" s="103" t="n"/>
      <c r="Y414" s="99" t="inlineStr"/>
      <c r="Z414" s="99" t="inlineStr">
        <is>
          <t>창 안 급변일 1일(20260731) — 내지 않음 / 6개월: 창 안 급변일 1일(20260731) — 내지 않음 / 3개월: 창 안 급변일 1일(20260731) — 내지 않음</t>
        </is>
      </c>
      <c r="AA414">
        <f>IF(AND($J414&lt;&gt;"",OR(조회_주기="전체",$R414=조회_주기),$J414&gt;=조회_최소,$J414&lt;=조회_최대),1,0)</f>
        <v/>
      </c>
      <c r="AB414">
        <f>IF($AA414=1,$AB413+1,$AB413)</f>
        <v/>
      </c>
      <c r="AC414">
        <f>IF(검색어="",1,IF(ISNUMBER(SEARCH(검색어,$A414)),1,0))</f>
        <v/>
      </c>
      <c r="AD414">
        <f>IF($AC414=1,$AD413+1,$AD413)</f>
        <v/>
      </c>
      <c r="AE414">
        <f>IFERROR(INDEX($A$4:$A$594,MATCH(411,$AD$4:$AD$594,0)),"")</f>
        <v/>
      </c>
    </row>
    <row r="415">
      <c r="A415" s="99" t="inlineStr">
        <is>
          <t>KIWOOM 코스피100</t>
        </is>
      </c>
      <c r="B415" s="99" t="inlineStr">
        <is>
          <t>153270</t>
        </is>
      </c>
      <c r="C415" s="99" t="inlineStr">
        <is>
          <t>키움투자자산운용</t>
        </is>
      </c>
      <c r="D415" s="100" t="n">
        <v>86040</v>
      </c>
      <c r="E415" s="100" t="n">
        <v>30974400000</v>
      </c>
      <c r="F415" s="100" t="n">
        <v>360872961</v>
      </c>
      <c r="G415" s="101" t="n">
        <v>0.00195</v>
      </c>
      <c r="H415" s="101" t="n">
        <v>0.59</v>
      </c>
      <c r="I415" s="101" t="n">
        <v>0.0017</v>
      </c>
      <c r="J415" s="101" t="n">
        <v>0.007206000000000001</v>
      </c>
      <c r="K415" s="100" t="n">
        <v>13</v>
      </c>
      <c r="L415" s="102" t="inlineStr">
        <is>
          <t>20260730</t>
        </is>
      </c>
      <c r="M415" s="99" t="inlineStr">
        <is>
          <t>제외</t>
        </is>
      </c>
      <c r="N415" s="99" t="inlineStr">
        <is>
          <t>60일 거래대금 3.6억(기준 5억 미만), 변동성 59.0%(1년 기준, 기준 35% 초과)</t>
        </is>
      </c>
      <c r="O415" s="99" t="inlineStr">
        <is>
          <t>KOSPI 100</t>
        </is>
      </c>
      <c r="P415" s="99" t="inlineStr">
        <is>
          <t>일반</t>
        </is>
      </c>
      <c r="Q415" s="99" t="inlineStr">
        <is>
          <t>주식</t>
        </is>
      </c>
      <c r="R415" s="99" t="inlineStr">
        <is>
          <t>분기배당</t>
        </is>
      </c>
      <c r="S415" s="100" t="n">
        <v>3</v>
      </c>
      <c r="T415" s="101" t="n">
        <v>1</v>
      </c>
      <c r="U415" s="103" t="n"/>
      <c r="V415" s="103" t="n"/>
      <c r="W415" s="103" t="n"/>
      <c r="X415" s="103" t="n"/>
      <c r="Y415" s="99" t="inlineStr"/>
      <c r="Z415" s="99" t="inlineStr">
        <is>
          <t>창 안 급변일 1일(20260731) — 내지 않음 / 6개월: 창 안 급변일 1일(20260731) — 내지 않음 / 3개월: 창 안 급변일 1일(20260731) — 내지 않음</t>
        </is>
      </c>
      <c r="AA415">
        <f>IF(AND($J415&lt;&gt;"",OR(조회_주기="전체",$R415=조회_주기),$J415&gt;=조회_최소,$J415&lt;=조회_최대),1,0)</f>
        <v/>
      </c>
      <c r="AB415">
        <f>IF($AA415=1,$AB414+1,$AB414)</f>
        <v/>
      </c>
      <c r="AC415">
        <f>IF(검색어="",1,IF(ISNUMBER(SEARCH(검색어,$A415)),1,0))</f>
        <v/>
      </c>
      <c r="AD415">
        <f>IF($AC415=1,$AD414+1,$AD414)</f>
        <v/>
      </c>
      <c r="AE415">
        <f>IFERROR(INDEX($A$4:$A$594,MATCH(412,$AD$4:$AD$594,0)),"")</f>
        <v/>
      </c>
    </row>
    <row r="416">
      <c r="A416" s="99" t="inlineStr">
        <is>
          <t>TIGER 화장품</t>
        </is>
      </c>
      <c r="B416" s="99" t="inlineStr">
        <is>
          <t>228790</t>
        </is>
      </c>
      <c r="C416" s="99" t="inlineStr">
        <is>
          <t>미래에셋자산운용</t>
        </is>
      </c>
      <c r="D416" s="100" t="n">
        <v>4075</v>
      </c>
      <c r="E416" s="100" t="n">
        <v>231541500000</v>
      </c>
      <c r="F416" s="100" t="n">
        <v>28312953672</v>
      </c>
      <c r="G416" s="101" t="n">
        <v>0.005</v>
      </c>
      <c r="H416" s="101" t="n">
        <v>0.4056</v>
      </c>
      <c r="I416" s="101" t="n">
        <v>0.0048</v>
      </c>
      <c r="J416" s="101" t="n">
        <v>0.007117</v>
      </c>
      <c r="K416" s="100" t="n">
        <v>6</v>
      </c>
      <c r="L416" s="102" t="inlineStr">
        <is>
          <t>20260429</t>
        </is>
      </c>
      <c r="M416" s="99" t="inlineStr">
        <is>
          <t>제외</t>
        </is>
      </c>
      <c r="N416" s="99" t="inlineStr">
        <is>
          <t>변동성 40.6%(1년 기준, 기준 35% 초과)</t>
        </is>
      </c>
      <c r="O416" s="99" t="inlineStr">
        <is>
          <t>WISE 화장품 지수</t>
        </is>
      </c>
      <c r="P416" s="99" t="inlineStr">
        <is>
          <t>일반</t>
        </is>
      </c>
      <c r="Q416" s="99" t="inlineStr">
        <is>
          <t>주식</t>
        </is>
      </c>
      <c r="R416" s="99" t="inlineStr">
        <is>
          <t>연배당</t>
        </is>
      </c>
      <c r="S416" s="100" t="n">
        <v>1</v>
      </c>
      <c r="T416" s="101" t="n">
        <v>0.2414</v>
      </c>
      <c r="U416" s="103" t="n">
        <v>0.0339</v>
      </c>
      <c r="V416" s="103" t="n">
        <v>0.0267</v>
      </c>
      <c r="W416" s="103" t="n">
        <v>0.1837</v>
      </c>
      <c r="X416" s="103" t="n">
        <v>0.08990000000000001</v>
      </c>
      <c r="Y416" s="99" t="inlineStr">
        <is>
          <t>20250922~20261002</t>
        </is>
      </c>
      <c r="Z416" s="99" t="inlineStr"/>
      <c r="AA416">
        <f>IF(AND($J416&lt;&gt;"",OR(조회_주기="전체",$R416=조회_주기),$J416&gt;=조회_최소,$J416&lt;=조회_최대),1,0)</f>
        <v/>
      </c>
      <c r="AB416">
        <f>IF($AA416=1,$AB415+1,$AB415)</f>
        <v/>
      </c>
      <c r="AC416">
        <f>IF(검색어="",1,IF(ISNUMBER(SEARCH(검색어,$A416)),1,0))</f>
        <v/>
      </c>
      <c r="AD416">
        <f>IF($AC416=1,$AD415+1,$AD415)</f>
        <v/>
      </c>
      <c r="AE416">
        <f>IFERROR(INDEX($A$4:$A$594,MATCH(413,$AD$4:$AD$594,0)),"")</f>
        <v/>
      </c>
    </row>
    <row r="417">
      <c r="A417" s="99" t="inlineStr">
        <is>
          <t>TIGER Fn신재생에너지</t>
        </is>
      </c>
      <c r="B417" s="99" t="inlineStr">
        <is>
          <t>377990</t>
        </is>
      </c>
      <c r="C417" s="99" t="inlineStr">
        <is>
          <t>미래에셋자산운용</t>
        </is>
      </c>
      <c r="D417" s="100" t="n">
        <v>25415</v>
      </c>
      <c r="E417" s="100" t="n">
        <v>124533500000</v>
      </c>
      <c r="F417" s="100" t="n">
        <v>3124536173</v>
      </c>
      <c r="G417" s="101" t="n">
        <v>0.005</v>
      </c>
      <c r="H417" s="101" t="n">
        <v>0.6474</v>
      </c>
      <c r="I417" s="101" t="n">
        <v>0.0101</v>
      </c>
      <c r="J417" s="101" t="n">
        <v>0.007082000000000001</v>
      </c>
      <c r="K417" s="100" t="n">
        <v>5</v>
      </c>
      <c r="L417" s="102" t="inlineStr">
        <is>
          <t>20260730</t>
        </is>
      </c>
      <c r="M417" s="99" t="inlineStr">
        <is>
          <t>제외</t>
        </is>
      </c>
      <c r="N417" s="99" t="inlineStr">
        <is>
          <t>변동성 64.7%(1년 기준, 기준 35% 초과)</t>
        </is>
      </c>
      <c r="O417" s="99" t="inlineStr">
        <is>
          <t>FnGuide 신재생에너지 지수</t>
        </is>
      </c>
      <c r="P417" s="99" t="inlineStr">
        <is>
          <t>일반</t>
        </is>
      </c>
      <c r="Q417" s="99" t="inlineStr">
        <is>
          <t>주식</t>
        </is>
      </c>
      <c r="R417" s="99" t="inlineStr">
        <is>
          <t>연배당</t>
        </is>
      </c>
      <c r="S417" s="100" t="n">
        <v>1</v>
      </c>
      <c r="T417" s="101" t="n">
        <v>0</v>
      </c>
      <c r="U417" s="103" t="n"/>
      <c r="V417" s="103" t="n"/>
      <c r="W417" s="103" t="n">
        <v>-0.0349</v>
      </c>
      <c r="X417" s="103" t="n">
        <v>-0.05019999999999999</v>
      </c>
      <c r="Y417" s="99" t="inlineStr"/>
      <c r="Z417" s="99" t="inlineStr">
        <is>
          <t>창 안 급변일 1일(20260304) — 내지 않음</t>
        </is>
      </c>
      <c r="AA417">
        <f>IF(AND($J417&lt;&gt;"",OR(조회_주기="전체",$R417=조회_주기),$J417&gt;=조회_최소,$J417&lt;=조회_최대),1,0)</f>
        <v/>
      </c>
      <c r="AB417">
        <f>IF($AA417=1,$AB416+1,$AB416)</f>
        <v/>
      </c>
      <c r="AC417">
        <f>IF(검색어="",1,IF(ISNUMBER(SEARCH(검색어,$A417)),1,0))</f>
        <v/>
      </c>
      <c r="AD417">
        <f>IF($AC417=1,$AD416+1,$AD416)</f>
        <v/>
      </c>
      <c r="AE417">
        <f>IFERROR(INDEX($A$4:$A$594,MATCH(414,$AD$4:$AD$594,0)),"")</f>
        <v/>
      </c>
    </row>
    <row r="418">
      <c r="A418" s="99" t="inlineStr">
        <is>
          <t>HANARO 미국S&amp;P500</t>
        </is>
      </c>
      <c r="B418" s="99" t="inlineStr">
        <is>
          <t>432840</t>
        </is>
      </c>
      <c r="C418" s="99" t="inlineStr">
        <is>
          <t>NH-Amundi자산운용</t>
        </is>
      </c>
      <c r="D418" s="100" t="n">
        <v>19355</v>
      </c>
      <c r="E418" s="100" t="n">
        <v>15484000000</v>
      </c>
      <c r="F418" s="100" t="n">
        <v>62985656</v>
      </c>
      <c r="G418" s="101" t="n">
        <v>0.00045</v>
      </c>
      <c r="H418" s="101" t="n">
        <v>0.1457</v>
      </c>
      <c r="I418" s="101" t="n">
        <v>0.0005</v>
      </c>
      <c r="J418" s="101" t="n">
        <v>0.006923</v>
      </c>
      <c r="K418" s="100" t="n">
        <v>41</v>
      </c>
      <c r="L418" s="102" t="inlineStr">
        <is>
          <t>20260929</t>
        </is>
      </c>
      <c r="M418" s="99" t="inlineStr">
        <is>
          <t>제외</t>
        </is>
      </c>
      <c r="N418" s="99" t="inlineStr">
        <is>
          <t>순자산 155억(기준 300억 미만), 60일 거래대금 0.6억(기준 5억 미만)</t>
        </is>
      </c>
      <c r="O418" s="99" t="inlineStr">
        <is>
          <t>S&amp;P 500</t>
        </is>
      </c>
      <c r="P418" s="99" t="inlineStr">
        <is>
          <t>일반</t>
        </is>
      </c>
      <c r="Q418" s="99" t="inlineStr">
        <is>
          <t>주식</t>
        </is>
      </c>
      <c r="R418" s="99" t="inlineStr">
        <is>
          <t>월배당</t>
        </is>
      </c>
      <c r="S418" s="100" t="n">
        <v>11</v>
      </c>
      <c r="T418" s="101" t="n">
        <v>1</v>
      </c>
      <c r="U418" s="103" t="n">
        <v>0.1201</v>
      </c>
      <c r="V418" s="103" t="n">
        <v>0.1123</v>
      </c>
      <c r="W418" s="103" t="n">
        <v>0.0435</v>
      </c>
      <c r="X418" s="103" t="n">
        <v>-0.09300000000000001</v>
      </c>
      <c r="Y418" s="99" t="inlineStr">
        <is>
          <t>20250922~20261002</t>
        </is>
      </c>
      <c r="Z418" s="99" t="inlineStr"/>
      <c r="AA418">
        <f>IF(AND($J418&lt;&gt;"",OR(조회_주기="전체",$R418=조회_주기),$J418&gt;=조회_최소,$J418&lt;=조회_최대),1,0)</f>
        <v/>
      </c>
      <c r="AB418">
        <f>IF($AA418=1,$AB417+1,$AB417)</f>
        <v/>
      </c>
      <c r="AC418">
        <f>IF(검색어="",1,IF(ISNUMBER(SEARCH(검색어,$A418)),1,0))</f>
        <v/>
      </c>
      <c r="AD418">
        <f>IF($AC418=1,$AD417+1,$AD417)</f>
        <v/>
      </c>
      <c r="AE418">
        <f>IFERROR(INDEX($A$4:$A$594,MATCH(415,$AD$4:$AD$594,0)),"")</f>
        <v/>
      </c>
    </row>
    <row r="419">
      <c r="A419" s="99" t="inlineStr">
        <is>
          <t>TIGER 차이나바이오테크SOLACTIVE</t>
        </is>
      </c>
      <c r="B419" s="99" t="inlineStr">
        <is>
          <t>371470</t>
        </is>
      </c>
      <c r="C419" s="99" t="inlineStr">
        <is>
          <t>미래에셋자산운용</t>
        </is>
      </c>
      <c r="D419" s="100" t="n">
        <v>8680</v>
      </c>
      <c r="E419" s="100" t="n">
        <v>45830400000</v>
      </c>
      <c r="F419" s="100" t="n">
        <v>387946059</v>
      </c>
      <c r="G419" s="101" t="n">
        <v>0.0049</v>
      </c>
      <c r="H419" s="101" t="n">
        <v>0.3195</v>
      </c>
      <c r="I419" s="101" t="n">
        <v>0.006999999999999999</v>
      </c>
      <c r="J419" s="101" t="n">
        <v>0.006912000000000001</v>
      </c>
      <c r="K419" s="100" t="n">
        <v>1</v>
      </c>
      <c r="L419" s="102" t="inlineStr">
        <is>
          <t>20251229</t>
        </is>
      </c>
      <c r="M419" s="99" t="inlineStr">
        <is>
          <t>제외</t>
        </is>
      </c>
      <c r="N419" s="99" t="inlineStr">
        <is>
          <t>60일 거래대금 3.9억(기준 5억 미만)</t>
        </is>
      </c>
      <c r="O419" s="99" t="inlineStr">
        <is>
          <t>Solactive China Biotech Index PR</t>
        </is>
      </c>
      <c r="P419" s="99" t="inlineStr">
        <is>
          <t>일반</t>
        </is>
      </c>
      <c r="Q419" s="99" t="inlineStr">
        <is>
          <t>주식</t>
        </is>
      </c>
      <c r="R419" s="99" t="inlineStr">
        <is>
          <t>연배당</t>
        </is>
      </c>
      <c r="S419" s="100" t="n">
        <v>1</v>
      </c>
      <c r="T419" s="101" t="n">
        <v>0</v>
      </c>
      <c r="U419" s="103" t="n">
        <v>-0.058</v>
      </c>
      <c r="V419" s="103" t="n">
        <v>-0.0644</v>
      </c>
      <c r="W419" s="103" t="n">
        <v>-0.0463</v>
      </c>
      <c r="X419" s="103" t="n">
        <v>0.04099999999999999</v>
      </c>
      <c r="Y419" s="99" t="inlineStr">
        <is>
          <t>20250922~20261002</t>
        </is>
      </c>
      <c r="Z419" s="99" t="inlineStr"/>
      <c r="AA419">
        <f>IF(AND($J419&lt;&gt;"",OR(조회_주기="전체",$R419=조회_주기),$J419&gt;=조회_최소,$J419&lt;=조회_최대),1,0)</f>
        <v/>
      </c>
      <c r="AB419">
        <f>IF($AA419=1,$AB418+1,$AB418)</f>
        <v/>
      </c>
      <c r="AC419">
        <f>IF(검색어="",1,IF(ISNUMBER(SEARCH(검색어,$A419)),1,0))</f>
        <v/>
      </c>
      <c r="AD419">
        <f>IF($AC419=1,$AD418+1,$AD418)</f>
        <v/>
      </c>
      <c r="AE419">
        <f>IFERROR(INDEX($A$4:$A$594,MATCH(416,$AD$4:$AD$594,0)),"")</f>
        <v/>
      </c>
    </row>
    <row r="420">
      <c r="A420" s="99" t="inlineStr">
        <is>
          <t>KODEX 미국나스닥100선물(H)</t>
        </is>
      </c>
      <c r="B420" s="99" t="inlineStr">
        <is>
          <t>304940</t>
        </is>
      </c>
      <c r="C420" s="99" t="inlineStr">
        <is>
          <t>삼성자산운용(ETF)</t>
        </is>
      </c>
      <c r="D420" s="100" t="n">
        <v>33600</v>
      </c>
      <c r="E420" s="100" t="n">
        <v>114240000000</v>
      </c>
      <c r="F420" s="100" t="n">
        <v>360630725</v>
      </c>
      <c r="G420" s="101" t="n">
        <v>0.0005</v>
      </c>
      <c r="H420" s="101" t="n">
        <v>0.2004</v>
      </c>
      <c r="I420" s="101" t="n">
        <v>0.007900000000000001</v>
      </c>
      <c r="J420" s="101" t="n">
        <v>0.006785999999999999</v>
      </c>
      <c r="K420" s="100" t="n">
        <v>1</v>
      </c>
      <c r="L420" s="102" t="inlineStr">
        <is>
          <t>20251229</t>
        </is>
      </c>
      <c r="M420" s="99" t="inlineStr">
        <is>
          <t>제외</t>
        </is>
      </c>
      <c r="N420" s="99" t="inlineStr">
        <is>
          <t>60일 거래대금 3.6억(기준 5억 미만)</t>
        </is>
      </c>
      <c r="O420" s="99" t="inlineStr">
        <is>
          <t>나스닥 100</t>
        </is>
      </c>
      <c r="P420" s="99" t="inlineStr">
        <is>
          <t>일반</t>
        </is>
      </c>
      <c r="Q420" s="99" t="inlineStr">
        <is>
          <t>주식</t>
        </is>
      </c>
      <c r="R420" s="99" t="inlineStr">
        <is>
          <t>연배당</t>
        </is>
      </c>
      <c r="S420" s="100" t="n">
        <v>1</v>
      </c>
      <c r="T420" s="101" t="n">
        <v>1</v>
      </c>
      <c r="U420" s="103" t="n">
        <v>0.2019</v>
      </c>
      <c r="V420" s="103" t="n">
        <v>0.1937</v>
      </c>
      <c r="W420" s="103" t="n">
        <v>0.2547</v>
      </c>
      <c r="X420" s="103" t="n">
        <v>0.0359</v>
      </c>
      <c r="Y420" s="99" t="inlineStr">
        <is>
          <t>20250922~20261002</t>
        </is>
      </c>
      <c r="Z420" s="99" t="inlineStr"/>
      <c r="AA420">
        <f>IF(AND($J420&lt;&gt;"",OR(조회_주기="전체",$R420=조회_주기),$J420&gt;=조회_최소,$J420&lt;=조회_최대),1,0)</f>
        <v/>
      </c>
      <c r="AB420">
        <f>IF($AA420=1,$AB419+1,$AB419)</f>
        <v/>
      </c>
      <c r="AC420">
        <f>IF(검색어="",1,IF(ISNUMBER(SEARCH(검색어,$A420)),1,0))</f>
        <v/>
      </c>
      <c r="AD420">
        <f>IF($AC420=1,$AD419+1,$AD419)</f>
        <v/>
      </c>
      <c r="AE420">
        <f>IFERROR(INDEX($A$4:$A$594,MATCH(417,$AD$4:$AD$594,0)),"")</f>
        <v/>
      </c>
    </row>
    <row r="421">
      <c r="A421" s="99" t="inlineStr">
        <is>
          <t>SOL 27-12 회사채(AA-이상)액티브</t>
        </is>
      </c>
      <c r="B421" s="99" t="inlineStr">
        <is>
          <t>0092C0</t>
        </is>
      </c>
      <c r="C421" s="99" t="inlineStr">
        <is>
          <t>신한자산운용</t>
        </is>
      </c>
      <c r="D421" s="100" t="n">
        <v>50360</v>
      </c>
      <c r="E421" s="100" t="n">
        <v>230648800000</v>
      </c>
      <c r="F421" s="100" t="n">
        <v>201790681</v>
      </c>
      <c r="G421" s="101" t="n">
        <v>0.0005</v>
      </c>
      <c r="H421" s="101" t="n">
        <v>0.0107</v>
      </c>
      <c r="I421" s="101" t="n">
        <v>0.0068</v>
      </c>
      <c r="J421" s="101" t="n">
        <v>0.006751</v>
      </c>
      <c r="K421" s="100" t="n">
        <v>1</v>
      </c>
      <c r="L421" s="102" t="inlineStr">
        <is>
          <t>20251212</t>
        </is>
      </c>
      <c r="M421" s="99" t="inlineStr">
        <is>
          <t>제외</t>
        </is>
      </c>
      <c r="N421" s="99" t="inlineStr">
        <is>
          <t>60일 거래대금 2.0억(기준 5억 미만)</t>
        </is>
      </c>
      <c r="O421" s="99" t="inlineStr">
        <is>
          <t>KAP 27-12 크레딧 채권지수(AA-이상,총수익)</t>
        </is>
      </c>
      <c r="P421" s="99" t="inlineStr">
        <is>
          <t>일반</t>
        </is>
      </c>
      <c r="Q421" s="99" t="inlineStr">
        <is>
          <t>채권</t>
        </is>
      </c>
      <c r="R421" s="99" t="inlineStr">
        <is>
          <t>연배당</t>
        </is>
      </c>
      <c r="S421" s="100" t="n">
        <v>1</v>
      </c>
      <c r="T421" s="101" t="n">
        <v>0</v>
      </c>
      <c r="U421" s="103" t="n">
        <v>0.0113</v>
      </c>
      <c r="V421" s="103" t="n">
        <v>0.004500000000000001</v>
      </c>
      <c r="W421" s="103" t="n">
        <v>0.0134</v>
      </c>
      <c r="X421" s="103" t="n">
        <v>0.009000000000000001</v>
      </c>
      <c r="Y421" s="99" t="inlineStr">
        <is>
          <t>20250922~20261002</t>
        </is>
      </c>
      <c r="Z421" s="99" t="inlineStr"/>
      <c r="AA421">
        <f>IF(AND($J421&lt;&gt;"",OR(조회_주기="전체",$R421=조회_주기),$J421&gt;=조회_최소,$J421&lt;=조회_최대),1,0)</f>
        <v/>
      </c>
      <c r="AB421">
        <f>IF($AA421=1,$AB420+1,$AB420)</f>
        <v/>
      </c>
      <c r="AC421">
        <f>IF(검색어="",1,IF(ISNUMBER(SEARCH(검색어,$A421)),1,0))</f>
        <v/>
      </c>
      <c r="AD421">
        <f>IF($AC421=1,$AD420+1,$AD420)</f>
        <v/>
      </c>
      <c r="AE421">
        <f>IFERROR(INDEX($A$4:$A$594,MATCH(418,$AD$4:$AD$594,0)),"")</f>
        <v/>
      </c>
    </row>
    <row r="422">
      <c r="A422" s="99" t="inlineStr">
        <is>
          <t>TIGER 인터넷TOP10</t>
        </is>
      </c>
      <c r="B422" s="99" t="inlineStr">
        <is>
          <t>365000</t>
        </is>
      </c>
      <c r="C422" s="99" t="inlineStr">
        <is>
          <t>미래에셋자산운용</t>
        </is>
      </c>
      <c r="D422" s="100" t="n">
        <v>3750</v>
      </c>
      <c r="E422" s="100" t="n">
        <v>37875000000</v>
      </c>
      <c r="F422" s="100" t="n">
        <v>753216292</v>
      </c>
      <c r="G422" s="101" t="n">
        <v>0.004</v>
      </c>
      <c r="H422" s="101" t="n">
        <v>0.4088000000000001</v>
      </c>
      <c r="I422" s="101" t="n">
        <v>0.0051</v>
      </c>
      <c r="J422" s="101" t="n">
        <v>0.006666999999999999</v>
      </c>
      <c r="K422" s="100" t="n">
        <v>5</v>
      </c>
      <c r="L422" s="102" t="inlineStr">
        <is>
          <t>20260429</t>
        </is>
      </c>
      <c r="M422" s="99" t="inlineStr">
        <is>
          <t>제외</t>
        </is>
      </c>
      <c r="N422" s="99" t="inlineStr">
        <is>
          <t>변동성 40.9%(1년 기준, 기준 35% 초과)</t>
        </is>
      </c>
      <c r="O422" s="99" t="inlineStr">
        <is>
          <t>KRX 인터넷 TOP 10 지수</t>
        </is>
      </c>
      <c r="P422" s="99" t="inlineStr">
        <is>
          <t>일반</t>
        </is>
      </c>
      <c r="Q422" s="99" t="inlineStr">
        <is>
          <t>주식</t>
        </is>
      </c>
      <c r="R422" s="99" t="inlineStr">
        <is>
          <t>연배당</t>
        </is>
      </c>
      <c r="S422" s="100" t="n">
        <v>1</v>
      </c>
      <c r="T422" s="101" t="n">
        <v>0.84</v>
      </c>
      <c r="U422" s="103" t="n">
        <v>-0.2154</v>
      </c>
      <c r="V422" s="103" t="n">
        <v>-0.2206</v>
      </c>
      <c r="W422" s="103" t="n">
        <v>-0.186</v>
      </c>
      <c r="X422" s="103" t="n">
        <v>-0.0259</v>
      </c>
      <c r="Y422" s="99" t="inlineStr">
        <is>
          <t>20250922~20261002</t>
        </is>
      </c>
      <c r="Z422" s="99" t="inlineStr"/>
      <c r="AA422">
        <f>IF(AND($J422&lt;&gt;"",OR(조회_주기="전체",$R422=조회_주기),$J422&gt;=조회_최소,$J422&lt;=조회_최대),1,0)</f>
        <v/>
      </c>
      <c r="AB422">
        <f>IF($AA422=1,$AB421+1,$AB421)</f>
        <v/>
      </c>
      <c r="AC422">
        <f>IF(검색어="",1,IF(ISNUMBER(SEARCH(검색어,$A422)),1,0))</f>
        <v/>
      </c>
      <c r="AD422">
        <f>IF($AC422=1,$AD421+1,$AD421)</f>
        <v/>
      </c>
      <c r="AE422">
        <f>IFERROR(INDEX($A$4:$A$594,MATCH(419,$AD$4:$AD$594,0)),"")</f>
        <v/>
      </c>
    </row>
    <row r="423">
      <c r="A423" s="99" t="inlineStr">
        <is>
          <t>TIGER 글로벌AI&amp;로보틱스 INDXX</t>
        </is>
      </c>
      <c r="B423" s="99" t="inlineStr">
        <is>
          <t>464310</t>
        </is>
      </c>
      <c r="C423" s="99" t="inlineStr">
        <is>
          <t>미래에셋자산운용</t>
        </is>
      </c>
      <c r="D423" s="100" t="n">
        <v>13390</v>
      </c>
      <c r="E423" s="100" t="n">
        <v>104442000000</v>
      </c>
      <c r="F423" s="100" t="n">
        <v>488068306</v>
      </c>
      <c r="G423" s="101" t="n">
        <v>0.0049</v>
      </c>
      <c r="H423" s="101" t="n">
        <v>0.2582</v>
      </c>
      <c r="I423" s="101" t="n">
        <v>0.0059</v>
      </c>
      <c r="J423" s="101" t="n">
        <v>0.006646999999999999</v>
      </c>
      <c r="K423" s="100" t="n">
        <v>1</v>
      </c>
      <c r="L423" s="102" t="inlineStr">
        <is>
          <t>20251229</t>
        </is>
      </c>
      <c r="M423" s="99" t="inlineStr">
        <is>
          <t>제외</t>
        </is>
      </c>
      <c r="N423" s="99" t="inlineStr">
        <is>
          <t>60일 거래대금 4.9억(기준 5억 미만)</t>
        </is>
      </c>
      <c r="O423" s="99" t="inlineStr">
        <is>
          <t>Indxx Global Robotics &amp; Artificial Intelligence Thematic Ind</t>
        </is>
      </c>
      <c r="P423" s="99" t="inlineStr">
        <is>
          <t>일반</t>
        </is>
      </c>
      <c r="Q423" s="99" t="inlineStr">
        <is>
          <t>주식</t>
        </is>
      </c>
      <c r="R423" s="99" t="inlineStr">
        <is>
          <t>연배당</t>
        </is>
      </c>
      <c r="S423" s="100" t="n">
        <v>1</v>
      </c>
      <c r="T423" s="101" t="n">
        <v>1</v>
      </c>
      <c r="U423" s="103" t="n">
        <v>-0.0309</v>
      </c>
      <c r="V423" s="103" t="n">
        <v>-0.0373</v>
      </c>
      <c r="W423" s="103" t="n">
        <v>-0.05860000000000001</v>
      </c>
      <c r="X423" s="103" t="n">
        <v>-0.178</v>
      </c>
      <c r="Y423" s="99" t="inlineStr">
        <is>
          <t>20250922~20261002</t>
        </is>
      </c>
      <c r="Z423" s="99" t="inlineStr"/>
      <c r="AA423">
        <f>IF(AND($J423&lt;&gt;"",OR(조회_주기="전체",$R423=조회_주기),$J423&gt;=조회_최소,$J423&lt;=조회_최대),1,0)</f>
        <v/>
      </c>
      <c r="AB423">
        <f>IF($AA423=1,$AB422+1,$AB422)</f>
        <v/>
      </c>
      <c r="AC423">
        <f>IF(검색어="",1,IF(ISNUMBER(SEARCH(검색어,$A423)),1,0))</f>
        <v/>
      </c>
      <c r="AD423">
        <f>IF($AC423=1,$AD422+1,$AD422)</f>
        <v/>
      </c>
      <c r="AE423">
        <f>IFERROR(INDEX($A$4:$A$594,MATCH(420,$AD$4:$AD$594,0)),"")</f>
        <v/>
      </c>
    </row>
    <row r="424">
      <c r="A424" s="99" t="inlineStr">
        <is>
          <t>RISE 코스닥150선물레버리지</t>
        </is>
      </c>
      <c r="B424" s="99" t="inlineStr">
        <is>
          <t>278240</t>
        </is>
      </c>
      <c r="C424" s="99" t="inlineStr">
        <is>
          <t>KB자산운용</t>
        </is>
      </c>
      <c r="D424" s="100" t="n">
        <v>9045</v>
      </c>
      <c r="E424" s="100" t="n">
        <v>65033550000</v>
      </c>
      <c r="F424" s="100" t="n">
        <v>1080677305</v>
      </c>
      <c r="G424" s="101" t="n">
        <v>0.0032</v>
      </c>
      <c r="H424" s="101" t="n">
        <v>1.1394</v>
      </c>
      <c r="I424" s="101" t="n">
        <v>0.0046</v>
      </c>
      <c r="J424" s="101" t="n">
        <v>0.006633</v>
      </c>
      <c r="K424" s="100" t="n">
        <v>1</v>
      </c>
      <c r="L424" s="102" t="inlineStr">
        <is>
          <t>20251229</t>
        </is>
      </c>
      <c r="M424" s="99" t="inlineStr">
        <is>
          <t>제외</t>
        </is>
      </c>
      <c r="N424" s="99" t="inlineStr">
        <is>
          <t>변동성 113.9%(1년 기준, 기준 35% 초과)</t>
        </is>
      </c>
      <c r="O424" s="99" t="inlineStr">
        <is>
          <t>코스닥150선물지수</t>
        </is>
      </c>
      <c r="P424" s="99" t="inlineStr">
        <is>
          <t>일반</t>
        </is>
      </c>
      <c r="Q424" s="99" t="inlineStr">
        <is>
          <t>주식</t>
        </is>
      </c>
      <c r="R424" s="99" t="inlineStr">
        <is>
          <t>연배당</t>
        </is>
      </c>
      <c r="S424" s="100" t="n">
        <v>1</v>
      </c>
      <c r="T424" s="101" t="n">
        <v>1</v>
      </c>
      <c r="U424" s="103" t="n"/>
      <c r="V424" s="103" t="n"/>
      <c r="W424" s="103" t="n"/>
      <c r="X424" s="103" t="n"/>
      <c r="Y424" s="99" t="inlineStr"/>
      <c r="Z424" s="99" t="inlineStr">
        <is>
          <t>창 안 급변일 12일(20260126,20260304,20260305,20260608,20260609,20260623,20260629,20260702,20260720,20260728,20260731,20260810) — 내지 않음 / 6개월: 창 안 급변일 9일(20260608,20260609,20260623,20260629,20260702,20260720,20260728,20260731,20260810) — 내지 않음 / 3개월: 창 안 급변일 4일(20260720,20260728,20260731,20260810) — 내지 않음</t>
        </is>
      </c>
      <c r="AA424">
        <f>IF(AND($J424&lt;&gt;"",OR(조회_주기="전체",$R424=조회_주기),$J424&gt;=조회_최소,$J424&lt;=조회_최대),1,0)</f>
        <v/>
      </c>
      <c r="AB424">
        <f>IF($AA424=1,$AB423+1,$AB423)</f>
        <v/>
      </c>
      <c r="AC424">
        <f>IF(검색어="",1,IF(ISNUMBER(SEARCH(검색어,$A424)),1,0))</f>
        <v/>
      </c>
      <c r="AD424">
        <f>IF($AC424=1,$AD423+1,$AD423)</f>
        <v/>
      </c>
      <c r="AE424">
        <f>IFERROR(INDEX($A$4:$A$594,MATCH(421,$AD$4:$AD$594,0)),"")</f>
        <v/>
      </c>
    </row>
    <row r="425">
      <c r="A425" s="99" t="inlineStr">
        <is>
          <t>PLUS 글로벌휴머노이드로봇액티브</t>
        </is>
      </c>
      <c r="B425" s="99" t="inlineStr">
        <is>
          <t>0035T0</t>
        </is>
      </c>
      <c r="C425" s="99" t="inlineStr">
        <is>
          <t>한화자산운용</t>
        </is>
      </c>
      <c r="D425" s="100" t="n">
        <v>19530</v>
      </c>
      <c r="E425" s="100" t="n">
        <v>93744000000</v>
      </c>
      <c r="F425" s="100" t="n">
        <v>580976640</v>
      </c>
      <c r="G425" s="101" t="n">
        <v>0.004500000000000001</v>
      </c>
      <c r="H425" s="101" t="n">
        <v>0.3512</v>
      </c>
      <c r="I425" s="101" t="n">
        <v>0.0018</v>
      </c>
      <c r="J425" s="101" t="n">
        <v>0.006605</v>
      </c>
      <c r="K425" s="100" t="n">
        <v>2</v>
      </c>
      <c r="L425" s="102" t="inlineStr">
        <is>
          <t>20260429</t>
        </is>
      </c>
      <c r="M425" s="99" t="inlineStr">
        <is>
          <t>제외</t>
        </is>
      </c>
      <c r="N425" s="99" t="inlineStr">
        <is>
          <t>변동성 35.1%(1년 기준, 기준 35% 초과)</t>
        </is>
      </c>
      <c r="O425" s="99" t="inlineStr">
        <is>
          <t>iSelect Global Humanoid Robot Index</t>
        </is>
      </c>
      <c r="P425" s="99" t="inlineStr">
        <is>
          <t>일반</t>
        </is>
      </c>
      <c r="Q425" s="99" t="inlineStr">
        <is>
          <t>주식</t>
        </is>
      </c>
      <c r="R425" s="99" t="inlineStr">
        <is>
          <t>연배당</t>
        </is>
      </c>
      <c r="S425" s="100" t="n">
        <v>2</v>
      </c>
      <c r="T425" s="101" t="n">
        <v>1</v>
      </c>
      <c r="U425" s="103" t="n">
        <v>0.3835</v>
      </c>
      <c r="V425" s="103" t="n">
        <v>0.3744</v>
      </c>
      <c r="W425" s="103" t="n">
        <v>0.0571</v>
      </c>
      <c r="X425" s="103" t="n">
        <v>-0.1387</v>
      </c>
      <c r="Y425" s="99" t="inlineStr">
        <is>
          <t>20250922~20261002</t>
        </is>
      </c>
      <c r="Z425" s="99" t="inlineStr"/>
      <c r="AA425">
        <f>IF(AND($J425&lt;&gt;"",OR(조회_주기="전체",$R425=조회_주기),$J425&gt;=조회_최소,$J425&lt;=조회_최대),1,0)</f>
        <v/>
      </c>
      <c r="AB425">
        <f>IF($AA425=1,$AB424+1,$AB424)</f>
        <v/>
      </c>
      <c r="AC425">
        <f>IF(검색어="",1,IF(ISNUMBER(SEARCH(검색어,$A425)),1,0))</f>
        <v/>
      </c>
      <c r="AD425">
        <f>IF($AC425=1,$AD424+1,$AD424)</f>
        <v/>
      </c>
      <c r="AE425">
        <f>IFERROR(INDEX($A$4:$A$594,MATCH(422,$AD$4:$AD$594,0)),"")</f>
        <v/>
      </c>
    </row>
    <row r="426">
      <c r="A426" s="99" t="inlineStr">
        <is>
          <t>TIGER 바이오TOP10</t>
        </is>
      </c>
      <c r="B426" s="99" t="inlineStr">
        <is>
          <t>364970</t>
        </is>
      </c>
      <c r="C426" s="99" t="inlineStr">
        <is>
          <t>미래에셋자산운용</t>
        </is>
      </c>
      <c r="D426" s="100" t="n">
        <v>6840</v>
      </c>
      <c r="E426" s="100" t="n">
        <v>258210000000</v>
      </c>
      <c r="F426" s="100" t="n">
        <v>8881045558</v>
      </c>
      <c r="G426" s="101" t="n">
        <v>0.004</v>
      </c>
      <c r="H426" s="101" t="n">
        <v>0.4178</v>
      </c>
      <c r="I426" s="101" t="n">
        <v>0.005500000000000001</v>
      </c>
      <c r="J426" s="101" t="n">
        <v>0.006579000000000001</v>
      </c>
      <c r="K426" s="100" t="n">
        <v>5</v>
      </c>
      <c r="L426" s="102" t="inlineStr">
        <is>
          <t>20260429</t>
        </is>
      </c>
      <c r="M426" s="99" t="inlineStr">
        <is>
          <t>제외</t>
        </is>
      </c>
      <c r="N426" s="99" t="inlineStr">
        <is>
          <t>변동성 41.8%(1년 기준, 기준 35% 초과)</t>
        </is>
      </c>
      <c r="O426" s="99" t="inlineStr">
        <is>
          <t>KRX 바이오 TOP 10 지수</t>
        </is>
      </c>
      <c r="P426" s="99" t="inlineStr">
        <is>
          <t>일반</t>
        </is>
      </c>
      <c r="Q426" s="99" t="inlineStr">
        <is>
          <t>주식</t>
        </is>
      </c>
      <c r="R426" s="99" t="inlineStr">
        <is>
          <t>연배당</t>
        </is>
      </c>
      <c r="S426" s="100" t="n">
        <v>1</v>
      </c>
      <c r="T426" s="101" t="n">
        <v>0</v>
      </c>
      <c r="U426" s="103" t="n">
        <v>-0.1533</v>
      </c>
      <c r="V426" s="103" t="n">
        <v>-0.1588</v>
      </c>
      <c r="W426" s="103" t="n">
        <v>-0.1472</v>
      </c>
      <c r="X426" s="103" t="n">
        <v>-0.0472</v>
      </c>
      <c r="Y426" s="99" t="inlineStr">
        <is>
          <t>20250922~20261002</t>
        </is>
      </c>
      <c r="Z426" s="99" t="inlineStr"/>
      <c r="AA426">
        <f>IF(AND($J426&lt;&gt;"",OR(조회_주기="전체",$R426=조회_주기),$J426&gt;=조회_최소,$J426&lt;=조회_최대),1,0)</f>
        <v/>
      </c>
      <c r="AB426">
        <f>IF($AA426=1,$AB425+1,$AB425)</f>
        <v/>
      </c>
      <c r="AC426">
        <f>IF(검색어="",1,IF(ISNUMBER(SEARCH(검색어,$A426)),1,0))</f>
        <v/>
      </c>
      <c r="AD426">
        <f>IF($AC426=1,$AD425+1,$AD425)</f>
        <v/>
      </c>
      <c r="AE426">
        <f>IFERROR(INDEX($A$4:$A$594,MATCH(423,$AD$4:$AD$594,0)),"")</f>
        <v/>
      </c>
    </row>
    <row r="427">
      <c r="A427" s="99" t="inlineStr">
        <is>
          <t>WON 200</t>
        </is>
      </c>
      <c r="B427" s="99" t="inlineStr">
        <is>
          <t>448100</t>
        </is>
      </c>
      <c r="C427" s="99" t="inlineStr">
        <is>
          <t>우리자산운용</t>
        </is>
      </c>
      <c r="D427" s="100" t="n">
        <v>114595</v>
      </c>
      <c r="E427" s="100" t="n">
        <v>126054500000</v>
      </c>
      <c r="F427" s="100" t="n">
        <v>2771546466</v>
      </c>
      <c r="G427" s="101" t="n">
        <v>0.0005</v>
      </c>
      <c r="H427" s="101" t="n">
        <v>0.5871999999999999</v>
      </c>
      <c r="I427" s="101" t="n">
        <v>0.0005999999999999999</v>
      </c>
      <c r="J427" s="101" t="n">
        <v>0.006545</v>
      </c>
      <c r="K427" s="100" t="n">
        <v>41</v>
      </c>
      <c r="L427" s="102" t="inlineStr">
        <is>
          <t>20260929</t>
        </is>
      </c>
      <c r="M427" s="99" t="inlineStr">
        <is>
          <t>제외</t>
        </is>
      </c>
      <c r="N427" s="99" t="inlineStr">
        <is>
          <t>변동성 58.7%(1년 기준, 기준 35% 초과)</t>
        </is>
      </c>
      <c r="O427" s="99" t="inlineStr">
        <is>
          <t>KOSPI 200</t>
        </is>
      </c>
      <c r="P427" s="99" t="inlineStr">
        <is>
          <t>일반</t>
        </is>
      </c>
      <c r="Q427" s="99" t="inlineStr">
        <is>
          <t>주식</t>
        </is>
      </c>
      <c r="R427" s="99" t="inlineStr">
        <is>
          <t>월배당</t>
        </is>
      </c>
      <c r="S427" s="100" t="n">
        <v>11</v>
      </c>
      <c r="T427" s="101" t="n">
        <v>1</v>
      </c>
      <c r="U427" s="103" t="n"/>
      <c r="V427" s="103" t="n"/>
      <c r="W427" s="103" t="n"/>
      <c r="X427" s="103" t="n"/>
      <c r="Y427" s="99" t="inlineStr"/>
      <c r="Z427" s="99" t="inlineStr">
        <is>
          <t>창 안 급변일 1일(20260731) — 내지 않음 / 6개월: 창 안 급변일 1일(20260731) — 내지 않음 / 3개월: 창 안 급변일 1일(20260731) — 내지 않음</t>
        </is>
      </c>
      <c r="AA427">
        <f>IF(AND($J427&lt;&gt;"",OR(조회_주기="전체",$R427=조회_주기),$J427&gt;=조회_최소,$J427&lt;=조회_최대),1,0)</f>
        <v/>
      </c>
      <c r="AB427">
        <f>IF($AA427=1,$AB426+1,$AB426)</f>
        <v/>
      </c>
      <c r="AC427">
        <f>IF(검색어="",1,IF(ISNUMBER(SEARCH(검색어,$A427)),1,0))</f>
        <v/>
      </c>
      <c r="AD427">
        <f>IF($AC427=1,$AD426+1,$AD426)</f>
        <v/>
      </c>
      <c r="AE427">
        <f>IFERROR(INDEX($A$4:$A$594,MATCH(424,$AD$4:$AD$594,0)),"")</f>
        <v/>
      </c>
    </row>
    <row r="428">
      <c r="A428" s="99" t="inlineStr">
        <is>
          <t>PLUS 코스피50</t>
        </is>
      </c>
      <c r="B428" s="99" t="inlineStr">
        <is>
          <t>122090</t>
        </is>
      </c>
      <c r="C428" s="99" t="inlineStr">
        <is>
          <t>한화자산운용</t>
        </is>
      </c>
      <c r="D428" s="100" t="n">
        <v>84260</v>
      </c>
      <c r="E428" s="100" t="n">
        <v>179473800000</v>
      </c>
      <c r="F428" s="100" t="n">
        <v>5323326932</v>
      </c>
      <c r="G428" s="101" t="n">
        <v>0.0033</v>
      </c>
      <c r="H428" s="101" t="n">
        <v>0.6174000000000001</v>
      </c>
      <c r="I428" s="101" t="n">
        <v>0.0013</v>
      </c>
      <c r="J428" s="101" t="n">
        <v>0.006527</v>
      </c>
      <c r="K428" s="100" t="n">
        <v>14</v>
      </c>
      <c r="L428" s="102" t="inlineStr">
        <is>
          <t>20260730</t>
        </is>
      </c>
      <c r="M428" s="99" t="inlineStr">
        <is>
          <t>제외</t>
        </is>
      </c>
      <c r="N428" s="99" t="inlineStr">
        <is>
          <t>변동성 61.7%(1년 기준, 기준 35% 초과)</t>
        </is>
      </c>
      <c r="O428" s="99" t="inlineStr">
        <is>
          <t>KOSPI 50</t>
        </is>
      </c>
      <c r="P428" s="99" t="inlineStr">
        <is>
          <t>일반</t>
        </is>
      </c>
      <c r="Q428" s="99" t="inlineStr">
        <is>
          <t>주식</t>
        </is>
      </c>
      <c r="R428" s="99" t="inlineStr">
        <is>
          <t>분기배당</t>
        </is>
      </c>
      <c r="S428" s="100" t="n">
        <v>3</v>
      </c>
      <c r="T428" s="101" t="n">
        <v>0.84</v>
      </c>
      <c r="U428" s="103" t="n"/>
      <c r="V428" s="103" t="n"/>
      <c r="W428" s="103" t="n"/>
      <c r="X428" s="103" t="n"/>
      <c r="Y428" s="99" t="inlineStr"/>
      <c r="Z428" s="99" t="inlineStr">
        <is>
          <t>창 안 급변일 1일(20260731) — 내지 않음 / 6개월: 창 안 급변일 1일(20260731) — 내지 않음 / 3개월: 창 안 급변일 1일(20260731) — 내지 않음</t>
        </is>
      </c>
      <c r="AA428">
        <f>IF(AND($J428&lt;&gt;"",OR(조회_주기="전체",$R428=조회_주기),$J428&gt;=조회_최소,$J428&lt;=조회_최대),1,0)</f>
        <v/>
      </c>
      <c r="AB428">
        <f>IF($AA428=1,$AB427+1,$AB427)</f>
        <v/>
      </c>
      <c r="AC428">
        <f>IF(검색어="",1,IF(ISNUMBER(SEARCH(검색어,$A428)),1,0))</f>
        <v/>
      </c>
      <c r="AD428">
        <f>IF($AC428=1,$AD427+1,$AD427)</f>
        <v/>
      </c>
      <c r="AE428">
        <f>IFERROR(INDEX($A$4:$A$594,MATCH(425,$AD$4:$AD$594,0)),"")</f>
        <v/>
      </c>
    </row>
    <row r="429">
      <c r="A429" s="99" t="inlineStr">
        <is>
          <t>SOL 미국AI전력인프라</t>
        </is>
      </c>
      <c r="B429" s="99" t="inlineStr">
        <is>
          <t>486450</t>
        </is>
      </c>
      <c r="C429" s="99" t="inlineStr">
        <is>
          <t>신한자산운용</t>
        </is>
      </c>
      <c r="D429" s="100" t="n">
        <v>18650</v>
      </c>
      <c r="E429" s="100" t="n">
        <v>204217500000</v>
      </c>
      <c r="F429" s="100" t="n">
        <v>1067810389</v>
      </c>
      <c r="G429" s="101" t="n">
        <v>0.004500000000000001</v>
      </c>
      <c r="H429" s="101" t="n">
        <v>0.3867</v>
      </c>
      <c r="I429" s="101" t="n">
        <v>0.0048</v>
      </c>
      <c r="J429" s="101" t="n">
        <v>0.006434</v>
      </c>
      <c r="K429" s="100" t="n">
        <v>2</v>
      </c>
      <c r="L429" s="102" t="inlineStr">
        <is>
          <t>20260429</t>
        </is>
      </c>
      <c r="M429" s="99" t="inlineStr">
        <is>
          <t>제외</t>
        </is>
      </c>
      <c r="N429" s="99" t="inlineStr">
        <is>
          <t>변동성 38.7%(1년 기준, 기준 35% 초과)</t>
        </is>
      </c>
      <c r="O429" s="99" t="inlineStr">
        <is>
          <t>KEDI US AI Electric Power Infrastructure Index</t>
        </is>
      </c>
      <c r="P429" s="99" t="inlineStr">
        <is>
          <t>일반</t>
        </is>
      </c>
      <c r="Q429" s="99" t="inlineStr">
        <is>
          <t>주식</t>
        </is>
      </c>
      <c r="R429" s="99" t="inlineStr">
        <is>
          <t>연배당</t>
        </is>
      </c>
      <c r="S429" s="100" t="n">
        <v>1</v>
      </c>
      <c r="T429" s="101" t="n">
        <v>1</v>
      </c>
      <c r="U429" s="103" t="n">
        <v>-0.0274</v>
      </c>
      <c r="V429" s="103" t="n">
        <v>-0.0337</v>
      </c>
      <c r="W429" s="103" t="n">
        <v>-0.1205</v>
      </c>
      <c r="X429" s="103" t="n">
        <v>-0.2061</v>
      </c>
      <c r="Y429" s="99" t="inlineStr">
        <is>
          <t>20250922~20261002</t>
        </is>
      </c>
      <c r="Z429" s="99" t="inlineStr"/>
      <c r="AA429">
        <f>IF(AND($J429&lt;&gt;"",OR(조회_주기="전체",$R429=조회_주기),$J429&gt;=조회_최소,$J429&lt;=조회_최대),1,0)</f>
        <v/>
      </c>
      <c r="AB429">
        <f>IF($AA429=1,$AB428+1,$AB428)</f>
        <v/>
      </c>
      <c r="AC429">
        <f>IF(검색어="",1,IF(ISNUMBER(SEARCH(검색어,$A429)),1,0))</f>
        <v/>
      </c>
      <c r="AD429">
        <f>IF($AC429=1,$AD428+1,$AD428)</f>
        <v/>
      </c>
      <c r="AE429">
        <f>IFERROR(INDEX($A$4:$A$594,MATCH(426,$AD$4:$AD$594,0)),"")</f>
        <v/>
      </c>
    </row>
    <row r="430">
      <c r="A430" s="99" t="inlineStr">
        <is>
          <t>KODEX 테슬라밸류체인FactSet</t>
        </is>
      </c>
      <c r="B430" s="99" t="inlineStr">
        <is>
          <t>459560</t>
        </is>
      </c>
      <c r="C430" s="99" t="inlineStr">
        <is>
          <t>삼성자산운용(ETF)</t>
        </is>
      </c>
      <c r="D430" s="100" t="n">
        <v>22270</v>
      </c>
      <c r="E430" s="100" t="n">
        <v>33405000000</v>
      </c>
      <c r="F430" s="100" t="n">
        <v>209738769</v>
      </c>
      <c r="G430" s="101" t="n">
        <v>0.0018</v>
      </c>
      <c r="H430" s="101" t="n">
        <v>0.3006</v>
      </c>
      <c r="I430" s="101" t="n">
        <v>0.0018</v>
      </c>
      <c r="J430" s="101" t="n">
        <v>0.006376</v>
      </c>
      <c r="K430" s="100" t="n">
        <v>7</v>
      </c>
      <c r="L430" s="102" t="inlineStr">
        <is>
          <t>20260730</t>
        </is>
      </c>
      <c r="M430" s="99" t="inlineStr">
        <is>
          <t>제외</t>
        </is>
      </c>
      <c r="N430" s="99" t="inlineStr">
        <is>
          <t>60일 거래대금 2.1억(기준 5억 미만)</t>
        </is>
      </c>
      <c r="O430" s="99" t="inlineStr">
        <is>
          <t>FactSet TSLA Value Chain Index (PR)</t>
        </is>
      </c>
      <c r="P430" s="99" t="inlineStr">
        <is>
          <t>일반</t>
        </is>
      </c>
      <c r="Q430" s="99" t="inlineStr">
        <is>
          <t>주식</t>
        </is>
      </c>
      <c r="R430" s="99" t="inlineStr">
        <is>
          <t>분기배당</t>
        </is>
      </c>
      <c r="S430" s="100" t="n">
        <v>3</v>
      </c>
      <c r="T430" s="101" t="n">
        <v>1</v>
      </c>
      <c r="U430" s="103" t="n">
        <v>0.2609</v>
      </c>
      <c r="V430" s="103" t="n">
        <v>0.2528</v>
      </c>
      <c r="W430" s="103" t="n">
        <v>0.1212</v>
      </c>
      <c r="X430" s="103" t="n">
        <v>-0.1557</v>
      </c>
      <c r="Y430" s="99" t="inlineStr">
        <is>
          <t>20250922~20261002</t>
        </is>
      </c>
      <c r="Z430" s="99" t="inlineStr"/>
      <c r="AA430">
        <f>IF(AND($J430&lt;&gt;"",OR(조회_주기="전체",$R430=조회_주기),$J430&gt;=조회_최소,$J430&lt;=조회_최대),1,0)</f>
        <v/>
      </c>
      <c r="AB430">
        <f>IF($AA430=1,$AB429+1,$AB429)</f>
        <v/>
      </c>
      <c r="AC430">
        <f>IF(검색어="",1,IF(ISNUMBER(SEARCH(검색어,$A430)),1,0))</f>
        <v/>
      </c>
      <c r="AD430">
        <f>IF($AC430=1,$AD429+1,$AD429)</f>
        <v/>
      </c>
      <c r="AE430">
        <f>IFERROR(INDEX($A$4:$A$594,MATCH(427,$AD$4:$AD$594,0)),"")</f>
        <v/>
      </c>
    </row>
    <row r="431">
      <c r="A431" s="99" t="inlineStr">
        <is>
          <t>KIWOOM KRX100</t>
        </is>
      </c>
      <c r="B431" s="99" t="inlineStr">
        <is>
          <t>100910</t>
        </is>
      </c>
      <c r="C431" s="99" t="inlineStr">
        <is>
          <t>키움투자자산운용</t>
        </is>
      </c>
      <c r="D431" s="100" t="n">
        <v>17540</v>
      </c>
      <c r="E431" s="100" t="n">
        <v>42096000000</v>
      </c>
      <c r="F431" s="100" t="n">
        <v>680321316</v>
      </c>
      <c r="G431" s="101" t="n">
        <v>0.0023</v>
      </c>
      <c r="H431" s="101" t="n">
        <v>0.5897</v>
      </c>
      <c r="I431" s="101" t="n">
        <v>0.0011</v>
      </c>
      <c r="J431" s="101" t="n">
        <v>0.006271</v>
      </c>
      <c r="K431" s="100" t="n">
        <v>13</v>
      </c>
      <c r="L431" s="102" t="inlineStr">
        <is>
          <t>20260730</t>
        </is>
      </c>
      <c r="M431" s="99" t="inlineStr">
        <is>
          <t>제외</t>
        </is>
      </c>
      <c r="N431" s="99" t="inlineStr">
        <is>
          <t>변동성 59.0%(1년 기준, 기준 35% 초과)</t>
        </is>
      </c>
      <c r="O431" s="99" t="inlineStr">
        <is>
          <t>KRX100</t>
        </is>
      </c>
      <c r="P431" s="99" t="inlineStr">
        <is>
          <t>일반</t>
        </is>
      </c>
      <c r="Q431" s="99" t="inlineStr">
        <is>
          <t>주식</t>
        </is>
      </c>
      <c r="R431" s="99" t="inlineStr">
        <is>
          <t>분기배당</t>
        </is>
      </c>
      <c r="S431" s="100" t="n">
        <v>3</v>
      </c>
      <c r="T431" s="101" t="n">
        <v>1</v>
      </c>
      <c r="U431" s="103" t="n"/>
      <c r="V431" s="103" t="n"/>
      <c r="W431" s="103" t="n"/>
      <c r="X431" s="103" t="n"/>
      <c r="Y431" s="99" t="inlineStr"/>
      <c r="Z431" s="99" t="inlineStr">
        <is>
          <t>창 안 급변일 1일(20260731) — 내지 않음 / 6개월: 창 안 급변일 1일(20260731) — 내지 않음 / 3개월: 창 안 급변일 1일(20260731) — 내지 않음</t>
        </is>
      </c>
      <c r="AA431">
        <f>IF(AND($J431&lt;&gt;"",OR(조회_주기="전체",$R431=조회_주기),$J431&gt;=조회_최소,$J431&lt;=조회_최대),1,0)</f>
        <v/>
      </c>
      <c r="AB431">
        <f>IF($AA431=1,$AB430+1,$AB430)</f>
        <v/>
      </c>
      <c r="AC431">
        <f>IF(검색어="",1,IF(ISNUMBER(SEARCH(검색어,$A431)),1,0))</f>
        <v/>
      </c>
      <c r="AD431">
        <f>IF($AC431=1,$AD430+1,$AD430)</f>
        <v/>
      </c>
      <c r="AE431">
        <f>IFERROR(INDEX($A$4:$A$594,MATCH(428,$AD$4:$AD$594,0)),"")</f>
        <v/>
      </c>
    </row>
    <row r="432">
      <c r="A432" s="99" t="inlineStr">
        <is>
          <t>ACE 일본Nikkei225(H)</t>
        </is>
      </c>
      <c r="B432" s="99" t="inlineStr">
        <is>
          <t>238720</t>
        </is>
      </c>
      <c r="C432" s="99" t="inlineStr">
        <is>
          <t>한국투신운용(ETF)</t>
        </is>
      </c>
      <c r="D432" s="100" t="n">
        <v>49805</v>
      </c>
      <c r="E432" s="100" t="n">
        <v>44824500000</v>
      </c>
      <c r="F432" s="100" t="n">
        <v>185598275</v>
      </c>
      <c r="G432" s="101" t="n">
        <v>0.003</v>
      </c>
      <c r="H432" s="101" t="n">
        <v>0.3032</v>
      </c>
      <c r="I432" s="101" t="n">
        <v>0.008399999999999999</v>
      </c>
      <c r="J432" s="101" t="n">
        <v>0.006183999999999999</v>
      </c>
      <c r="K432" s="100" t="n">
        <v>1</v>
      </c>
      <c r="L432" s="102" t="inlineStr">
        <is>
          <t>20251229</t>
        </is>
      </c>
      <c r="M432" s="99" t="inlineStr">
        <is>
          <t>제외</t>
        </is>
      </c>
      <c r="N432" s="99" t="inlineStr">
        <is>
          <t>60일 거래대금 1.9억(기준 5억 미만)</t>
        </is>
      </c>
      <c r="O432" s="99" t="inlineStr">
        <is>
          <t>니케이225</t>
        </is>
      </c>
      <c r="P432" s="99" t="inlineStr">
        <is>
          <t>일반</t>
        </is>
      </c>
      <c r="Q432" s="99" t="inlineStr">
        <is>
          <t>주식</t>
        </is>
      </c>
      <c r="R432" s="99" t="inlineStr">
        <is>
          <t>연배당</t>
        </is>
      </c>
      <c r="S432" s="100" t="n">
        <v>1</v>
      </c>
      <c r="T432" s="101" t="n">
        <v>1</v>
      </c>
      <c r="U432" s="103" t="n">
        <v>0.5740999999999999</v>
      </c>
      <c r="V432" s="103" t="n">
        <v>0.5645</v>
      </c>
      <c r="W432" s="103" t="n">
        <v>0.3318</v>
      </c>
      <c r="X432" s="103" t="n">
        <v>0.0062</v>
      </c>
      <c r="Y432" s="99" t="inlineStr">
        <is>
          <t>20250922~20261002</t>
        </is>
      </c>
      <c r="Z432" s="99" t="inlineStr"/>
      <c r="AA432">
        <f>IF(AND($J432&lt;&gt;"",OR(조회_주기="전체",$R432=조회_주기),$J432&gt;=조회_최소,$J432&lt;=조회_최대),1,0)</f>
        <v/>
      </c>
      <c r="AB432">
        <f>IF($AA432=1,$AB431+1,$AB431)</f>
        <v/>
      </c>
      <c r="AC432">
        <f>IF(검색어="",1,IF(ISNUMBER(SEARCH(검색어,$A432)),1,0))</f>
        <v/>
      </c>
      <c r="AD432">
        <f>IF($AC432=1,$AD431+1,$AD431)</f>
        <v/>
      </c>
      <c r="AE432">
        <f>IFERROR(INDEX($A$4:$A$594,MATCH(429,$AD$4:$AD$594,0)),"")</f>
        <v/>
      </c>
    </row>
    <row r="433">
      <c r="A433" s="99" t="inlineStr">
        <is>
          <t>KODEX 한국대만IT프리미어</t>
        </is>
      </c>
      <c r="B433" s="99" t="inlineStr">
        <is>
          <t>298770</t>
        </is>
      </c>
      <c r="C433" s="99" t="inlineStr">
        <is>
          <t>삼성자산운용(ETF)</t>
        </is>
      </c>
      <c r="D433" s="100" t="n">
        <v>84775</v>
      </c>
      <c r="E433" s="100" t="n">
        <v>90709250000</v>
      </c>
      <c r="F433" s="100" t="n">
        <v>1691731611</v>
      </c>
      <c r="G433" s="101" t="n">
        <v>0.005500000000000001</v>
      </c>
      <c r="H433" s="101" t="n">
        <v>0.3507</v>
      </c>
      <c r="I433" s="101" t="n">
        <v>0.0016</v>
      </c>
      <c r="J433" s="101" t="n">
        <v>0.006087</v>
      </c>
      <c r="K433" s="100" t="n">
        <v>14</v>
      </c>
      <c r="L433" s="102" t="inlineStr">
        <is>
          <t>20260730</t>
        </is>
      </c>
      <c r="M433" s="99" t="inlineStr">
        <is>
          <t>제외</t>
        </is>
      </c>
      <c r="N433" s="99" t="inlineStr">
        <is>
          <t>변동성 35.1%(1년 기준, 기준 35% 초과)</t>
        </is>
      </c>
      <c r="O433" s="99" t="inlineStr">
        <is>
          <t>한국대만IT프리미어증권상장지수</t>
        </is>
      </c>
      <c r="P433" s="99" t="inlineStr">
        <is>
          <t>일반</t>
        </is>
      </c>
      <c r="Q433" s="99" t="inlineStr">
        <is>
          <t>주식</t>
        </is>
      </c>
      <c r="R433" s="99" t="inlineStr">
        <is>
          <t>분기배당</t>
        </is>
      </c>
      <c r="S433" s="100" t="n">
        <v>3</v>
      </c>
      <c r="T433" s="101" t="n">
        <v>1</v>
      </c>
      <c r="U433" s="103" t="n">
        <v>1.5553</v>
      </c>
      <c r="V433" s="103" t="n">
        <v>1.5399</v>
      </c>
      <c r="W433" s="103" t="n">
        <v>0.5742</v>
      </c>
      <c r="X433" s="103" t="n">
        <v>-0.1171</v>
      </c>
      <c r="Y433" s="99" t="inlineStr">
        <is>
          <t>20250922~20261002</t>
        </is>
      </c>
      <c r="Z433" s="99" t="inlineStr"/>
      <c r="AA433">
        <f>IF(AND($J433&lt;&gt;"",OR(조회_주기="전체",$R433=조회_주기),$J433&gt;=조회_최소,$J433&lt;=조회_최대),1,0)</f>
        <v/>
      </c>
      <c r="AB433">
        <f>IF($AA433=1,$AB432+1,$AB432)</f>
        <v/>
      </c>
      <c r="AC433">
        <f>IF(검색어="",1,IF(ISNUMBER(SEARCH(검색어,$A433)),1,0))</f>
        <v/>
      </c>
      <c r="AD433">
        <f>IF($AC433=1,$AD432+1,$AD432)</f>
        <v/>
      </c>
      <c r="AE433">
        <f>IFERROR(INDEX($A$4:$A$594,MATCH(430,$AD$4:$AD$594,0)),"")</f>
        <v/>
      </c>
    </row>
    <row r="434">
      <c r="A434" s="99" t="inlineStr">
        <is>
          <t>RISE 5대그룹주</t>
        </is>
      </c>
      <c r="B434" s="99" t="inlineStr">
        <is>
          <t>105780</t>
        </is>
      </c>
      <c r="C434" s="99" t="inlineStr">
        <is>
          <t>KB자산운용</t>
        </is>
      </c>
      <c r="D434" s="100" t="n">
        <v>16715</v>
      </c>
      <c r="E434" s="100" t="n">
        <v>33430000000</v>
      </c>
      <c r="F434" s="100" t="n">
        <v>112205498</v>
      </c>
      <c r="G434" s="101" t="n">
        <v>0.004</v>
      </c>
      <c r="H434" s="101" t="n">
        <v>0.5484</v>
      </c>
      <c r="I434" s="101" t="n">
        <v>0.0063</v>
      </c>
      <c r="J434" s="101" t="n">
        <v>0.005983</v>
      </c>
      <c r="K434" s="100" t="n">
        <v>8</v>
      </c>
      <c r="L434" s="102" t="inlineStr">
        <is>
          <t>20260429</t>
        </is>
      </c>
      <c r="M434" s="99" t="inlineStr">
        <is>
          <t>제외</t>
        </is>
      </c>
      <c r="N434" s="99" t="inlineStr">
        <is>
          <t>60일 거래대금 1.1억(기준 5억 미만), 변동성 54.8%(1년 기준, 기준 35% 초과)</t>
        </is>
      </c>
      <c r="O434" s="99" t="inlineStr">
        <is>
          <t>FnGuide 5대그룹주</t>
        </is>
      </c>
      <c r="P434" s="99" t="inlineStr">
        <is>
          <t>일반</t>
        </is>
      </c>
      <c r="Q434" s="99" t="inlineStr">
        <is>
          <t>주식</t>
        </is>
      </c>
      <c r="R434" s="99" t="inlineStr">
        <is>
          <t>연배당</t>
        </is>
      </c>
      <c r="S434" s="100" t="n">
        <v>1</v>
      </c>
      <c r="T434" s="101" t="n">
        <v>1</v>
      </c>
      <c r="U434" s="103" t="n">
        <v>1.2256</v>
      </c>
      <c r="V434" s="103" t="n">
        <v>1.2124</v>
      </c>
      <c r="W434" s="103" t="n">
        <v>0.3669</v>
      </c>
      <c r="X434" s="103" t="n">
        <v>-0.1677</v>
      </c>
      <c r="Y434" s="99" t="inlineStr">
        <is>
          <t>20250922~20261002</t>
        </is>
      </c>
      <c r="Z434" s="99" t="inlineStr"/>
      <c r="AA434">
        <f>IF(AND($J434&lt;&gt;"",OR(조회_주기="전체",$R434=조회_주기),$J434&gt;=조회_최소,$J434&lt;=조회_최대),1,0)</f>
        <v/>
      </c>
      <c r="AB434">
        <f>IF($AA434=1,$AB433+1,$AB433)</f>
        <v/>
      </c>
      <c r="AC434">
        <f>IF(검색어="",1,IF(ISNUMBER(SEARCH(검색어,$A434)),1,0))</f>
        <v/>
      </c>
      <c r="AD434">
        <f>IF($AC434=1,$AD433+1,$AD433)</f>
        <v/>
      </c>
      <c r="AE434">
        <f>IFERROR(INDEX($A$4:$A$594,MATCH(431,$AD$4:$AD$594,0)),"")</f>
        <v/>
      </c>
    </row>
    <row r="435">
      <c r="A435" s="99" t="inlineStr">
        <is>
          <t>TIGER 코스피대형주</t>
        </is>
      </c>
      <c r="B435" s="99" t="inlineStr">
        <is>
          <t>277640</t>
        </is>
      </c>
      <c r="C435" s="99" t="inlineStr">
        <is>
          <t>미래에셋자산운용</t>
        </is>
      </c>
      <c r="D435" s="100" t="n">
        <v>38510</v>
      </c>
      <c r="E435" s="100" t="n">
        <v>65467000000</v>
      </c>
      <c r="F435" s="100" t="n">
        <v>1008704961</v>
      </c>
      <c r="G435" s="101" t="n">
        <v>0.0029</v>
      </c>
      <c r="H435" s="101" t="n">
        <v>0.5665</v>
      </c>
      <c r="I435" s="101" t="n">
        <v>0.0016</v>
      </c>
      <c r="J435" s="101" t="n">
        <v>0.005972</v>
      </c>
      <c r="K435" s="100" t="n">
        <v>16</v>
      </c>
      <c r="L435" s="102" t="inlineStr">
        <is>
          <t>20260730</t>
        </is>
      </c>
      <c r="M435" s="99" t="inlineStr">
        <is>
          <t>제외</t>
        </is>
      </c>
      <c r="N435" s="99" t="inlineStr">
        <is>
          <t>변동성 56.6%(1년 기준, 기준 35% 초과)</t>
        </is>
      </c>
      <c r="O435" s="99" t="inlineStr">
        <is>
          <t>대형주</t>
        </is>
      </c>
      <c r="P435" s="99" t="inlineStr">
        <is>
          <t>일반</t>
        </is>
      </c>
      <c r="Q435" s="99" t="inlineStr">
        <is>
          <t>주식</t>
        </is>
      </c>
      <c r="R435" s="99" t="inlineStr">
        <is>
          <t>연배당</t>
        </is>
      </c>
      <c r="S435" s="100" t="n">
        <v>2</v>
      </c>
      <c r="T435" s="101" t="n">
        <v>1</v>
      </c>
      <c r="U435" s="103" t="n"/>
      <c r="V435" s="103" t="n"/>
      <c r="W435" s="103" t="n"/>
      <c r="X435" s="103" t="n"/>
      <c r="Y435" s="99" t="inlineStr"/>
      <c r="Z435" s="99" t="inlineStr">
        <is>
          <t>창 안 급변일 1일(20260731) — 내지 않음 / 6개월: 창 안 급변일 1일(20260731) — 내지 않음 / 3개월: 창 안 급변일 1일(20260731) — 내지 않음</t>
        </is>
      </c>
      <c r="AA435">
        <f>IF(AND($J435&lt;&gt;"",OR(조회_주기="전체",$R435=조회_주기),$J435&gt;=조회_최소,$J435&lt;=조회_최대),1,0)</f>
        <v/>
      </c>
      <c r="AB435">
        <f>IF($AA435=1,$AB434+1,$AB434)</f>
        <v/>
      </c>
      <c r="AC435">
        <f>IF(검색어="",1,IF(ISNUMBER(SEARCH(검색어,$A435)),1,0))</f>
        <v/>
      </c>
      <c r="AD435">
        <f>IF($AC435=1,$AD434+1,$AD434)</f>
        <v/>
      </c>
      <c r="AE435">
        <f>IFERROR(INDEX($A$4:$A$594,MATCH(432,$AD$4:$AD$594,0)),"")</f>
        <v/>
      </c>
    </row>
    <row r="436">
      <c r="A436" s="99" t="inlineStr">
        <is>
          <t>TIGER 글로벌4차산업혁신기술(합성 H)</t>
        </is>
      </c>
      <c r="B436" s="99" t="inlineStr">
        <is>
          <t>275980</t>
        </is>
      </c>
      <c r="C436" s="99" t="inlineStr">
        <is>
          <t>미래에셋자산운용</t>
        </is>
      </c>
      <c r="D436" s="100" t="n">
        <v>23855</v>
      </c>
      <c r="E436" s="100" t="n">
        <v>59637500000</v>
      </c>
      <c r="F436" s="100" t="n">
        <v>91399197</v>
      </c>
      <c r="G436" s="101" t="n">
        <v>0.004</v>
      </c>
      <c r="H436" s="101" t="n">
        <v>0.1817</v>
      </c>
      <c r="I436" s="101" t="n">
        <v>0.0066</v>
      </c>
      <c r="J436" s="101" t="n">
        <v>0.005743000000000001</v>
      </c>
      <c r="K436" s="100" t="n">
        <v>1</v>
      </c>
      <c r="L436" s="102" t="inlineStr">
        <is>
          <t>20251229</t>
        </is>
      </c>
      <c r="M436" s="99" t="inlineStr">
        <is>
          <t>제외</t>
        </is>
      </c>
      <c r="N436" s="99" t="inlineStr">
        <is>
          <t>60일 거래대금 0.9억(기준 5억 미만)</t>
        </is>
      </c>
      <c r="O436" s="99" t="inlineStr">
        <is>
          <t>Morningstar Exponential Technologies Equal Weighted Select P</t>
        </is>
      </c>
      <c r="P436" s="99" t="inlineStr">
        <is>
          <t>일반</t>
        </is>
      </c>
      <c r="Q436" s="99" t="inlineStr">
        <is>
          <t>주식</t>
        </is>
      </c>
      <c r="R436" s="99" t="inlineStr">
        <is>
          <t>연배당</t>
        </is>
      </c>
      <c r="S436" s="100" t="n">
        <v>1</v>
      </c>
      <c r="T436" s="101" t="n">
        <v>1</v>
      </c>
      <c r="U436" s="103" t="n">
        <v>0.2159</v>
      </c>
      <c r="V436" s="103" t="n">
        <v>0.209</v>
      </c>
      <c r="W436" s="103" t="n">
        <v>0.1694</v>
      </c>
      <c r="X436" s="103" t="n">
        <v>-0.008500000000000001</v>
      </c>
      <c r="Y436" s="99" t="inlineStr">
        <is>
          <t>20250922~20261002</t>
        </is>
      </c>
      <c r="Z436" s="99" t="inlineStr"/>
      <c r="AA436">
        <f>IF(AND($J436&lt;&gt;"",OR(조회_주기="전체",$R436=조회_주기),$J436&gt;=조회_최소,$J436&lt;=조회_최대),1,0)</f>
        <v/>
      </c>
      <c r="AB436">
        <f>IF($AA436=1,$AB435+1,$AB435)</f>
        <v/>
      </c>
      <c r="AC436">
        <f>IF(검색어="",1,IF(ISNUMBER(SEARCH(검색어,$A436)),1,0))</f>
        <v/>
      </c>
      <c r="AD436">
        <f>IF($AC436=1,$AD435+1,$AD435)</f>
        <v/>
      </c>
      <c r="AE436">
        <f>IFERROR(INDEX($A$4:$A$594,MATCH(433,$AD$4:$AD$594,0)),"")</f>
        <v/>
      </c>
    </row>
    <row r="437">
      <c r="A437" s="99" t="inlineStr">
        <is>
          <t>KODEX 미국나스닥100레버리지(합성 H)</t>
        </is>
      </c>
      <c r="B437" s="99" t="inlineStr">
        <is>
          <t>409820</t>
        </is>
      </c>
      <c r="C437" s="99" t="inlineStr">
        <is>
          <t>삼성자산운용(ETF)</t>
        </is>
      </c>
      <c r="D437" s="100" t="n">
        <v>21390</v>
      </c>
      <c r="E437" s="100" t="n">
        <v>266305500000</v>
      </c>
      <c r="F437" s="100" t="n">
        <v>2089133245</v>
      </c>
      <c r="G437" s="101" t="n">
        <v>0.003</v>
      </c>
      <c r="H437" s="101" t="n">
        <v>0.4099</v>
      </c>
      <c r="I437" s="101" t="n">
        <v>0.0075</v>
      </c>
      <c r="J437" s="101" t="n">
        <v>0.005704</v>
      </c>
      <c r="K437" s="100" t="n">
        <v>1</v>
      </c>
      <c r="L437" s="102" t="inlineStr">
        <is>
          <t>20251229</t>
        </is>
      </c>
      <c r="M437" s="99" t="inlineStr">
        <is>
          <t>제외</t>
        </is>
      </c>
      <c r="N437" s="99" t="inlineStr">
        <is>
          <t>변동성 41.0%(1년 기준, 기준 35% 초과)</t>
        </is>
      </c>
      <c r="O437" s="99" t="inlineStr">
        <is>
          <t>나스닥 100</t>
        </is>
      </c>
      <c r="P437" s="99" t="inlineStr">
        <is>
          <t>일반</t>
        </is>
      </c>
      <c r="Q437" s="99" t="inlineStr">
        <is>
          <t>주식</t>
        </is>
      </c>
      <c r="R437" s="99" t="inlineStr">
        <is>
          <t>연배당</t>
        </is>
      </c>
      <c r="S437" s="100" t="n">
        <v>1</v>
      </c>
      <c r="T437" s="101" t="n">
        <v>1</v>
      </c>
      <c r="U437" s="103" t="n">
        <v>0.3957</v>
      </c>
      <c r="V437" s="103" t="n">
        <v>0.3878</v>
      </c>
      <c r="W437" s="103" t="n">
        <v>0.5407</v>
      </c>
      <c r="X437" s="103" t="n">
        <v>0.0612</v>
      </c>
      <c r="Y437" s="99" t="inlineStr">
        <is>
          <t>20250922~20261002</t>
        </is>
      </c>
      <c r="Z437" s="99" t="inlineStr"/>
      <c r="AA437">
        <f>IF(AND($J437&lt;&gt;"",OR(조회_주기="전체",$R437=조회_주기),$J437&gt;=조회_최소,$J437&lt;=조회_최대),1,0)</f>
        <v/>
      </c>
      <c r="AB437">
        <f>IF($AA437=1,$AB436+1,$AB436)</f>
        <v/>
      </c>
      <c r="AC437">
        <f>IF(검색어="",1,IF(ISNUMBER(SEARCH(검색어,$A437)),1,0))</f>
        <v/>
      </c>
      <c r="AD437">
        <f>IF($AC437=1,$AD436+1,$AD436)</f>
        <v/>
      </c>
      <c r="AE437">
        <f>IFERROR(INDEX($A$4:$A$594,MATCH(434,$AD$4:$AD$594,0)),"")</f>
        <v/>
      </c>
    </row>
    <row r="438">
      <c r="A438" s="99" t="inlineStr">
        <is>
          <t>PLUS 200선물레버리지</t>
        </is>
      </c>
      <c r="B438" s="99" t="inlineStr">
        <is>
          <t>253150</t>
        </is>
      </c>
      <c r="C438" s="99" t="inlineStr">
        <is>
          <t>한화자산운용</t>
        </is>
      </c>
      <c r="D438" s="100" t="n">
        <v>212015</v>
      </c>
      <c r="E438" s="100" t="n">
        <v>53003750000</v>
      </c>
      <c r="F438" s="100" t="n">
        <v>16884981464</v>
      </c>
      <c r="G438" s="101" t="n">
        <v>0.0005999999999999999</v>
      </c>
      <c r="H438" s="101" t="n">
        <v>1.1644</v>
      </c>
      <c r="I438" s="101" t="n">
        <v>0.0014</v>
      </c>
      <c r="J438" s="101" t="n">
        <v>0.005687999999999999</v>
      </c>
      <c r="K438" s="100" t="n">
        <v>2</v>
      </c>
      <c r="L438" s="102" t="inlineStr">
        <is>
          <t>20260429</t>
        </is>
      </c>
      <c r="M438" s="99" t="inlineStr">
        <is>
          <t>제외</t>
        </is>
      </c>
      <c r="N438" s="99" t="inlineStr">
        <is>
          <t>변동성 116.4%(1년 기준, 기준 35% 초과)</t>
        </is>
      </c>
      <c r="O438" s="99" t="inlineStr">
        <is>
          <t>KOSPI200선물지수</t>
        </is>
      </c>
      <c r="P438" s="99" t="inlineStr">
        <is>
          <t>일반</t>
        </is>
      </c>
      <c r="Q438" s="99" t="inlineStr">
        <is>
          <t>주식</t>
        </is>
      </c>
      <c r="R438" s="99" t="inlineStr">
        <is>
          <t>연배당</t>
        </is>
      </c>
      <c r="S438" s="100" t="n">
        <v>2</v>
      </c>
      <c r="T438" s="101" t="n">
        <v>1</v>
      </c>
      <c r="U438" s="103" t="n"/>
      <c r="V438" s="103" t="n"/>
      <c r="W438" s="103" t="n"/>
      <c r="X438" s="103" t="n"/>
      <c r="Y438" s="99" t="inlineStr"/>
      <c r="Z438" s="99" t="inlineStr">
        <is>
          <t>창 안 급변일 11일(20260303,20260304,20260401,20260521,20260608,20260609,20260623,20260702,20260713,20260728,20260731) — 내지 않음 / 6개월: 창 안 급변일 8일(20260521,20260608,20260609,20260623,20260702,20260713,20260728,20260731) — 내지 않음 / 3개월: 창 안 급변일 3일(20260713,20260728,20260731) — 내지 않음</t>
        </is>
      </c>
      <c r="AA438">
        <f>IF(AND($J438&lt;&gt;"",OR(조회_주기="전체",$R438=조회_주기),$J438&gt;=조회_최소,$J438&lt;=조회_최대),1,0)</f>
        <v/>
      </c>
      <c r="AB438">
        <f>IF($AA438=1,$AB437+1,$AB437)</f>
        <v/>
      </c>
      <c r="AC438">
        <f>IF(검색어="",1,IF(ISNUMBER(SEARCH(검색어,$A438)),1,0))</f>
        <v/>
      </c>
      <c r="AD438">
        <f>IF($AC438=1,$AD437+1,$AD437)</f>
        <v/>
      </c>
      <c r="AE438">
        <f>IFERROR(INDEX($A$4:$A$594,MATCH(435,$AD$4:$AD$594,0)),"")</f>
        <v/>
      </c>
    </row>
    <row r="439">
      <c r="A439" s="99" t="inlineStr">
        <is>
          <t>TIGER 삼성그룹</t>
        </is>
      </c>
      <c r="B439" s="99" t="inlineStr">
        <is>
          <t>138520</t>
        </is>
      </c>
      <c r="C439" s="99" t="inlineStr">
        <is>
          <t>미래에셋자산운용</t>
        </is>
      </c>
      <c r="D439" s="100" t="n">
        <v>36375</v>
      </c>
      <c r="E439" s="100" t="n">
        <v>146955000000</v>
      </c>
      <c r="F439" s="100" t="n">
        <v>1663189074</v>
      </c>
      <c r="G439" s="101" t="n">
        <v>0.0015</v>
      </c>
      <c r="H439" s="101" t="n">
        <v>0.5209</v>
      </c>
      <c r="I439" s="101" t="n">
        <v>0.0058</v>
      </c>
      <c r="J439" s="101" t="n">
        <v>0.005636</v>
      </c>
      <c r="K439" s="100" t="n">
        <v>10</v>
      </c>
      <c r="L439" s="102" t="inlineStr">
        <is>
          <t>20260429</t>
        </is>
      </c>
      <c r="M439" s="99" t="inlineStr">
        <is>
          <t>제외</t>
        </is>
      </c>
      <c r="N439" s="99" t="inlineStr">
        <is>
          <t>변동성 52.1%(1년 기준, 기준 35% 초과)</t>
        </is>
      </c>
      <c r="O439" s="99" t="inlineStr">
        <is>
          <t>FnGuide SAMs FW</t>
        </is>
      </c>
      <c r="P439" s="99" t="inlineStr">
        <is>
          <t>일반</t>
        </is>
      </c>
      <c r="Q439" s="99" t="inlineStr">
        <is>
          <t>주식</t>
        </is>
      </c>
      <c r="R439" s="99" t="inlineStr">
        <is>
          <t>연배당</t>
        </is>
      </c>
      <c r="S439" s="100" t="n">
        <v>1</v>
      </c>
      <c r="T439" s="101" t="n">
        <v>1</v>
      </c>
      <c r="U439" s="103" t="n">
        <v>1.3618</v>
      </c>
      <c r="V439" s="103" t="n">
        <v>1.3485</v>
      </c>
      <c r="W439" s="103" t="n">
        <v>0.4517</v>
      </c>
      <c r="X439" s="103" t="n">
        <v>-0.1029</v>
      </c>
      <c r="Y439" s="99" t="inlineStr">
        <is>
          <t>20250922~20261002</t>
        </is>
      </c>
      <c r="Z439" s="99" t="inlineStr"/>
      <c r="AA439">
        <f>IF(AND($J439&lt;&gt;"",OR(조회_주기="전체",$R439=조회_주기),$J439&gt;=조회_최소,$J439&lt;=조회_최대),1,0)</f>
        <v/>
      </c>
      <c r="AB439">
        <f>IF($AA439=1,$AB438+1,$AB438)</f>
        <v/>
      </c>
      <c r="AC439">
        <f>IF(검색어="",1,IF(ISNUMBER(SEARCH(검색어,$A439)),1,0))</f>
        <v/>
      </c>
      <c r="AD439">
        <f>IF($AC439=1,$AD438+1,$AD438)</f>
        <v/>
      </c>
      <c r="AE439">
        <f>IFERROR(INDEX($A$4:$A$594,MATCH(436,$AD$4:$AD$594,0)),"")</f>
        <v/>
      </c>
    </row>
    <row r="440">
      <c r="A440" s="99" t="inlineStr">
        <is>
          <t>TIGER Fn메타버스</t>
        </is>
      </c>
      <c r="B440" s="99" t="inlineStr">
        <is>
          <t>400970</t>
        </is>
      </c>
      <c r="C440" s="99" t="inlineStr">
        <is>
          <t>미래에셋자산운용</t>
        </is>
      </c>
      <c r="D440" s="100" t="n">
        <v>7185</v>
      </c>
      <c r="E440" s="100" t="n">
        <v>35925000000</v>
      </c>
      <c r="F440" s="100" t="n">
        <v>113857198</v>
      </c>
      <c r="G440" s="101" t="n">
        <v>0.004500000000000001</v>
      </c>
      <c r="H440" s="101" t="n">
        <v>0.3864</v>
      </c>
      <c r="I440" s="101" t="n">
        <v>0.004500000000000001</v>
      </c>
      <c r="J440" s="101" t="n">
        <v>0.005567</v>
      </c>
      <c r="K440" s="100" t="n">
        <v>5</v>
      </c>
      <c r="L440" s="102" t="inlineStr">
        <is>
          <t>20260429</t>
        </is>
      </c>
      <c r="M440" s="99" t="inlineStr">
        <is>
          <t>제외</t>
        </is>
      </c>
      <c r="N440" s="99" t="inlineStr">
        <is>
          <t>60일 거래대금 1.1억(기준 5억 미만), 변동성 38.6%(1년 기준, 기준 35% 초과)</t>
        </is>
      </c>
      <c r="O440" s="99" t="inlineStr">
        <is>
          <t>FnGuide 메타버스테마 지수</t>
        </is>
      </c>
      <c r="P440" s="99" t="inlineStr">
        <is>
          <t>일반</t>
        </is>
      </c>
      <c r="Q440" s="99" t="inlineStr">
        <is>
          <t>주식</t>
        </is>
      </c>
      <c r="R440" s="99" t="inlineStr">
        <is>
          <t>연배당</t>
        </is>
      </c>
      <c r="S440" s="100" t="n">
        <v>1</v>
      </c>
      <c r="T440" s="101" t="n">
        <v>0.2</v>
      </c>
      <c r="U440" s="103" t="n">
        <v>-0.1162</v>
      </c>
      <c r="V440" s="103" t="n">
        <v>-0.1211</v>
      </c>
      <c r="W440" s="103" t="n">
        <v>-0.0446</v>
      </c>
      <c r="X440" s="103" t="n">
        <v>-0.1322</v>
      </c>
      <c r="Y440" s="99" t="inlineStr">
        <is>
          <t>20250922~20261002</t>
        </is>
      </c>
      <c r="Z440" s="99" t="inlineStr"/>
      <c r="AA440">
        <f>IF(AND($J440&lt;&gt;"",OR(조회_주기="전체",$R440=조회_주기),$J440&gt;=조회_최소,$J440&lt;=조회_최대),1,0)</f>
        <v/>
      </c>
      <c r="AB440">
        <f>IF($AA440=1,$AB439+1,$AB439)</f>
        <v/>
      </c>
      <c r="AC440">
        <f>IF(검색어="",1,IF(ISNUMBER(SEARCH(검색어,$A440)),1,0))</f>
        <v/>
      </c>
      <c r="AD440">
        <f>IF($AC440=1,$AD439+1,$AD439)</f>
        <v/>
      </c>
      <c r="AE440">
        <f>IFERROR(INDEX($A$4:$A$594,MATCH(437,$AD$4:$AD$594,0)),"")</f>
        <v/>
      </c>
    </row>
    <row r="441">
      <c r="A441" s="99" t="inlineStr">
        <is>
          <t>ACE ESG액티브</t>
        </is>
      </c>
      <c r="B441" s="99" t="inlineStr">
        <is>
          <t>385590</t>
        </is>
      </c>
      <c r="C441" s="99" t="inlineStr">
        <is>
          <t>한국투신운용(ETF)</t>
        </is>
      </c>
      <c r="D441" s="100" t="n">
        <v>24465</v>
      </c>
      <c r="E441" s="100" t="n">
        <v>56269500000</v>
      </c>
      <c r="F441" s="100" t="n">
        <v>30221206</v>
      </c>
      <c r="G441" s="101" t="n">
        <v>0.005</v>
      </c>
      <c r="H441" s="101" t="n">
        <v>0.5336</v>
      </c>
      <c r="I441" s="101" t="n">
        <v>0.0062</v>
      </c>
      <c r="J441" s="101" t="n">
        <v>0.005517999999999999</v>
      </c>
      <c r="K441" s="100" t="n">
        <v>5</v>
      </c>
      <c r="L441" s="102" t="inlineStr">
        <is>
          <t>20260429</t>
        </is>
      </c>
      <c r="M441" s="99" t="inlineStr">
        <is>
          <t>제외</t>
        </is>
      </c>
      <c r="N441" s="99" t="inlineStr">
        <is>
          <t>60일 거래대금 0.3억(기준 5억 미만), 변동성 53.4%(1년 기준, 기준 35% 초과)</t>
        </is>
      </c>
      <c r="O441" s="99" t="inlineStr">
        <is>
          <t>MSCI Korea Country ESG Leaders Custom Capped Index</t>
        </is>
      </c>
      <c r="P441" s="99" t="inlineStr">
        <is>
          <t>일반</t>
        </is>
      </c>
      <c r="Q441" s="99" t="inlineStr">
        <is>
          <t>주식</t>
        </is>
      </c>
      <c r="R441" s="99" t="inlineStr">
        <is>
          <t>연배당</t>
        </is>
      </c>
      <c r="S441" s="100" t="n">
        <v>1</v>
      </c>
      <c r="T441" s="101" t="n">
        <v>1</v>
      </c>
      <c r="U441" s="103" t="n"/>
      <c r="V441" s="103" t="n"/>
      <c r="W441" s="103" t="n"/>
      <c r="X441" s="103" t="n"/>
      <c r="Y441" s="99" t="inlineStr"/>
      <c r="Z441" s="99" t="inlineStr">
        <is>
          <t>창 안 급변일 1일(20260731) — 내지 않음 / 6개월: 창 안 급변일 1일(20260731) — 내지 않음 / 3개월: 창 안 급변일 1일(20260731) — 내지 않음</t>
        </is>
      </c>
      <c r="AA441">
        <f>IF(AND($J441&lt;&gt;"",OR(조회_주기="전체",$R441=조회_주기),$J441&gt;=조회_최소,$J441&lt;=조회_최대),1,0)</f>
        <v/>
      </c>
      <c r="AB441">
        <f>IF($AA441=1,$AB440+1,$AB440)</f>
        <v/>
      </c>
      <c r="AC441">
        <f>IF(검색어="",1,IF(ISNUMBER(SEARCH(검색어,$A441)),1,0))</f>
        <v/>
      </c>
      <c r="AD441">
        <f>IF($AC441=1,$AD440+1,$AD440)</f>
        <v/>
      </c>
      <c r="AE441">
        <f>IFERROR(INDEX($A$4:$A$594,MATCH(438,$AD$4:$AD$594,0)),"")</f>
        <v/>
      </c>
    </row>
    <row r="442">
      <c r="A442" s="99" t="inlineStr">
        <is>
          <t>RISE KOFR금리액티브(합성)</t>
        </is>
      </c>
      <c r="B442" s="99" t="inlineStr">
        <is>
          <t>479520</t>
        </is>
      </c>
      <c r="C442" s="99" t="inlineStr">
        <is>
          <t>KB자산운용</t>
        </is>
      </c>
      <c r="D442" s="100" t="n">
        <v>106670</v>
      </c>
      <c r="E442" s="100" t="n">
        <v>1005578090000</v>
      </c>
      <c r="F442" s="100" t="n">
        <v>411429090</v>
      </c>
      <c r="G442" s="101" t="n">
        <v>0.0002</v>
      </c>
      <c r="H442" s="101" t="n">
        <v>0.005699999999999999</v>
      </c>
      <c r="I442" s="101" t="n">
        <v>0.005600000000000001</v>
      </c>
      <c r="J442" s="101" t="n">
        <v>0.005494</v>
      </c>
      <c r="K442" s="100" t="n">
        <v>1</v>
      </c>
      <c r="L442" s="102" t="inlineStr">
        <is>
          <t>20251212</t>
        </is>
      </c>
      <c r="M442" s="99" t="inlineStr">
        <is>
          <t>제외</t>
        </is>
      </c>
      <c r="N442" s="99" t="inlineStr">
        <is>
          <t>60일 거래대금 4.1억(기준 5억 미만)</t>
        </is>
      </c>
      <c r="O442" s="99" t="inlineStr">
        <is>
          <t>KOFR 인덱스</t>
        </is>
      </c>
      <c r="P442" s="99" t="inlineStr">
        <is>
          <t>일반</t>
        </is>
      </c>
      <c r="Q442" s="99" t="inlineStr">
        <is>
          <t>단기자금(파킹형)</t>
        </is>
      </c>
      <c r="R442" s="99" t="inlineStr">
        <is>
          <t>연배당</t>
        </is>
      </c>
      <c r="S442" s="100" t="n">
        <v>1</v>
      </c>
      <c r="T442" s="101" t="n">
        <v>1</v>
      </c>
      <c r="U442" s="103" t="n">
        <v>0.0269</v>
      </c>
      <c r="V442" s="103" t="n">
        <v>0.0213</v>
      </c>
      <c r="W442" s="103" t="n">
        <v>0.0134</v>
      </c>
      <c r="X442" s="103" t="n">
        <v>0.0071</v>
      </c>
      <c r="Y442" s="99" t="inlineStr">
        <is>
          <t>20250922~20261002</t>
        </is>
      </c>
      <c r="Z442" s="99" t="inlineStr"/>
      <c r="AA442">
        <f>IF(AND($J442&lt;&gt;"",OR(조회_주기="전체",$R442=조회_주기),$J442&gt;=조회_최소,$J442&lt;=조회_최대),1,0)</f>
        <v/>
      </c>
      <c r="AB442">
        <f>IF($AA442=1,$AB441+1,$AB441)</f>
        <v/>
      </c>
      <c r="AC442">
        <f>IF(검색어="",1,IF(ISNUMBER(SEARCH(검색어,$A442)),1,0))</f>
        <v/>
      </c>
      <c r="AD442">
        <f>IF($AC442=1,$AD441+1,$AD441)</f>
        <v/>
      </c>
      <c r="AE442">
        <f>IFERROR(INDEX($A$4:$A$594,MATCH(439,$AD$4:$AD$594,0)),"")</f>
        <v/>
      </c>
    </row>
    <row r="443">
      <c r="A443" s="99" t="inlineStr">
        <is>
          <t>SOL 화장품TOP3플러스</t>
        </is>
      </c>
      <c r="B443" s="99" t="inlineStr">
        <is>
          <t>0008T0</t>
        </is>
      </c>
      <c r="C443" s="99" t="inlineStr">
        <is>
          <t>신한자산운용</t>
        </is>
      </c>
      <c r="D443" s="100" t="n">
        <v>16500</v>
      </c>
      <c r="E443" s="100" t="n">
        <v>94050000000</v>
      </c>
      <c r="F443" s="100" t="n">
        <v>22495794914</v>
      </c>
      <c r="G443" s="101" t="n">
        <v>0.004500000000000001</v>
      </c>
      <c r="H443" s="101" t="n">
        <v>0.4324</v>
      </c>
      <c r="I443" s="101" t="n">
        <v>0.0042</v>
      </c>
      <c r="J443" s="101" t="n">
        <v>0.005393999999999999</v>
      </c>
      <c r="K443" s="100" t="n">
        <v>2</v>
      </c>
      <c r="L443" s="102" t="inlineStr">
        <is>
          <t>20260429</t>
        </is>
      </c>
      <c r="M443" s="99" t="inlineStr">
        <is>
          <t>제외</t>
        </is>
      </c>
      <c r="N443" s="99" t="inlineStr">
        <is>
          <t>변동성 43.2%(1년 기준, 기준 35% 초과)</t>
        </is>
      </c>
      <c r="O443" s="99" t="inlineStr">
        <is>
          <t>FnGuide 화장품 TOP3 플러스 지수</t>
        </is>
      </c>
      <c r="P443" s="99" t="inlineStr">
        <is>
          <t>일반</t>
        </is>
      </c>
      <c r="Q443" s="99" t="inlineStr">
        <is>
          <t>주식</t>
        </is>
      </c>
      <c r="R443" s="99" t="inlineStr">
        <is>
          <t>연배당</t>
        </is>
      </c>
      <c r="S443" s="100" t="n">
        <v>2</v>
      </c>
      <c r="T443" s="101" t="n">
        <v>0.618</v>
      </c>
      <c r="U443" s="103" t="n">
        <v>0.1266</v>
      </c>
      <c r="V443" s="103" t="n">
        <v>0.1206</v>
      </c>
      <c r="W443" s="103" t="n">
        <v>0.1831</v>
      </c>
      <c r="X443" s="103" t="n">
        <v>0.1153</v>
      </c>
      <c r="Y443" s="99" t="inlineStr">
        <is>
          <t>20250922~20261002</t>
        </is>
      </c>
      <c r="Z443" s="99" t="inlineStr"/>
      <c r="AA443">
        <f>IF(AND($J443&lt;&gt;"",OR(조회_주기="전체",$R443=조회_주기),$J443&gt;=조회_최소,$J443&lt;=조회_최대),1,0)</f>
        <v/>
      </c>
      <c r="AB443">
        <f>IF($AA443=1,$AB442+1,$AB442)</f>
        <v/>
      </c>
      <c r="AC443">
        <f>IF(검색어="",1,IF(ISNUMBER(SEARCH(검색어,$A443)),1,0))</f>
        <v/>
      </c>
      <c r="AD443">
        <f>IF($AC443=1,$AD442+1,$AD442)</f>
        <v/>
      </c>
      <c r="AE443">
        <f>IFERROR(INDEX($A$4:$A$594,MATCH(440,$AD$4:$AD$594,0)),"")</f>
        <v/>
      </c>
    </row>
    <row r="444">
      <c r="A444" s="99" t="inlineStr">
        <is>
          <t>KODEX 친환경조선해운액티브</t>
        </is>
      </c>
      <c r="B444" s="99" t="inlineStr">
        <is>
          <t>445150</t>
        </is>
      </c>
      <c r="C444" s="99" t="inlineStr">
        <is>
          <t>삼성자산운용(ETF)</t>
        </is>
      </c>
      <c r="D444" s="100" t="n">
        <v>27680</v>
      </c>
      <c r="E444" s="100" t="n">
        <v>51208000000</v>
      </c>
      <c r="F444" s="100" t="n">
        <v>238632369</v>
      </c>
      <c r="G444" s="101" t="n">
        <v>0.005</v>
      </c>
      <c r="H444" s="101" t="n">
        <v>0.4829</v>
      </c>
      <c r="I444" s="101" t="n">
        <v>0.0002</v>
      </c>
      <c r="J444" s="101" t="n">
        <v>0.005274999999999999</v>
      </c>
      <c r="K444" s="100" t="n">
        <v>5</v>
      </c>
      <c r="L444" s="102" t="inlineStr">
        <is>
          <t>20260730</t>
        </is>
      </c>
      <c r="M444" s="99" t="inlineStr">
        <is>
          <t>제외</t>
        </is>
      </c>
      <c r="N444" s="99" t="inlineStr">
        <is>
          <t>60일 거래대금 2.4억(기준 5억 미만), 변동성 48.3%(1년 기준, 기준 35% 초과)</t>
        </is>
      </c>
      <c r="O444" s="99" t="inlineStr">
        <is>
          <t>FnGuide K-친환경 선박 지수</t>
        </is>
      </c>
      <c r="P444" s="99" t="inlineStr">
        <is>
          <t>일반</t>
        </is>
      </c>
      <c r="Q444" s="99" t="inlineStr">
        <is>
          <t>주식</t>
        </is>
      </c>
      <c r="R444" s="99" t="inlineStr">
        <is>
          <t>연배당</t>
        </is>
      </c>
      <c r="S444" s="100" t="n">
        <v>2</v>
      </c>
      <c r="T444" s="101" t="n">
        <v>0.9932</v>
      </c>
      <c r="U444" s="103" t="n"/>
      <c r="V444" s="103" t="n"/>
      <c r="W444" s="103" t="n">
        <v>-0.1778</v>
      </c>
      <c r="X444" s="103" t="n">
        <v>-0.08470000000000001</v>
      </c>
      <c r="Y444" s="99" t="inlineStr"/>
      <c r="Z444" s="99" t="inlineStr">
        <is>
          <t>창 안 급변일 1일(20260304) — 내지 않음</t>
        </is>
      </c>
      <c r="AA444">
        <f>IF(AND($J444&lt;&gt;"",OR(조회_주기="전체",$R444=조회_주기),$J444&gt;=조회_최소,$J444&lt;=조회_최대),1,0)</f>
        <v/>
      </c>
      <c r="AB444">
        <f>IF($AA444=1,$AB443+1,$AB443)</f>
        <v/>
      </c>
      <c r="AC444">
        <f>IF(검색어="",1,IF(ISNUMBER(SEARCH(검색어,$A444)),1,0))</f>
        <v/>
      </c>
      <c r="AD444">
        <f>IF($AC444=1,$AD443+1,$AD443)</f>
        <v/>
      </c>
      <c r="AE444">
        <f>IFERROR(INDEX($A$4:$A$594,MATCH(441,$AD$4:$AD$594,0)),"")</f>
        <v/>
      </c>
    </row>
    <row r="445">
      <c r="A445" s="99" t="inlineStr">
        <is>
          <t>PLUS 미국S&amp;P500성장주</t>
        </is>
      </c>
      <c r="B445" s="99" t="inlineStr">
        <is>
          <t>494410</t>
        </is>
      </c>
      <c r="C445" s="99" t="inlineStr">
        <is>
          <t>한화자산운용</t>
        </is>
      </c>
      <c r="D445" s="100" t="n">
        <v>14325</v>
      </c>
      <c r="E445" s="100" t="n">
        <v>35812500000</v>
      </c>
      <c r="F445" s="100" t="n">
        <v>206140609</v>
      </c>
      <c r="G445" s="101" t="n">
        <v>6.2e-05</v>
      </c>
      <c r="H445" s="101" t="n">
        <v>0.1893</v>
      </c>
      <c r="I445" s="101" t="n">
        <v>0.0011</v>
      </c>
      <c r="J445" s="101" t="n">
        <v>0.005235999999999999</v>
      </c>
      <c r="K445" s="100" t="n">
        <v>7</v>
      </c>
      <c r="L445" s="102" t="inlineStr">
        <is>
          <t>20260730</t>
        </is>
      </c>
      <c r="M445" s="99" t="inlineStr">
        <is>
          <t>제외</t>
        </is>
      </c>
      <c r="N445" s="99" t="inlineStr">
        <is>
          <t>60일 거래대금 2.1억(기준 5억 미만)</t>
        </is>
      </c>
      <c r="O445" s="99" t="inlineStr">
        <is>
          <t>S&amp;P 500 Growth</t>
        </is>
      </c>
      <c r="P445" s="99" t="inlineStr">
        <is>
          <t>일반</t>
        </is>
      </c>
      <c r="Q445" s="99" t="inlineStr">
        <is>
          <t>주식</t>
        </is>
      </c>
      <c r="R445" s="99" t="inlineStr">
        <is>
          <t>분기배당</t>
        </is>
      </c>
      <c r="S445" s="100" t="n">
        <v>3</v>
      </c>
      <c r="T445" s="101" t="n">
        <v>1</v>
      </c>
      <c r="U445" s="103" t="n">
        <v>0.1461</v>
      </c>
      <c r="V445" s="103" t="n">
        <v>0.1401</v>
      </c>
      <c r="W445" s="103" t="n">
        <v>0.1146</v>
      </c>
      <c r="X445" s="103" t="n">
        <v>-0.06900000000000001</v>
      </c>
      <c r="Y445" s="99" t="inlineStr">
        <is>
          <t>20250922~20261002</t>
        </is>
      </c>
      <c r="Z445" s="99" t="inlineStr"/>
      <c r="AA445">
        <f>IF(AND($J445&lt;&gt;"",OR(조회_주기="전체",$R445=조회_주기),$J445&gt;=조회_최소,$J445&lt;=조회_최대),1,0)</f>
        <v/>
      </c>
      <c r="AB445">
        <f>IF($AA445=1,$AB444+1,$AB444)</f>
        <v/>
      </c>
      <c r="AC445">
        <f>IF(검색어="",1,IF(ISNUMBER(SEARCH(검색어,$A445)),1,0))</f>
        <v/>
      </c>
      <c r="AD445">
        <f>IF($AC445=1,$AD444+1,$AD444)</f>
        <v/>
      </c>
      <c r="AE445">
        <f>IFERROR(INDEX($A$4:$A$594,MATCH(442,$AD$4:$AD$594,0)),"")</f>
        <v/>
      </c>
    </row>
    <row r="446">
      <c r="A446" s="99" t="inlineStr">
        <is>
          <t>ACE 글로벌반도체TOP4 Plus</t>
        </is>
      </c>
      <c r="B446" s="99" t="inlineStr">
        <is>
          <t>446770</t>
        </is>
      </c>
      <c r="C446" s="99" t="inlineStr">
        <is>
          <t>한국투신운용(ETF)</t>
        </is>
      </c>
      <c r="D446" s="100" t="n">
        <v>81730</v>
      </c>
      <c r="E446" s="100" t="n">
        <v>1638686500000</v>
      </c>
      <c r="F446" s="100" t="n">
        <v>15099240141</v>
      </c>
      <c r="G446" s="101" t="n">
        <v>0.004500000000000001</v>
      </c>
      <c r="H446" s="101" t="n">
        <v>0.4117</v>
      </c>
      <c r="I446" s="101" t="n">
        <v>0.0018</v>
      </c>
      <c r="J446" s="101" t="n">
        <v>0.005212</v>
      </c>
      <c r="K446" s="100" t="n">
        <v>14</v>
      </c>
      <c r="L446" s="102" t="inlineStr">
        <is>
          <t>20260730</t>
        </is>
      </c>
      <c r="M446" s="99" t="inlineStr">
        <is>
          <t>제외</t>
        </is>
      </c>
      <c r="N446" s="99" t="inlineStr">
        <is>
          <t>변동성 41.2%(1년 기준, 기준 35% 초과)</t>
        </is>
      </c>
      <c r="O446" s="99" t="inlineStr">
        <is>
          <t>Solactive Global Semiconductor Top 4 Plus Index (PR) USD</t>
        </is>
      </c>
      <c r="P446" s="99" t="inlineStr">
        <is>
          <t>일반</t>
        </is>
      </c>
      <c r="Q446" s="99" t="inlineStr">
        <is>
          <t>주식</t>
        </is>
      </c>
      <c r="R446" s="99" t="inlineStr">
        <is>
          <t>분기배당</t>
        </is>
      </c>
      <c r="S446" s="100" t="n">
        <v>3</v>
      </c>
      <c r="T446" s="101" t="n">
        <v>1</v>
      </c>
      <c r="U446" s="103" t="n">
        <v>1.3043</v>
      </c>
      <c r="V446" s="103" t="n">
        <v>1.2923</v>
      </c>
      <c r="W446" s="103" t="n">
        <v>0.4359</v>
      </c>
      <c r="X446" s="103" t="n">
        <v>-0.1218</v>
      </c>
      <c r="Y446" s="99" t="inlineStr">
        <is>
          <t>20250922~20261002</t>
        </is>
      </c>
      <c r="Z446" s="99" t="inlineStr"/>
      <c r="AA446">
        <f>IF(AND($J446&lt;&gt;"",OR(조회_주기="전체",$R446=조회_주기),$J446&gt;=조회_최소,$J446&lt;=조회_최대),1,0)</f>
        <v/>
      </c>
      <c r="AB446">
        <f>IF($AA446=1,$AB445+1,$AB445)</f>
        <v/>
      </c>
      <c r="AC446">
        <f>IF(검색어="",1,IF(ISNUMBER(SEARCH(검색어,$A446)),1,0))</f>
        <v/>
      </c>
      <c r="AD446">
        <f>IF($AC446=1,$AD445+1,$AD445)</f>
        <v/>
      </c>
      <c r="AE446">
        <f>IFERROR(INDEX($A$4:$A$594,MATCH(443,$AD$4:$AD$594,0)),"")</f>
        <v/>
      </c>
    </row>
    <row r="447">
      <c r="A447" s="99" t="inlineStr">
        <is>
          <t>KODEX 에너지화학</t>
        </is>
      </c>
      <c r="B447" s="99" t="inlineStr">
        <is>
          <t>117460</t>
        </is>
      </c>
      <c r="C447" s="99" t="inlineStr">
        <is>
          <t>삼성자산운용(ETF)</t>
        </is>
      </c>
      <c r="D447" s="100" t="n">
        <v>14635</v>
      </c>
      <c r="E447" s="100" t="n">
        <v>34831300000</v>
      </c>
      <c r="F447" s="100" t="n">
        <v>773950108</v>
      </c>
      <c r="G447" s="101" t="n">
        <v>0.004500000000000001</v>
      </c>
      <c r="H447" s="101" t="n">
        <v>0.4743</v>
      </c>
      <c r="I447" s="101" t="n">
        <v>0.0031</v>
      </c>
      <c r="J447" s="101" t="n">
        <v>0.005193</v>
      </c>
      <c r="K447" s="100" t="n">
        <v>6</v>
      </c>
      <c r="L447" s="102" t="inlineStr">
        <is>
          <t>20260730</t>
        </is>
      </c>
      <c r="M447" s="99" t="inlineStr">
        <is>
          <t>제외</t>
        </is>
      </c>
      <c r="N447" s="99" t="inlineStr">
        <is>
          <t>변동성 47.4%(1년 기준, 기준 35% 초과)</t>
        </is>
      </c>
      <c r="O447" s="99" t="inlineStr">
        <is>
          <t>KRX 에너지화학</t>
        </is>
      </c>
      <c r="P447" s="99" t="inlineStr">
        <is>
          <t>일반</t>
        </is>
      </c>
      <c r="Q447" s="99" t="inlineStr">
        <is>
          <t>주식</t>
        </is>
      </c>
      <c r="R447" s="99" t="inlineStr">
        <is>
          <t>연배당</t>
        </is>
      </c>
      <c r="S447" s="100" t="n">
        <v>2</v>
      </c>
      <c r="T447" s="101" t="n">
        <v>1</v>
      </c>
      <c r="U447" s="103" t="n"/>
      <c r="V447" s="103" t="n"/>
      <c r="W447" s="103" t="n">
        <v>-0.0233</v>
      </c>
      <c r="X447" s="103" t="n">
        <v>0.116</v>
      </c>
      <c r="Y447" s="99" t="inlineStr"/>
      <c r="Z447" s="99" t="inlineStr">
        <is>
          <t>창 안 급변일 1일(20260304) — 내지 않음</t>
        </is>
      </c>
      <c r="AA447">
        <f>IF(AND($J447&lt;&gt;"",OR(조회_주기="전체",$R447=조회_주기),$J447&gt;=조회_최소,$J447&lt;=조회_최대),1,0)</f>
        <v/>
      </c>
      <c r="AB447">
        <f>IF($AA447=1,$AB446+1,$AB446)</f>
        <v/>
      </c>
      <c r="AC447">
        <f>IF(검색어="",1,IF(ISNUMBER(SEARCH(검색어,$A447)),1,0))</f>
        <v/>
      </c>
      <c r="AD447">
        <f>IF($AC447=1,$AD446+1,$AD446)</f>
        <v/>
      </c>
      <c r="AE447">
        <f>IFERROR(INDEX($A$4:$A$594,MATCH(444,$AD$4:$AD$594,0)),"")</f>
        <v/>
      </c>
    </row>
    <row r="448">
      <c r="A448" s="99" t="inlineStr">
        <is>
          <t>KODEX 삼성그룹</t>
        </is>
      </c>
      <c r="B448" s="99" t="inlineStr">
        <is>
          <t>102780</t>
        </is>
      </c>
      <c r="C448" s="99" t="inlineStr">
        <is>
          <t>삼성자산운용(ETF)</t>
        </is>
      </c>
      <c r="D448" s="100" t="n">
        <v>26730</v>
      </c>
      <c r="E448" s="100" t="n">
        <v>3402729000000</v>
      </c>
      <c r="F448" s="100" t="n">
        <v>19027527056</v>
      </c>
      <c r="G448" s="101" t="n">
        <v>0.0025</v>
      </c>
      <c r="H448" s="101" t="n">
        <v>0.5373</v>
      </c>
      <c r="I448" s="101" t="n">
        <v>0.006</v>
      </c>
      <c r="J448" s="101" t="n">
        <v>0.005163</v>
      </c>
      <c r="K448" s="100" t="n">
        <v>5</v>
      </c>
      <c r="L448" s="102" t="inlineStr">
        <is>
          <t>20260429</t>
        </is>
      </c>
      <c r="M448" s="99" t="inlineStr">
        <is>
          <t>제외</t>
        </is>
      </c>
      <c r="N448" s="99" t="inlineStr">
        <is>
          <t>변동성 53.7%(1년 기준, 기준 35% 초과)</t>
        </is>
      </c>
      <c r="O448" s="99" t="inlineStr">
        <is>
          <t>FnGuide 삼성그룹</t>
        </is>
      </c>
      <c r="P448" s="99" t="inlineStr">
        <is>
          <t>일반</t>
        </is>
      </c>
      <c r="Q448" s="99" t="inlineStr">
        <is>
          <t>주식</t>
        </is>
      </c>
      <c r="R448" s="99" t="inlineStr">
        <is>
          <t>연배당</t>
        </is>
      </c>
      <c r="S448" s="100" t="n">
        <v>1</v>
      </c>
      <c r="T448" s="101" t="n">
        <v>1</v>
      </c>
      <c r="U448" s="103" t="n"/>
      <c r="V448" s="103" t="n"/>
      <c r="W448" s="103" t="n"/>
      <c r="X448" s="103" t="n"/>
      <c r="Y448" s="99" t="inlineStr"/>
      <c r="Z448" s="99" t="inlineStr">
        <is>
          <t>창 안 급변일 1일(20260731) — 내지 않음 / 6개월: 창 안 급변일 1일(20260731) — 내지 않음 / 3개월: 창 안 급변일 1일(20260731) — 내지 않음</t>
        </is>
      </c>
      <c r="AA448">
        <f>IF(AND($J448&lt;&gt;"",OR(조회_주기="전체",$R448=조회_주기),$J448&gt;=조회_최소,$J448&lt;=조회_최대),1,0)</f>
        <v/>
      </c>
      <c r="AB448">
        <f>IF($AA448=1,$AB447+1,$AB447)</f>
        <v/>
      </c>
      <c r="AC448">
        <f>IF(검색어="",1,IF(ISNUMBER(SEARCH(검색어,$A448)),1,0))</f>
        <v/>
      </c>
      <c r="AD448">
        <f>IF($AC448=1,$AD447+1,$AD447)</f>
        <v/>
      </c>
      <c r="AE448">
        <f>IFERROR(INDEX($A$4:$A$594,MATCH(445,$AD$4:$AD$594,0)),"")</f>
        <v/>
      </c>
    </row>
    <row r="449">
      <c r="A449" s="99" t="inlineStr">
        <is>
          <t>KODEX 건설</t>
        </is>
      </c>
      <c r="B449" s="99" t="inlineStr">
        <is>
          <t>117700</t>
        </is>
      </c>
      <c r="C449" s="99" t="inlineStr">
        <is>
          <t>삼성자산운용(ETF)</t>
        </is>
      </c>
      <c r="D449" s="100" t="n">
        <v>6705</v>
      </c>
      <c r="E449" s="100" t="n">
        <v>246073500000</v>
      </c>
      <c r="F449" s="100" t="n">
        <v>14459465962</v>
      </c>
      <c r="G449" s="101" t="n">
        <v>0.004500000000000001</v>
      </c>
      <c r="H449" s="101" t="n">
        <v>0.5937</v>
      </c>
      <c r="I449" s="101" t="n">
        <v>0.0037</v>
      </c>
      <c r="J449" s="101" t="n">
        <v>0.005071</v>
      </c>
      <c r="K449" s="100" t="n">
        <v>6</v>
      </c>
      <c r="L449" s="102" t="inlineStr">
        <is>
          <t>20260730</t>
        </is>
      </c>
      <c r="M449" s="99" t="inlineStr">
        <is>
          <t>제외</t>
        </is>
      </c>
      <c r="N449" s="99" t="inlineStr">
        <is>
          <t>변동성 59.4%(1년 기준, 기준 35% 초과)</t>
        </is>
      </c>
      <c r="O449" s="99" t="inlineStr">
        <is>
          <t>KRX 건설</t>
        </is>
      </c>
      <c r="P449" s="99" t="inlineStr">
        <is>
          <t>일반</t>
        </is>
      </c>
      <c r="Q449" s="99" t="inlineStr">
        <is>
          <t>주식</t>
        </is>
      </c>
      <c r="R449" s="99" t="inlineStr">
        <is>
          <t>연배당</t>
        </is>
      </c>
      <c r="S449" s="100" t="n">
        <v>2</v>
      </c>
      <c r="T449" s="101" t="n">
        <v>1</v>
      </c>
      <c r="U449" s="103" t="n"/>
      <c r="V449" s="103" t="n"/>
      <c r="W449" s="103" t="n">
        <v>-0.0764</v>
      </c>
      <c r="X449" s="103" t="n">
        <v>0.0242</v>
      </c>
      <c r="Y449" s="99" t="inlineStr"/>
      <c r="Z449" s="99" t="inlineStr">
        <is>
          <t>창 안 급변일 1일(20260304) — 내지 않음</t>
        </is>
      </c>
      <c r="AA449">
        <f>IF(AND($J449&lt;&gt;"",OR(조회_주기="전체",$R449=조회_주기),$J449&gt;=조회_최소,$J449&lt;=조회_최대),1,0)</f>
        <v/>
      </c>
      <c r="AB449">
        <f>IF($AA449=1,$AB448+1,$AB448)</f>
        <v/>
      </c>
      <c r="AC449">
        <f>IF(검색어="",1,IF(ISNUMBER(SEARCH(검색어,$A449)),1,0))</f>
        <v/>
      </c>
      <c r="AD449">
        <f>IF($AC449=1,$AD448+1,$AD448)</f>
        <v/>
      </c>
      <c r="AE449">
        <f>IFERROR(INDEX($A$4:$A$594,MATCH(446,$AD$4:$AD$594,0)),"")</f>
        <v/>
      </c>
    </row>
    <row r="450">
      <c r="A450" s="99" t="inlineStr">
        <is>
          <t>ACE 레버리지</t>
        </is>
      </c>
      <c r="B450" s="99" t="inlineStr">
        <is>
          <t>152500</t>
        </is>
      </c>
      <c r="C450" s="99" t="inlineStr">
        <is>
          <t>한국투신운용(ETF)</t>
        </is>
      </c>
      <c r="D450" s="100" t="n">
        <v>46995</v>
      </c>
      <c r="E450" s="100" t="n">
        <v>51694500000</v>
      </c>
      <c r="F450" s="100" t="n">
        <v>2131511868</v>
      </c>
      <c r="G450" s="101" t="n">
        <v>0.003</v>
      </c>
      <c r="H450" s="101" t="n">
        <v>1.1699</v>
      </c>
      <c r="I450" s="101" t="n">
        <v>0.0127</v>
      </c>
      <c r="J450" s="101" t="n">
        <v>0.005022</v>
      </c>
      <c r="K450" s="100" t="n">
        <v>1</v>
      </c>
      <c r="L450" s="102" t="inlineStr">
        <is>
          <t>20251229</t>
        </is>
      </c>
      <c r="M450" s="99" t="inlineStr">
        <is>
          <t>제외</t>
        </is>
      </c>
      <c r="N450" s="99" t="inlineStr">
        <is>
          <t>변동성 117.0%(1년 기준, 기준 35% 초과)</t>
        </is>
      </c>
      <c r="O450" s="99" t="inlineStr">
        <is>
          <t>KOSPI 200</t>
        </is>
      </c>
      <c r="P450" s="99" t="inlineStr">
        <is>
          <t>일반</t>
        </is>
      </c>
      <c r="Q450" s="99" t="inlineStr">
        <is>
          <t>주식</t>
        </is>
      </c>
      <c r="R450" s="99" t="inlineStr">
        <is>
          <t>연배당</t>
        </is>
      </c>
      <c r="S450" s="100" t="n">
        <v>1</v>
      </c>
      <c r="T450" s="101" t="n">
        <v>1</v>
      </c>
      <c r="U450" s="103" t="n"/>
      <c r="V450" s="103" t="n"/>
      <c r="W450" s="103" t="n"/>
      <c r="X450" s="103" t="n"/>
      <c r="Y450" s="99" t="inlineStr"/>
      <c r="Z450" s="99" t="inlineStr">
        <is>
          <t>창 안 급변일 12일(20260303,20260304,20260305,20260401,20260521,20260608,20260609,20260623,20260702,20260713,20260728,20260731) — 내지 않음 / 6개월: 창 안 급변일 8일(20260521,20260608,20260609,20260623,20260702,20260713,20260728,20260731) — 내지 않음 / 3개월: 창 안 급변일 3일(20260713,20260728,20260731) — 내지 않음</t>
        </is>
      </c>
      <c r="AA450">
        <f>IF(AND($J450&lt;&gt;"",OR(조회_주기="전체",$R450=조회_주기),$J450&gt;=조회_최소,$J450&lt;=조회_최대),1,0)</f>
        <v/>
      </c>
      <c r="AB450">
        <f>IF($AA450=1,$AB449+1,$AB449)</f>
        <v/>
      </c>
      <c r="AC450">
        <f>IF(검색어="",1,IF(ISNUMBER(SEARCH(검색어,$A450)),1,0))</f>
        <v/>
      </c>
      <c r="AD450">
        <f>IF($AC450=1,$AD449+1,$AD449)</f>
        <v/>
      </c>
      <c r="AE450">
        <f>IFERROR(INDEX($A$4:$A$594,MATCH(447,$AD$4:$AD$594,0)),"")</f>
        <v/>
      </c>
    </row>
    <row r="451">
      <c r="A451" s="99" t="inlineStr">
        <is>
          <t>PLUS 태양광&amp;ESS</t>
        </is>
      </c>
      <c r="B451" s="99" t="inlineStr">
        <is>
          <t>457990</t>
        </is>
      </c>
      <c r="C451" s="99" t="inlineStr">
        <is>
          <t>한화자산운용</t>
        </is>
      </c>
      <c r="D451" s="100" t="n">
        <v>38140</v>
      </c>
      <c r="E451" s="100" t="n">
        <v>150653000000</v>
      </c>
      <c r="F451" s="100" t="n">
        <v>12827034353</v>
      </c>
      <c r="G451" s="101" t="n">
        <v>0.004500000000000001</v>
      </c>
      <c r="H451" s="101" t="n">
        <v>0.6898000000000001</v>
      </c>
      <c r="I451" s="101" t="n">
        <v>0.0037</v>
      </c>
      <c r="J451" s="101" t="n">
        <v>0.004981999999999999</v>
      </c>
      <c r="K451" s="100" t="n">
        <v>3</v>
      </c>
      <c r="L451" s="102" t="inlineStr">
        <is>
          <t>20260429</t>
        </is>
      </c>
      <c r="M451" s="99" t="inlineStr">
        <is>
          <t>제외</t>
        </is>
      </c>
      <c r="N451" s="99" t="inlineStr">
        <is>
          <t>변동성 69.0%(1년 기준, 기준 35% 초과)</t>
        </is>
      </c>
      <c r="O451" s="99" t="inlineStr">
        <is>
          <t>FnGuide 태양광 &amp; ESS 지수</t>
        </is>
      </c>
      <c r="P451" s="99" t="inlineStr">
        <is>
          <t>일반</t>
        </is>
      </c>
      <c r="Q451" s="99" t="inlineStr">
        <is>
          <t>주식</t>
        </is>
      </c>
      <c r="R451" s="99" t="inlineStr">
        <is>
          <t>연배당</t>
        </is>
      </c>
      <c r="S451" s="100" t="n">
        <v>1</v>
      </c>
      <c r="T451" s="101" t="n">
        <v>0.1895</v>
      </c>
      <c r="U451" s="103" t="n"/>
      <c r="V451" s="103" t="n"/>
      <c r="W451" s="103" t="n"/>
      <c r="X451" s="103" t="n"/>
      <c r="Y451" s="99" t="inlineStr"/>
      <c r="Z451" s="99" t="inlineStr">
        <is>
          <t>창 안 급변일 2일(20260304,20260723) — 내지 않음 / 6개월: 창 안 급변일 1일(20260723) — 내지 않음 / 3개월: 창 안 급변일 1일(20260723) — 내지 않음</t>
        </is>
      </c>
      <c r="AA451">
        <f>IF(AND($J451&lt;&gt;"",OR(조회_주기="전체",$R451=조회_주기),$J451&gt;=조회_최소,$J451&lt;=조회_최대),1,0)</f>
        <v/>
      </c>
      <c r="AB451">
        <f>IF($AA451=1,$AB450+1,$AB450)</f>
        <v/>
      </c>
      <c r="AC451">
        <f>IF(검색어="",1,IF(ISNUMBER(SEARCH(검색어,$A451)),1,0))</f>
        <v/>
      </c>
      <c r="AD451">
        <f>IF($AC451=1,$AD450+1,$AD450)</f>
        <v/>
      </c>
      <c r="AE451">
        <f>IFERROR(INDEX($A$4:$A$594,MATCH(448,$AD$4:$AD$594,0)),"")</f>
        <v/>
      </c>
    </row>
    <row r="452">
      <c r="A452" s="99" t="inlineStr">
        <is>
          <t>ACE 원자력TOP10</t>
        </is>
      </c>
      <c r="B452" s="99" t="inlineStr">
        <is>
          <t>433500</t>
        </is>
      </c>
      <c r="C452" s="99" t="inlineStr">
        <is>
          <t>한국투신운용(ETF)</t>
        </is>
      </c>
      <c r="D452" s="100" t="n">
        <v>56275</v>
      </c>
      <c r="E452" s="100" t="n">
        <v>219472500000</v>
      </c>
      <c r="F452" s="100" t="n">
        <v>5870566929</v>
      </c>
      <c r="G452" s="101" t="n">
        <v>0.003</v>
      </c>
      <c r="H452" s="101" t="n">
        <v>0.629</v>
      </c>
      <c r="I452" s="101" t="n">
        <v>0.0032</v>
      </c>
      <c r="J452" s="101" t="n">
        <v>0.004976</v>
      </c>
      <c r="K452" s="100" t="n">
        <v>4</v>
      </c>
      <c r="L452" s="102" t="inlineStr">
        <is>
          <t>20260429</t>
        </is>
      </c>
      <c r="M452" s="99" t="inlineStr">
        <is>
          <t>제외</t>
        </is>
      </c>
      <c r="N452" s="99" t="inlineStr">
        <is>
          <t>변동성 62.9%(1년 기준, 기준 35% 초과)</t>
        </is>
      </c>
      <c r="O452" s="99" t="inlineStr">
        <is>
          <t>DeepSearch 원자력Top10지수</t>
        </is>
      </c>
      <c r="P452" s="99" t="inlineStr">
        <is>
          <t>일반</t>
        </is>
      </c>
      <c r="Q452" s="99" t="inlineStr">
        <is>
          <t>주식</t>
        </is>
      </c>
      <c r="R452" s="99" t="inlineStr">
        <is>
          <t>연배당</t>
        </is>
      </c>
      <c r="S452" s="100" t="n">
        <v>1</v>
      </c>
      <c r="T452" s="101" t="n">
        <v>1</v>
      </c>
      <c r="U452" s="103" t="n"/>
      <c r="V452" s="103" t="n"/>
      <c r="W452" s="103" t="n">
        <v>-0.135</v>
      </c>
      <c r="X452" s="103" t="n">
        <v>-0.0119</v>
      </c>
      <c r="Y452" s="99" t="inlineStr"/>
      <c r="Z452" s="99" t="inlineStr">
        <is>
          <t>창 안 급변일 1일(20260304) — 내지 않음</t>
        </is>
      </c>
      <c r="AA452">
        <f>IF(AND($J452&lt;&gt;"",OR(조회_주기="전체",$R452=조회_주기),$J452&gt;=조회_최소,$J452&lt;=조회_최대),1,0)</f>
        <v/>
      </c>
      <c r="AB452">
        <f>IF($AA452=1,$AB451+1,$AB451)</f>
        <v/>
      </c>
      <c r="AC452">
        <f>IF(검색어="",1,IF(ISNUMBER(SEARCH(검색어,$A452)),1,0))</f>
        <v/>
      </c>
      <c r="AD452">
        <f>IF($AC452=1,$AD451+1,$AD451)</f>
        <v/>
      </c>
      <c r="AE452">
        <f>IFERROR(INDEX($A$4:$A$594,MATCH(449,$AD$4:$AD$594,0)),"")</f>
        <v/>
      </c>
    </row>
    <row r="453">
      <c r="A453" s="99" t="inlineStr">
        <is>
          <t>SOL 미국원자력SMR</t>
        </is>
      </c>
      <c r="B453" s="99" t="inlineStr">
        <is>
          <t>0051G0</t>
        </is>
      </c>
      <c r="C453" s="99" t="inlineStr">
        <is>
          <t>신한자산운용</t>
        </is>
      </c>
      <c r="D453" s="100" t="n">
        <v>11540</v>
      </c>
      <c r="E453" s="100" t="n">
        <v>142519000000</v>
      </c>
      <c r="F453" s="100" t="n">
        <v>834327657</v>
      </c>
      <c r="G453" s="101" t="n">
        <v>0.004500000000000001</v>
      </c>
      <c r="H453" s="101" t="n">
        <v>0.4678</v>
      </c>
      <c r="I453" s="101" t="n">
        <v>0.0017</v>
      </c>
      <c r="J453" s="101" t="n">
        <v>0.004939</v>
      </c>
      <c r="K453" s="100" t="n">
        <v>2</v>
      </c>
      <c r="L453" s="102" t="inlineStr">
        <is>
          <t>20260429</t>
        </is>
      </c>
      <c r="M453" s="99" t="inlineStr">
        <is>
          <t>제외</t>
        </is>
      </c>
      <c r="N453" s="99" t="inlineStr">
        <is>
          <t>변동성 46.8%(1년 기준, 기준 35% 초과)</t>
        </is>
      </c>
      <c r="O453" s="99" t="inlineStr">
        <is>
          <t>KEDI U.S. Nuclear Power SMR Index (Price Return)</t>
        </is>
      </c>
      <c r="P453" s="99" t="inlineStr">
        <is>
          <t>일반</t>
        </is>
      </c>
      <c r="Q453" s="99" t="inlineStr">
        <is>
          <t>주식</t>
        </is>
      </c>
      <c r="R453" s="99" t="inlineStr">
        <is>
          <t>연배당</t>
        </is>
      </c>
      <c r="S453" s="100" t="n">
        <v>2</v>
      </c>
      <c r="T453" s="101" t="n">
        <v>1</v>
      </c>
      <c r="U453" s="103" t="n">
        <v>-0.3346</v>
      </c>
      <c r="V453" s="103" t="n">
        <v>-0.3379</v>
      </c>
      <c r="W453" s="103" t="n">
        <v>-0.2729</v>
      </c>
      <c r="X453" s="103" t="n">
        <v>-0.2212</v>
      </c>
      <c r="Y453" s="99" t="inlineStr">
        <is>
          <t>20250922~20261002</t>
        </is>
      </c>
      <c r="Z453" s="99" t="inlineStr"/>
      <c r="AA453">
        <f>IF(AND($J453&lt;&gt;"",OR(조회_주기="전체",$R453=조회_주기),$J453&gt;=조회_최소,$J453&lt;=조회_최대),1,0)</f>
        <v/>
      </c>
      <c r="AB453">
        <f>IF($AA453=1,$AB452+1,$AB452)</f>
        <v/>
      </c>
      <c r="AC453">
        <f>IF(검색어="",1,IF(ISNUMBER(SEARCH(검색어,$A453)),1,0))</f>
        <v/>
      </c>
      <c r="AD453">
        <f>IF($AC453=1,$AD452+1,$AD452)</f>
        <v/>
      </c>
      <c r="AE453">
        <f>IFERROR(INDEX($A$4:$A$594,MATCH(450,$AD$4:$AD$594,0)),"")</f>
        <v/>
      </c>
    </row>
    <row r="454">
      <c r="A454" s="99" t="inlineStr">
        <is>
          <t>TIGER 200 헬스케어</t>
        </is>
      </c>
      <c r="B454" s="99" t="inlineStr">
        <is>
          <t>227540</t>
        </is>
      </c>
      <c r="C454" s="99" t="inlineStr">
        <is>
          <t>미래에셋자산운용</t>
        </is>
      </c>
      <c r="D454" s="100" t="n">
        <v>18440</v>
      </c>
      <c r="E454" s="100" t="n">
        <v>30610400000</v>
      </c>
      <c r="F454" s="100" t="n">
        <v>493667859</v>
      </c>
      <c r="G454" s="101" t="n">
        <v>0.004</v>
      </c>
      <c r="H454" s="101" t="n">
        <v>0.3847</v>
      </c>
      <c r="I454" s="101" t="n">
        <v>0.0042</v>
      </c>
      <c r="J454" s="101" t="n">
        <v>0.004881</v>
      </c>
      <c r="K454" s="100" t="n">
        <v>5</v>
      </c>
      <c r="L454" s="102" t="inlineStr">
        <is>
          <t>20260429</t>
        </is>
      </c>
      <c r="M454" s="99" t="inlineStr">
        <is>
          <t>제외</t>
        </is>
      </c>
      <c r="N454" s="99" t="inlineStr">
        <is>
          <t>60일 거래대금 4.9억(기준 5억 미만), 변동성 38.5%(1년 기준, 기준 35% 초과)</t>
        </is>
      </c>
      <c r="O454" s="99" t="inlineStr">
        <is>
          <t>K200헬스케어</t>
        </is>
      </c>
      <c r="P454" s="99" t="inlineStr">
        <is>
          <t>일반</t>
        </is>
      </c>
      <c r="Q454" s="99" t="inlineStr">
        <is>
          <t>주식</t>
        </is>
      </c>
      <c r="R454" s="99" t="inlineStr">
        <is>
          <t>연배당</t>
        </is>
      </c>
      <c r="S454" s="100" t="n">
        <v>1</v>
      </c>
      <c r="T454" s="101" t="n">
        <v>0</v>
      </c>
      <c r="U454" s="103" t="n">
        <v>-0.0934</v>
      </c>
      <c r="V454" s="103" t="n">
        <v>-0.0978</v>
      </c>
      <c r="W454" s="103" t="n">
        <v>-0.1149</v>
      </c>
      <c r="X454" s="103" t="n">
        <v>-0.0169</v>
      </c>
      <c r="Y454" s="99" t="inlineStr">
        <is>
          <t>20250922~20261002</t>
        </is>
      </c>
      <c r="Z454" s="99" t="inlineStr"/>
      <c r="AA454">
        <f>IF(AND($J454&lt;&gt;"",OR(조회_주기="전체",$R454=조회_주기),$J454&gt;=조회_최소,$J454&lt;=조회_최대),1,0)</f>
        <v/>
      </c>
      <c r="AB454">
        <f>IF($AA454=1,$AB453+1,$AB453)</f>
        <v/>
      </c>
      <c r="AC454">
        <f>IF(검색어="",1,IF(ISNUMBER(SEARCH(검색어,$A454)),1,0))</f>
        <v/>
      </c>
      <c r="AD454">
        <f>IF($AC454=1,$AD453+1,$AD453)</f>
        <v/>
      </c>
      <c r="AE454">
        <f>IFERROR(INDEX($A$4:$A$594,MATCH(451,$AD$4:$AD$594,0)),"")</f>
        <v/>
      </c>
    </row>
    <row r="455">
      <c r="A455" s="99" t="inlineStr">
        <is>
          <t>RISE 글로벌원자력</t>
        </is>
      </c>
      <c r="B455" s="99" t="inlineStr">
        <is>
          <t>442320</t>
        </is>
      </c>
      <c r="C455" s="99" t="inlineStr">
        <is>
          <t>KB자산운용</t>
        </is>
      </c>
      <c r="D455" s="100" t="n">
        <v>34130</v>
      </c>
      <c r="E455" s="100" t="n">
        <v>214677700000</v>
      </c>
      <c r="F455" s="100" t="n">
        <v>591381616</v>
      </c>
      <c r="G455" s="101" t="n">
        <v>0.004</v>
      </c>
      <c r="H455" s="101" t="n">
        <v>0.4256</v>
      </c>
      <c r="I455" s="101" t="n">
        <v>0.0026</v>
      </c>
      <c r="J455" s="101" t="n">
        <v>0.004805</v>
      </c>
      <c r="K455" s="100" t="n">
        <v>2</v>
      </c>
      <c r="L455" s="102" t="inlineStr">
        <is>
          <t>20260730</t>
        </is>
      </c>
      <c r="M455" s="99" t="inlineStr">
        <is>
          <t>제외</t>
        </is>
      </c>
      <c r="N455" s="99" t="inlineStr">
        <is>
          <t>변동성 42.6%(1년 기준, 기준 35% 초과)</t>
        </is>
      </c>
      <c r="O455" s="99" t="inlineStr">
        <is>
          <t>iSelect Global Nuclear Power Index</t>
        </is>
      </c>
      <c r="P455" s="99" t="inlineStr">
        <is>
          <t>일반</t>
        </is>
      </c>
      <c r="Q455" s="99" t="inlineStr">
        <is>
          <t>주식</t>
        </is>
      </c>
      <c r="R455" s="99" t="inlineStr">
        <is>
          <t>반기배당</t>
        </is>
      </c>
      <c r="S455" s="100" t="n">
        <v>2</v>
      </c>
      <c r="T455" s="101" t="n">
        <v>1</v>
      </c>
      <c r="U455" s="103" t="n">
        <v>-0.0313</v>
      </c>
      <c r="V455" s="103" t="n">
        <v>-0.036</v>
      </c>
      <c r="W455" s="103" t="n">
        <v>-0.1999</v>
      </c>
      <c r="X455" s="103" t="n">
        <v>-0.1363</v>
      </c>
      <c r="Y455" s="99" t="inlineStr">
        <is>
          <t>20250922~20261002</t>
        </is>
      </c>
      <c r="Z455" s="99" t="inlineStr"/>
      <c r="AA455">
        <f>IF(AND($J455&lt;&gt;"",OR(조회_주기="전체",$R455=조회_주기),$J455&gt;=조회_최소,$J455&lt;=조회_최대),1,0)</f>
        <v/>
      </c>
      <c r="AB455">
        <f>IF($AA455=1,$AB454+1,$AB454)</f>
        <v/>
      </c>
      <c r="AC455">
        <f>IF(검색어="",1,IF(ISNUMBER(SEARCH(검색어,$A455)),1,0))</f>
        <v/>
      </c>
      <c r="AD455">
        <f>IF($AC455=1,$AD454+1,$AD454)</f>
        <v/>
      </c>
      <c r="AE455">
        <f>IFERROR(INDEX($A$4:$A$594,MATCH(452,$AD$4:$AD$594,0)),"")</f>
        <v/>
      </c>
    </row>
    <row r="456">
      <c r="A456" s="99" t="inlineStr">
        <is>
          <t>TIGER BBIG</t>
        </is>
      </c>
      <c r="B456" s="99" t="inlineStr">
        <is>
          <t>364960</t>
        </is>
      </c>
      <c r="C456" s="99" t="inlineStr">
        <is>
          <t>미래에셋자산운용</t>
        </is>
      </c>
      <c r="D456" s="100" t="n">
        <v>6355</v>
      </c>
      <c r="E456" s="100" t="n">
        <v>75624500000</v>
      </c>
      <c r="F456" s="100" t="n">
        <v>184868366</v>
      </c>
      <c r="G456" s="101" t="n">
        <v>0.004</v>
      </c>
      <c r="H456" s="101" t="n">
        <v>0.3573</v>
      </c>
      <c r="I456" s="101" t="n">
        <v>0.0037</v>
      </c>
      <c r="J456" s="101" t="n">
        <v>0.004721</v>
      </c>
      <c r="K456" s="100" t="n">
        <v>5</v>
      </c>
      <c r="L456" s="102" t="inlineStr">
        <is>
          <t>20260429</t>
        </is>
      </c>
      <c r="M456" s="99" t="inlineStr">
        <is>
          <t>제외</t>
        </is>
      </c>
      <c r="N456" s="99" t="inlineStr">
        <is>
          <t>60일 거래대금 1.8억(기준 5억 미만), 변동성 35.7%(1년 기준, 기준 35% 초과)</t>
        </is>
      </c>
      <c r="O456" s="99" t="inlineStr">
        <is>
          <t>KRX BBIG 지수</t>
        </is>
      </c>
      <c r="P456" s="99" t="inlineStr">
        <is>
          <t>일반</t>
        </is>
      </c>
      <c r="Q456" s="99" t="inlineStr">
        <is>
          <t>주식</t>
        </is>
      </c>
      <c r="R456" s="99" t="inlineStr">
        <is>
          <t>연배당</t>
        </is>
      </c>
      <c r="S456" s="100" t="n">
        <v>1</v>
      </c>
      <c r="T456" s="101" t="n">
        <v>0.4</v>
      </c>
      <c r="U456" s="103" t="n">
        <v>-0.08939999999999999</v>
      </c>
      <c r="V456" s="103" t="n">
        <v>-0.09359999999999999</v>
      </c>
      <c r="W456" s="103" t="n">
        <v>-0.09910000000000001</v>
      </c>
      <c r="X456" s="103" t="n">
        <v>-0.0291</v>
      </c>
      <c r="Y456" s="99" t="inlineStr">
        <is>
          <t>20250922~20261002</t>
        </is>
      </c>
      <c r="Z456" s="99" t="inlineStr"/>
      <c r="AA456">
        <f>IF(AND($J456&lt;&gt;"",OR(조회_주기="전체",$R456=조회_주기),$J456&gt;=조회_최소,$J456&lt;=조회_최대),1,0)</f>
        <v/>
      </c>
      <c r="AB456">
        <f>IF($AA456=1,$AB455+1,$AB455)</f>
        <v/>
      </c>
      <c r="AC456">
        <f>IF(검색어="",1,IF(ISNUMBER(SEARCH(검색어,$A456)),1,0))</f>
        <v/>
      </c>
      <c r="AD456">
        <f>IF($AC456=1,$AD455+1,$AD455)</f>
        <v/>
      </c>
      <c r="AE456">
        <f>IFERROR(INDEX($A$4:$A$594,MATCH(453,$AD$4:$AD$594,0)),"")</f>
        <v/>
      </c>
    </row>
    <row r="457">
      <c r="A457" s="99" t="inlineStr">
        <is>
          <t>KIWOOM 미국나스닥100(H)</t>
        </is>
      </c>
      <c r="B457" s="99" t="inlineStr">
        <is>
          <t>453080</t>
        </is>
      </c>
      <c r="C457" s="99" t="inlineStr">
        <is>
          <t>키움투자자산운용</t>
        </is>
      </c>
      <c r="D457" s="100" t="n">
        <v>23765</v>
      </c>
      <c r="E457" s="100" t="n">
        <v>95060000000</v>
      </c>
      <c r="F457" s="100" t="n">
        <v>338038701</v>
      </c>
      <c r="G457" s="101" t="n">
        <v>0.0004</v>
      </c>
      <c r="H457" s="101" t="n">
        <v>0.1956</v>
      </c>
      <c r="I457" s="101" t="n">
        <v>0.0014</v>
      </c>
      <c r="J457" s="101" t="n">
        <v>0.004671</v>
      </c>
      <c r="K457" s="100" t="n">
        <v>6</v>
      </c>
      <c r="L457" s="102" t="inlineStr">
        <is>
          <t>20260730</t>
        </is>
      </c>
      <c r="M457" s="99" t="inlineStr">
        <is>
          <t>제외</t>
        </is>
      </c>
      <c r="N457" s="99" t="inlineStr">
        <is>
          <t>60일 거래대금 3.4억(기준 5억 미만)</t>
        </is>
      </c>
      <c r="O457" s="99" t="inlineStr">
        <is>
          <t>나스닥 100</t>
        </is>
      </c>
      <c r="P457" s="99" t="inlineStr">
        <is>
          <t>일반</t>
        </is>
      </c>
      <c r="Q457" s="99" t="inlineStr">
        <is>
          <t>주식</t>
        </is>
      </c>
      <c r="R457" s="99" t="inlineStr">
        <is>
          <t>분기배당</t>
        </is>
      </c>
      <c r="S457" s="100" t="n">
        <v>3</v>
      </c>
      <c r="T457" s="101" t="n">
        <v>1</v>
      </c>
      <c r="U457" s="103" t="n">
        <v>0.2101</v>
      </c>
      <c r="V457" s="103" t="n">
        <v>0.2045</v>
      </c>
      <c r="W457" s="103" t="n">
        <v>0.2495</v>
      </c>
      <c r="X457" s="103" t="n">
        <v>0.0304</v>
      </c>
      <c r="Y457" s="99" t="inlineStr">
        <is>
          <t>20250922~20261002</t>
        </is>
      </c>
      <c r="Z457" s="99" t="inlineStr"/>
      <c r="AA457">
        <f>IF(AND($J457&lt;&gt;"",OR(조회_주기="전체",$R457=조회_주기),$J457&gt;=조회_최소,$J457&lt;=조회_최대),1,0)</f>
        <v/>
      </c>
      <c r="AB457">
        <f>IF($AA457=1,$AB456+1,$AB456)</f>
        <v/>
      </c>
      <c r="AC457">
        <f>IF(검색어="",1,IF(ISNUMBER(SEARCH(검색어,$A457)),1,0))</f>
        <v/>
      </c>
      <c r="AD457">
        <f>IF($AC457=1,$AD456+1,$AD456)</f>
        <v/>
      </c>
      <c r="AE457">
        <f>IFERROR(INDEX($A$4:$A$594,MATCH(454,$AD$4:$AD$594,0)),"")</f>
        <v/>
      </c>
    </row>
    <row r="458">
      <c r="A458" s="99" t="inlineStr">
        <is>
          <t>HANARO 원자력iSelect</t>
        </is>
      </c>
      <c r="B458" s="99" t="inlineStr">
        <is>
          <t>434730</t>
        </is>
      </c>
      <c r="C458" s="99" t="inlineStr">
        <is>
          <t>NH-Amundi자산운용</t>
        </is>
      </c>
      <c r="D458" s="100" t="n">
        <v>57365</v>
      </c>
      <c r="E458" s="100" t="n">
        <v>668302250000</v>
      </c>
      <c r="F458" s="100" t="n">
        <v>13432922120</v>
      </c>
      <c r="G458" s="101" t="n">
        <v>0.004500000000000001</v>
      </c>
      <c r="H458" s="101" t="n">
        <v>0.6054999999999999</v>
      </c>
      <c r="I458" s="101" t="n">
        <v>0.003</v>
      </c>
      <c r="J458" s="101" t="n">
        <v>0.00462</v>
      </c>
      <c r="K458" s="100" t="n">
        <v>4</v>
      </c>
      <c r="L458" s="102" t="inlineStr">
        <is>
          <t>20260429</t>
        </is>
      </c>
      <c r="M458" s="99" t="inlineStr">
        <is>
          <t>제외</t>
        </is>
      </c>
      <c r="N458" s="99" t="inlineStr">
        <is>
          <t>변동성 60.6%(1년 기준, 기준 35% 초과)</t>
        </is>
      </c>
      <c r="O458" s="99" t="inlineStr">
        <is>
          <t>iSelect 원자력 지수</t>
        </is>
      </c>
      <c r="P458" s="99" t="inlineStr">
        <is>
          <t>일반</t>
        </is>
      </c>
      <c r="Q458" s="99" t="inlineStr">
        <is>
          <t>주식</t>
        </is>
      </c>
      <c r="R458" s="99" t="inlineStr">
        <is>
          <t>연배당</t>
        </is>
      </c>
      <c r="S458" s="100" t="n">
        <v>1</v>
      </c>
      <c r="T458" s="101" t="n">
        <v>1</v>
      </c>
      <c r="U458" s="103" t="n">
        <v>0.5528999999999999</v>
      </c>
      <c r="V458" s="103" t="n">
        <v>0.5458</v>
      </c>
      <c r="W458" s="103" t="n">
        <v>-0.1022</v>
      </c>
      <c r="X458" s="103" t="n">
        <v>-0.1141</v>
      </c>
      <c r="Y458" s="99" t="inlineStr">
        <is>
          <t>20250922~20261002</t>
        </is>
      </c>
      <c r="Z458" s="99" t="inlineStr"/>
      <c r="AA458">
        <f>IF(AND($J458&lt;&gt;"",OR(조회_주기="전체",$R458=조회_주기),$J458&gt;=조회_최소,$J458&lt;=조회_최대),1,0)</f>
        <v/>
      </c>
      <c r="AB458">
        <f>IF($AA458=1,$AB457+1,$AB457)</f>
        <v/>
      </c>
      <c r="AC458">
        <f>IF(검색어="",1,IF(ISNUMBER(SEARCH(검색어,$A458)),1,0))</f>
        <v/>
      </c>
      <c r="AD458">
        <f>IF($AC458=1,$AD457+1,$AD457)</f>
        <v/>
      </c>
      <c r="AE458">
        <f>IFERROR(INDEX($A$4:$A$594,MATCH(455,$AD$4:$AD$594,0)),"")</f>
        <v/>
      </c>
    </row>
    <row r="459">
      <c r="A459" s="99" t="inlineStr">
        <is>
          <t>RISE 수소경제테마</t>
        </is>
      </c>
      <c r="B459" s="99" t="inlineStr">
        <is>
          <t>367770</t>
        </is>
      </c>
      <c r="C459" s="99" t="inlineStr">
        <is>
          <t>KB자산운용</t>
        </is>
      </c>
      <c r="D459" s="100" t="n">
        <v>21960</v>
      </c>
      <c r="E459" s="100" t="n">
        <v>113094000000</v>
      </c>
      <c r="F459" s="100" t="n">
        <v>1930804607</v>
      </c>
      <c r="G459" s="101" t="n">
        <v>0.004500000000000001</v>
      </c>
      <c r="H459" s="101" t="n">
        <v>0.4875</v>
      </c>
      <c r="I459" s="101" t="n">
        <v>0.0034</v>
      </c>
      <c r="J459" s="101" t="n">
        <v>0.004554</v>
      </c>
      <c r="K459" s="100" t="n">
        <v>5</v>
      </c>
      <c r="L459" s="102" t="inlineStr">
        <is>
          <t>20260429</t>
        </is>
      </c>
      <c r="M459" s="99" t="inlineStr">
        <is>
          <t>제외</t>
        </is>
      </c>
      <c r="N459" s="99" t="inlineStr">
        <is>
          <t>변동성 48.7%(1년 기준, 기준 35% 초과)</t>
        </is>
      </c>
      <c r="O459" s="99" t="inlineStr">
        <is>
          <t>FnGuide 수소 경제 테마 지수</t>
        </is>
      </c>
      <c r="P459" s="99" t="inlineStr">
        <is>
          <t>일반</t>
        </is>
      </c>
      <c r="Q459" s="99" t="inlineStr">
        <is>
          <t>주식</t>
        </is>
      </c>
      <c r="R459" s="99" t="inlineStr">
        <is>
          <t>연배당</t>
        </is>
      </c>
      <c r="S459" s="100" t="n">
        <v>1</v>
      </c>
      <c r="T459" s="101" t="n">
        <v>1</v>
      </c>
      <c r="U459" s="103" t="n"/>
      <c r="V459" s="103" t="n"/>
      <c r="W459" s="103" t="n">
        <v>-0.08310000000000001</v>
      </c>
      <c r="X459" s="103" t="n">
        <v>-0.1107</v>
      </c>
      <c r="Y459" s="99" t="inlineStr"/>
      <c r="Z459" s="99" t="inlineStr">
        <is>
          <t>창 안 급변일 1일(20260304) — 내지 않음</t>
        </is>
      </c>
      <c r="AA459">
        <f>IF(AND($J459&lt;&gt;"",OR(조회_주기="전체",$R459=조회_주기),$J459&gt;=조회_최소,$J459&lt;=조회_최대),1,0)</f>
        <v/>
      </c>
      <c r="AB459">
        <f>IF($AA459=1,$AB458+1,$AB458)</f>
        <v/>
      </c>
      <c r="AC459">
        <f>IF(검색어="",1,IF(ISNUMBER(SEARCH(검색어,$A459)),1,0))</f>
        <v/>
      </c>
      <c r="AD459">
        <f>IF($AC459=1,$AD458+1,$AD458)</f>
        <v/>
      </c>
      <c r="AE459">
        <f>IFERROR(INDEX($A$4:$A$594,MATCH(456,$AD$4:$AD$594,0)),"")</f>
        <v/>
      </c>
    </row>
    <row r="460">
      <c r="A460" s="99" t="inlineStr">
        <is>
          <t>ACE 일본TOPIX레버리지(H)</t>
        </is>
      </c>
      <c r="B460" s="99" t="inlineStr">
        <is>
          <t>196030</t>
        </is>
      </c>
      <c r="C460" s="99" t="inlineStr">
        <is>
          <t>한국투신운용(ETF)</t>
        </is>
      </c>
      <c r="D460" s="100" t="n">
        <v>91410</v>
      </c>
      <c r="E460" s="100" t="n">
        <v>45705000000</v>
      </c>
      <c r="F460" s="100" t="n">
        <v>16468914</v>
      </c>
      <c r="G460" s="101" t="n">
        <v>0.005</v>
      </c>
      <c r="H460" s="101" t="n">
        <v>0.4252</v>
      </c>
      <c r="I460" s="101" t="n">
        <v>0.0063</v>
      </c>
      <c r="J460" s="101" t="n">
        <v>0.004442</v>
      </c>
      <c r="K460" s="100" t="n">
        <v>1</v>
      </c>
      <c r="L460" s="102" t="inlineStr">
        <is>
          <t>20251229</t>
        </is>
      </c>
      <c r="M460" s="99" t="inlineStr">
        <is>
          <t>제외</t>
        </is>
      </c>
      <c r="N460" s="99" t="inlineStr">
        <is>
          <t>60일 거래대금 0.2억(기준 5억 미만), 변동성 42.5%(1년 기준, 기준 35% 초과)</t>
        </is>
      </c>
      <c r="O460" s="99" t="inlineStr">
        <is>
          <t>TOPIX</t>
        </is>
      </c>
      <c r="P460" s="99" t="inlineStr">
        <is>
          <t>일반</t>
        </is>
      </c>
      <c r="Q460" s="99" t="inlineStr">
        <is>
          <t>주식</t>
        </is>
      </c>
      <c r="R460" s="99" t="inlineStr">
        <is>
          <t>연배당</t>
        </is>
      </c>
      <c r="S460" s="100" t="n">
        <v>1</v>
      </c>
      <c r="T460" s="101" t="n">
        <v>1</v>
      </c>
      <c r="U460" s="103" t="n">
        <v>0.7175</v>
      </c>
      <c r="V460" s="103" t="n">
        <v>0.71</v>
      </c>
      <c r="W460" s="103" t="n">
        <v>0.3037</v>
      </c>
      <c r="X460" s="103" t="n">
        <v>0.062</v>
      </c>
      <c r="Y460" s="99" t="inlineStr">
        <is>
          <t>20250922~20261002</t>
        </is>
      </c>
      <c r="Z460" s="99" t="inlineStr"/>
      <c r="AA460">
        <f>IF(AND($J460&lt;&gt;"",OR(조회_주기="전체",$R460=조회_주기),$J460&gt;=조회_최소,$J460&lt;=조회_최대),1,0)</f>
        <v/>
      </c>
      <c r="AB460">
        <f>IF($AA460=1,$AB459+1,$AB459)</f>
        <v/>
      </c>
      <c r="AC460">
        <f>IF(검색어="",1,IF(ISNUMBER(SEARCH(검색어,$A460)),1,0))</f>
        <v/>
      </c>
      <c r="AD460">
        <f>IF($AC460=1,$AD459+1,$AD459)</f>
        <v/>
      </c>
      <c r="AE460">
        <f>IFERROR(INDEX($A$4:$A$594,MATCH(457,$AD$4:$AD$594,0)),"")</f>
        <v/>
      </c>
    </row>
    <row r="461">
      <c r="A461" s="99" t="inlineStr">
        <is>
          <t>KODEX 모멘텀주</t>
        </is>
      </c>
      <c r="B461" s="99" t="inlineStr">
        <is>
          <t>275280</t>
        </is>
      </c>
      <c r="C461" s="99" t="inlineStr">
        <is>
          <t>삼성자산운용(ETF)</t>
        </is>
      </c>
      <c r="D461" s="100" t="n">
        <v>44305</v>
      </c>
      <c r="E461" s="100" t="n">
        <v>39874500000</v>
      </c>
      <c r="F461" s="100" t="n">
        <v>455408084</v>
      </c>
      <c r="G461" s="101" t="n">
        <v>0.003</v>
      </c>
      <c r="H461" s="101" t="n">
        <v>0.6028</v>
      </c>
      <c r="I461" s="101" t="n">
        <v>0.0011</v>
      </c>
      <c r="J461" s="101" t="n">
        <v>0.004401</v>
      </c>
      <c r="K461" s="100" t="n">
        <v>6</v>
      </c>
      <c r="L461" s="102" t="inlineStr">
        <is>
          <t>20260730</t>
        </is>
      </c>
      <c r="M461" s="99" t="inlineStr">
        <is>
          <t>제외</t>
        </is>
      </c>
      <c r="N461" s="99" t="inlineStr">
        <is>
          <t>60일 거래대금 4.6억(기준 5억 미만), 변동성 60.3%(1년 기준, 기준 35% 초과)</t>
        </is>
      </c>
      <c r="O461" s="99" t="inlineStr">
        <is>
          <t>MSCI Korea IMI Momentum</t>
        </is>
      </c>
      <c r="P461" s="99" t="inlineStr">
        <is>
          <t>일반</t>
        </is>
      </c>
      <c r="Q461" s="99" t="inlineStr">
        <is>
          <t>주식</t>
        </is>
      </c>
      <c r="R461" s="99" t="inlineStr">
        <is>
          <t>연배당</t>
        </is>
      </c>
      <c r="S461" s="100" t="n">
        <v>2</v>
      </c>
      <c r="T461" s="101" t="n">
        <v>1</v>
      </c>
      <c r="U461" s="103" t="n"/>
      <c r="V461" s="103" t="n"/>
      <c r="W461" s="103" t="n"/>
      <c r="X461" s="103" t="n"/>
      <c r="Y461" s="99" t="inlineStr"/>
      <c r="Z461" s="99" t="inlineStr">
        <is>
          <t>창 안 급변일 1일(20260731) — 내지 않음 / 6개월: 창 안 급변일 1일(20260731) — 내지 않음 / 3개월: 창 안 급변일 1일(20260731) — 내지 않음</t>
        </is>
      </c>
      <c r="AA461">
        <f>IF(AND($J461&lt;&gt;"",OR(조회_주기="전체",$R461=조회_주기),$J461&gt;=조회_최소,$J461&lt;=조회_최대),1,0)</f>
        <v/>
      </c>
      <c r="AB461">
        <f>IF($AA461=1,$AB460+1,$AB460)</f>
        <v/>
      </c>
      <c r="AC461">
        <f>IF(검색어="",1,IF(ISNUMBER(SEARCH(검색어,$A461)),1,0))</f>
        <v/>
      </c>
      <c r="AD461">
        <f>IF($AC461=1,$AD460+1,$AD460)</f>
        <v/>
      </c>
      <c r="AE461">
        <f>IFERROR(INDEX($A$4:$A$594,MATCH(458,$AD$4:$AD$594,0)),"")</f>
        <v/>
      </c>
    </row>
    <row r="462">
      <c r="A462" s="99" t="inlineStr">
        <is>
          <t>FOCUS 200</t>
        </is>
      </c>
      <c r="B462" s="99" t="inlineStr">
        <is>
          <t>0098Z0</t>
        </is>
      </c>
      <c r="C462" s="99" t="inlineStr">
        <is>
          <t>브이아이자산운용</t>
        </is>
      </c>
      <c r="D462" s="100" t="n">
        <v>95725</v>
      </c>
      <c r="E462" s="100" t="n">
        <v>71793750000</v>
      </c>
      <c r="F462" s="100" t="n">
        <v>81688719</v>
      </c>
      <c r="G462" s="101" t="n">
        <v>0.0005</v>
      </c>
      <c r="H462" s="101" t="n">
        <v>0.5861999999999999</v>
      </c>
      <c r="I462" s="101" t="n">
        <v>0.0016</v>
      </c>
      <c r="J462" s="101" t="n">
        <v>0.004388</v>
      </c>
      <c r="K462" s="100" t="n">
        <v>2</v>
      </c>
      <c r="L462" s="102" t="inlineStr">
        <is>
          <t>20260730</t>
        </is>
      </c>
      <c r="M462" s="99" t="inlineStr">
        <is>
          <t>제외</t>
        </is>
      </c>
      <c r="N462" s="99" t="inlineStr">
        <is>
          <t>60일 거래대금 0.8억(기준 5억 미만), 변동성 58.6%(1년 기준, 기준 35% 초과)</t>
        </is>
      </c>
      <c r="O462" s="99" t="inlineStr">
        <is>
          <t>KOSPI 200</t>
        </is>
      </c>
      <c r="P462" s="99" t="inlineStr">
        <is>
          <t>일반</t>
        </is>
      </c>
      <c r="Q462" s="99" t="inlineStr">
        <is>
          <t>주식</t>
        </is>
      </c>
      <c r="R462" s="99" t="inlineStr">
        <is>
          <t>연배당</t>
        </is>
      </c>
      <c r="S462" s="100" t="n">
        <v>2</v>
      </c>
      <c r="T462" s="101" t="n">
        <v>1</v>
      </c>
      <c r="U462" s="103" t="n"/>
      <c r="V462" s="103" t="n"/>
      <c r="W462" s="103" t="n"/>
      <c r="X462" s="103" t="n"/>
      <c r="Y462" s="99" t="inlineStr"/>
      <c r="Z462" s="99" t="inlineStr">
        <is>
          <t>창 안 급변일 1일(20260731) — 내지 않음 / 6개월: 창 안 급변일 1일(20260731) — 내지 않음 / 3개월: 창 안 급변일 1일(20260731) — 내지 않음</t>
        </is>
      </c>
      <c r="AA462">
        <f>IF(AND($J462&lt;&gt;"",OR(조회_주기="전체",$R462=조회_주기),$J462&gt;=조회_최소,$J462&lt;=조회_최대),1,0)</f>
        <v/>
      </c>
      <c r="AB462">
        <f>IF($AA462=1,$AB461+1,$AB461)</f>
        <v/>
      </c>
      <c r="AC462">
        <f>IF(검색어="",1,IF(ISNUMBER(SEARCH(검색어,$A462)),1,0))</f>
        <v/>
      </c>
      <c r="AD462">
        <f>IF($AC462=1,$AD461+1,$AD461)</f>
        <v/>
      </c>
      <c r="AE462">
        <f>IFERROR(INDEX($A$4:$A$594,MATCH(459,$AD$4:$AD$594,0)),"")</f>
        <v/>
      </c>
    </row>
    <row r="463">
      <c r="A463" s="99" t="inlineStr">
        <is>
          <t>KODEX 아시아AI반도체exChina액티브</t>
        </is>
      </c>
      <c r="B463" s="99" t="inlineStr">
        <is>
          <t>446690</t>
        </is>
      </c>
      <c r="C463" s="99" t="inlineStr">
        <is>
          <t>삼성자산운용(ETF)</t>
        </is>
      </c>
      <c r="D463" s="100" t="n">
        <v>65730</v>
      </c>
      <c r="E463" s="100" t="n">
        <v>32865000000</v>
      </c>
      <c r="F463" s="100" t="n">
        <v>813457660</v>
      </c>
      <c r="G463" s="101" t="n">
        <v>0.005</v>
      </c>
      <c r="H463" s="101" t="n">
        <v>0.4521</v>
      </c>
      <c r="I463" s="101" t="n">
        <v>0.0012</v>
      </c>
      <c r="J463" s="101" t="n">
        <v>0.004275</v>
      </c>
      <c r="K463" s="100" t="n">
        <v>13</v>
      </c>
      <c r="L463" s="102" t="inlineStr">
        <is>
          <t>20260730</t>
        </is>
      </c>
      <c r="M463" s="99" t="inlineStr">
        <is>
          <t>제외</t>
        </is>
      </c>
      <c r="N463" s="99" t="inlineStr">
        <is>
          <t>변동성 45.2%(1년 기준, 기준 35% 초과)</t>
        </is>
      </c>
      <c r="O463" s="99" t="inlineStr">
        <is>
          <t>NH iSelect Asia Semiconductor Manufacturing Ecosystem Index</t>
        </is>
      </c>
      <c r="P463" s="99" t="inlineStr">
        <is>
          <t>일반</t>
        </is>
      </c>
      <c r="Q463" s="99" t="inlineStr">
        <is>
          <t>주식</t>
        </is>
      </c>
      <c r="R463" s="99" t="inlineStr">
        <is>
          <t>분기배당</t>
        </is>
      </c>
      <c r="S463" s="100" t="n">
        <v>3</v>
      </c>
      <c r="T463" s="101" t="n">
        <v>1</v>
      </c>
      <c r="U463" s="103" t="n">
        <v>1.9297</v>
      </c>
      <c r="V463" s="103" t="n">
        <v>1.9171</v>
      </c>
      <c r="W463" s="103" t="n">
        <v>0.5384</v>
      </c>
      <c r="X463" s="103" t="n">
        <v>-0.1512</v>
      </c>
      <c r="Y463" s="99" t="inlineStr">
        <is>
          <t>20250922~20261002</t>
        </is>
      </c>
      <c r="Z463" s="99" t="inlineStr"/>
      <c r="AA463">
        <f>IF(AND($J463&lt;&gt;"",OR(조회_주기="전체",$R463=조회_주기),$J463&gt;=조회_최소,$J463&lt;=조회_최대),1,0)</f>
        <v/>
      </c>
      <c r="AB463">
        <f>IF($AA463=1,$AB462+1,$AB462)</f>
        <v/>
      </c>
      <c r="AC463">
        <f>IF(검색어="",1,IF(ISNUMBER(SEARCH(검색어,$A463)),1,0))</f>
        <v/>
      </c>
      <c r="AD463">
        <f>IF($AC463=1,$AD462+1,$AD462)</f>
        <v/>
      </c>
      <c r="AE463">
        <f>IFERROR(INDEX($A$4:$A$594,MATCH(460,$AD$4:$AD$594,0)),"")</f>
        <v/>
      </c>
    </row>
    <row r="464">
      <c r="A464" s="99" t="inlineStr">
        <is>
          <t>RISE 2차전지액티브</t>
        </is>
      </c>
      <c r="B464" s="99" t="inlineStr">
        <is>
          <t>422420</t>
        </is>
      </c>
      <c r="C464" s="99" t="inlineStr">
        <is>
          <t>KB자산운용</t>
        </is>
      </c>
      <c r="D464" s="100" t="n">
        <v>7080</v>
      </c>
      <c r="E464" s="100" t="n">
        <v>231799200000</v>
      </c>
      <c r="F464" s="100" t="n">
        <v>1189425640</v>
      </c>
      <c r="G464" s="101" t="n">
        <v>0.0035</v>
      </c>
      <c r="H464" s="101" t="n">
        <v>0.625</v>
      </c>
      <c r="I464" s="101" t="n">
        <v>0.003</v>
      </c>
      <c r="J464" s="101" t="n">
        <v>0.004237</v>
      </c>
      <c r="K464" s="100" t="n">
        <v>3</v>
      </c>
      <c r="L464" s="102" t="inlineStr">
        <is>
          <t>20260730</t>
        </is>
      </c>
      <c r="M464" s="99" t="inlineStr">
        <is>
          <t>제외</t>
        </is>
      </c>
      <c r="N464" s="99" t="inlineStr">
        <is>
          <t>변동성 62.5%(1년 기준, 기준 35% 초과)</t>
        </is>
      </c>
      <c r="O464" s="99" t="inlineStr">
        <is>
          <t>iSelect 2차전지 지수</t>
        </is>
      </c>
      <c r="P464" s="99" t="inlineStr">
        <is>
          <t>일반</t>
        </is>
      </c>
      <c r="Q464" s="99" t="inlineStr">
        <is>
          <t>주식</t>
        </is>
      </c>
      <c r="R464" s="99" t="inlineStr">
        <is>
          <t>반기배당</t>
        </is>
      </c>
      <c r="S464" s="100" t="n">
        <v>2</v>
      </c>
      <c r="T464" s="101" t="n">
        <v>1</v>
      </c>
      <c r="U464" s="103" t="n"/>
      <c r="V464" s="103" t="n"/>
      <c r="W464" s="103" t="n">
        <v>-0.1692</v>
      </c>
      <c r="X464" s="103" t="n">
        <v>0.038</v>
      </c>
      <c r="Y464" s="99" t="inlineStr"/>
      <c r="Z464" s="99" t="inlineStr">
        <is>
          <t>창 안 급변일 1일(20260304) — 내지 않음</t>
        </is>
      </c>
      <c r="AA464">
        <f>IF(AND($J464&lt;&gt;"",OR(조회_주기="전체",$R464=조회_주기),$J464&gt;=조회_최소,$J464&lt;=조회_최대),1,0)</f>
        <v/>
      </c>
      <c r="AB464">
        <f>IF($AA464=1,$AB463+1,$AB463)</f>
        <v/>
      </c>
      <c r="AC464">
        <f>IF(검색어="",1,IF(ISNUMBER(SEARCH(검색어,$A464)),1,0))</f>
        <v/>
      </c>
      <c r="AD464">
        <f>IF($AC464=1,$AD463+1,$AD463)</f>
        <v/>
      </c>
      <c r="AE464">
        <f>IFERROR(INDEX($A$4:$A$594,MATCH(461,$AD$4:$AD$594,0)),"")</f>
        <v/>
      </c>
    </row>
    <row r="465">
      <c r="A465" s="99" t="inlineStr">
        <is>
          <t>RISE 미국반도체NYSE</t>
        </is>
      </c>
      <c r="B465" s="99" t="inlineStr">
        <is>
          <t>469060</t>
        </is>
      </c>
      <c r="C465" s="99" t="inlineStr">
        <is>
          <t>KB자산운용</t>
        </is>
      </c>
      <c r="D465" s="100" t="n">
        <v>37485</v>
      </c>
      <c r="E465" s="100" t="n">
        <v>78718500000</v>
      </c>
      <c r="F465" s="100" t="n">
        <v>1430555683</v>
      </c>
      <c r="G465" s="101" t="n">
        <v>0.0001</v>
      </c>
      <c r="H465" s="101" t="n">
        <v>0.4653</v>
      </c>
      <c r="I465" s="101" t="n">
        <v>0.0013</v>
      </c>
      <c r="J465" s="101" t="n">
        <v>0.004188</v>
      </c>
      <c r="K465" s="100" t="n">
        <v>11</v>
      </c>
      <c r="L465" s="102" t="inlineStr">
        <is>
          <t>20260730</t>
        </is>
      </c>
      <c r="M465" s="99" t="inlineStr">
        <is>
          <t>제외</t>
        </is>
      </c>
      <c r="N465" s="99" t="inlineStr">
        <is>
          <t>변동성 46.5%(1년 기준, 기준 35% 초과)</t>
        </is>
      </c>
      <c r="O465" s="99" t="inlineStr">
        <is>
          <t>NYSE Semiconductor Index</t>
        </is>
      </c>
      <c r="P465" s="99" t="inlineStr">
        <is>
          <t>일반</t>
        </is>
      </c>
      <c r="Q465" s="99" t="inlineStr">
        <is>
          <t>주식</t>
        </is>
      </c>
      <c r="R465" s="99" t="inlineStr">
        <is>
          <t>분기배당</t>
        </is>
      </c>
      <c r="S465" s="100" t="n">
        <v>3</v>
      </c>
      <c r="T465" s="101" t="n">
        <v>1</v>
      </c>
      <c r="U465" s="103" t="n">
        <v>1.1026</v>
      </c>
      <c r="V465" s="103" t="n">
        <v>1.0938</v>
      </c>
      <c r="W465" s="103" t="n">
        <v>0.5194</v>
      </c>
      <c r="X465" s="103" t="n">
        <v>-0.0999</v>
      </c>
      <c r="Y465" s="99" t="inlineStr">
        <is>
          <t>20250922~20261002</t>
        </is>
      </c>
      <c r="Z465" s="99" t="inlineStr"/>
      <c r="AA465">
        <f>IF(AND($J465&lt;&gt;"",OR(조회_주기="전체",$R465=조회_주기),$J465&gt;=조회_최소,$J465&lt;=조회_최대),1,0)</f>
        <v/>
      </c>
      <c r="AB465">
        <f>IF($AA465=1,$AB464+1,$AB464)</f>
        <v/>
      </c>
      <c r="AC465">
        <f>IF(검색어="",1,IF(ISNUMBER(SEARCH(검색어,$A465)),1,0))</f>
        <v/>
      </c>
      <c r="AD465">
        <f>IF($AC465=1,$AD464+1,$AD464)</f>
        <v/>
      </c>
      <c r="AE465">
        <f>IFERROR(INDEX($A$4:$A$594,MATCH(462,$AD$4:$AD$594,0)),"")</f>
        <v/>
      </c>
    </row>
    <row r="466">
      <c r="A466" s="99" t="inlineStr">
        <is>
          <t>PLUS 미국양자컴퓨팅TOP10</t>
        </is>
      </c>
      <c r="B466" s="99" t="inlineStr">
        <is>
          <t>0023B0</t>
        </is>
      </c>
      <c r="C466" s="99" t="inlineStr">
        <is>
          <t>한화자산운용</t>
        </is>
      </c>
      <c r="D466" s="100" t="n">
        <v>16065</v>
      </c>
      <c r="E466" s="100" t="n">
        <v>34539750000</v>
      </c>
      <c r="F466" s="100" t="n">
        <v>311257783</v>
      </c>
      <c r="G466" s="101" t="n">
        <v>0.004500000000000001</v>
      </c>
      <c r="H466" s="101" t="n">
        <v>0.5602</v>
      </c>
      <c r="I466" s="101" t="n">
        <v>0.0005999999999999999</v>
      </c>
      <c r="J466" s="101" t="n">
        <v>0.004171</v>
      </c>
      <c r="K466" s="100" t="n">
        <v>2</v>
      </c>
      <c r="L466" s="102" t="inlineStr">
        <is>
          <t>20260429</t>
        </is>
      </c>
      <c r="M466" s="99" t="inlineStr">
        <is>
          <t>제외</t>
        </is>
      </c>
      <c r="N466" s="99" t="inlineStr">
        <is>
          <t>60일 거래대금 3.1억(기준 5억 미만), 변동성 56.0%(1년 기준, 기준 35% 초과)</t>
        </is>
      </c>
      <c r="O466" s="99" t="inlineStr">
        <is>
          <t>iSelect U.S. Quantum Computing TOP10 Index</t>
        </is>
      </c>
      <c r="P466" s="99" t="inlineStr">
        <is>
          <t>일반</t>
        </is>
      </c>
      <c r="Q466" s="99" t="inlineStr">
        <is>
          <t>주식</t>
        </is>
      </c>
      <c r="R466" s="99" t="inlineStr">
        <is>
          <t>연배당</t>
        </is>
      </c>
      <c r="S466" s="100" t="n">
        <v>2</v>
      </c>
      <c r="T466" s="101" t="n">
        <v>1</v>
      </c>
      <c r="U466" s="103" t="n"/>
      <c r="V466" s="103" t="n"/>
      <c r="W466" s="103" t="n">
        <v>0.18</v>
      </c>
      <c r="X466" s="103" t="n">
        <v>-0.169</v>
      </c>
      <c r="Y466" s="99" t="inlineStr"/>
      <c r="Z466" s="99" t="inlineStr">
        <is>
          <t>창 안 급변일 1일(20251010) — 내지 않음</t>
        </is>
      </c>
      <c r="AA466">
        <f>IF(AND($J466&lt;&gt;"",OR(조회_주기="전체",$R466=조회_주기),$J466&gt;=조회_최소,$J466&lt;=조회_최대),1,0)</f>
        <v/>
      </c>
      <c r="AB466">
        <f>IF($AA466=1,$AB465+1,$AB465)</f>
        <v/>
      </c>
      <c r="AC466">
        <f>IF(검색어="",1,IF(ISNUMBER(SEARCH(검색어,$A466)),1,0))</f>
        <v/>
      </c>
      <c r="AD466">
        <f>IF($AC466=1,$AD465+1,$AD465)</f>
        <v/>
      </c>
      <c r="AE466">
        <f>IFERROR(INDEX($A$4:$A$594,MATCH(463,$AD$4:$AD$594,0)),"")</f>
        <v/>
      </c>
    </row>
    <row r="467">
      <c r="A467" s="99" t="inlineStr">
        <is>
          <t>TIGER 2차전지TOP10레버리지</t>
        </is>
      </c>
      <c r="B467" s="99" t="inlineStr">
        <is>
          <t>412570</t>
        </is>
      </c>
      <c r="C467" s="99" t="inlineStr">
        <is>
          <t>미래에셋자산운용</t>
        </is>
      </c>
      <c r="D467" s="100" t="n">
        <v>1203</v>
      </c>
      <c r="E467" s="100" t="n">
        <v>182013900000</v>
      </c>
      <c r="F467" s="100" t="n">
        <v>7708944003</v>
      </c>
      <c r="G467" s="101" t="n">
        <v>0.0029</v>
      </c>
      <c r="H467" s="101" t="n">
        <v>1.1922</v>
      </c>
      <c r="I467" s="101" t="n">
        <v>0.0038</v>
      </c>
      <c r="J467" s="101" t="n">
        <v>0.004156</v>
      </c>
      <c r="K467" s="100" t="n">
        <v>1</v>
      </c>
      <c r="L467" s="102" t="inlineStr">
        <is>
          <t>20251229</t>
        </is>
      </c>
      <c r="M467" s="99" t="inlineStr">
        <is>
          <t>제외</t>
        </is>
      </c>
      <c r="N467" s="99" t="inlineStr">
        <is>
          <t>변동성 119.2%(1년 기준, 기준 35% 초과)</t>
        </is>
      </c>
      <c r="O467" s="99" t="inlineStr">
        <is>
          <t>KRX 2차전지 TOP 10 지수</t>
        </is>
      </c>
      <c r="P467" s="99" t="inlineStr">
        <is>
          <t>일반</t>
        </is>
      </c>
      <c r="Q467" s="99" t="inlineStr">
        <is>
          <t>주식</t>
        </is>
      </c>
      <c r="R467" s="99" t="inlineStr">
        <is>
          <t>연배당</t>
        </is>
      </c>
      <c r="S467" s="100" t="n">
        <v>1</v>
      </c>
      <c r="T467" s="101" t="n">
        <v>0</v>
      </c>
      <c r="U467" s="103" t="n"/>
      <c r="V467" s="103" t="n"/>
      <c r="W467" s="103" t="n"/>
      <c r="X467" s="103" t="n"/>
      <c r="Y467" s="99" t="inlineStr"/>
      <c r="Z467" s="99" t="inlineStr">
        <is>
          <t>창 안 급변일 11일(20251024,20260303,20260304,20260305,20260421,20260512,20260608,20260623,20260626,20260629,20260723) — 내지 않음 / 6개월: 창 안 급변일 7일(20260421,20260512,20260608,20260623,20260626,20260629,20260723) — 내지 않음 / 3개월: 창 안 급변일 1일(20260723) — 내지 않음</t>
        </is>
      </c>
      <c r="AA467">
        <f>IF(AND($J467&lt;&gt;"",OR(조회_주기="전체",$R467=조회_주기),$J467&gt;=조회_최소,$J467&lt;=조회_최대),1,0)</f>
        <v/>
      </c>
      <c r="AB467">
        <f>IF($AA467=1,$AB466+1,$AB466)</f>
        <v/>
      </c>
      <c r="AC467">
        <f>IF(검색어="",1,IF(ISNUMBER(SEARCH(검색어,$A467)),1,0))</f>
        <v/>
      </c>
      <c r="AD467">
        <f>IF($AC467=1,$AD466+1,$AD466)</f>
        <v/>
      </c>
      <c r="AE467">
        <f>IFERROR(INDEX($A$4:$A$594,MATCH(464,$AD$4:$AD$594,0)),"")</f>
        <v/>
      </c>
    </row>
    <row r="468">
      <c r="A468" s="99" t="inlineStr">
        <is>
          <t>SOL 글로벌AI반도체탑픽액티브</t>
        </is>
      </c>
      <c r="B468" s="99" t="inlineStr">
        <is>
          <t>423170</t>
        </is>
      </c>
      <c r="C468" s="99" t="inlineStr">
        <is>
          <t>신한자산운용</t>
        </is>
      </c>
      <c r="D468" s="100" t="n">
        <v>61105</v>
      </c>
      <c r="E468" s="100" t="n">
        <v>274972500000</v>
      </c>
      <c r="F468" s="100" t="n">
        <v>3777056678</v>
      </c>
      <c r="G468" s="101" t="n">
        <v>0.005500000000000001</v>
      </c>
      <c r="H468" s="101" t="n">
        <v>0.4381</v>
      </c>
      <c r="I468" s="101" t="n">
        <v>0.005</v>
      </c>
      <c r="J468" s="101" t="n">
        <v>0.004091</v>
      </c>
      <c r="K468" s="100" t="n">
        <v>4</v>
      </c>
      <c r="L468" s="102" t="inlineStr">
        <is>
          <t>20260429</t>
        </is>
      </c>
      <c r="M468" s="99" t="inlineStr">
        <is>
          <t>제외</t>
        </is>
      </c>
      <c r="N468" s="99" t="inlineStr">
        <is>
          <t>변동성 43.8%(1년 기준, 기준 35% 초과)</t>
        </is>
      </c>
      <c r="O468" s="99" t="inlineStr">
        <is>
          <t>S&amp;P Global Semiconductor Korea Tilted Index (KRW)</t>
        </is>
      </c>
      <c r="P468" s="99" t="inlineStr">
        <is>
          <t>일반</t>
        </is>
      </c>
      <c r="Q468" s="99" t="inlineStr">
        <is>
          <t>주식</t>
        </is>
      </c>
      <c r="R468" s="99" t="inlineStr">
        <is>
          <t>연배당</t>
        </is>
      </c>
      <c r="S468" s="100" t="n">
        <v>1</v>
      </c>
      <c r="T468" s="101" t="n">
        <v>1</v>
      </c>
      <c r="U468" s="103" t="n">
        <v>1.5286</v>
      </c>
      <c r="V468" s="103" t="n">
        <v>1.5183</v>
      </c>
      <c r="W468" s="103" t="n">
        <v>0.5473</v>
      </c>
      <c r="X468" s="103" t="n">
        <v>-0.1212</v>
      </c>
      <c r="Y468" s="99" t="inlineStr">
        <is>
          <t>20250922~20261002</t>
        </is>
      </c>
      <c r="Z468" s="99" t="inlineStr"/>
      <c r="AA468">
        <f>IF(AND($J468&lt;&gt;"",OR(조회_주기="전체",$R468=조회_주기),$J468&gt;=조회_최소,$J468&lt;=조회_최대),1,0)</f>
        <v/>
      </c>
      <c r="AB468">
        <f>IF($AA468=1,$AB467+1,$AB467)</f>
        <v/>
      </c>
      <c r="AC468">
        <f>IF(검색어="",1,IF(ISNUMBER(SEARCH(검색어,$A468)),1,0))</f>
        <v/>
      </c>
      <c r="AD468">
        <f>IF($AC468=1,$AD467+1,$AD467)</f>
        <v/>
      </c>
      <c r="AE468">
        <f>IFERROR(INDEX($A$4:$A$594,MATCH(465,$AD$4:$AD$594,0)),"")</f>
        <v/>
      </c>
    </row>
    <row r="469">
      <c r="A469" s="99" t="inlineStr">
        <is>
          <t>KODEX 우량주</t>
        </is>
      </c>
      <c r="B469" s="99" t="inlineStr">
        <is>
          <t>275300</t>
        </is>
      </c>
      <c r="C469" s="99" t="inlineStr">
        <is>
          <t>삼성자산운용(ETF)</t>
        </is>
      </c>
      <c r="D469" s="100" t="n">
        <v>30995</v>
      </c>
      <c r="E469" s="100" t="n">
        <v>52691500000</v>
      </c>
      <c r="F469" s="100" t="n">
        <v>227254355</v>
      </c>
      <c r="G469" s="101" t="n">
        <v>0.003</v>
      </c>
      <c r="H469" s="101" t="n">
        <v>0.5849</v>
      </c>
      <c r="I469" s="101" t="n">
        <v>0.0008</v>
      </c>
      <c r="J469" s="101" t="n">
        <v>0.004065</v>
      </c>
      <c r="K469" s="100" t="n">
        <v>6</v>
      </c>
      <c r="L469" s="102" t="inlineStr">
        <is>
          <t>20260730</t>
        </is>
      </c>
      <c r="M469" s="99" t="inlineStr">
        <is>
          <t>제외</t>
        </is>
      </c>
      <c r="N469" s="99" t="inlineStr">
        <is>
          <t>60일 거래대금 2.3억(기준 5억 미만), 변동성 58.5%(1년 기준, 기준 35% 초과)</t>
        </is>
      </c>
      <c r="O469" s="99" t="inlineStr">
        <is>
          <t>MSCI Korea IMI Quality</t>
        </is>
      </c>
      <c r="P469" s="99" t="inlineStr">
        <is>
          <t>일반</t>
        </is>
      </c>
      <c r="Q469" s="99" t="inlineStr">
        <is>
          <t>주식</t>
        </is>
      </c>
      <c r="R469" s="99" t="inlineStr">
        <is>
          <t>연배당</t>
        </is>
      </c>
      <c r="S469" s="100" t="n">
        <v>2</v>
      </c>
      <c r="T469" s="101" t="n">
        <v>1</v>
      </c>
      <c r="U469" s="103" t="n"/>
      <c r="V469" s="103" t="n"/>
      <c r="W469" s="103" t="n"/>
      <c r="X469" s="103" t="n"/>
      <c r="Y469" s="99" t="inlineStr"/>
      <c r="Z469" s="99" t="inlineStr">
        <is>
          <t>창 안 급변일 1일(20260731) — 내지 않음 / 6개월: 창 안 급변일 1일(20260731) — 내지 않음 / 3개월: 창 안 급변일 1일(20260731) — 내지 않음</t>
        </is>
      </c>
      <c r="AA469">
        <f>IF(AND($J469&lt;&gt;"",OR(조회_주기="전체",$R469=조회_주기),$J469&gt;=조회_최소,$J469&lt;=조회_최대),1,0)</f>
        <v/>
      </c>
      <c r="AB469">
        <f>IF($AA469=1,$AB468+1,$AB468)</f>
        <v/>
      </c>
      <c r="AC469">
        <f>IF(검색어="",1,IF(ISNUMBER(SEARCH(검색어,$A469)),1,0))</f>
        <v/>
      </c>
      <c r="AD469">
        <f>IF($AC469=1,$AD468+1,$AD468)</f>
        <v/>
      </c>
      <c r="AE469">
        <f>IFERROR(INDEX($A$4:$A$594,MATCH(466,$AD$4:$AD$594,0)),"")</f>
        <v/>
      </c>
    </row>
    <row r="470">
      <c r="A470" s="99" t="inlineStr">
        <is>
          <t>KODEX 은선물(H)</t>
        </is>
      </c>
      <c r="B470" s="99" t="inlineStr">
        <is>
          <t>144600</t>
        </is>
      </c>
      <c r="C470" s="99" t="inlineStr">
        <is>
          <t>삼성자산운용(ETF)</t>
        </is>
      </c>
      <c r="D470" s="100" t="n">
        <v>9920</v>
      </c>
      <c r="E470" s="100" t="n">
        <v>729120000000</v>
      </c>
      <c r="F470" s="100" t="n">
        <v>5776741791</v>
      </c>
      <c r="G470" s="101" t="n">
        <v>0.0068</v>
      </c>
      <c r="H470" s="101" t="n">
        <v>0.6731</v>
      </c>
      <c r="I470" s="101" t="n">
        <v>0.0031</v>
      </c>
      <c r="J470" s="101" t="n">
        <v>0.004032</v>
      </c>
      <c r="K470" s="100" t="n">
        <v>1</v>
      </c>
      <c r="L470" s="102" t="inlineStr">
        <is>
          <t>20251229</t>
        </is>
      </c>
      <c r="M470" s="99" t="inlineStr">
        <is>
          <t>제외</t>
        </is>
      </c>
      <c r="N470" s="99" t="inlineStr">
        <is>
          <t>변동성 67.3%(1년 기준, 기준 35% 초과)</t>
        </is>
      </c>
      <c r="O470" s="99" t="inlineStr">
        <is>
          <t>S&amp;P GSCI Silver</t>
        </is>
      </c>
      <c r="P470" s="99" t="inlineStr">
        <is>
          <t>일반</t>
        </is>
      </c>
      <c r="Q470" s="99" t="inlineStr">
        <is>
          <t>원자재</t>
        </is>
      </c>
      <c r="R470" s="99" t="inlineStr">
        <is>
          <t>연배당</t>
        </is>
      </c>
      <c r="S470" s="100" t="n">
        <v>1</v>
      </c>
      <c r="T470" s="101" t="n">
        <v>1</v>
      </c>
      <c r="U470" s="103" t="n"/>
      <c r="V470" s="103" t="n"/>
      <c r="W470" s="103" t="n">
        <v>-0.1814</v>
      </c>
      <c r="X470" s="103" t="n">
        <v>-0.0058</v>
      </c>
      <c r="Y470" s="99" t="inlineStr"/>
      <c r="Z470" s="99" t="inlineStr">
        <is>
          <t>창 안 급변일 1일(20260202) — 내지 않음</t>
        </is>
      </c>
      <c r="AA470">
        <f>IF(AND($J470&lt;&gt;"",OR(조회_주기="전체",$R470=조회_주기),$J470&gt;=조회_최소,$J470&lt;=조회_최대),1,0)</f>
        <v/>
      </c>
      <c r="AB470">
        <f>IF($AA470=1,$AB469+1,$AB469)</f>
        <v/>
      </c>
      <c r="AC470">
        <f>IF(검색어="",1,IF(ISNUMBER(SEARCH(검색어,$A470)),1,0))</f>
        <v/>
      </c>
      <c r="AD470">
        <f>IF($AC470=1,$AD469+1,$AD469)</f>
        <v/>
      </c>
      <c r="AE470">
        <f>IFERROR(INDEX($A$4:$A$594,MATCH(467,$AD$4:$AD$594,0)),"")</f>
        <v/>
      </c>
    </row>
    <row r="471">
      <c r="A471" s="99" t="inlineStr">
        <is>
          <t>RISE 미국반도체NYSE(H)</t>
        </is>
      </c>
      <c r="B471" s="99" t="inlineStr">
        <is>
          <t>469050</t>
        </is>
      </c>
      <c r="C471" s="99" t="inlineStr">
        <is>
          <t>KB자산운용</t>
        </is>
      </c>
      <c r="D471" s="100" t="n">
        <v>34765</v>
      </c>
      <c r="E471" s="100" t="n">
        <v>39979750000</v>
      </c>
      <c r="F471" s="100" t="n">
        <v>1181806926</v>
      </c>
      <c r="G471" s="101" t="n">
        <v>0.0001</v>
      </c>
      <c r="H471" s="101" t="n">
        <v>0.4681</v>
      </c>
      <c r="I471" s="101" t="n">
        <v>0.0014</v>
      </c>
      <c r="J471" s="101" t="n">
        <v>0.004027</v>
      </c>
      <c r="K471" s="100" t="n">
        <v>11</v>
      </c>
      <c r="L471" s="102" t="inlineStr">
        <is>
          <t>20260730</t>
        </is>
      </c>
      <c r="M471" s="99" t="inlineStr">
        <is>
          <t>제외</t>
        </is>
      </c>
      <c r="N471" s="99" t="inlineStr">
        <is>
          <t>변동성 46.8%(1년 기준, 기준 35% 초과)</t>
        </is>
      </c>
      <c r="O471" s="99" t="inlineStr">
        <is>
          <t>NYSE Semiconductor Index</t>
        </is>
      </c>
      <c r="P471" s="99" t="inlineStr">
        <is>
          <t>일반</t>
        </is>
      </c>
      <c r="Q471" s="99" t="inlineStr">
        <is>
          <t>주식</t>
        </is>
      </c>
      <c r="R471" s="99" t="inlineStr">
        <is>
          <t>분기배당</t>
        </is>
      </c>
      <c r="S471" s="100" t="n">
        <v>3</v>
      </c>
      <c r="T471" s="101" t="n">
        <v>1</v>
      </c>
      <c r="U471" s="103" t="n">
        <v>1.1028</v>
      </c>
      <c r="V471" s="103" t="n">
        <v>1.0943</v>
      </c>
      <c r="W471" s="103" t="n">
        <v>0.6779999999999999</v>
      </c>
      <c r="X471" s="103" t="n">
        <v>0.0132</v>
      </c>
      <c r="Y471" s="99" t="inlineStr">
        <is>
          <t>20250922~20261002</t>
        </is>
      </c>
      <c r="Z471" s="99" t="inlineStr"/>
      <c r="AA471">
        <f>IF(AND($J471&lt;&gt;"",OR(조회_주기="전체",$R471=조회_주기),$J471&gt;=조회_최소,$J471&lt;=조회_최대),1,0)</f>
        <v/>
      </c>
      <c r="AB471">
        <f>IF($AA471=1,$AB470+1,$AB470)</f>
        <v/>
      </c>
      <c r="AC471">
        <f>IF(검색어="",1,IF(ISNUMBER(SEARCH(검색어,$A471)),1,0))</f>
        <v/>
      </c>
      <c r="AD471">
        <f>IF($AC471=1,$AD470+1,$AD470)</f>
        <v/>
      </c>
      <c r="AE471">
        <f>IFERROR(INDEX($A$4:$A$594,MATCH(468,$AD$4:$AD$594,0)),"")</f>
        <v/>
      </c>
    </row>
    <row r="472">
      <c r="A472" s="99" t="inlineStr">
        <is>
          <t>KIWOOM 코리아테크TOP10</t>
        </is>
      </c>
      <c r="B472" s="99" t="inlineStr">
        <is>
          <t>469790</t>
        </is>
      </c>
      <c r="C472" s="99" t="inlineStr">
        <is>
          <t>키움투자자산운용</t>
        </is>
      </c>
      <c r="D472" s="100" t="n">
        <v>44935</v>
      </c>
      <c r="E472" s="100" t="n">
        <v>31454500000</v>
      </c>
      <c r="F472" s="100" t="n">
        <v>116245014</v>
      </c>
      <c r="G472" s="101" t="n">
        <v>0.0039</v>
      </c>
      <c r="H472" s="101" t="n">
        <v>0.6456999999999999</v>
      </c>
      <c r="I472" s="101" t="n">
        <v>0.0011</v>
      </c>
      <c r="J472" s="101" t="n">
        <v>0.004006</v>
      </c>
      <c r="K472" s="100" t="n">
        <v>7</v>
      </c>
      <c r="L472" s="102" t="inlineStr">
        <is>
          <t>20260730</t>
        </is>
      </c>
      <c r="M472" s="99" t="inlineStr">
        <is>
          <t>제외</t>
        </is>
      </c>
      <c r="N472" s="99" t="inlineStr">
        <is>
          <t>60일 거래대금 1.2억(기준 5억 미만), 변동성 64.6%(1년 기준, 기준 35% 초과)</t>
        </is>
      </c>
      <c r="O472" s="99" t="inlineStr">
        <is>
          <t>Solactive K-Tech Top 10 Index PR</t>
        </is>
      </c>
      <c r="P472" s="99" t="inlineStr">
        <is>
          <t>일반</t>
        </is>
      </c>
      <c r="Q472" s="99" t="inlineStr">
        <is>
          <t>주식</t>
        </is>
      </c>
      <c r="R472" s="99" t="inlineStr">
        <is>
          <t>분기배당</t>
        </is>
      </c>
      <c r="S472" s="100" t="n">
        <v>3</v>
      </c>
      <c r="T472" s="101" t="n">
        <v>0.3167</v>
      </c>
      <c r="U472" s="103" t="n"/>
      <c r="V472" s="103" t="n"/>
      <c r="W472" s="103" t="n"/>
      <c r="X472" s="103" t="n"/>
      <c r="Y472" s="99" t="inlineStr"/>
      <c r="Z472" s="99" t="inlineStr">
        <is>
          <t>창 안 급변일 1일(20260731) — 내지 않음 / 6개월: 창 안 급변일 1일(20260731) — 내지 않음 / 3개월: 창 안 급변일 1일(20260731) — 내지 않음</t>
        </is>
      </c>
      <c r="AA472">
        <f>IF(AND($J472&lt;&gt;"",OR(조회_주기="전체",$R472=조회_주기),$J472&gt;=조회_최소,$J472&lt;=조회_최대),1,0)</f>
        <v/>
      </c>
      <c r="AB472">
        <f>IF($AA472=1,$AB471+1,$AB471)</f>
        <v/>
      </c>
      <c r="AC472">
        <f>IF(검색어="",1,IF(ISNUMBER(SEARCH(검색어,$A472)),1,0))</f>
        <v/>
      </c>
      <c r="AD472">
        <f>IF($AC472=1,$AD471+1,$AD471)</f>
        <v/>
      </c>
      <c r="AE472">
        <f>IFERROR(INDEX($A$4:$A$594,MATCH(469,$AD$4:$AD$594,0)),"")</f>
        <v/>
      </c>
    </row>
    <row r="473">
      <c r="A473" s="99" t="inlineStr">
        <is>
          <t>KODEX 미국반도체</t>
        </is>
      </c>
      <c r="B473" s="99" t="inlineStr">
        <is>
          <t>390390</t>
        </is>
      </c>
      <c r="C473" s="99" t="inlineStr">
        <is>
          <t>삼성자산운용(ETF)</t>
        </is>
      </c>
      <c r="D473" s="100" t="n">
        <v>56900</v>
      </c>
      <c r="E473" s="100" t="n">
        <v>1365600000000</v>
      </c>
      <c r="F473" s="100" t="n">
        <v>42422801518</v>
      </c>
      <c r="G473" s="101" t="n">
        <v>0.0009</v>
      </c>
      <c r="H473" s="101" t="n">
        <v>0.4038</v>
      </c>
      <c r="I473" s="101" t="n">
        <v>0.0011</v>
      </c>
      <c r="J473" s="101" t="n">
        <v>0.003972</v>
      </c>
      <c r="K473" s="100" t="n">
        <v>14</v>
      </c>
      <c r="L473" s="102" t="inlineStr">
        <is>
          <t>20260730</t>
        </is>
      </c>
      <c r="M473" s="99" t="inlineStr">
        <is>
          <t>제외</t>
        </is>
      </c>
      <c r="N473" s="99" t="inlineStr">
        <is>
          <t>변동성 40.4%(1년 기준, 기준 35% 초과)</t>
        </is>
      </c>
      <c r="O473" s="99" t="inlineStr">
        <is>
          <t>MVIS US Listed Semiconductor 25 Index</t>
        </is>
      </c>
      <c r="P473" s="99" t="inlineStr">
        <is>
          <t>일반</t>
        </is>
      </c>
      <c r="Q473" s="99" t="inlineStr">
        <is>
          <t>주식</t>
        </is>
      </c>
      <c r="R473" s="99" t="inlineStr">
        <is>
          <t>분기배당</t>
        </is>
      </c>
      <c r="S473" s="100" t="n">
        <v>3</v>
      </c>
      <c r="T473" s="101" t="n">
        <v>1</v>
      </c>
      <c r="U473" s="103" t="n">
        <v>0.8974</v>
      </c>
      <c r="V473" s="103" t="n">
        <v>0.8898</v>
      </c>
      <c r="W473" s="103" t="n">
        <v>0.4072</v>
      </c>
      <c r="X473" s="103" t="n">
        <v>-0.0791</v>
      </c>
      <c r="Y473" s="99" t="inlineStr">
        <is>
          <t>20250922~20261002</t>
        </is>
      </c>
      <c r="Z473" s="99" t="inlineStr"/>
      <c r="AA473">
        <f>IF(AND($J473&lt;&gt;"",OR(조회_주기="전체",$R473=조회_주기),$J473&gt;=조회_최소,$J473&lt;=조회_최대),1,0)</f>
        <v/>
      </c>
      <c r="AB473">
        <f>IF($AA473=1,$AB472+1,$AB472)</f>
        <v/>
      </c>
      <c r="AC473">
        <f>IF(검색어="",1,IF(ISNUMBER(SEARCH(검색어,$A473)),1,0))</f>
        <v/>
      </c>
      <c r="AD473">
        <f>IF($AC473=1,$AD472+1,$AD472)</f>
        <v/>
      </c>
      <c r="AE473">
        <f>IFERROR(INDEX($A$4:$A$594,MATCH(470,$AD$4:$AD$594,0)),"")</f>
        <v/>
      </c>
    </row>
    <row r="474">
      <c r="A474" s="99" t="inlineStr">
        <is>
          <t>PLUS 글로벌원자력밸류체인</t>
        </is>
      </c>
      <c r="B474" s="99" t="inlineStr">
        <is>
          <t>0007G0</t>
        </is>
      </c>
      <c r="C474" s="99" t="inlineStr">
        <is>
          <t>한화자산운용</t>
        </is>
      </c>
      <c r="D474" s="100" t="n">
        <v>12120</v>
      </c>
      <c r="E474" s="100" t="n">
        <v>36966000000</v>
      </c>
      <c r="F474" s="100" t="n">
        <v>101255424</v>
      </c>
      <c r="G474" s="101" t="n">
        <v>0.0039</v>
      </c>
      <c r="H474" s="101" t="n">
        <v>0.45</v>
      </c>
      <c r="I474" s="101" t="n">
        <v>0.0003</v>
      </c>
      <c r="J474" s="101" t="n">
        <v>0.003878</v>
      </c>
      <c r="K474" s="100" t="n">
        <v>2</v>
      </c>
      <c r="L474" s="102" t="inlineStr">
        <is>
          <t>20260429</t>
        </is>
      </c>
      <c r="M474" s="99" t="inlineStr">
        <is>
          <t>제외</t>
        </is>
      </c>
      <c r="N474" s="99" t="inlineStr">
        <is>
          <t>60일 거래대금 1.0억(기준 5억 미만), 변동성 45.0%(1년 기준, 기준 35% 초과)</t>
        </is>
      </c>
      <c r="O474" s="99" t="inlineStr">
        <is>
          <t>Solactive Global Nuclear Energy Value Chain Index</t>
        </is>
      </c>
      <c r="P474" s="99" t="inlineStr">
        <is>
          <t>일반</t>
        </is>
      </c>
      <c r="Q474" s="99" t="inlineStr">
        <is>
          <t>주식</t>
        </is>
      </c>
      <c r="R474" s="99" t="inlineStr">
        <is>
          <t>연배당</t>
        </is>
      </c>
      <c r="S474" s="100" t="n">
        <v>2</v>
      </c>
      <c r="T474" s="101" t="n">
        <v>1</v>
      </c>
      <c r="U474" s="103" t="n">
        <v>-0.1986</v>
      </c>
      <c r="V474" s="103" t="n">
        <v>-0.2017</v>
      </c>
      <c r="W474" s="103" t="n">
        <v>-0.2822</v>
      </c>
      <c r="X474" s="103" t="n">
        <v>-0.2128</v>
      </c>
      <c r="Y474" s="99" t="inlineStr">
        <is>
          <t>20250922~20261002</t>
        </is>
      </c>
      <c r="Z474" s="99" t="inlineStr"/>
      <c r="AA474">
        <f>IF(AND($J474&lt;&gt;"",OR(조회_주기="전체",$R474=조회_주기),$J474&gt;=조회_최소,$J474&lt;=조회_최대),1,0)</f>
        <v/>
      </c>
      <c r="AB474">
        <f>IF($AA474=1,$AB473+1,$AB473)</f>
        <v/>
      </c>
      <c r="AC474">
        <f>IF(검색어="",1,IF(ISNUMBER(SEARCH(검색어,$A474)),1,0))</f>
        <v/>
      </c>
      <c r="AD474">
        <f>IF($AC474=1,$AD473+1,$AD473)</f>
        <v/>
      </c>
      <c r="AE474">
        <f>IFERROR(INDEX($A$4:$A$594,MATCH(471,$AD$4:$AD$594,0)),"")</f>
        <v/>
      </c>
    </row>
    <row r="475">
      <c r="A475" s="99" t="inlineStr">
        <is>
          <t>TIGER 미국필라델피아반도체레버리지(합성)</t>
        </is>
      </c>
      <c r="B475" s="99" t="inlineStr">
        <is>
          <t>423920</t>
        </is>
      </c>
      <c r="C475" s="99" t="inlineStr">
        <is>
          <t>미래에셋자산운용</t>
        </is>
      </c>
      <c r="D475" s="100" t="n">
        <v>92625</v>
      </c>
      <c r="E475" s="100" t="n">
        <v>642817500000</v>
      </c>
      <c r="F475" s="100" t="n">
        <v>11728452131</v>
      </c>
      <c r="G475" s="101" t="n">
        <v>0.0058</v>
      </c>
      <c r="H475" s="101" t="n">
        <v>0.9281</v>
      </c>
      <c r="I475" s="101" t="n">
        <v>0.0019</v>
      </c>
      <c r="J475" s="101" t="n">
        <v>0.003843</v>
      </c>
      <c r="K475" s="100" t="n">
        <v>9</v>
      </c>
      <c r="L475" s="102" t="inlineStr">
        <is>
          <t>20260730</t>
        </is>
      </c>
      <c r="M475" s="99" t="inlineStr">
        <is>
          <t>제외</t>
        </is>
      </c>
      <c r="N475" s="99" t="inlineStr">
        <is>
          <t>변동성 92.8%(1년 기준, 기준 35% 초과)</t>
        </is>
      </c>
      <c r="O475" s="99" t="inlineStr">
        <is>
          <t>PHLX Semiconductor Sector Index</t>
        </is>
      </c>
      <c r="P475" s="99" t="inlineStr">
        <is>
          <t>일반</t>
        </is>
      </c>
      <c r="Q475" s="99" t="inlineStr">
        <is>
          <t>주식</t>
        </is>
      </c>
      <c r="R475" s="99" t="inlineStr">
        <is>
          <t>분기배당</t>
        </is>
      </c>
      <c r="S475" s="100" t="n">
        <v>3</v>
      </c>
      <c r="T475" s="101" t="n">
        <v>1</v>
      </c>
      <c r="U475" s="103" t="n"/>
      <c r="V475" s="103" t="n"/>
      <c r="W475" s="103" t="n"/>
      <c r="X475" s="103" t="n">
        <v>-0.2555</v>
      </c>
      <c r="Y475" s="99" t="inlineStr"/>
      <c r="Z475" s="99" t="inlineStr">
        <is>
          <t>창 안 급변일 4일(20260604,20260608,20260624,20260703) — 내지 않음 / 6개월: 창 안 급변일 4일(20260604,20260608,20260624,20260703) — 내지 않음</t>
        </is>
      </c>
      <c r="AA475">
        <f>IF(AND($J475&lt;&gt;"",OR(조회_주기="전체",$R475=조회_주기),$J475&gt;=조회_최소,$J475&lt;=조회_최대),1,0)</f>
        <v/>
      </c>
      <c r="AB475">
        <f>IF($AA475=1,$AB474+1,$AB474)</f>
        <v/>
      </c>
      <c r="AC475">
        <f>IF(검색어="",1,IF(ISNUMBER(SEARCH(검색어,$A475)),1,0))</f>
        <v/>
      </c>
      <c r="AD475">
        <f>IF($AC475=1,$AD474+1,$AD474)</f>
        <v/>
      </c>
      <c r="AE475">
        <f>IFERROR(INDEX($A$4:$A$594,MATCH(472,$AD$4:$AD$594,0)),"")</f>
        <v/>
      </c>
    </row>
    <row r="476">
      <c r="A476" s="99" t="inlineStr">
        <is>
          <t>TIGER 글로벌이노베이션액티브</t>
        </is>
      </c>
      <c r="B476" s="99" t="inlineStr">
        <is>
          <t>387270</t>
        </is>
      </c>
      <c r="C476" s="99" t="inlineStr">
        <is>
          <t>미래에셋자산운용</t>
        </is>
      </c>
      <c r="D476" s="100" t="n">
        <v>26215</v>
      </c>
      <c r="E476" s="100" t="n">
        <v>30409400000</v>
      </c>
      <c r="F476" s="100" t="n">
        <v>113329105</v>
      </c>
      <c r="G476" s="101" t="n">
        <v>0.005500000000000001</v>
      </c>
      <c r="H476" s="101" t="n">
        <v>0.2919</v>
      </c>
      <c r="I476" s="101" t="n">
        <v>0.0048</v>
      </c>
      <c r="J476" s="101" t="n">
        <v>0.003815</v>
      </c>
      <c r="K476" s="100" t="n">
        <v>1</v>
      </c>
      <c r="L476" s="102" t="inlineStr">
        <is>
          <t>20251229</t>
        </is>
      </c>
      <c r="M476" s="99" t="inlineStr">
        <is>
          <t>제외</t>
        </is>
      </c>
      <c r="N476" s="99" t="inlineStr">
        <is>
          <t>60일 거래대금 1.1억(기준 5억 미만)</t>
        </is>
      </c>
      <c r="O476" s="99" t="inlineStr">
        <is>
          <t>나스닥 100</t>
        </is>
      </c>
      <c r="P476" s="99" t="inlineStr">
        <is>
          <t>일반</t>
        </is>
      </c>
      <c r="Q476" s="99" t="inlineStr">
        <is>
          <t>주식</t>
        </is>
      </c>
      <c r="R476" s="99" t="inlineStr">
        <is>
          <t>연배당</t>
        </is>
      </c>
      <c r="S476" s="100" t="n">
        <v>1</v>
      </c>
      <c r="T476" s="101" t="n">
        <v>1</v>
      </c>
      <c r="U476" s="103" t="n">
        <v>0.3512</v>
      </c>
      <c r="V476" s="103" t="n">
        <v>0.346</v>
      </c>
      <c r="W476" s="103" t="n">
        <v>0.2117</v>
      </c>
      <c r="X476" s="103" t="n">
        <v>-0.1087</v>
      </c>
      <c r="Y476" s="99" t="inlineStr">
        <is>
          <t>20250922~20261002</t>
        </is>
      </c>
      <c r="Z476" s="99" t="inlineStr"/>
      <c r="AA476">
        <f>IF(AND($J476&lt;&gt;"",OR(조회_주기="전체",$R476=조회_주기),$J476&gt;=조회_최소,$J476&lt;=조회_최대),1,0)</f>
        <v/>
      </c>
      <c r="AB476">
        <f>IF($AA476=1,$AB475+1,$AB475)</f>
        <v/>
      </c>
      <c r="AC476">
        <f>IF(검색어="",1,IF(ISNUMBER(SEARCH(검색어,$A476)),1,0))</f>
        <v/>
      </c>
      <c r="AD476">
        <f>IF($AC476=1,$AD475+1,$AD475)</f>
        <v/>
      </c>
      <c r="AE476">
        <f>IFERROR(INDEX($A$4:$A$594,MATCH(473,$AD$4:$AD$594,0)),"")</f>
        <v/>
      </c>
    </row>
    <row r="477">
      <c r="A477" s="99" t="inlineStr">
        <is>
          <t>KODEX 2차전지핵심소재10</t>
        </is>
      </c>
      <c r="B477" s="99" t="inlineStr">
        <is>
          <t>461950</t>
        </is>
      </c>
      <c r="C477" s="99" t="inlineStr">
        <is>
          <t>삼성자산운용(ETF)</t>
        </is>
      </c>
      <c r="D477" s="100" t="n">
        <v>5055</v>
      </c>
      <c r="E477" s="100" t="n">
        <v>178441500000</v>
      </c>
      <c r="F477" s="100" t="n">
        <v>4778972118</v>
      </c>
      <c r="G477" s="101" t="n">
        <v>0.0039</v>
      </c>
      <c r="H477" s="101" t="n">
        <v>0.6668999999999999</v>
      </c>
      <c r="I477" s="101" t="n">
        <v>0.0024</v>
      </c>
      <c r="J477" s="101" t="n">
        <v>0.003759</v>
      </c>
      <c r="K477" s="100" t="n">
        <v>4</v>
      </c>
      <c r="L477" s="102" t="inlineStr">
        <is>
          <t>20260730</t>
        </is>
      </c>
      <c r="M477" s="99" t="inlineStr">
        <is>
          <t>제외</t>
        </is>
      </c>
      <c r="N477" s="99" t="inlineStr">
        <is>
          <t>변동성 66.7%(1년 기준, 기준 35% 초과)</t>
        </is>
      </c>
      <c r="O477" s="99" t="inlineStr">
        <is>
          <t>FnGuide 2차전지핵심소재10 지수</t>
        </is>
      </c>
      <c r="P477" s="99" t="inlineStr">
        <is>
          <t>일반</t>
        </is>
      </c>
      <c r="Q477" s="99" t="inlineStr">
        <is>
          <t>주식</t>
        </is>
      </c>
      <c r="R477" s="99" t="inlineStr">
        <is>
          <t>연배당</t>
        </is>
      </c>
      <c r="S477" s="100" t="n">
        <v>2</v>
      </c>
      <c r="T477" s="101" t="n">
        <v>1</v>
      </c>
      <c r="U477" s="103" t="n"/>
      <c r="V477" s="103" t="n"/>
      <c r="W477" s="103" t="n">
        <v>-0.2303</v>
      </c>
      <c r="X477" s="103" t="n">
        <v>0.0312</v>
      </c>
      <c r="Y477" s="99" t="inlineStr"/>
      <c r="Z477" s="99" t="inlineStr">
        <is>
          <t>창 안 급변일 1일(20260304) — 내지 않음</t>
        </is>
      </c>
      <c r="AA477">
        <f>IF(AND($J477&lt;&gt;"",OR(조회_주기="전체",$R477=조회_주기),$J477&gt;=조회_최소,$J477&lt;=조회_최대),1,0)</f>
        <v/>
      </c>
      <c r="AB477">
        <f>IF($AA477=1,$AB476+1,$AB476)</f>
        <v/>
      </c>
      <c r="AC477">
        <f>IF(검색어="",1,IF(ISNUMBER(SEARCH(검색어,$A477)),1,0))</f>
        <v/>
      </c>
      <c r="AD477">
        <f>IF($AC477=1,$AD476+1,$AD476)</f>
        <v/>
      </c>
      <c r="AE477">
        <f>IFERROR(INDEX($A$4:$A$594,MATCH(474,$AD$4:$AD$594,0)),"")</f>
        <v/>
      </c>
    </row>
    <row r="478">
      <c r="A478" s="99" t="inlineStr">
        <is>
          <t>HANARO 머니마켓액티브</t>
        </is>
      </c>
      <c r="B478" s="99" t="inlineStr">
        <is>
          <t>486830</t>
        </is>
      </c>
      <c r="C478" s="99" t="inlineStr">
        <is>
          <t>NH-Amundi자산운용</t>
        </is>
      </c>
      <c r="D478" s="100" t="n">
        <v>53445</v>
      </c>
      <c r="E478" s="100" t="n">
        <v>254718870000</v>
      </c>
      <c r="F478" s="100" t="n">
        <v>182783512</v>
      </c>
      <c r="G478" s="101" t="n">
        <v>0.0004</v>
      </c>
      <c r="H478" s="101" t="n">
        <v>0.004</v>
      </c>
      <c r="I478" s="101" t="n">
        <v>0.0038</v>
      </c>
      <c r="J478" s="101" t="n">
        <v>0.003742</v>
      </c>
      <c r="K478" s="100" t="n">
        <v>1</v>
      </c>
      <c r="L478" s="102" t="inlineStr">
        <is>
          <t>20251229</t>
        </is>
      </c>
      <c r="M478" s="99" t="inlineStr">
        <is>
          <t>제외</t>
        </is>
      </c>
      <c r="N478" s="99" t="inlineStr">
        <is>
          <t>60일 거래대금 1.8억(기준 5억 미만)</t>
        </is>
      </c>
      <c r="O478" s="99" t="inlineStr">
        <is>
          <t>KIS-NH-Amundi MMF지수</t>
        </is>
      </c>
      <c r="P478" s="99" t="inlineStr">
        <is>
          <t>일반</t>
        </is>
      </c>
      <c r="Q478" s="99" t="inlineStr">
        <is>
          <t>단기자금(파킹형)</t>
        </is>
      </c>
      <c r="R478" s="99" t="inlineStr">
        <is>
          <t>연배당</t>
        </is>
      </c>
      <c r="S478" s="100" t="n">
        <v>1</v>
      </c>
      <c r="T478" s="101" t="n">
        <v>1</v>
      </c>
      <c r="U478" s="103" t="n">
        <v>0.031</v>
      </c>
      <c r="V478" s="103" t="n">
        <v>0.0272</v>
      </c>
      <c r="W478" s="103" t="n">
        <v>0.0158</v>
      </c>
      <c r="X478" s="103" t="n">
        <v>0.008800000000000001</v>
      </c>
      <c r="Y478" s="99" t="inlineStr">
        <is>
          <t>20250922~20261002</t>
        </is>
      </c>
      <c r="Z478" s="99" t="inlineStr"/>
      <c r="AA478">
        <f>IF(AND($J478&lt;&gt;"",OR(조회_주기="전체",$R478=조회_주기),$J478&gt;=조회_최소,$J478&lt;=조회_최대),1,0)</f>
        <v/>
      </c>
      <c r="AB478">
        <f>IF($AA478=1,$AB477+1,$AB477)</f>
        <v/>
      </c>
      <c r="AC478">
        <f>IF(검색어="",1,IF(ISNUMBER(SEARCH(검색어,$A478)),1,0))</f>
        <v/>
      </c>
      <c r="AD478">
        <f>IF($AC478=1,$AD477+1,$AD477)</f>
        <v/>
      </c>
      <c r="AE478">
        <f>IFERROR(INDEX($A$4:$A$594,MATCH(475,$AD$4:$AD$594,0)),"")</f>
        <v/>
      </c>
    </row>
    <row r="479">
      <c r="A479" s="99" t="inlineStr">
        <is>
          <t>TIGER 미국필라델피아반도체나스닥</t>
        </is>
      </c>
      <c r="B479" s="99" t="inlineStr">
        <is>
          <t>381180</t>
        </is>
      </c>
      <c r="C479" s="99" t="inlineStr">
        <is>
          <t>미래에셋자산운용</t>
        </is>
      </c>
      <c r="D479" s="100" t="n">
        <v>45260</v>
      </c>
      <c r="E479" s="100" t="n">
        <v>6162149000000</v>
      </c>
      <c r="F479" s="100" t="n">
        <v>97834666506</v>
      </c>
      <c r="G479" s="101" t="n">
        <v>0.0049</v>
      </c>
      <c r="H479" s="101" t="n">
        <v>0.4533</v>
      </c>
      <c r="I479" s="101" t="n">
        <v>0.0012</v>
      </c>
      <c r="J479" s="101" t="n">
        <v>0.003734</v>
      </c>
      <c r="K479" s="100" t="n">
        <v>18</v>
      </c>
      <c r="L479" s="102" t="inlineStr">
        <is>
          <t>20260730</t>
        </is>
      </c>
      <c r="M479" s="99" t="inlineStr">
        <is>
          <t>제외</t>
        </is>
      </c>
      <c r="N479" s="99" t="inlineStr">
        <is>
          <t>변동성 45.3%(1년 기준, 기준 35% 초과)</t>
        </is>
      </c>
      <c r="O479" s="99" t="inlineStr">
        <is>
          <t>PHLX Semiconductor Sector Index</t>
        </is>
      </c>
      <c r="P479" s="99" t="inlineStr">
        <is>
          <t>일반</t>
        </is>
      </c>
      <c r="Q479" s="99" t="inlineStr">
        <is>
          <t>주식</t>
        </is>
      </c>
      <c r="R479" s="99" t="inlineStr">
        <is>
          <t>분기배당</t>
        </is>
      </c>
      <c r="S479" s="100" t="n">
        <v>3</v>
      </c>
      <c r="T479" s="101" t="n">
        <v>1</v>
      </c>
      <c r="U479" s="103" t="n">
        <v>0.9869</v>
      </c>
      <c r="V479" s="103" t="n">
        <v>0.9795</v>
      </c>
      <c r="W479" s="103" t="n">
        <v>0.4612</v>
      </c>
      <c r="X479" s="103" t="n">
        <v>-0.1039</v>
      </c>
      <c r="Y479" s="99" t="inlineStr">
        <is>
          <t>20250922~20261002</t>
        </is>
      </c>
      <c r="Z479" s="99" t="inlineStr"/>
      <c r="AA479">
        <f>IF(AND($J479&lt;&gt;"",OR(조회_주기="전체",$R479=조회_주기),$J479&gt;=조회_최소,$J479&lt;=조회_최대),1,0)</f>
        <v/>
      </c>
      <c r="AB479">
        <f>IF($AA479=1,$AB478+1,$AB478)</f>
        <v/>
      </c>
      <c r="AC479">
        <f>IF(검색어="",1,IF(ISNUMBER(SEARCH(검색어,$A479)),1,0))</f>
        <v/>
      </c>
      <c r="AD479">
        <f>IF($AC479=1,$AD478+1,$AD478)</f>
        <v/>
      </c>
      <c r="AE479">
        <f>IFERROR(INDEX($A$4:$A$594,MATCH(476,$AD$4:$AD$594,0)),"")</f>
        <v/>
      </c>
    </row>
    <row r="480">
      <c r="A480" s="99" t="inlineStr">
        <is>
          <t>KODEX 원자력SMR</t>
        </is>
      </c>
      <c r="B480" s="99" t="inlineStr">
        <is>
          <t>0098F0</t>
        </is>
      </c>
      <c r="C480" s="99" t="inlineStr">
        <is>
          <t>삼성자산운용(ETF)</t>
        </is>
      </c>
      <c r="D480" s="100" t="n">
        <v>15600</v>
      </c>
      <c r="E480" s="100" t="n">
        <v>280800000000</v>
      </c>
      <c r="F480" s="100" t="n">
        <v>14149940510</v>
      </c>
      <c r="G480" s="101" t="n">
        <v>0.004500000000000001</v>
      </c>
      <c r="H480" s="101" t="n">
        <v>0.647</v>
      </c>
      <c r="I480" s="101" t="n">
        <v>0.0024</v>
      </c>
      <c r="J480" s="101" t="n">
        <v>0.003718</v>
      </c>
      <c r="K480" s="100" t="n">
        <v>1</v>
      </c>
      <c r="L480" s="102" t="inlineStr">
        <is>
          <t>20260429</t>
        </is>
      </c>
      <c r="M480" s="99" t="inlineStr">
        <is>
          <t>제외</t>
        </is>
      </c>
      <c r="N480" s="99" t="inlineStr">
        <is>
          <t>변동성 64.7%(1년 기준, 기준 35% 초과)</t>
        </is>
      </c>
      <c r="O480" s="99" t="inlineStr">
        <is>
          <t>iSelect 원자력SMR 지수</t>
        </is>
      </c>
      <c r="P480" s="99" t="inlineStr">
        <is>
          <t>일반</t>
        </is>
      </c>
      <c r="Q480" s="99" t="inlineStr">
        <is>
          <t>주식</t>
        </is>
      </c>
      <c r="R480" s="99" t="inlineStr">
        <is>
          <t>연배당</t>
        </is>
      </c>
      <c r="S480" s="100" t="n">
        <v>1</v>
      </c>
      <c r="T480" s="101" t="n">
        <v>0.9828</v>
      </c>
      <c r="U480" s="103" t="n"/>
      <c r="V480" s="103" t="n"/>
      <c r="W480" s="103" t="n">
        <v>-0.1905</v>
      </c>
      <c r="X480" s="103" t="n">
        <v>-0.0168</v>
      </c>
      <c r="Y480" s="99" t="inlineStr"/>
      <c r="Z480" s="99" t="inlineStr">
        <is>
          <t>창 안 급변일 1일(20260304) — 내지 않음</t>
        </is>
      </c>
      <c r="AA480">
        <f>IF(AND($J480&lt;&gt;"",OR(조회_주기="전체",$R480=조회_주기),$J480&gt;=조회_최소,$J480&lt;=조회_최대),1,0)</f>
        <v/>
      </c>
      <c r="AB480">
        <f>IF($AA480=1,$AB479+1,$AB479)</f>
        <v/>
      </c>
      <c r="AC480">
        <f>IF(검색어="",1,IF(ISNUMBER(SEARCH(검색어,$A480)),1,0))</f>
        <v/>
      </c>
      <c r="AD480">
        <f>IF($AC480=1,$AD479+1,$AD479)</f>
        <v/>
      </c>
      <c r="AE480">
        <f>IFERROR(INDEX($A$4:$A$594,MATCH(477,$AD$4:$AD$594,0)),"")</f>
        <v/>
      </c>
    </row>
    <row r="481">
      <c r="A481" s="99" t="inlineStr">
        <is>
          <t>RISE 200선물레버리지</t>
        </is>
      </c>
      <c r="B481" s="99" t="inlineStr">
        <is>
          <t>252400</t>
        </is>
      </c>
      <c r="C481" s="99" t="inlineStr">
        <is>
          <t>KB자산운용</t>
        </is>
      </c>
      <c r="D481" s="100" t="n">
        <v>106200</v>
      </c>
      <c r="E481" s="100" t="n">
        <v>63720000000</v>
      </c>
      <c r="F481" s="100" t="n">
        <v>1930235111</v>
      </c>
      <c r="G481" s="101" t="n">
        <v>0.00022</v>
      </c>
      <c r="H481" s="101" t="n">
        <v>1.1599</v>
      </c>
      <c r="I481" s="101" t="n">
        <v>0.0091</v>
      </c>
      <c r="J481" s="101" t="n">
        <v>0.003578</v>
      </c>
      <c r="K481" s="100" t="n">
        <v>1</v>
      </c>
      <c r="L481" s="102" t="inlineStr">
        <is>
          <t>20251229</t>
        </is>
      </c>
      <c r="M481" s="99" t="inlineStr">
        <is>
          <t>제외</t>
        </is>
      </c>
      <c r="N481" s="99" t="inlineStr">
        <is>
          <t>변동성 116.0%(1년 기준, 기준 35% 초과)</t>
        </is>
      </c>
      <c r="O481" s="99" t="inlineStr">
        <is>
          <t>KOSPI200선물지수</t>
        </is>
      </c>
      <c r="P481" s="99" t="inlineStr">
        <is>
          <t>일반</t>
        </is>
      </c>
      <c r="Q481" s="99" t="inlineStr">
        <is>
          <t>주식</t>
        </is>
      </c>
      <c r="R481" s="99" t="inlineStr">
        <is>
          <t>연배당</t>
        </is>
      </c>
      <c r="S481" s="100" t="n">
        <v>1</v>
      </c>
      <c r="T481" s="101" t="n">
        <v>1</v>
      </c>
      <c r="U481" s="103" t="n"/>
      <c r="V481" s="103" t="n"/>
      <c r="W481" s="103" t="n"/>
      <c r="X481" s="103" t="n"/>
      <c r="Y481" s="99" t="inlineStr"/>
      <c r="Z481" s="99" t="inlineStr">
        <is>
          <t>창 안 급변일 11일(20260303,20260304,20260401,20260521,20260608,20260609,20260623,20260702,20260713,20260728,20260731) — 내지 않음 / 6개월: 창 안 급변일 8일(20260521,20260608,20260609,20260623,20260702,20260713,20260728,20260731) — 내지 않음 / 3개월: 창 안 급변일 3일(20260713,20260728,20260731) — 내지 않음</t>
        </is>
      </c>
      <c r="AA481">
        <f>IF(AND($J481&lt;&gt;"",OR(조회_주기="전체",$R481=조회_주기),$J481&gt;=조회_최소,$J481&lt;=조회_최대),1,0)</f>
        <v/>
      </c>
      <c r="AB481">
        <f>IF($AA481=1,$AB480+1,$AB480)</f>
        <v/>
      </c>
      <c r="AC481">
        <f>IF(검색어="",1,IF(ISNUMBER(SEARCH(검색어,$A481)),1,0))</f>
        <v/>
      </c>
      <c r="AD481">
        <f>IF($AC481=1,$AD480+1,$AD480)</f>
        <v/>
      </c>
      <c r="AE481">
        <f>IFERROR(INDEX($A$4:$A$594,MATCH(478,$AD$4:$AD$594,0)),"")</f>
        <v/>
      </c>
    </row>
    <row r="482">
      <c r="A482" s="99" t="inlineStr">
        <is>
          <t>PLUS 미국나스닥테크</t>
        </is>
      </c>
      <c r="B482" s="99" t="inlineStr">
        <is>
          <t>287180</t>
        </is>
      </c>
      <c r="C482" s="99" t="inlineStr">
        <is>
          <t>한화자산운용</t>
        </is>
      </c>
      <c r="D482" s="100" t="n">
        <v>57315</v>
      </c>
      <c r="E482" s="100" t="n">
        <v>51583500000</v>
      </c>
      <c r="F482" s="100" t="n">
        <v>231854609</v>
      </c>
      <c r="G482" s="101" t="n">
        <v>0.005</v>
      </c>
      <c r="H482" s="101" t="n">
        <v>0.2983</v>
      </c>
      <c r="I482" s="101" t="n">
        <v>0.004099999999999999</v>
      </c>
      <c r="J482" s="101" t="n">
        <v>0.003489</v>
      </c>
      <c r="K482" s="100" t="n">
        <v>2</v>
      </c>
      <c r="L482" s="102" t="inlineStr">
        <is>
          <t>20260429</t>
        </is>
      </c>
      <c r="M482" s="99" t="inlineStr">
        <is>
          <t>제외</t>
        </is>
      </c>
      <c r="N482" s="99" t="inlineStr">
        <is>
          <t>60일 거래대금 2.3억(기준 5억 미만)</t>
        </is>
      </c>
      <c r="O482" s="99" t="inlineStr">
        <is>
          <t>NASDAQ-100 Technology Sector Index</t>
        </is>
      </c>
      <c r="P482" s="99" t="inlineStr">
        <is>
          <t>일반</t>
        </is>
      </c>
      <c r="Q482" s="99" t="inlineStr">
        <is>
          <t>주식</t>
        </is>
      </c>
      <c r="R482" s="99" t="inlineStr">
        <is>
          <t>연배당</t>
        </is>
      </c>
      <c r="S482" s="100" t="n">
        <v>1</v>
      </c>
      <c r="T482" s="101" t="n">
        <v>1</v>
      </c>
      <c r="U482" s="103" t="n">
        <v>0.4135</v>
      </c>
      <c r="V482" s="103" t="n">
        <v>0.4086</v>
      </c>
      <c r="W482" s="103" t="n">
        <v>0.3537</v>
      </c>
      <c r="X482" s="103" t="n">
        <v>-0.0633</v>
      </c>
      <c r="Y482" s="99" t="inlineStr">
        <is>
          <t>20250922~20261002</t>
        </is>
      </c>
      <c r="Z482" s="99" t="inlineStr"/>
      <c r="AA482">
        <f>IF(AND($J482&lt;&gt;"",OR(조회_주기="전체",$R482=조회_주기),$J482&gt;=조회_최소,$J482&lt;=조회_최대),1,0)</f>
        <v/>
      </c>
      <c r="AB482">
        <f>IF($AA482=1,$AB481+1,$AB481)</f>
        <v/>
      </c>
      <c r="AC482">
        <f>IF(검색어="",1,IF(ISNUMBER(SEARCH(검색어,$A482)),1,0))</f>
        <v/>
      </c>
      <c r="AD482">
        <f>IF($AC482=1,$AD481+1,$AD481)</f>
        <v/>
      </c>
      <c r="AE482">
        <f>IFERROR(INDEX($A$4:$A$594,MATCH(479,$AD$4:$AD$594,0)),"")</f>
        <v/>
      </c>
    </row>
    <row r="483">
      <c r="A483" s="99" t="inlineStr">
        <is>
          <t>ACE 구글밸류체인액티브</t>
        </is>
      </c>
      <c r="B483" s="99" t="inlineStr">
        <is>
          <t>483340</t>
        </is>
      </c>
      <c r="C483" s="99" t="inlineStr">
        <is>
          <t>한국투신운용(ETF)</t>
        </is>
      </c>
      <c r="D483" s="100" t="n">
        <v>22655</v>
      </c>
      <c r="E483" s="100" t="n">
        <v>256001500000</v>
      </c>
      <c r="F483" s="100" t="n">
        <v>5711240492</v>
      </c>
      <c r="G483" s="101" t="n">
        <v>0.004500000000000001</v>
      </c>
      <c r="H483" s="101" t="n">
        <v>0.3804</v>
      </c>
      <c r="I483" s="101" t="n">
        <v>0.0051</v>
      </c>
      <c r="J483" s="101" t="n">
        <v>0.003487</v>
      </c>
      <c r="K483" s="100" t="n">
        <v>1</v>
      </c>
      <c r="L483" s="102" t="inlineStr">
        <is>
          <t>20251229</t>
        </is>
      </c>
      <c r="M483" s="99" t="inlineStr">
        <is>
          <t>제외</t>
        </is>
      </c>
      <c r="N483" s="99" t="inlineStr">
        <is>
          <t>변동성 38.0%(1년 기준, 기준 35% 초과)</t>
        </is>
      </c>
      <c r="O483" s="99" t="inlineStr">
        <is>
          <t>KEDI Global AI Cloud Index</t>
        </is>
      </c>
      <c r="P483" s="99" t="inlineStr">
        <is>
          <t>일반</t>
        </is>
      </c>
      <c r="Q483" s="99" t="inlineStr">
        <is>
          <t>주식</t>
        </is>
      </c>
      <c r="R483" s="99" t="inlineStr">
        <is>
          <t>연배당</t>
        </is>
      </c>
      <c r="S483" s="100" t="n">
        <v>1</v>
      </c>
      <c r="T483" s="101" t="n">
        <v>1</v>
      </c>
      <c r="U483" s="103" t="n">
        <v>0.6736</v>
      </c>
      <c r="V483" s="103" t="n">
        <v>0.6678000000000001</v>
      </c>
      <c r="W483" s="103" t="n">
        <v>0.2808</v>
      </c>
      <c r="X483" s="103" t="n">
        <v>-0.1253</v>
      </c>
      <c r="Y483" s="99" t="inlineStr">
        <is>
          <t>20250922~20261002</t>
        </is>
      </c>
      <c r="Z483" s="99" t="inlineStr"/>
      <c r="AA483">
        <f>IF(AND($J483&lt;&gt;"",OR(조회_주기="전체",$R483=조회_주기),$J483&gt;=조회_최소,$J483&lt;=조회_최대),1,0)</f>
        <v/>
      </c>
      <c r="AB483">
        <f>IF($AA483=1,$AB482+1,$AB482)</f>
        <v/>
      </c>
      <c r="AC483">
        <f>IF(검색어="",1,IF(ISNUMBER(SEARCH(검색어,$A483)),1,0))</f>
        <v/>
      </c>
      <c r="AD483">
        <f>IF($AC483=1,$AD482+1,$AD482)</f>
        <v/>
      </c>
      <c r="AE483">
        <f>IFERROR(INDEX($A$4:$A$594,MATCH(480,$AD$4:$AD$594,0)),"")</f>
        <v/>
      </c>
    </row>
    <row r="484">
      <c r="A484" s="99" t="inlineStr">
        <is>
          <t>RISE ESG사회책임투자</t>
        </is>
      </c>
      <c r="B484" s="99" t="inlineStr">
        <is>
          <t>290130</t>
        </is>
      </c>
      <c r="C484" s="99" t="inlineStr">
        <is>
          <t>KB자산운용</t>
        </is>
      </c>
      <c r="D484" s="100" t="n">
        <v>49060</v>
      </c>
      <c r="E484" s="100" t="n">
        <v>691746000000</v>
      </c>
      <c r="F484" s="100" t="n">
        <v>8791231295</v>
      </c>
      <c r="G484" s="101" t="n">
        <v>0.003</v>
      </c>
      <c r="H484" s="101" t="n">
        <v>0.6239</v>
      </c>
      <c r="I484" s="101" t="n">
        <v>0.004099999999999999</v>
      </c>
      <c r="J484" s="101" t="n">
        <v>0.003465</v>
      </c>
      <c r="K484" s="100" t="n">
        <v>6</v>
      </c>
      <c r="L484" s="102" t="inlineStr">
        <is>
          <t>20260429</t>
        </is>
      </c>
      <c r="M484" s="99" t="inlineStr">
        <is>
          <t>제외</t>
        </is>
      </c>
      <c r="N484" s="99" t="inlineStr">
        <is>
          <t>변동성 62.4%(1년 기준, 기준 35% 초과)</t>
        </is>
      </c>
      <c r="O484" s="99" t="inlineStr">
        <is>
          <t>KRX 사회책임경영지수</t>
        </is>
      </c>
      <c r="P484" s="99" t="inlineStr">
        <is>
          <t>일반</t>
        </is>
      </c>
      <c r="Q484" s="99" t="inlineStr">
        <is>
          <t>주식</t>
        </is>
      </c>
      <c r="R484" s="99" t="inlineStr">
        <is>
          <t>연배당</t>
        </is>
      </c>
      <c r="S484" s="100" t="n">
        <v>1</v>
      </c>
      <c r="T484" s="101" t="n">
        <v>1</v>
      </c>
      <c r="U484" s="103" t="n"/>
      <c r="V484" s="103" t="n"/>
      <c r="W484" s="103" t="n"/>
      <c r="X484" s="103" t="n"/>
      <c r="Y484" s="99" t="inlineStr"/>
      <c r="Z484" s="99" t="inlineStr">
        <is>
          <t>창 안 급변일 1일(20260731) — 내지 않음 / 6개월: 창 안 급변일 1일(20260731) — 내지 않음 / 3개월: 창 안 급변일 1일(20260731) — 내지 않음</t>
        </is>
      </c>
      <c r="AA484">
        <f>IF(AND($J484&lt;&gt;"",OR(조회_주기="전체",$R484=조회_주기),$J484&gt;=조회_최소,$J484&lt;=조회_최대),1,0)</f>
        <v/>
      </c>
      <c r="AB484">
        <f>IF($AA484=1,$AB483+1,$AB483)</f>
        <v/>
      </c>
      <c r="AC484">
        <f>IF(검색어="",1,IF(ISNUMBER(SEARCH(검색어,$A484)),1,0))</f>
        <v/>
      </c>
      <c r="AD484">
        <f>IF($AC484=1,$AD483+1,$AD483)</f>
        <v/>
      </c>
      <c r="AE484">
        <f>IFERROR(INDEX($A$4:$A$594,MATCH(481,$AD$4:$AD$594,0)),"")</f>
        <v/>
      </c>
    </row>
    <row r="485">
      <c r="A485" s="99" t="inlineStr">
        <is>
          <t>KODEX K콘텐츠</t>
        </is>
      </c>
      <c r="B485" s="99" t="inlineStr">
        <is>
          <t>266360</t>
        </is>
      </c>
      <c r="C485" s="99" t="inlineStr">
        <is>
          <t>삼성자산운용(ETF)</t>
        </is>
      </c>
      <c r="D485" s="100" t="n">
        <v>9275</v>
      </c>
      <c r="E485" s="100" t="n">
        <v>34317500000</v>
      </c>
      <c r="F485" s="100" t="n">
        <v>281526760</v>
      </c>
      <c r="G485" s="101" t="n">
        <v>0.004500000000000001</v>
      </c>
      <c r="H485" s="101" t="n">
        <v>0.3642</v>
      </c>
      <c r="I485" s="101" t="n">
        <v>0.0026</v>
      </c>
      <c r="J485" s="101" t="n">
        <v>0.00345</v>
      </c>
      <c r="K485" s="100" t="n">
        <v>5</v>
      </c>
      <c r="L485" s="102" t="inlineStr">
        <is>
          <t>20260429</t>
        </is>
      </c>
      <c r="M485" s="99" t="inlineStr">
        <is>
          <t>제외</t>
        </is>
      </c>
      <c r="N485" s="99" t="inlineStr">
        <is>
          <t>60일 거래대금 2.8억(기준 5억 미만), 변동성 36.4%(1년 기준, 기준 35% 초과)</t>
        </is>
      </c>
      <c r="O485" s="99" t="inlineStr">
        <is>
          <t>KRX K콘텐츠</t>
        </is>
      </c>
      <c r="P485" s="99" t="inlineStr">
        <is>
          <t>일반</t>
        </is>
      </c>
      <c r="Q485" s="99" t="inlineStr">
        <is>
          <t>주식</t>
        </is>
      </c>
      <c r="R485" s="99" t="inlineStr">
        <is>
          <t>연배당</t>
        </is>
      </c>
      <c r="S485" s="100" t="n">
        <v>1</v>
      </c>
      <c r="T485" s="101" t="n">
        <v>1</v>
      </c>
      <c r="U485" s="103" t="n">
        <v>-0.3365</v>
      </c>
      <c r="V485" s="103" t="n">
        <v>-0.3387</v>
      </c>
      <c r="W485" s="103" t="n">
        <v>-0.1879</v>
      </c>
      <c r="X485" s="103" t="n">
        <v>-0.0825</v>
      </c>
      <c r="Y485" s="99" t="inlineStr">
        <is>
          <t>20250922~20261002</t>
        </is>
      </c>
      <c r="Z485" s="99" t="inlineStr"/>
      <c r="AA485">
        <f>IF(AND($J485&lt;&gt;"",OR(조회_주기="전체",$R485=조회_주기),$J485&gt;=조회_최소,$J485&lt;=조회_최대),1,0)</f>
        <v/>
      </c>
      <c r="AB485">
        <f>IF($AA485=1,$AB484+1,$AB484)</f>
        <v/>
      </c>
      <c r="AC485">
        <f>IF(검색어="",1,IF(ISNUMBER(SEARCH(검색어,$A485)),1,0))</f>
        <v/>
      </c>
      <c r="AD485">
        <f>IF($AC485=1,$AD484+1,$AD484)</f>
        <v/>
      </c>
      <c r="AE485">
        <f>IFERROR(INDEX($A$4:$A$594,MATCH(482,$AD$4:$AD$594,0)),"")</f>
        <v/>
      </c>
    </row>
    <row r="486">
      <c r="A486" s="99" t="inlineStr">
        <is>
          <t>SOL 2차전지소부장Fn</t>
        </is>
      </c>
      <c r="B486" s="99" t="inlineStr">
        <is>
          <t>455860</t>
        </is>
      </c>
      <c r="C486" s="99" t="inlineStr">
        <is>
          <t>신한자산운용</t>
        </is>
      </c>
      <c r="D486" s="100" t="n">
        <v>4640</v>
      </c>
      <c r="E486" s="100" t="n">
        <v>111592000000</v>
      </c>
      <c r="F486" s="100" t="n">
        <v>2728002904</v>
      </c>
      <c r="G486" s="101" t="n">
        <v>0.004500000000000001</v>
      </c>
      <c r="H486" s="101" t="n">
        <v>0.6352</v>
      </c>
      <c r="I486" s="101" t="n">
        <v>0.0021</v>
      </c>
      <c r="J486" s="101" t="n">
        <v>0.003448</v>
      </c>
      <c r="K486" s="100" t="n">
        <v>3</v>
      </c>
      <c r="L486" s="102" t="inlineStr">
        <is>
          <t>20260429</t>
        </is>
      </c>
      <c r="M486" s="99" t="inlineStr">
        <is>
          <t>제외</t>
        </is>
      </c>
      <c r="N486" s="99" t="inlineStr">
        <is>
          <t>변동성 63.5%(1년 기준, 기준 35% 초과)</t>
        </is>
      </c>
      <c r="O486" s="99" t="inlineStr">
        <is>
          <t>FnGuide 2차전지 소부장 지수</t>
        </is>
      </c>
      <c r="P486" s="99" t="inlineStr">
        <is>
          <t>일반</t>
        </is>
      </c>
      <c r="Q486" s="99" t="inlineStr">
        <is>
          <t>주식</t>
        </is>
      </c>
      <c r="R486" s="99" t="inlineStr">
        <is>
          <t>연배당</t>
        </is>
      </c>
      <c r="S486" s="100" t="n">
        <v>1</v>
      </c>
      <c r="T486" s="101" t="n">
        <v>0.8125</v>
      </c>
      <c r="U486" s="103" t="n"/>
      <c r="V486" s="103" t="n"/>
      <c r="W486" s="103" t="n">
        <v>-0.2304</v>
      </c>
      <c r="X486" s="103" t="n">
        <v>0.0146</v>
      </c>
      <c r="Y486" s="99" t="inlineStr"/>
      <c r="Z486" s="99" t="inlineStr">
        <is>
          <t>창 안 급변일 1일(20260304) — 내지 않음</t>
        </is>
      </c>
      <c r="AA486">
        <f>IF(AND($J486&lt;&gt;"",OR(조회_주기="전체",$R486=조회_주기),$J486&gt;=조회_최소,$J486&lt;=조회_최대),1,0)</f>
        <v/>
      </c>
      <c r="AB486">
        <f>IF($AA486=1,$AB485+1,$AB485)</f>
        <v/>
      </c>
      <c r="AC486">
        <f>IF(검색어="",1,IF(ISNUMBER(SEARCH(검색어,$A486)),1,0))</f>
        <v/>
      </c>
      <c r="AD486">
        <f>IF($AC486=1,$AD485+1,$AD485)</f>
        <v/>
      </c>
      <c r="AE486">
        <f>IFERROR(INDEX($A$4:$A$594,MATCH(483,$AD$4:$AD$594,0)),"")</f>
        <v/>
      </c>
    </row>
    <row r="487">
      <c r="A487" s="99" t="inlineStr">
        <is>
          <t>TIGER 200선물레버리지</t>
        </is>
      </c>
      <c r="B487" s="99" t="inlineStr">
        <is>
          <t>267770</t>
        </is>
      </c>
      <c r="C487" s="99" t="inlineStr">
        <is>
          <t>미래에셋자산운용</t>
        </is>
      </c>
      <c r="D487" s="100" t="n">
        <v>88100</v>
      </c>
      <c r="E487" s="100" t="n">
        <v>202630000000</v>
      </c>
      <c r="F487" s="100" t="n">
        <v>8302453763</v>
      </c>
      <c r="G487" s="101" t="n">
        <v>0.00022</v>
      </c>
      <c r="H487" s="101" t="n">
        <v>1.1638</v>
      </c>
      <c r="I487" s="101" t="n">
        <v>0.008500000000000001</v>
      </c>
      <c r="J487" s="101" t="n">
        <v>0.003348</v>
      </c>
      <c r="K487" s="100" t="n">
        <v>1</v>
      </c>
      <c r="L487" s="102" t="inlineStr">
        <is>
          <t>20251229</t>
        </is>
      </c>
      <c r="M487" s="99" t="inlineStr">
        <is>
          <t>제외</t>
        </is>
      </c>
      <c r="N487" s="99" t="inlineStr">
        <is>
          <t>변동성 116.4%(1년 기준, 기준 35% 초과)</t>
        </is>
      </c>
      <c r="O487" s="99" t="inlineStr">
        <is>
          <t>KOSPI200선물지수</t>
        </is>
      </c>
      <c r="P487" s="99" t="inlineStr">
        <is>
          <t>일반</t>
        </is>
      </c>
      <c r="Q487" s="99" t="inlineStr">
        <is>
          <t>주식</t>
        </is>
      </c>
      <c r="R487" s="99" t="inlineStr">
        <is>
          <t>연배당</t>
        </is>
      </c>
      <c r="S487" s="100" t="n">
        <v>1</v>
      </c>
      <c r="T487" s="101" t="n">
        <v>1</v>
      </c>
      <c r="U487" s="103" t="n"/>
      <c r="V487" s="103" t="n"/>
      <c r="W487" s="103" t="n"/>
      <c r="X487" s="103" t="n"/>
      <c r="Y487" s="99" t="inlineStr"/>
      <c r="Z487" s="99" t="inlineStr">
        <is>
          <t>창 안 급변일 11일(20260303,20260304,20260401,20260521,20260608,20260609,20260623,20260702,20260713,20260728,20260731) — 내지 않음 / 6개월: 창 안 급변일 8일(20260521,20260608,20260609,20260623,20260702,20260713,20260728,20260731) — 내지 않음 / 3개월: 창 안 급변일 3일(20260713,20260728,20260731) — 내지 않음</t>
        </is>
      </c>
      <c r="AA487">
        <f>IF(AND($J487&lt;&gt;"",OR(조회_주기="전체",$R487=조회_주기),$J487&gt;=조회_최소,$J487&lt;=조회_최대),1,0)</f>
        <v/>
      </c>
      <c r="AB487">
        <f>IF($AA487=1,$AB486+1,$AB486)</f>
        <v/>
      </c>
      <c r="AC487">
        <f>IF(검색어="",1,IF(ISNUMBER(SEARCH(검색어,$A487)),1,0))</f>
        <v/>
      </c>
      <c r="AD487">
        <f>IF($AC487=1,$AD486+1,$AD486)</f>
        <v/>
      </c>
      <c r="AE487">
        <f>IFERROR(INDEX($A$4:$A$594,MATCH(484,$AD$4:$AD$594,0)),"")</f>
        <v/>
      </c>
    </row>
    <row r="488">
      <c r="A488" s="99" t="inlineStr">
        <is>
          <t>KODEX 메타버스액티브</t>
        </is>
      </c>
      <c r="B488" s="99" t="inlineStr">
        <is>
          <t>401470</t>
        </is>
      </c>
      <c r="C488" s="99" t="inlineStr">
        <is>
          <t>삼성자산운용(ETF)</t>
        </is>
      </c>
      <c r="D488" s="100" t="n">
        <v>9325</v>
      </c>
      <c r="E488" s="100" t="n">
        <v>53618750000</v>
      </c>
      <c r="F488" s="100" t="n">
        <v>110932937</v>
      </c>
      <c r="G488" s="101" t="n">
        <v>0.005</v>
      </c>
      <c r="H488" s="101" t="n">
        <v>0.3533</v>
      </c>
      <c r="I488" s="101" t="n">
        <v>0.0032</v>
      </c>
      <c r="J488" s="101" t="n">
        <v>0.003324</v>
      </c>
      <c r="K488" s="100" t="n">
        <v>5</v>
      </c>
      <c r="L488" s="102" t="inlineStr">
        <is>
          <t>20260429</t>
        </is>
      </c>
      <c r="M488" s="99" t="inlineStr">
        <is>
          <t>제외</t>
        </is>
      </c>
      <c r="N488" s="99" t="inlineStr">
        <is>
          <t>60일 거래대금 1.1억(기준 5억 미만), 변동성 35.3%(1년 기준, 기준 35% 초과)</t>
        </is>
      </c>
      <c r="O488" s="99" t="inlineStr">
        <is>
          <t>FnGuide K-메타버스 지수</t>
        </is>
      </c>
      <c r="P488" s="99" t="inlineStr">
        <is>
          <t>일반</t>
        </is>
      </c>
      <c r="Q488" s="99" t="inlineStr">
        <is>
          <t>주식</t>
        </is>
      </c>
      <c r="R488" s="99" t="inlineStr">
        <is>
          <t>연배당</t>
        </is>
      </c>
      <c r="S488" s="100" t="n">
        <v>1</v>
      </c>
      <c r="T488" s="101" t="n">
        <v>0.9677</v>
      </c>
      <c r="U488" s="103" t="n">
        <v>0.1126</v>
      </c>
      <c r="V488" s="103" t="n">
        <v>0.1089</v>
      </c>
      <c r="W488" s="103" t="n">
        <v>0.1401</v>
      </c>
      <c r="X488" s="103" t="n">
        <v>-0.08359999999999999</v>
      </c>
      <c r="Y488" s="99" t="inlineStr">
        <is>
          <t>20250922~20261002</t>
        </is>
      </c>
      <c r="Z488" s="99" t="inlineStr"/>
      <c r="AA488">
        <f>IF(AND($J488&lt;&gt;"",OR(조회_주기="전체",$R488=조회_주기),$J488&gt;=조회_최소,$J488&lt;=조회_최대),1,0)</f>
        <v/>
      </c>
      <c r="AB488">
        <f>IF($AA488=1,$AB487+1,$AB487)</f>
        <v/>
      </c>
      <c r="AC488">
        <f>IF(검색어="",1,IF(ISNUMBER(SEARCH(검색어,$A488)),1,0))</f>
        <v/>
      </c>
      <c r="AD488">
        <f>IF($AC488=1,$AD487+1,$AD487)</f>
        <v/>
      </c>
      <c r="AE488">
        <f>IFERROR(INDEX($A$4:$A$594,MATCH(485,$AD$4:$AD$594,0)),"")</f>
        <v/>
      </c>
    </row>
    <row r="489">
      <c r="A489" s="99" t="inlineStr">
        <is>
          <t>KIWOOM 200선물레버리지</t>
        </is>
      </c>
      <c r="B489" s="99" t="inlineStr">
        <is>
          <t>253250</t>
        </is>
      </c>
      <c r="C489" s="99" t="inlineStr">
        <is>
          <t>키움투자자산운용</t>
        </is>
      </c>
      <c r="D489" s="100" t="n">
        <v>104310</v>
      </c>
      <c r="E489" s="100" t="n">
        <v>30249900000</v>
      </c>
      <c r="F489" s="100" t="n">
        <v>2292716026</v>
      </c>
      <c r="G489" s="101" t="n">
        <v>0.0046</v>
      </c>
      <c r="H489" s="101" t="n">
        <v>1.1669</v>
      </c>
      <c r="I489" s="101" t="n">
        <v>0.008399999999999999</v>
      </c>
      <c r="J489" s="101" t="n">
        <v>0.003317</v>
      </c>
      <c r="K489" s="100" t="n">
        <v>1</v>
      </c>
      <c r="L489" s="102" t="inlineStr">
        <is>
          <t>20251229</t>
        </is>
      </c>
      <c r="M489" s="99" t="inlineStr">
        <is>
          <t>제외</t>
        </is>
      </c>
      <c r="N489" s="99" t="inlineStr">
        <is>
          <t>변동성 116.7%(1년 기준, 기준 35% 초과)</t>
        </is>
      </c>
      <c r="O489" s="99" t="inlineStr">
        <is>
          <t>KOSPI200선물지수</t>
        </is>
      </c>
      <c r="P489" s="99" t="inlineStr">
        <is>
          <t>일반</t>
        </is>
      </c>
      <c r="Q489" s="99" t="inlineStr">
        <is>
          <t>주식</t>
        </is>
      </c>
      <c r="R489" s="99" t="inlineStr">
        <is>
          <t>연배당</t>
        </is>
      </c>
      <c r="S489" s="100" t="n">
        <v>1</v>
      </c>
      <c r="T489" s="101" t="n">
        <v>1</v>
      </c>
      <c r="U489" s="103" t="n"/>
      <c r="V489" s="103" t="n"/>
      <c r="W489" s="103" t="n"/>
      <c r="X489" s="103" t="n"/>
      <c r="Y489" s="99" t="inlineStr"/>
      <c r="Z489" s="99" t="inlineStr">
        <is>
          <t>창 안 급변일 11일(20260303,20260304,20260401,20260521,20260608,20260609,20260623,20260702,20260713,20260728,20260731) — 내지 않음 / 6개월: 창 안 급변일 8일(20260521,20260608,20260609,20260623,20260702,20260713,20260728,20260731) — 내지 않음 / 3개월: 창 안 급변일 3일(20260713,20260728,20260731) — 내지 않음</t>
        </is>
      </c>
      <c r="AA489">
        <f>IF(AND($J489&lt;&gt;"",OR(조회_주기="전체",$R489=조회_주기),$J489&gt;=조회_최소,$J489&lt;=조회_최대),1,0)</f>
        <v/>
      </c>
      <c r="AB489">
        <f>IF($AA489=1,$AB488+1,$AB488)</f>
        <v/>
      </c>
      <c r="AC489">
        <f>IF(검색어="",1,IF(ISNUMBER(SEARCH(검색어,$A489)),1,0))</f>
        <v/>
      </c>
      <c r="AD489">
        <f>IF($AC489=1,$AD488+1,$AD488)</f>
        <v/>
      </c>
      <c r="AE489">
        <f>IFERROR(INDEX($A$4:$A$594,MATCH(486,$AD$4:$AD$594,0)),"")</f>
        <v/>
      </c>
    </row>
    <row r="490">
      <c r="A490" s="99" t="inlineStr">
        <is>
          <t>TIGER 미국필라델피아AI반도체나스닥</t>
        </is>
      </c>
      <c r="B490" s="99" t="inlineStr">
        <is>
          <t>497570</t>
        </is>
      </c>
      <c r="C490" s="99" t="inlineStr">
        <is>
          <t>미래에셋자산운용</t>
        </is>
      </c>
      <c r="D490" s="100" t="n">
        <v>22755</v>
      </c>
      <c r="E490" s="100" t="n">
        <v>1136612250000</v>
      </c>
      <c r="F490" s="100" t="n">
        <v>16682383601</v>
      </c>
      <c r="G490" s="101" t="n">
        <v>0.0049</v>
      </c>
      <c r="H490" s="101" t="n">
        <v>0.4049</v>
      </c>
      <c r="I490" s="101" t="n">
        <v>0.0011</v>
      </c>
      <c r="J490" s="101" t="n">
        <v>0.003296</v>
      </c>
      <c r="K490" s="100" t="n">
        <v>7</v>
      </c>
      <c r="L490" s="102" t="inlineStr">
        <is>
          <t>20260730</t>
        </is>
      </c>
      <c r="M490" s="99" t="inlineStr">
        <is>
          <t>제외</t>
        </is>
      </c>
      <c r="N490" s="99" t="inlineStr">
        <is>
          <t>변동성 40.5%(1년 기준, 기준 35% 초과)</t>
        </is>
      </c>
      <c r="O490" s="99" t="inlineStr">
        <is>
          <t>PHLX US AI Semiconductor Index (Price Return)</t>
        </is>
      </c>
      <c r="P490" s="99" t="inlineStr">
        <is>
          <t>일반</t>
        </is>
      </c>
      <c r="Q490" s="99" t="inlineStr">
        <is>
          <t>주식</t>
        </is>
      </c>
      <c r="R490" s="99" t="inlineStr">
        <is>
          <t>분기배당</t>
        </is>
      </c>
      <c r="S490" s="100" t="n">
        <v>3</v>
      </c>
      <c r="T490" s="101" t="n">
        <v>1</v>
      </c>
      <c r="U490" s="103" t="n">
        <v>0.6929999999999999</v>
      </c>
      <c r="V490" s="103" t="n">
        <v>0.6873999999999999</v>
      </c>
      <c r="W490" s="103" t="n">
        <v>0.3285</v>
      </c>
      <c r="X490" s="103" t="n">
        <v>-0.07769999999999999</v>
      </c>
      <c r="Y490" s="99" t="inlineStr">
        <is>
          <t>20250922~20261002</t>
        </is>
      </c>
      <c r="Z490" s="99" t="inlineStr"/>
      <c r="AA490">
        <f>IF(AND($J490&lt;&gt;"",OR(조회_주기="전체",$R490=조회_주기),$J490&gt;=조회_최소,$J490&lt;=조회_최대),1,0)</f>
        <v/>
      </c>
      <c r="AB490">
        <f>IF($AA490=1,$AB489+1,$AB489)</f>
        <v/>
      </c>
      <c r="AC490">
        <f>IF(검색어="",1,IF(ISNUMBER(SEARCH(검색어,$A490)),1,0))</f>
        <v/>
      </c>
      <c r="AD490">
        <f>IF($AC490=1,$AD489+1,$AD489)</f>
        <v/>
      </c>
      <c r="AE490">
        <f>IFERROR(INDEX($A$4:$A$594,MATCH(487,$AD$4:$AD$594,0)),"")</f>
        <v/>
      </c>
    </row>
    <row r="491">
      <c r="A491" s="99" t="inlineStr">
        <is>
          <t>ACE 코스닥150</t>
        </is>
      </c>
      <c r="B491" s="99" t="inlineStr">
        <is>
          <t>354500</t>
        </is>
      </c>
      <c r="C491" s="99" t="inlineStr">
        <is>
          <t>한국투신운용(ETF)</t>
        </is>
      </c>
      <c r="D491" s="100" t="n">
        <v>15345</v>
      </c>
      <c r="E491" s="100" t="n">
        <v>162657000000</v>
      </c>
      <c r="F491" s="100" t="n">
        <v>2853520191</v>
      </c>
      <c r="G491" s="101" t="n">
        <v>0.0002</v>
      </c>
      <c r="H491" s="101" t="n">
        <v>0.5503</v>
      </c>
      <c r="I491" s="101" t="n">
        <v>0.0024</v>
      </c>
      <c r="J491" s="101" t="n">
        <v>0.003258</v>
      </c>
      <c r="K491" s="100" t="n">
        <v>5</v>
      </c>
      <c r="L491" s="102" t="inlineStr">
        <is>
          <t>20260429</t>
        </is>
      </c>
      <c r="M491" s="99" t="inlineStr">
        <is>
          <t>제외</t>
        </is>
      </c>
      <c r="N491" s="99" t="inlineStr">
        <is>
          <t>변동성 55.0%(1년 기준, 기준 35% 초과)</t>
        </is>
      </c>
      <c r="O491" s="99" t="inlineStr">
        <is>
          <t>KOSDAQ 150</t>
        </is>
      </c>
      <c r="P491" s="99" t="inlineStr">
        <is>
          <t>일반</t>
        </is>
      </c>
      <c r="Q491" s="99" t="inlineStr">
        <is>
          <t>주식</t>
        </is>
      </c>
      <c r="R491" s="99" t="inlineStr">
        <is>
          <t>연배당</t>
        </is>
      </c>
      <c r="S491" s="100" t="n">
        <v>1</v>
      </c>
      <c r="T491" s="101" t="n">
        <v>0.98</v>
      </c>
      <c r="U491" s="103" t="n"/>
      <c r="V491" s="103" t="n"/>
      <c r="W491" s="103" t="n">
        <v>-0.1581</v>
      </c>
      <c r="X491" s="103" t="n">
        <v>-0.0017</v>
      </c>
      <c r="Y491" s="99" t="inlineStr"/>
      <c r="Z491" s="99" t="inlineStr">
        <is>
          <t>창 안 급변일 1일(20260304) — 내지 않음</t>
        </is>
      </c>
      <c r="AA491">
        <f>IF(AND($J491&lt;&gt;"",OR(조회_주기="전체",$R491=조회_주기),$J491&gt;=조회_최소,$J491&lt;=조회_최대),1,0)</f>
        <v/>
      </c>
      <c r="AB491">
        <f>IF($AA491=1,$AB490+1,$AB490)</f>
        <v/>
      </c>
      <c r="AC491">
        <f>IF(검색어="",1,IF(ISNUMBER(SEARCH(검색어,$A491)),1,0))</f>
        <v/>
      </c>
      <c r="AD491">
        <f>IF($AC491=1,$AD490+1,$AD490)</f>
        <v/>
      </c>
      <c r="AE491">
        <f>IFERROR(INDEX($A$4:$A$594,MATCH(488,$AD$4:$AD$594,0)),"")</f>
        <v/>
      </c>
    </row>
    <row r="492">
      <c r="A492" s="99" t="inlineStr">
        <is>
          <t>TIGER 금은선물(H)</t>
        </is>
      </c>
      <c r="B492" s="99" t="inlineStr">
        <is>
          <t>139320</t>
        </is>
      </c>
      <c r="C492" s="99" t="inlineStr">
        <is>
          <t>미래에셋자산운용</t>
        </is>
      </c>
      <c r="D492" s="100" t="n">
        <v>17335</v>
      </c>
      <c r="E492" s="100" t="n">
        <v>39003750000</v>
      </c>
      <c r="F492" s="100" t="n">
        <v>201943357</v>
      </c>
      <c r="G492" s="101" t="n">
        <v>0.0069</v>
      </c>
      <c r="H492" s="101" t="n">
        <v>0.3254</v>
      </c>
      <c r="I492" s="101" t="n">
        <v>0.0028</v>
      </c>
      <c r="J492" s="101" t="n">
        <v>0.00323</v>
      </c>
      <c r="K492" s="100" t="n">
        <v>1</v>
      </c>
      <c r="L492" s="102" t="inlineStr">
        <is>
          <t>20251229</t>
        </is>
      </c>
      <c r="M492" s="99" t="inlineStr">
        <is>
          <t>제외</t>
        </is>
      </c>
      <c r="N492" s="99" t="inlineStr">
        <is>
          <t>60일 거래대금 2.0억(기준 5억 미만)</t>
        </is>
      </c>
      <c r="O492" s="99" t="inlineStr">
        <is>
          <t>S&amp;P GSCI Precious Metals</t>
        </is>
      </c>
      <c r="P492" s="99" t="inlineStr">
        <is>
          <t>일반</t>
        </is>
      </c>
      <c r="Q492" s="99" t="inlineStr">
        <is>
          <t>원자재</t>
        </is>
      </c>
      <c r="R492" s="99" t="inlineStr">
        <is>
          <t>연배당</t>
        </is>
      </c>
      <c r="S492" s="100" t="n">
        <v>1</v>
      </c>
      <c r="T492" s="101" t="n">
        <v>1</v>
      </c>
      <c r="U492" s="103" t="n"/>
      <c r="V492" s="103" t="n"/>
      <c r="W492" s="103" t="n">
        <v>-0.1331</v>
      </c>
      <c r="X492" s="103" t="n">
        <v>-0.0016</v>
      </c>
      <c r="Y492" s="99" t="inlineStr"/>
      <c r="Z492" s="99" t="inlineStr">
        <is>
          <t>창 안 급변일 1일(20260202) — 내지 않음</t>
        </is>
      </c>
      <c r="AA492">
        <f>IF(AND($J492&lt;&gt;"",OR(조회_주기="전체",$R492=조회_주기),$J492&gt;=조회_최소,$J492&lt;=조회_최대),1,0)</f>
        <v/>
      </c>
      <c r="AB492">
        <f>IF($AA492=1,$AB491+1,$AB491)</f>
        <v/>
      </c>
      <c r="AC492">
        <f>IF(검색어="",1,IF(ISNUMBER(SEARCH(검색어,$A492)),1,0))</f>
        <v/>
      </c>
      <c r="AD492">
        <f>IF($AC492=1,$AD491+1,$AD491)</f>
        <v/>
      </c>
      <c r="AE492">
        <f>IFERROR(INDEX($A$4:$A$594,MATCH(489,$AD$4:$AD$594,0)),"")</f>
        <v/>
      </c>
    </row>
    <row r="493">
      <c r="A493" s="99" t="inlineStr">
        <is>
          <t>TIGER 200 IT</t>
        </is>
      </c>
      <c r="B493" s="99" t="inlineStr">
        <is>
          <t>139260</t>
        </is>
      </c>
      <c r="C493" s="99" t="inlineStr">
        <is>
          <t>미래에셋자산운용</t>
        </is>
      </c>
      <c r="D493" s="100" t="n">
        <v>145880</v>
      </c>
      <c r="E493" s="100" t="n">
        <v>2780472800000</v>
      </c>
      <c r="F493" s="100" t="n">
        <v>90838265587</v>
      </c>
      <c r="G493" s="101" t="n">
        <v>0.004</v>
      </c>
      <c r="H493" s="101" t="n">
        <v>0.7215</v>
      </c>
      <c r="I493" s="101" t="n">
        <v>0.0013</v>
      </c>
      <c r="J493" s="101" t="n">
        <v>0.003222</v>
      </c>
      <c r="K493" s="100" t="n">
        <v>14</v>
      </c>
      <c r="L493" s="102" t="inlineStr">
        <is>
          <t>20260730</t>
        </is>
      </c>
      <c r="M493" s="99" t="inlineStr">
        <is>
          <t>제외</t>
        </is>
      </c>
      <c r="N493" s="99" t="inlineStr">
        <is>
          <t>변동성 72.2%(1년 기준, 기준 35% 초과)</t>
        </is>
      </c>
      <c r="O493" s="99" t="inlineStr">
        <is>
          <t>K200정보기술</t>
        </is>
      </c>
      <c r="P493" s="99" t="inlineStr">
        <is>
          <t>일반</t>
        </is>
      </c>
      <c r="Q493" s="99" t="inlineStr">
        <is>
          <t>주식</t>
        </is>
      </c>
      <c r="R493" s="99" t="inlineStr">
        <is>
          <t>분기배당</t>
        </is>
      </c>
      <c r="S493" s="100" t="n">
        <v>3</v>
      </c>
      <c r="T493" s="101" t="n">
        <v>0.5021</v>
      </c>
      <c r="U493" s="103" t="n"/>
      <c r="V493" s="103" t="n"/>
      <c r="W493" s="103" t="n"/>
      <c r="X493" s="103" t="n"/>
      <c r="Y493" s="99" t="inlineStr"/>
      <c r="Z493" s="99" t="inlineStr">
        <is>
          <t>창 안 급변일 2일(20260728,20260731) — 내지 않음 / 6개월: 창 안 급변일 2일(20260728,20260731) — 내지 않음 / 3개월: 창 안 급변일 2일(20260728,20260731) — 내지 않음</t>
        </is>
      </c>
      <c r="AA493">
        <f>IF(AND($J493&lt;&gt;"",OR(조회_주기="전체",$R493=조회_주기),$J493&gt;=조회_최소,$J493&lt;=조회_최대),1,0)</f>
        <v/>
      </c>
      <c r="AB493">
        <f>IF($AA493=1,$AB492+1,$AB492)</f>
        <v/>
      </c>
      <c r="AC493">
        <f>IF(검색어="",1,IF(ISNUMBER(SEARCH(검색어,$A493)),1,0))</f>
        <v/>
      </c>
      <c r="AD493">
        <f>IF($AC493=1,$AD492+1,$AD492)</f>
        <v/>
      </c>
      <c r="AE493">
        <f>IFERROR(INDEX($A$4:$A$594,MATCH(490,$AD$4:$AD$594,0)),"")</f>
        <v/>
      </c>
    </row>
    <row r="494">
      <c r="A494" s="99" t="inlineStr">
        <is>
          <t>KODEX 차이나AI테크액티브</t>
        </is>
      </c>
      <c r="B494" s="99" t="inlineStr">
        <is>
          <t>428510</t>
        </is>
      </c>
      <c r="C494" s="99" t="inlineStr">
        <is>
          <t>삼성자산운용(ETF)</t>
        </is>
      </c>
      <c r="D494" s="100" t="n">
        <v>22405</v>
      </c>
      <c r="E494" s="100" t="n">
        <v>38088500000</v>
      </c>
      <c r="F494" s="100" t="n">
        <v>459996373</v>
      </c>
      <c r="G494" s="101" t="n">
        <v>0.005</v>
      </c>
      <c r="H494" s="101" t="n">
        <v>0.5028</v>
      </c>
      <c r="I494" s="101" t="n">
        <v>0.0019</v>
      </c>
      <c r="J494" s="101" t="n">
        <v>0.003214</v>
      </c>
      <c r="K494" s="100" t="n">
        <v>5</v>
      </c>
      <c r="L494" s="102" t="inlineStr">
        <is>
          <t>20260730</t>
        </is>
      </c>
      <c r="M494" s="99" t="inlineStr">
        <is>
          <t>제외</t>
        </is>
      </c>
      <c r="N494" s="99" t="inlineStr">
        <is>
          <t>60일 거래대금 4.6억(기준 5억 미만), 변동성 50.3%(1년 기준, 기준 35% 초과)</t>
        </is>
      </c>
      <c r="O494" s="99" t="inlineStr">
        <is>
          <t>Bloomberg Greater China Media &amp; Tech Index (USD)</t>
        </is>
      </c>
      <c r="P494" s="99" t="inlineStr">
        <is>
          <t>일반</t>
        </is>
      </c>
      <c r="Q494" s="99" t="inlineStr">
        <is>
          <t>주식</t>
        </is>
      </c>
      <c r="R494" s="99" t="inlineStr">
        <is>
          <t>분기배당</t>
        </is>
      </c>
      <c r="S494" s="100" t="n">
        <v>3</v>
      </c>
      <c r="T494" s="101" t="n">
        <v>1</v>
      </c>
      <c r="U494" s="103" t="n"/>
      <c r="V494" s="103" t="n"/>
      <c r="W494" s="103" t="n"/>
      <c r="X494" s="103" t="n"/>
      <c r="Y494" s="99" t="inlineStr"/>
      <c r="Z494" s="99" t="inlineStr">
        <is>
          <t>창 안 급변일 1일(20260720) — 내지 않음 / 6개월: 창 안 급변일 1일(20260720) — 내지 않음 / 3개월: 창 안 급변일 1일(20260720) — 내지 않음</t>
        </is>
      </c>
      <c r="AA494">
        <f>IF(AND($J494&lt;&gt;"",OR(조회_주기="전체",$R494=조회_주기),$J494&gt;=조회_최소,$J494&lt;=조회_최대),1,0)</f>
        <v/>
      </c>
      <c r="AB494">
        <f>IF($AA494=1,$AB493+1,$AB493)</f>
        <v/>
      </c>
      <c r="AC494">
        <f>IF(검색어="",1,IF(ISNUMBER(SEARCH(검색어,$A494)),1,0))</f>
        <v/>
      </c>
      <c r="AD494">
        <f>IF($AC494=1,$AD493+1,$AD493)</f>
        <v/>
      </c>
      <c r="AE494">
        <f>IFERROR(INDEX($A$4:$A$594,MATCH(491,$AD$4:$AD$594,0)),"")</f>
        <v/>
      </c>
    </row>
    <row r="495">
      <c r="A495" s="99" t="inlineStr">
        <is>
          <t>TIGER 반도체</t>
        </is>
      </c>
      <c r="B495" s="99" t="inlineStr">
        <is>
          <t>091230</t>
        </is>
      </c>
      <c r="C495" s="99" t="inlineStr">
        <is>
          <t>미래에셋자산운용</t>
        </is>
      </c>
      <c r="D495" s="100" t="n">
        <v>157370</v>
      </c>
      <c r="E495" s="100" t="n">
        <v>1535931200000</v>
      </c>
      <c r="F495" s="100" t="n">
        <v>44412361552</v>
      </c>
      <c r="G495" s="101" t="n">
        <v>0.0046</v>
      </c>
      <c r="H495" s="101" t="n">
        <v>0.7240000000000001</v>
      </c>
      <c r="I495" s="101" t="n">
        <v>0.0017</v>
      </c>
      <c r="J495" s="101" t="n">
        <v>0.003171</v>
      </c>
      <c r="K495" s="100" t="n">
        <v>11</v>
      </c>
      <c r="L495" s="102" t="inlineStr">
        <is>
          <t>20260730</t>
        </is>
      </c>
      <c r="M495" s="99" t="inlineStr">
        <is>
          <t>제외</t>
        </is>
      </c>
      <c r="N495" s="99" t="inlineStr">
        <is>
          <t>변동성 72.4%(1년 기준, 기준 35% 초과)</t>
        </is>
      </c>
      <c r="O495" s="99" t="inlineStr">
        <is>
          <t>KRX 반도체</t>
        </is>
      </c>
      <c r="P495" s="99" t="inlineStr">
        <is>
          <t>일반</t>
        </is>
      </c>
      <c r="Q495" s="99" t="inlineStr">
        <is>
          <t>주식</t>
        </is>
      </c>
      <c r="R495" s="99" t="inlineStr">
        <is>
          <t>분기배당</t>
        </is>
      </c>
      <c r="S495" s="100" t="n">
        <v>3</v>
      </c>
      <c r="T495" s="101" t="n">
        <v>0.3948</v>
      </c>
      <c r="U495" s="103" t="n"/>
      <c r="V495" s="103" t="n"/>
      <c r="W495" s="103" t="n"/>
      <c r="X495" s="103" t="n"/>
      <c r="Y495" s="99" t="inlineStr"/>
      <c r="Z495" s="99" t="inlineStr">
        <is>
          <t>창 안 급변일 1일(20260731) — 내지 않음 / 6개월: 창 안 급변일 1일(20260731) — 내지 않음 / 3개월: 창 안 급변일 1일(20260731) — 내지 않음</t>
        </is>
      </c>
      <c r="AA495">
        <f>IF(AND($J495&lt;&gt;"",OR(조회_주기="전체",$R495=조회_주기),$J495&gt;=조회_최소,$J495&lt;=조회_최대),1,0)</f>
        <v/>
      </c>
      <c r="AB495">
        <f>IF($AA495=1,$AB494+1,$AB494)</f>
        <v/>
      </c>
      <c r="AC495">
        <f>IF(검색어="",1,IF(ISNUMBER(SEARCH(검색어,$A495)),1,0))</f>
        <v/>
      </c>
      <c r="AD495">
        <f>IF($AC495=1,$AD494+1,$AD494)</f>
        <v/>
      </c>
      <c r="AE495">
        <f>IFERROR(INDEX($A$4:$A$594,MATCH(492,$AD$4:$AD$594,0)),"")</f>
        <v/>
      </c>
    </row>
    <row r="496">
      <c r="A496" s="99" t="inlineStr">
        <is>
          <t>KIWOOM 글로벌AI반도체</t>
        </is>
      </c>
      <c r="B496" s="99" t="inlineStr">
        <is>
          <t>473490</t>
        </is>
      </c>
      <c r="C496" s="99" t="inlineStr">
        <is>
          <t>키움투자자산운용</t>
        </is>
      </c>
      <c r="D496" s="100" t="n">
        <v>33655</v>
      </c>
      <c r="E496" s="100" t="n">
        <v>50482500000</v>
      </c>
      <c r="F496" s="100" t="n">
        <v>338867103</v>
      </c>
      <c r="G496" s="101" t="n">
        <v>0.004</v>
      </c>
      <c r="H496" s="101" t="n">
        <v>0.4055</v>
      </c>
      <c r="I496" s="101" t="n">
        <v>0.0016</v>
      </c>
      <c r="J496" s="101" t="n">
        <v>0.00309</v>
      </c>
      <c r="K496" s="100" t="n">
        <v>7</v>
      </c>
      <c r="L496" s="102" t="inlineStr">
        <is>
          <t>20260730</t>
        </is>
      </c>
      <c r="M496" s="99" t="inlineStr">
        <is>
          <t>제외</t>
        </is>
      </c>
      <c r="N496" s="99" t="inlineStr">
        <is>
          <t>60일 거래대금 3.4억(기준 5억 미만), 변동성 40.5%(1년 기준, 기준 35% 초과)</t>
        </is>
      </c>
      <c r="O496" s="99" t="inlineStr">
        <is>
          <t>Solactive Global AI Semiconductor Index PR</t>
        </is>
      </c>
      <c r="P496" s="99" t="inlineStr">
        <is>
          <t>일반</t>
        </is>
      </c>
      <c r="Q496" s="99" t="inlineStr">
        <is>
          <t>주식</t>
        </is>
      </c>
      <c r="R496" s="99" t="inlineStr">
        <is>
          <t>분기배당</t>
        </is>
      </c>
      <c r="S496" s="100" t="n">
        <v>3</v>
      </c>
      <c r="T496" s="101" t="n">
        <v>1</v>
      </c>
      <c r="U496" s="103" t="n">
        <v>0.7861</v>
      </c>
      <c r="V496" s="103" t="n">
        <v>0.7806000000000001</v>
      </c>
      <c r="W496" s="103" t="n">
        <v>0.4966</v>
      </c>
      <c r="X496" s="103" t="n">
        <v>-0.0429</v>
      </c>
      <c r="Y496" s="99" t="inlineStr">
        <is>
          <t>20250922~20261002</t>
        </is>
      </c>
      <c r="Z496" s="99" t="inlineStr"/>
      <c r="AA496">
        <f>IF(AND($J496&lt;&gt;"",OR(조회_주기="전체",$R496=조회_주기),$J496&gt;=조회_최소,$J496&lt;=조회_최대),1,0)</f>
        <v/>
      </c>
      <c r="AB496">
        <f>IF($AA496=1,$AB495+1,$AB495)</f>
        <v/>
      </c>
      <c r="AC496">
        <f>IF(검색어="",1,IF(ISNUMBER(SEARCH(검색어,$A496)),1,0))</f>
        <v/>
      </c>
      <c r="AD496">
        <f>IF($AC496=1,$AD495+1,$AD495)</f>
        <v/>
      </c>
      <c r="AE496">
        <f>IFERROR(INDEX($A$4:$A$594,MATCH(493,$AD$4:$AD$594,0)),"")</f>
        <v/>
      </c>
    </row>
    <row r="497">
      <c r="A497" s="99" t="inlineStr">
        <is>
          <t>KIWOOM 미국양자컴퓨팅</t>
        </is>
      </c>
      <c r="B497" s="99" t="inlineStr">
        <is>
          <t>498270</t>
        </is>
      </c>
      <c r="C497" s="99" t="inlineStr">
        <is>
          <t>키움투자자산운용</t>
        </is>
      </c>
      <c r="D497" s="100" t="n">
        <v>14955</v>
      </c>
      <c r="E497" s="100" t="n">
        <v>225072750000</v>
      </c>
      <c r="F497" s="100" t="n">
        <v>828531872</v>
      </c>
      <c r="G497" s="101" t="n">
        <v>0.0049</v>
      </c>
      <c r="H497" s="101" t="n">
        <v>0.4655</v>
      </c>
      <c r="I497" s="101" t="n">
        <v>0.001</v>
      </c>
      <c r="J497" s="101" t="n">
        <v>0.003076</v>
      </c>
      <c r="K497" s="100" t="n">
        <v>5</v>
      </c>
      <c r="L497" s="102" t="inlineStr">
        <is>
          <t>20260730</t>
        </is>
      </c>
      <c r="M497" s="99" t="inlineStr">
        <is>
          <t>제외</t>
        </is>
      </c>
      <c r="N497" s="99" t="inlineStr">
        <is>
          <t>변동성 46.5%(1년 기준, 기준 35% 초과)</t>
        </is>
      </c>
      <c r="O497" s="99" t="inlineStr">
        <is>
          <t>Solactive U.S. Quantum Computing Index PR</t>
        </is>
      </c>
      <c r="P497" s="99" t="inlineStr">
        <is>
          <t>일반</t>
        </is>
      </c>
      <c r="Q497" s="99" t="inlineStr">
        <is>
          <t>주식</t>
        </is>
      </c>
      <c r="R497" s="99" t="inlineStr">
        <is>
          <t>분기배당</t>
        </is>
      </c>
      <c r="S497" s="100" t="n">
        <v>3</v>
      </c>
      <c r="T497" s="101" t="n">
        <v>1</v>
      </c>
      <c r="U497" s="103" t="n"/>
      <c r="V497" s="103" t="n"/>
      <c r="W497" s="103" t="n">
        <v>0.219</v>
      </c>
      <c r="X497" s="103" t="n">
        <v>-0.1134</v>
      </c>
      <c r="Y497" s="99" t="inlineStr"/>
      <c r="Z497" s="99" t="inlineStr">
        <is>
          <t>창 안 급변일 1일(20251010) — 내지 않음</t>
        </is>
      </c>
      <c r="AA497">
        <f>IF(AND($J497&lt;&gt;"",OR(조회_주기="전체",$R497=조회_주기),$J497&gt;=조회_최소,$J497&lt;=조회_최대),1,0)</f>
        <v/>
      </c>
      <c r="AB497">
        <f>IF($AA497=1,$AB496+1,$AB496)</f>
        <v/>
      </c>
      <c r="AC497">
        <f>IF(검색어="",1,IF(ISNUMBER(SEARCH(검색어,$A497)),1,0))</f>
        <v/>
      </c>
      <c r="AD497">
        <f>IF($AC497=1,$AD496+1,$AD496)</f>
        <v/>
      </c>
      <c r="AE497">
        <f>IFERROR(INDEX($A$4:$A$594,MATCH(494,$AD$4:$AD$594,0)),"")</f>
        <v/>
      </c>
    </row>
    <row r="498">
      <c r="A498" s="99" t="inlineStr">
        <is>
          <t>TIGER 글로벌온디바이스AI</t>
        </is>
      </c>
      <c r="B498" s="99" t="inlineStr">
        <is>
          <t>480310</t>
        </is>
      </c>
      <c r="C498" s="99" t="inlineStr">
        <is>
          <t>미래에셋자산운용</t>
        </is>
      </c>
      <c r="D498" s="100" t="n">
        <v>21795</v>
      </c>
      <c r="E498" s="100" t="n">
        <v>58846500000</v>
      </c>
      <c r="F498" s="100" t="n">
        <v>735699613</v>
      </c>
      <c r="G498" s="101" t="n">
        <v>0.0049</v>
      </c>
      <c r="H498" s="101" t="n">
        <v>0.3812</v>
      </c>
      <c r="I498" s="101" t="n">
        <v>0.0014</v>
      </c>
      <c r="J498" s="101" t="n">
        <v>0.003074</v>
      </c>
      <c r="K498" s="100" t="n">
        <v>8</v>
      </c>
      <c r="L498" s="102" t="inlineStr">
        <is>
          <t>20260730</t>
        </is>
      </c>
      <c r="M498" s="99" t="inlineStr">
        <is>
          <t>제외</t>
        </is>
      </c>
      <c r="N498" s="99" t="inlineStr">
        <is>
          <t>변동성 38.1%(1년 기준, 기준 35% 초과)</t>
        </is>
      </c>
      <c r="O498" s="99" t="inlineStr">
        <is>
          <t>Mirae Asset Global On-Device AI Index PR</t>
        </is>
      </c>
      <c r="P498" s="99" t="inlineStr">
        <is>
          <t>일반</t>
        </is>
      </c>
      <c r="Q498" s="99" t="inlineStr">
        <is>
          <t>주식</t>
        </is>
      </c>
      <c r="R498" s="99" t="inlineStr">
        <is>
          <t>분기배당</t>
        </is>
      </c>
      <c r="S498" s="100" t="n">
        <v>3</v>
      </c>
      <c r="T498" s="101" t="n">
        <v>1</v>
      </c>
      <c r="U498" s="103" t="n">
        <v>0.7887000000000001</v>
      </c>
      <c r="V498" s="103" t="n">
        <v>0.7831999999999999</v>
      </c>
      <c r="W498" s="103" t="n">
        <v>0.6004</v>
      </c>
      <c r="X498" s="103" t="n">
        <v>-0.073</v>
      </c>
      <c r="Y498" s="99" t="inlineStr">
        <is>
          <t>20250922~20261002</t>
        </is>
      </c>
      <c r="Z498" s="99" t="inlineStr"/>
      <c r="AA498">
        <f>IF(AND($J498&lt;&gt;"",OR(조회_주기="전체",$R498=조회_주기),$J498&gt;=조회_최소,$J498&lt;=조회_최대),1,0)</f>
        <v/>
      </c>
      <c r="AB498">
        <f>IF($AA498=1,$AB497+1,$AB497)</f>
        <v/>
      </c>
      <c r="AC498">
        <f>IF(검색어="",1,IF(ISNUMBER(SEARCH(검색어,$A498)),1,0))</f>
        <v/>
      </c>
      <c r="AD498">
        <f>IF($AC498=1,$AD497+1,$AD497)</f>
        <v/>
      </c>
      <c r="AE498">
        <f>IFERROR(INDEX($A$4:$A$594,MATCH(495,$AD$4:$AD$594,0)),"")</f>
        <v/>
      </c>
    </row>
    <row r="499">
      <c r="A499" s="99" t="inlineStr">
        <is>
          <t>KODEX 미국AI전력핵심인프라</t>
        </is>
      </c>
      <c r="B499" s="99" t="inlineStr">
        <is>
          <t>487230</t>
        </is>
      </c>
      <c r="C499" s="99" t="inlineStr">
        <is>
          <t>삼성자산운용(ETF)</t>
        </is>
      </c>
      <c r="D499" s="100" t="n">
        <v>19665</v>
      </c>
      <c r="E499" s="100" t="n">
        <v>1472908500000</v>
      </c>
      <c r="F499" s="100" t="n">
        <v>14987580496</v>
      </c>
      <c r="G499" s="101" t="n">
        <v>0.004500000000000001</v>
      </c>
      <c r="H499" s="101" t="n">
        <v>0.5015999999999999</v>
      </c>
      <c r="I499" s="101" t="n">
        <v>0.0008</v>
      </c>
      <c r="J499" s="101" t="n">
        <v>0.003051</v>
      </c>
      <c r="K499" s="100" t="n">
        <v>7</v>
      </c>
      <c r="L499" s="102" t="inlineStr">
        <is>
          <t>20260730</t>
        </is>
      </c>
      <c r="M499" s="99" t="inlineStr">
        <is>
          <t>제외</t>
        </is>
      </c>
      <c r="N499" s="99" t="inlineStr">
        <is>
          <t>변동성 50.2%(1년 기준, 기준 35% 초과)</t>
        </is>
      </c>
      <c r="O499" s="99" t="inlineStr">
        <is>
          <t>iSelect U.S. AI Electric Core Infrastructure Index</t>
        </is>
      </c>
      <c r="P499" s="99" t="inlineStr">
        <is>
          <t>일반</t>
        </is>
      </c>
      <c r="Q499" s="99" t="inlineStr">
        <is>
          <t>주식</t>
        </is>
      </c>
      <c r="R499" s="99" t="inlineStr">
        <is>
          <t>분기배당</t>
        </is>
      </c>
      <c r="S499" s="100" t="n">
        <v>3</v>
      </c>
      <c r="T499" s="101" t="n">
        <v>1</v>
      </c>
      <c r="U499" s="103" t="n">
        <v>0.0654</v>
      </c>
      <c r="V499" s="103" t="n">
        <v>0.0622</v>
      </c>
      <c r="W499" s="103" t="n">
        <v>-0.0351</v>
      </c>
      <c r="X499" s="103" t="n">
        <v>-0.214</v>
      </c>
      <c r="Y499" s="99" t="inlineStr">
        <is>
          <t>20250922~20261002</t>
        </is>
      </c>
      <c r="Z499" s="99" t="inlineStr"/>
      <c r="AA499">
        <f>IF(AND($J499&lt;&gt;"",OR(조회_주기="전체",$R499=조회_주기),$J499&gt;=조회_최소,$J499&lt;=조회_최대),1,0)</f>
        <v/>
      </c>
      <c r="AB499">
        <f>IF($AA499=1,$AB498+1,$AB498)</f>
        <v/>
      </c>
      <c r="AC499">
        <f>IF(검색어="",1,IF(ISNUMBER(SEARCH(검색어,$A499)),1,0))</f>
        <v/>
      </c>
      <c r="AD499">
        <f>IF($AC499=1,$AD498+1,$AD498)</f>
        <v/>
      </c>
      <c r="AE499">
        <f>IFERROR(INDEX($A$4:$A$594,MATCH(496,$AD$4:$AD$594,0)),"")</f>
        <v/>
      </c>
    </row>
    <row r="500">
      <c r="A500" s="99" t="inlineStr">
        <is>
          <t>TIGER 코스닥150 레버리지</t>
        </is>
      </c>
      <c r="B500" s="99" t="inlineStr">
        <is>
          <t>233160</t>
        </is>
      </c>
      <c r="C500" s="99" t="inlineStr">
        <is>
          <t>미래에셋자산운용</t>
        </is>
      </c>
      <c r="D500" s="100" t="n">
        <v>8905</v>
      </c>
      <c r="E500" s="100" t="n">
        <v>191457500000</v>
      </c>
      <c r="F500" s="100" t="n">
        <v>17792271559</v>
      </c>
      <c r="G500" s="101" t="n">
        <v>0.0032</v>
      </c>
      <c r="H500" s="101" t="n">
        <v>1.1254</v>
      </c>
      <c r="I500" s="101" t="n">
        <v>0.0021</v>
      </c>
      <c r="J500" s="101" t="n">
        <v>0.003032</v>
      </c>
      <c r="K500" s="100" t="n">
        <v>1</v>
      </c>
      <c r="L500" s="102" t="inlineStr">
        <is>
          <t>20251229</t>
        </is>
      </c>
      <c r="M500" s="99" t="inlineStr">
        <is>
          <t>제외</t>
        </is>
      </c>
      <c r="N500" s="99" t="inlineStr">
        <is>
          <t>변동성 112.5%(1년 기준, 기준 35% 초과)</t>
        </is>
      </c>
      <c r="O500" s="99" t="inlineStr">
        <is>
          <t>KOSDAQ 150</t>
        </is>
      </c>
      <c r="P500" s="99" t="inlineStr">
        <is>
          <t>일반</t>
        </is>
      </c>
      <c r="Q500" s="99" t="inlineStr">
        <is>
          <t>주식</t>
        </is>
      </c>
      <c r="R500" s="99" t="inlineStr">
        <is>
          <t>연배당</t>
        </is>
      </c>
      <c r="S500" s="100" t="n">
        <v>1</v>
      </c>
      <c r="T500" s="101" t="n">
        <v>1</v>
      </c>
      <c r="U500" s="103" t="n"/>
      <c r="V500" s="103" t="n"/>
      <c r="W500" s="103" t="n"/>
      <c r="X500" s="103" t="n"/>
      <c r="Y500" s="99" t="inlineStr"/>
      <c r="Z500" s="99" t="inlineStr">
        <is>
          <t>창 안 급변일 11일(20260126,20260304,20260305,20260608,20260609,20260623,20260629,20260702,20260728,20260731,20260810) — 내지 않음 / 6개월: 창 안 급변일 8일(20260608,20260609,20260623,20260629,20260702,20260728,20260731,20260810) — 내지 않음 / 3개월: 창 안 급변일 3일(20260728,20260731,20260810) — 내지 않음</t>
        </is>
      </c>
      <c r="AA500">
        <f>IF(AND($J500&lt;&gt;"",OR(조회_주기="전체",$R500=조회_주기),$J500&gt;=조회_최소,$J500&lt;=조회_최대),1,0)</f>
        <v/>
      </c>
      <c r="AB500">
        <f>IF($AA500=1,$AB499+1,$AB499)</f>
        <v/>
      </c>
      <c r="AC500">
        <f>IF(검색어="",1,IF(ISNUMBER(SEARCH(검색어,$A500)),1,0))</f>
        <v/>
      </c>
      <c r="AD500">
        <f>IF($AC500=1,$AD499+1,$AD499)</f>
        <v/>
      </c>
      <c r="AE500">
        <f>IFERROR(INDEX($A$4:$A$594,MATCH(497,$AD$4:$AD$594,0)),"")</f>
        <v/>
      </c>
    </row>
    <row r="501">
      <c r="A501" s="99" t="inlineStr">
        <is>
          <t>TIGER TSMC파운드리밸류체인</t>
        </is>
      </c>
      <c r="B501" s="99" t="inlineStr">
        <is>
          <t>453950</t>
        </is>
      </c>
      <c r="C501" s="99" t="inlineStr">
        <is>
          <t>미래에셋자산운용</t>
        </is>
      </c>
      <c r="D501" s="100" t="n">
        <v>35360</v>
      </c>
      <c r="E501" s="100" t="n">
        <v>68952000000</v>
      </c>
      <c r="F501" s="100" t="n">
        <v>518865267</v>
      </c>
      <c r="G501" s="101" t="n">
        <v>0.0049</v>
      </c>
      <c r="H501" s="101" t="n">
        <v>0.3626</v>
      </c>
      <c r="I501" s="101" t="n">
        <v>0.0011</v>
      </c>
      <c r="J501" s="101" t="n">
        <v>0.002969</v>
      </c>
      <c r="K501" s="100" t="n">
        <v>3</v>
      </c>
      <c r="L501" s="102" t="inlineStr">
        <is>
          <t>20260429</t>
        </is>
      </c>
      <c r="M501" s="99" t="inlineStr">
        <is>
          <t>제외</t>
        </is>
      </c>
      <c r="N501" s="99" t="inlineStr">
        <is>
          <t>변동성 36.3%(1년 기준, 기준 35% 초과)</t>
        </is>
      </c>
      <c r="O501" s="99" t="inlineStr">
        <is>
          <t>FactSet TSMC Value Chain Index PR</t>
        </is>
      </c>
      <c r="P501" s="99" t="inlineStr">
        <is>
          <t>일반</t>
        </is>
      </c>
      <c r="Q501" s="99" t="inlineStr">
        <is>
          <t>주식</t>
        </is>
      </c>
      <c r="R501" s="99" t="inlineStr">
        <is>
          <t>연배당</t>
        </is>
      </c>
      <c r="S501" s="100" t="n">
        <v>1</v>
      </c>
      <c r="T501" s="101" t="n">
        <v>1</v>
      </c>
      <c r="U501" s="103" t="n">
        <v>0.8813</v>
      </c>
      <c r="V501" s="103" t="n">
        <v>0.8756</v>
      </c>
      <c r="W501" s="103" t="n">
        <v>0.2851</v>
      </c>
      <c r="X501" s="103" t="n">
        <v>-0.1275</v>
      </c>
      <c r="Y501" s="99" t="inlineStr">
        <is>
          <t>20250922~20261002</t>
        </is>
      </c>
      <c r="Z501" s="99" t="inlineStr"/>
      <c r="AA501">
        <f>IF(AND($J501&lt;&gt;"",OR(조회_주기="전체",$R501=조회_주기),$J501&gt;=조회_최소,$J501&lt;=조회_최대),1,0)</f>
        <v/>
      </c>
      <c r="AB501">
        <f>IF($AA501=1,$AB500+1,$AB500)</f>
        <v/>
      </c>
      <c r="AC501">
        <f>IF(검색어="",1,IF(ISNUMBER(SEARCH(검색어,$A501)),1,0))</f>
        <v/>
      </c>
      <c r="AD501">
        <f>IF($AC501=1,$AD500+1,$AD500)</f>
        <v/>
      </c>
      <c r="AE501">
        <f>IFERROR(INDEX($A$4:$A$594,MATCH(498,$AD$4:$AD$594,0)),"")</f>
        <v/>
      </c>
    </row>
    <row r="502">
      <c r="A502" s="99" t="inlineStr">
        <is>
          <t>RISE 메타버스</t>
        </is>
      </c>
      <c r="B502" s="99" t="inlineStr">
        <is>
          <t>401170</t>
        </is>
      </c>
      <c r="C502" s="99" t="inlineStr">
        <is>
          <t>KB자산운용</t>
        </is>
      </c>
      <c r="D502" s="100" t="n">
        <v>10630</v>
      </c>
      <c r="E502" s="100" t="n">
        <v>41457000000</v>
      </c>
      <c r="F502" s="100" t="n">
        <v>116187850</v>
      </c>
      <c r="G502" s="101" t="n">
        <v>0.004500000000000001</v>
      </c>
      <c r="H502" s="101" t="n">
        <v>0.4321</v>
      </c>
      <c r="I502" s="101" t="n">
        <v>0.0016</v>
      </c>
      <c r="J502" s="101" t="n">
        <v>0.002916</v>
      </c>
      <c r="K502" s="100" t="n">
        <v>4</v>
      </c>
      <c r="L502" s="102" t="inlineStr">
        <is>
          <t>20260429</t>
        </is>
      </c>
      <c r="M502" s="99" t="inlineStr">
        <is>
          <t>제외</t>
        </is>
      </c>
      <c r="N502" s="99" t="inlineStr">
        <is>
          <t>60일 거래대금 1.2억(기준 5억 미만), 변동성 43.2%(1년 기준, 기준 35% 초과)</t>
        </is>
      </c>
      <c r="O502" s="99" t="inlineStr">
        <is>
          <t>iSelect 메타버스 지수</t>
        </is>
      </c>
      <c r="P502" s="99" t="inlineStr">
        <is>
          <t>일반</t>
        </is>
      </c>
      <c r="Q502" s="99" t="inlineStr">
        <is>
          <t>주식</t>
        </is>
      </c>
      <c r="R502" s="99" t="inlineStr">
        <is>
          <t>연배당</t>
        </is>
      </c>
      <c r="S502" s="100" t="n">
        <v>2</v>
      </c>
      <c r="T502" s="101" t="n">
        <v>0.5161</v>
      </c>
      <c r="U502" s="103" t="n">
        <v>0.4127</v>
      </c>
      <c r="V502" s="103" t="n">
        <v>0.4086</v>
      </c>
      <c r="W502" s="103" t="n">
        <v>0.3828</v>
      </c>
      <c r="X502" s="103" t="n">
        <v>-0.1412</v>
      </c>
      <c r="Y502" s="99" t="inlineStr">
        <is>
          <t>20250922~20261002</t>
        </is>
      </c>
      <c r="Z502" s="99" t="inlineStr"/>
      <c r="AA502">
        <f>IF(AND($J502&lt;&gt;"",OR(조회_주기="전체",$R502=조회_주기),$J502&gt;=조회_최소,$J502&lt;=조회_최대),1,0)</f>
        <v/>
      </c>
      <c r="AB502">
        <f>IF($AA502=1,$AB501+1,$AB501)</f>
        <v/>
      </c>
      <c r="AC502">
        <f>IF(검색어="",1,IF(ISNUMBER(SEARCH(검색어,$A502)),1,0))</f>
        <v/>
      </c>
      <c r="AD502">
        <f>IF($AC502=1,$AD501+1,$AD501)</f>
        <v/>
      </c>
      <c r="AE502">
        <f>IFERROR(INDEX($A$4:$A$594,MATCH(499,$AD$4:$AD$594,0)),"")</f>
        <v/>
      </c>
    </row>
    <row r="503">
      <c r="A503" s="99" t="inlineStr">
        <is>
          <t>WON 미국S&amp;P500</t>
        </is>
      </c>
      <c r="B503" s="99" t="inlineStr">
        <is>
          <t>444490</t>
        </is>
      </c>
      <c r="C503" s="99" t="inlineStr">
        <is>
          <t>우리자산운용</t>
        </is>
      </c>
      <c r="D503" s="100" t="n">
        <v>19785</v>
      </c>
      <c r="E503" s="100" t="n">
        <v>88043250000</v>
      </c>
      <c r="F503" s="100" t="n">
        <v>346207006</v>
      </c>
      <c r="G503" s="101" t="n">
        <v>0.0005</v>
      </c>
      <c r="H503" s="101" t="n">
        <v>0.1467</v>
      </c>
      <c r="I503" s="101" t="n">
        <v>0.003</v>
      </c>
      <c r="J503" s="101" t="n">
        <v>0.002881</v>
      </c>
      <c r="K503" s="100" t="n">
        <v>1</v>
      </c>
      <c r="L503" s="102" t="inlineStr">
        <is>
          <t>20251030</t>
        </is>
      </c>
      <c r="M503" s="99" t="inlineStr">
        <is>
          <t>제외</t>
        </is>
      </c>
      <c r="N503" s="99" t="inlineStr">
        <is>
          <t>60일 거래대금 3.5억(기준 5억 미만), 최근 12개월 분배 없음</t>
        </is>
      </c>
      <c r="O503" s="99" t="inlineStr">
        <is>
          <t>S&amp;P 500</t>
        </is>
      </c>
      <c r="P503" s="99" t="inlineStr">
        <is>
          <t>일반</t>
        </is>
      </c>
      <c r="Q503" s="99" t="inlineStr">
        <is>
          <t>주식</t>
        </is>
      </c>
      <c r="R503" s="99" t="inlineStr">
        <is>
          <t>무분배</t>
        </is>
      </c>
      <c r="S503" s="100" t="n">
        <v>0</v>
      </c>
      <c r="T503" s="101" t="n">
        <v>1</v>
      </c>
      <c r="U503" s="103" t="n">
        <v>0.1243</v>
      </c>
      <c r="V503" s="103" t="n">
        <v>0.121</v>
      </c>
      <c r="W503" s="103" t="n">
        <v>0.0493</v>
      </c>
      <c r="X503" s="103" t="n">
        <v>-0.0906</v>
      </c>
      <c r="Y503" s="99" t="inlineStr">
        <is>
          <t>20250922~20261002</t>
        </is>
      </c>
      <c r="Z503" s="99" t="inlineStr"/>
      <c r="AA503">
        <f>IF(AND($J503&lt;&gt;"",OR(조회_주기="전체",$R503=조회_주기),$J503&gt;=조회_최소,$J503&lt;=조회_최대),1,0)</f>
        <v/>
      </c>
      <c r="AB503">
        <f>IF($AA503=1,$AB502+1,$AB502)</f>
        <v/>
      </c>
      <c r="AC503">
        <f>IF(검색어="",1,IF(ISNUMBER(SEARCH(검색어,$A503)),1,0))</f>
        <v/>
      </c>
      <c r="AD503">
        <f>IF($AC503=1,$AD502+1,$AD502)</f>
        <v/>
      </c>
      <c r="AE503">
        <f>IFERROR(INDEX($A$4:$A$594,MATCH(500,$AD$4:$AD$594,0)),"")</f>
        <v/>
      </c>
    </row>
    <row r="504">
      <c r="A504" s="99" t="inlineStr">
        <is>
          <t>TIGER 2차전지테마</t>
        </is>
      </c>
      <c r="B504" s="99" t="inlineStr">
        <is>
          <t>305540</t>
        </is>
      </c>
      <c r="C504" s="99" t="inlineStr">
        <is>
          <t>미래에셋자산운용</t>
        </is>
      </c>
      <c r="D504" s="100" t="n">
        <v>19175</v>
      </c>
      <c r="E504" s="100" t="n">
        <v>953956250000</v>
      </c>
      <c r="F504" s="100" t="n">
        <v>8974342266</v>
      </c>
      <c r="G504" s="101" t="n">
        <v>0.005</v>
      </c>
      <c r="H504" s="101" t="n">
        <v>0.5965</v>
      </c>
      <c r="I504" s="101" t="n">
        <v>0.0021</v>
      </c>
      <c r="J504" s="101" t="n">
        <v>0.002868</v>
      </c>
      <c r="K504" s="100" t="n">
        <v>5</v>
      </c>
      <c r="L504" s="102" t="inlineStr">
        <is>
          <t>20260429</t>
        </is>
      </c>
      <c r="M504" s="99" t="inlineStr">
        <is>
          <t>제외</t>
        </is>
      </c>
      <c r="N504" s="99" t="inlineStr">
        <is>
          <t>변동성 59.6%(1년 기준, 기준 35% 초과)</t>
        </is>
      </c>
      <c r="O504" s="99" t="inlineStr">
        <is>
          <t>WISE 2차전지 테마 지수</t>
        </is>
      </c>
      <c r="P504" s="99" t="inlineStr">
        <is>
          <t>일반</t>
        </is>
      </c>
      <c r="Q504" s="99" t="inlineStr">
        <is>
          <t>주식</t>
        </is>
      </c>
      <c r="R504" s="99" t="inlineStr">
        <is>
          <t>연배당</t>
        </is>
      </c>
      <c r="S504" s="100" t="n">
        <v>1</v>
      </c>
      <c r="T504" s="101" t="n">
        <v>0</v>
      </c>
      <c r="U504" s="103" t="n"/>
      <c r="V504" s="103" t="n"/>
      <c r="W504" s="103" t="n">
        <v>-0.0774</v>
      </c>
      <c r="X504" s="103" t="n">
        <v>0.07490000000000001</v>
      </c>
      <c r="Y504" s="99" t="inlineStr"/>
      <c r="Z504" s="99" t="inlineStr">
        <is>
          <t>창 안 급변일 1일(20260304) — 내지 않음</t>
        </is>
      </c>
      <c r="AA504">
        <f>IF(AND($J504&lt;&gt;"",OR(조회_주기="전체",$R504=조회_주기),$J504&gt;=조회_최소,$J504&lt;=조회_최대),1,0)</f>
        <v/>
      </c>
      <c r="AB504">
        <f>IF($AA504=1,$AB503+1,$AB503)</f>
        <v/>
      </c>
      <c r="AC504">
        <f>IF(검색어="",1,IF(ISNUMBER(SEARCH(검색어,$A504)),1,0))</f>
        <v/>
      </c>
      <c r="AD504">
        <f>IF($AC504=1,$AD503+1,$AD503)</f>
        <v/>
      </c>
      <c r="AE504">
        <f>IFERROR(INDEX($A$4:$A$594,MATCH(501,$AD$4:$AD$594,0)),"")</f>
        <v/>
      </c>
    </row>
    <row r="505">
      <c r="A505" s="99" t="inlineStr">
        <is>
          <t>SOL 코리아메가테크액티브</t>
        </is>
      </c>
      <c r="B505" s="99" t="inlineStr">
        <is>
          <t>444200</t>
        </is>
      </c>
      <c r="C505" s="99" t="inlineStr">
        <is>
          <t>신한자산운용</t>
        </is>
      </c>
      <c r="D505" s="100" t="n">
        <v>45745</v>
      </c>
      <c r="E505" s="100" t="n">
        <v>507769500000</v>
      </c>
      <c r="F505" s="100" t="n">
        <v>8212680369</v>
      </c>
      <c r="G505" s="101" t="n">
        <v>0.005500000000000001</v>
      </c>
      <c r="H505" s="101" t="n">
        <v>0.5390999999999999</v>
      </c>
      <c r="I505" s="101" t="n">
        <v>0.0025</v>
      </c>
      <c r="J505" s="101" t="n">
        <v>0.002798</v>
      </c>
      <c r="K505" s="100" t="n">
        <v>4</v>
      </c>
      <c r="L505" s="102" t="inlineStr">
        <is>
          <t>20260429</t>
        </is>
      </c>
      <c r="M505" s="99" t="inlineStr">
        <is>
          <t>제외</t>
        </is>
      </c>
      <c r="N505" s="99" t="inlineStr">
        <is>
          <t>변동성 53.9%(1년 기준, 기준 35% 초과)</t>
        </is>
      </c>
      <c r="O505" s="99" t="inlineStr">
        <is>
          <t>KEDI 메가테크 지수</t>
        </is>
      </c>
      <c r="P505" s="99" t="inlineStr">
        <is>
          <t>일반</t>
        </is>
      </c>
      <c r="Q505" s="99" t="inlineStr">
        <is>
          <t>주식</t>
        </is>
      </c>
      <c r="R505" s="99" t="inlineStr">
        <is>
          <t>연배당</t>
        </is>
      </c>
      <c r="S505" s="100" t="n">
        <v>1</v>
      </c>
      <c r="T505" s="101" t="n">
        <v>1</v>
      </c>
      <c r="U505" s="103" t="n"/>
      <c r="V505" s="103" t="n"/>
      <c r="W505" s="103" t="n"/>
      <c r="X505" s="103" t="n"/>
      <c r="Y505" s="99" t="inlineStr"/>
      <c r="Z505" s="99" t="inlineStr">
        <is>
          <t>창 안 급변일 1일(20260731) — 내지 않음 / 6개월: 창 안 급변일 1일(20260731) — 내지 않음 / 3개월: 창 안 급변일 1일(20260731) — 내지 않음</t>
        </is>
      </c>
      <c r="AA505">
        <f>IF(AND($J505&lt;&gt;"",OR(조회_주기="전체",$R505=조회_주기),$J505&gt;=조회_최소,$J505&lt;=조회_최대),1,0)</f>
        <v/>
      </c>
      <c r="AB505">
        <f>IF($AA505=1,$AB504+1,$AB504)</f>
        <v/>
      </c>
      <c r="AC505">
        <f>IF(검색어="",1,IF(ISNUMBER(SEARCH(검색어,$A505)),1,0))</f>
        <v/>
      </c>
      <c r="AD505">
        <f>IF($AC505=1,$AD504+1,$AD504)</f>
        <v/>
      </c>
      <c r="AE505">
        <f>IFERROR(INDEX($A$4:$A$594,MATCH(502,$AD$4:$AD$594,0)),"")</f>
        <v/>
      </c>
    </row>
    <row r="506">
      <c r="A506" s="99" t="inlineStr">
        <is>
          <t>RISE 미국AI테크액티브</t>
        </is>
      </c>
      <c r="B506" s="99" t="inlineStr">
        <is>
          <t>495940</t>
        </is>
      </c>
      <c r="C506" s="99" t="inlineStr">
        <is>
          <t>KB자산운용</t>
        </is>
      </c>
      <c r="D506" s="100" t="n">
        <v>19610</v>
      </c>
      <c r="E506" s="100" t="n">
        <v>61771500000</v>
      </c>
      <c r="F506" s="100" t="n">
        <v>307309317</v>
      </c>
      <c r="G506" s="101" t="n">
        <v>0.005</v>
      </c>
      <c r="H506" s="101" t="n">
        <v>0.3822</v>
      </c>
      <c r="I506" s="101" t="n">
        <v>0.0013</v>
      </c>
      <c r="J506" s="101" t="n">
        <v>0.002754</v>
      </c>
      <c r="K506" s="100" t="n">
        <v>2</v>
      </c>
      <c r="L506" s="102" t="inlineStr">
        <is>
          <t>20260730</t>
        </is>
      </c>
      <c r="M506" s="99" t="inlineStr">
        <is>
          <t>제외</t>
        </is>
      </c>
      <c r="N506" s="99" t="inlineStr">
        <is>
          <t>60일 거래대금 3.1억(기준 5억 미만), 변동성 38.2%(1년 기준, 기준 35% 초과)</t>
        </is>
      </c>
      <c r="O506" s="99" t="inlineStr">
        <is>
          <t>Solactive US AI Tech Active Index PR</t>
        </is>
      </c>
      <c r="P506" s="99" t="inlineStr">
        <is>
          <t>일반</t>
        </is>
      </c>
      <c r="Q506" s="99" t="inlineStr">
        <is>
          <t>주식</t>
        </is>
      </c>
      <c r="R506" s="99" t="inlineStr">
        <is>
          <t>반기배당</t>
        </is>
      </c>
      <c r="S506" s="100" t="n">
        <v>2</v>
      </c>
      <c r="T506" s="101" t="n">
        <v>1</v>
      </c>
      <c r="U506" s="103" t="n">
        <v>0.4908</v>
      </c>
      <c r="V506" s="103" t="n">
        <v>0.4867</v>
      </c>
      <c r="W506" s="103" t="n">
        <v>0.2467</v>
      </c>
      <c r="X506" s="103" t="n">
        <v>-0.1263</v>
      </c>
      <c r="Y506" s="99" t="inlineStr">
        <is>
          <t>20250922~20261002</t>
        </is>
      </c>
      <c r="Z506" s="99" t="inlineStr"/>
      <c r="AA506">
        <f>IF(AND($J506&lt;&gt;"",OR(조회_주기="전체",$R506=조회_주기),$J506&gt;=조회_최소,$J506&lt;=조회_최대),1,0)</f>
        <v/>
      </c>
      <c r="AB506">
        <f>IF($AA506=1,$AB505+1,$AB505)</f>
        <v/>
      </c>
      <c r="AC506">
        <f>IF(검색어="",1,IF(ISNUMBER(SEARCH(검색어,$A506)),1,0))</f>
        <v/>
      </c>
      <c r="AD506">
        <f>IF($AC506=1,$AD505+1,$AD505)</f>
        <v/>
      </c>
      <c r="AE506">
        <f>IFERROR(INDEX($A$4:$A$594,MATCH(503,$AD$4:$AD$594,0)),"")</f>
        <v/>
      </c>
    </row>
    <row r="507">
      <c r="A507" s="99" t="inlineStr">
        <is>
          <t>1Q 미국메디컬AI</t>
        </is>
      </c>
      <c r="B507" s="99" t="inlineStr">
        <is>
          <t>0083S0</t>
        </is>
      </c>
      <c r="C507" s="99" t="inlineStr">
        <is>
          <t>하나자산운용</t>
        </is>
      </c>
      <c r="D507" s="100" t="n">
        <v>11750</v>
      </c>
      <c r="E507" s="100" t="n">
        <v>30550000000</v>
      </c>
      <c r="F507" s="100" t="n">
        <v>352893721</v>
      </c>
      <c r="G507" s="101" t="n">
        <v>0.0049</v>
      </c>
      <c r="H507" s="101" t="n">
        <v>0.3727</v>
      </c>
      <c r="I507" s="101" t="n">
        <v>0.002</v>
      </c>
      <c r="J507" s="101" t="n">
        <v>0.002638</v>
      </c>
      <c r="K507" s="100" t="n">
        <v>2</v>
      </c>
      <c r="L507" s="102" t="inlineStr">
        <is>
          <t>20260730</t>
        </is>
      </c>
      <c r="M507" s="99" t="inlineStr">
        <is>
          <t>제외</t>
        </is>
      </c>
      <c r="N507" s="99" t="inlineStr">
        <is>
          <t>60일 거래대금 3.5억(기준 5억 미만), 변동성 37.3%(1년 기준, 기준 35% 초과)</t>
        </is>
      </c>
      <c r="O507" s="99" t="inlineStr">
        <is>
          <t>KEDI U.S. Medical AI Index PR</t>
        </is>
      </c>
      <c r="P507" s="99" t="inlineStr">
        <is>
          <t>일반</t>
        </is>
      </c>
      <c r="Q507" s="99" t="inlineStr">
        <is>
          <t>주식</t>
        </is>
      </c>
      <c r="R507" s="99" t="inlineStr">
        <is>
          <t>연배당</t>
        </is>
      </c>
      <c r="S507" s="100" t="n">
        <v>1</v>
      </c>
      <c r="T507" s="101" t="n">
        <v>0.3871</v>
      </c>
      <c r="U507" s="103" t="n">
        <v>0.0509</v>
      </c>
      <c r="V507" s="103" t="n">
        <v>0.0481</v>
      </c>
      <c r="W507" s="103" t="n">
        <v>0.2083</v>
      </c>
      <c r="X507" s="103" t="n">
        <v>-0.0037</v>
      </c>
      <c r="Y507" s="99" t="inlineStr">
        <is>
          <t>20250922~20261002</t>
        </is>
      </c>
      <c r="Z507" s="99" t="inlineStr"/>
      <c r="AA507">
        <f>IF(AND($J507&lt;&gt;"",OR(조회_주기="전체",$R507=조회_주기),$J507&gt;=조회_최소,$J507&lt;=조회_최대),1,0)</f>
        <v/>
      </c>
      <c r="AB507">
        <f>IF($AA507=1,$AB506+1,$AB506)</f>
        <v/>
      </c>
      <c r="AC507">
        <f>IF(검색어="",1,IF(ISNUMBER(SEARCH(검색어,$A507)),1,0))</f>
        <v/>
      </c>
      <c r="AD507">
        <f>IF($AC507=1,$AD506+1,$AD506)</f>
        <v/>
      </c>
      <c r="AE507">
        <f>IFERROR(INDEX($A$4:$A$594,MATCH(504,$AD$4:$AD$594,0)),"")</f>
        <v/>
      </c>
    </row>
    <row r="508">
      <c r="A508" s="99" t="inlineStr">
        <is>
          <t>TIGER 차이나테크TOP10</t>
        </is>
      </c>
      <c r="B508" s="99" t="inlineStr">
        <is>
          <t>0047A0</t>
        </is>
      </c>
      <c r="C508" s="99" t="inlineStr">
        <is>
          <t>미래에셋자산운용</t>
        </is>
      </c>
      <c r="D508" s="100" t="n">
        <v>11380</v>
      </c>
      <c r="E508" s="100" t="n">
        <v>170700000000</v>
      </c>
      <c r="F508" s="100" t="n">
        <v>1724209529</v>
      </c>
      <c r="G508" s="101" t="n">
        <v>0.0049</v>
      </c>
      <c r="H508" s="101" t="n">
        <v>0.3662</v>
      </c>
      <c r="I508" s="101" t="n">
        <v>0.0022</v>
      </c>
      <c r="J508" s="101" t="n">
        <v>0.002636</v>
      </c>
      <c r="K508" s="100" t="n">
        <v>2</v>
      </c>
      <c r="L508" s="102" t="inlineStr">
        <is>
          <t>20251030</t>
        </is>
      </c>
      <c r="M508" s="99" t="inlineStr">
        <is>
          <t>제외</t>
        </is>
      </c>
      <c r="N508" s="99" t="inlineStr">
        <is>
          <t>변동성 36.6%(1년 기준, 기준 35% 초과), 최근 12개월 분배 없음</t>
        </is>
      </c>
      <c r="O508" s="99" t="inlineStr">
        <is>
          <t>Mirae Asset China Tech Top 10 Index</t>
        </is>
      </c>
      <c r="P508" s="99" t="inlineStr">
        <is>
          <t>일반</t>
        </is>
      </c>
      <c r="Q508" s="99" t="inlineStr">
        <is>
          <t>주식</t>
        </is>
      </c>
      <c r="R508" s="99" t="inlineStr">
        <is>
          <t>무분배</t>
        </is>
      </c>
      <c r="S508" s="100" t="n">
        <v>0</v>
      </c>
      <c r="T508" s="101" t="n">
        <v>1</v>
      </c>
      <c r="U508" s="103" t="n">
        <v>-0.1091</v>
      </c>
      <c r="V508" s="103" t="n">
        <v>-0.1114</v>
      </c>
      <c r="W508" s="103" t="n">
        <v>0.01</v>
      </c>
      <c r="X508" s="103" t="n">
        <v>-0.205</v>
      </c>
      <c r="Y508" s="99" t="inlineStr">
        <is>
          <t>20250922~20261002</t>
        </is>
      </c>
      <c r="Z508" s="99" t="inlineStr"/>
      <c r="AA508">
        <f>IF(AND($J508&lt;&gt;"",OR(조회_주기="전체",$R508=조회_주기),$J508&gt;=조회_최소,$J508&lt;=조회_최대),1,0)</f>
        <v/>
      </c>
      <c r="AB508">
        <f>IF($AA508=1,$AB507+1,$AB507)</f>
        <v/>
      </c>
      <c r="AC508">
        <f>IF(검색어="",1,IF(ISNUMBER(SEARCH(검색어,$A508)),1,0))</f>
        <v/>
      </c>
      <c r="AD508">
        <f>IF($AC508=1,$AD507+1,$AD507)</f>
        <v/>
      </c>
      <c r="AE508">
        <f>IFERROR(INDEX($A$4:$A$594,MATCH(505,$AD$4:$AD$594,0)),"")</f>
        <v/>
      </c>
    </row>
    <row r="509">
      <c r="A509" s="99" t="inlineStr">
        <is>
          <t>ACE 코리아AI테크핵심산업</t>
        </is>
      </c>
      <c r="B509" s="99" t="inlineStr">
        <is>
          <t>380340</t>
        </is>
      </c>
      <c r="C509" s="99" t="inlineStr">
        <is>
          <t>한국투신운용(ETF)</t>
        </is>
      </c>
      <c r="D509" s="100" t="n">
        <v>28775</v>
      </c>
      <c r="E509" s="100" t="n">
        <v>34530000000</v>
      </c>
      <c r="F509" s="100" t="n">
        <v>1227286130</v>
      </c>
      <c r="G509" s="101" t="n">
        <v>0.0035</v>
      </c>
      <c r="H509" s="101" t="n">
        <v>0.5802</v>
      </c>
      <c r="I509" s="101" t="n">
        <v>0.0031</v>
      </c>
      <c r="J509" s="101" t="n">
        <v>0.002606</v>
      </c>
      <c r="K509" s="100" t="n">
        <v>5</v>
      </c>
      <c r="L509" s="102" t="inlineStr">
        <is>
          <t>20260429</t>
        </is>
      </c>
      <c r="M509" s="99" t="inlineStr">
        <is>
          <t>제외</t>
        </is>
      </c>
      <c r="N509" s="99" t="inlineStr">
        <is>
          <t>변동성 58.0%(1년 기준, 기준 35% 초과)</t>
        </is>
      </c>
      <c r="O509" s="99" t="inlineStr">
        <is>
          <t>FnGuide 5G 플러스 지수</t>
        </is>
      </c>
      <c r="P509" s="99" t="inlineStr">
        <is>
          <t>일반</t>
        </is>
      </c>
      <c r="Q509" s="99" t="inlineStr">
        <is>
          <t>주식</t>
        </is>
      </c>
      <c r="R509" s="99" t="inlineStr">
        <is>
          <t>연배당</t>
        </is>
      </c>
      <c r="S509" s="100" t="n">
        <v>1</v>
      </c>
      <c r="T509" s="101" t="n">
        <v>0.9867</v>
      </c>
      <c r="U509" s="103" t="n"/>
      <c r="V509" s="103" t="n"/>
      <c r="W509" s="103" t="n"/>
      <c r="X509" s="103" t="n"/>
      <c r="Y509" s="99" t="inlineStr"/>
      <c r="Z509" s="99" t="inlineStr">
        <is>
          <t>창 안 급변일 1일(20260731) — 내지 않음 / 6개월: 창 안 급변일 1일(20260731) — 내지 않음 / 3개월: 창 안 급변일 1일(20260731) — 내지 않음</t>
        </is>
      </c>
      <c r="AA509">
        <f>IF(AND($J509&lt;&gt;"",OR(조회_주기="전체",$R509=조회_주기),$J509&gt;=조회_최소,$J509&lt;=조회_최대),1,0)</f>
        <v/>
      </c>
      <c r="AB509">
        <f>IF($AA509=1,$AB508+1,$AB508)</f>
        <v/>
      </c>
      <c r="AC509">
        <f>IF(검색어="",1,IF(ISNUMBER(SEARCH(검색어,$A509)),1,0))</f>
        <v/>
      </c>
      <c r="AD509">
        <f>IF($AC509=1,$AD508+1,$AD508)</f>
        <v/>
      </c>
      <c r="AE509">
        <f>IFERROR(INDEX($A$4:$A$594,MATCH(506,$AD$4:$AD$594,0)),"")</f>
        <v/>
      </c>
    </row>
    <row r="510">
      <c r="A510" s="99" t="inlineStr">
        <is>
          <t>TIGER 레버리지</t>
        </is>
      </c>
      <c r="B510" s="99" t="inlineStr">
        <is>
          <t>123320</t>
        </is>
      </c>
      <c r="C510" s="99" t="inlineStr">
        <is>
          <t>미래에셋자산운용</t>
        </is>
      </c>
      <c r="D510" s="100" t="n">
        <v>115400</v>
      </c>
      <c r="E510" s="100" t="n">
        <v>265420000000</v>
      </c>
      <c r="F510" s="100" t="n">
        <v>23078872437</v>
      </c>
      <c r="G510" s="101" t="n">
        <v>0.00022</v>
      </c>
      <c r="H510" s="101" t="n">
        <v>1.1656</v>
      </c>
      <c r="I510" s="101" t="n">
        <v>0.0067</v>
      </c>
      <c r="J510" s="101" t="n">
        <v>0.0026</v>
      </c>
      <c r="K510" s="100" t="n">
        <v>1</v>
      </c>
      <c r="L510" s="102" t="inlineStr">
        <is>
          <t>20251229</t>
        </is>
      </c>
      <c r="M510" s="99" t="inlineStr">
        <is>
          <t>제외</t>
        </is>
      </c>
      <c r="N510" s="99" t="inlineStr">
        <is>
          <t>변동성 116.6%(1년 기준, 기준 35% 초과)</t>
        </is>
      </c>
      <c r="O510" s="99" t="inlineStr">
        <is>
          <t>KOSPI 200</t>
        </is>
      </c>
      <c r="P510" s="99" t="inlineStr">
        <is>
          <t>일반</t>
        </is>
      </c>
      <c r="Q510" s="99" t="inlineStr">
        <is>
          <t>주식</t>
        </is>
      </c>
      <c r="R510" s="99" t="inlineStr">
        <is>
          <t>연배당</t>
        </is>
      </c>
      <c r="S510" s="100" t="n">
        <v>1</v>
      </c>
      <c r="T510" s="101" t="n">
        <v>1</v>
      </c>
      <c r="U510" s="103" t="n"/>
      <c r="V510" s="103" t="n"/>
      <c r="W510" s="103" t="n"/>
      <c r="X510" s="103" t="n"/>
      <c r="Y510" s="99" t="inlineStr"/>
      <c r="Z510" s="99" t="inlineStr">
        <is>
          <t>창 안 급변일 12일(20260303,20260304,20260305,20260401,20260521,20260608,20260609,20260623,20260702,20260713,20260728,20260731) — 내지 않음 / 6개월: 창 안 급변일 8일(20260521,20260608,20260609,20260623,20260702,20260713,20260728,20260731) — 내지 않음 / 3개월: 창 안 급변일 3일(20260713,20260728,20260731) — 내지 않음</t>
        </is>
      </c>
      <c r="AA510">
        <f>IF(AND($J510&lt;&gt;"",OR(조회_주기="전체",$R510=조회_주기),$J510&gt;=조회_최소,$J510&lt;=조회_최대),1,0)</f>
        <v/>
      </c>
      <c r="AB510">
        <f>IF($AA510=1,$AB509+1,$AB509)</f>
        <v/>
      </c>
      <c r="AC510">
        <f>IF(검색어="",1,IF(ISNUMBER(SEARCH(검색어,$A510)),1,0))</f>
        <v/>
      </c>
      <c r="AD510">
        <f>IF($AC510=1,$AD509+1,$AD509)</f>
        <v/>
      </c>
      <c r="AE510">
        <f>IFERROR(INDEX($A$4:$A$594,MATCH(507,$AD$4:$AD$594,0)),"")</f>
        <v/>
      </c>
    </row>
    <row r="511">
      <c r="A511" s="99" t="inlineStr">
        <is>
          <t>DAISHIN AI반도체&amp;인프라액티브</t>
        </is>
      </c>
      <c r="B511" s="99" t="inlineStr">
        <is>
          <t>486240</t>
        </is>
      </c>
      <c r="C511" s="99" t="inlineStr">
        <is>
          <t>대신자산운용</t>
        </is>
      </c>
      <c r="D511" s="100" t="n">
        <v>31705</v>
      </c>
      <c r="E511" s="100" t="n">
        <v>98285500000</v>
      </c>
      <c r="F511" s="100" t="n">
        <v>278734935</v>
      </c>
      <c r="G511" s="101" t="n">
        <v>0.0036</v>
      </c>
      <c r="H511" s="101" t="n">
        <v>0.6541</v>
      </c>
      <c r="I511" s="101" t="n">
        <v>0.0028</v>
      </c>
      <c r="J511" s="101" t="n">
        <v>0.002586</v>
      </c>
      <c r="K511" s="100" t="n">
        <v>2</v>
      </c>
      <c r="L511" s="102" t="inlineStr">
        <is>
          <t>20260429</t>
        </is>
      </c>
      <c r="M511" s="99" t="inlineStr">
        <is>
          <t>제외</t>
        </is>
      </c>
      <c r="N511" s="99" t="inlineStr">
        <is>
          <t>60일 거래대금 2.8억(기준 5억 미만), 변동성 65.4%(1년 기준, 기준 35% 초과)</t>
        </is>
      </c>
      <c r="O511" s="99" t="inlineStr">
        <is>
          <t>FnGuide AI반도체&amp;인프라 지수</t>
        </is>
      </c>
      <c r="P511" s="99" t="inlineStr">
        <is>
          <t>일반</t>
        </is>
      </c>
      <c r="Q511" s="99" t="inlineStr">
        <is>
          <t>주식</t>
        </is>
      </c>
      <c r="R511" s="99" t="inlineStr">
        <is>
          <t>연배당</t>
        </is>
      </c>
      <c r="S511" s="100" t="n">
        <v>1</v>
      </c>
      <c r="T511" s="101" t="n">
        <v>0.8537</v>
      </c>
      <c r="U511" s="103" t="n"/>
      <c r="V511" s="103" t="n"/>
      <c r="W511" s="103" t="n"/>
      <c r="X511" s="103" t="n"/>
      <c r="Y511" s="99" t="inlineStr"/>
      <c r="Z511" s="99" t="inlineStr">
        <is>
          <t>창 안 급변일 1일(20260731) — 내지 않음 / 6개월: 창 안 급변일 1일(20260731) — 내지 않음 / 3개월: 창 안 급변일 1일(20260731) — 내지 않음</t>
        </is>
      </c>
      <c r="AA511">
        <f>IF(AND($J511&lt;&gt;"",OR(조회_주기="전체",$R511=조회_주기),$J511&gt;=조회_최소,$J511&lt;=조회_최대),1,0)</f>
        <v/>
      </c>
      <c r="AB511">
        <f>IF($AA511=1,$AB510+1,$AB510)</f>
        <v/>
      </c>
      <c r="AC511">
        <f>IF(검색어="",1,IF(ISNUMBER(SEARCH(검색어,$A511)),1,0))</f>
        <v/>
      </c>
      <c r="AD511">
        <f>IF($AC511=1,$AD510+1,$AD510)</f>
        <v/>
      </c>
      <c r="AE511">
        <f>IFERROR(INDEX($A$4:$A$594,MATCH(508,$AD$4:$AD$594,0)),"")</f>
        <v/>
      </c>
    </row>
    <row r="512">
      <c r="A512" s="99" t="inlineStr">
        <is>
          <t>TIGER 코스닥150</t>
        </is>
      </c>
      <c r="B512" s="99" t="inlineStr">
        <is>
          <t>232080</t>
        </is>
      </c>
      <c r="C512" s="99" t="inlineStr">
        <is>
          <t>미래에셋자산운용</t>
        </is>
      </c>
      <c r="D512" s="100" t="n">
        <v>15480</v>
      </c>
      <c r="E512" s="100" t="n">
        <v>1501250400000</v>
      </c>
      <c r="F512" s="100" t="n">
        <v>103615461067</v>
      </c>
      <c r="G512" s="101" t="n">
        <v>0.0019</v>
      </c>
      <c r="H512" s="101" t="n">
        <v>0.5502</v>
      </c>
      <c r="I512" s="101" t="n">
        <v>0.0019</v>
      </c>
      <c r="J512" s="101" t="n">
        <v>0.002584</v>
      </c>
      <c r="K512" s="100" t="n">
        <v>5</v>
      </c>
      <c r="L512" s="102" t="inlineStr">
        <is>
          <t>20260429</t>
        </is>
      </c>
      <c r="M512" s="99" t="inlineStr">
        <is>
          <t>제외</t>
        </is>
      </c>
      <c r="N512" s="99" t="inlineStr">
        <is>
          <t>변동성 55.0%(1년 기준, 기준 35% 초과)</t>
        </is>
      </c>
      <c r="O512" s="99" t="inlineStr">
        <is>
          <t>KOSDAQ 150</t>
        </is>
      </c>
      <c r="P512" s="99" t="inlineStr">
        <is>
          <t>일반</t>
        </is>
      </c>
      <c r="Q512" s="99" t="inlineStr">
        <is>
          <t>주식</t>
        </is>
      </c>
      <c r="R512" s="99" t="inlineStr">
        <is>
          <t>연배당</t>
        </is>
      </c>
      <c r="S512" s="100" t="n">
        <v>1</v>
      </c>
      <c r="T512" s="101" t="n">
        <v>1</v>
      </c>
      <c r="U512" s="103" t="n"/>
      <c r="V512" s="103" t="n"/>
      <c r="W512" s="103" t="n">
        <v>-0.161</v>
      </c>
      <c r="X512" s="103" t="n">
        <v>-0.002</v>
      </c>
      <c r="Y512" s="99" t="inlineStr"/>
      <c r="Z512" s="99" t="inlineStr">
        <is>
          <t>창 안 급변일 1일(20260304) — 내지 않음</t>
        </is>
      </c>
      <c r="AA512">
        <f>IF(AND($J512&lt;&gt;"",OR(조회_주기="전체",$R512=조회_주기),$J512&gt;=조회_최소,$J512&lt;=조회_최대),1,0)</f>
        <v/>
      </c>
      <c r="AB512">
        <f>IF($AA512=1,$AB511+1,$AB511)</f>
        <v/>
      </c>
      <c r="AC512">
        <f>IF(검색어="",1,IF(ISNUMBER(SEARCH(검색어,$A512)),1,0))</f>
        <v/>
      </c>
      <c r="AD512">
        <f>IF($AC512=1,$AD511+1,$AD511)</f>
        <v/>
      </c>
      <c r="AE512">
        <f>IFERROR(INDEX($A$4:$A$594,MATCH(509,$AD$4:$AD$594,0)),"")</f>
        <v/>
      </c>
    </row>
    <row r="513">
      <c r="A513" s="99" t="inlineStr">
        <is>
          <t>HANARO 글로벌금채굴기업</t>
        </is>
      </c>
      <c r="B513" s="99" t="inlineStr">
        <is>
          <t>473640</t>
        </is>
      </c>
      <c r="C513" s="99" t="inlineStr">
        <is>
          <t>NH-Amundi자산운용</t>
        </is>
      </c>
      <c r="D513" s="100" t="n">
        <v>31095</v>
      </c>
      <c r="E513" s="100" t="n">
        <v>65299500000</v>
      </c>
      <c r="F513" s="100" t="n">
        <v>1067436601</v>
      </c>
      <c r="G513" s="101" t="n">
        <v>0.0015</v>
      </c>
      <c r="H513" s="101" t="n">
        <v>0.4512</v>
      </c>
      <c r="I513" s="101" t="n">
        <v>0.002</v>
      </c>
      <c r="J513" s="101" t="n">
        <v>0.002573</v>
      </c>
      <c r="K513" s="100" t="n">
        <v>2</v>
      </c>
      <c r="L513" s="102" t="inlineStr">
        <is>
          <t>20260129</t>
        </is>
      </c>
      <c r="M513" s="99" t="inlineStr">
        <is>
          <t>제외</t>
        </is>
      </c>
      <c r="N513" s="99" t="inlineStr">
        <is>
          <t>변동성 45.1%(1년 기준, 기준 35% 초과)</t>
        </is>
      </c>
      <c r="O513" s="99" t="inlineStr">
        <is>
          <t>NYSE Arca Gold Miners Index (Price Return)</t>
        </is>
      </c>
      <c r="P513" s="99" t="inlineStr">
        <is>
          <t>일반</t>
        </is>
      </c>
      <c r="Q513" s="99" t="inlineStr">
        <is>
          <t>주식</t>
        </is>
      </c>
      <c r="R513" s="99" t="inlineStr">
        <is>
          <t>연배당</t>
        </is>
      </c>
      <c r="S513" s="100" t="n">
        <v>1</v>
      </c>
      <c r="T513" s="101" t="n">
        <v>1</v>
      </c>
      <c r="U513" s="103" t="n">
        <v>0.1978</v>
      </c>
      <c r="V513" s="103" t="n">
        <v>0.1947</v>
      </c>
      <c r="W513" s="103" t="n">
        <v>-0.1674</v>
      </c>
      <c r="X513" s="103" t="n">
        <v>-0.014</v>
      </c>
      <c r="Y513" s="99" t="inlineStr">
        <is>
          <t>20250922~20261002</t>
        </is>
      </c>
      <c r="Z513" s="99" t="inlineStr"/>
      <c r="AA513">
        <f>IF(AND($J513&lt;&gt;"",OR(조회_주기="전체",$R513=조회_주기),$J513&gt;=조회_최소,$J513&lt;=조회_최대),1,0)</f>
        <v/>
      </c>
      <c r="AB513">
        <f>IF($AA513=1,$AB512+1,$AB512)</f>
        <v/>
      </c>
      <c r="AC513">
        <f>IF(검색어="",1,IF(ISNUMBER(SEARCH(검색어,$A513)),1,0))</f>
        <v/>
      </c>
      <c r="AD513">
        <f>IF($AC513=1,$AD512+1,$AD512)</f>
        <v/>
      </c>
      <c r="AE513">
        <f>IFERROR(INDEX($A$4:$A$594,MATCH(510,$AD$4:$AD$594,0)),"")</f>
        <v/>
      </c>
    </row>
    <row r="514">
      <c r="A514" s="99" t="inlineStr">
        <is>
          <t>TIGER 미국AI반도체팹리스</t>
        </is>
      </c>
      <c r="B514" s="99" t="inlineStr">
        <is>
          <t>491830</t>
        </is>
      </c>
      <c r="C514" s="99" t="inlineStr">
        <is>
          <t>미래에셋자산운용</t>
        </is>
      </c>
      <c r="D514" s="100" t="n">
        <v>23220</v>
      </c>
      <c r="E514" s="100" t="n">
        <v>40635000000</v>
      </c>
      <c r="F514" s="100" t="n">
        <v>946193153</v>
      </c>
      <c r="G514" s="101" t="n">
        <v>0.0049</v>
      </c>
      <c r="H514" s="101" t="n">
        <v>0.4537</v>
      </c>
      <c r="I514" s="101" t="n">
        <v>0.0007000000000000001</v>
      </c>
      <c r="J514" s="101" t="n">
        <v>0.002498</v>
      </c>
      <c r="K514" s="100" t="n">
        <v>7</v>
      </c>
      <c r="L514" s="102" t="inlineStr">
        <is>
          <t>20260730</t>
        </is>
      </c>
      <c r="M514" s="99" t="inlineStr">
        <is>
          <t>제외</t>
        </is>
      </c>
      <c r="N514" s="99" t="inlineStr">
        <is>
          <t>변동성 45.4%(1년 기준, 기준 35% 초과)</t>
        </is>
      </c>
      <c r="O514" s="99" t="inlineStr">
        <is>
          <t>Mirae Asset U.S. AI Fabless Index PR</t>
        </is>
      </c>
      <c r="P514" s="99" t="inlineStr">
        <is>
          <t>일반</t>
        </is>
      </c>
      <c r="Q514" s="99" t="inlineStr">
        <is>
          <t>주식</t>
        </is>
      </c>
      <c r="R514" s="99" t="inlineStr">
        <is>
          <t>분기배당</t>
        </is>
      </c>
      <c r="S514" s="100" t="n">
        <v>3</v>
      </c>
      <c r="T514" s="101" t="n">
        <v>1</v>
      </c>
      <c r="U514" s="103" t="n">
        <v>0.6887000000000001</v>
      </c>
      <c r="V514" s="103" t="n">
        <v>0.6844</v>
      </c>
      <c r="W514" s="103" t="n">
        <v>0.5384</v>
      </c>
      <c r="X514" s="103" t="n">
        <v>-0.0495</v>
      </c>
      <c r="Y514" s="99" t="inlineStr">
        <is>
          <t>20250922~20261002</t>
        </is>
      </c>
      <c r="Z514" s="99" t="inlineStr"/>
      <c r="AA514">
        <f>IF(AND($J514&lt;&gt;"",OR(조회_주기="전체",$R514=조회_주기),$J514&gt;=조회_최소,$J514&lt;=조회_최대),1,0)</f>
        <v/>
      </c>
      <c r="AB514">
        <f>IF($AA514=1,$AB513+1,$AB513)</f>
        <v/>
      </c>
      <c r="AC514">
        <f>IF(검색어="",1,IF(ISNUMBER(SEARCH(검색어,$A514)),1,0))</f>
        <v/>
      </c>
      <c r="AD514">
        <f>IF($AC514=1,$AD513+1,$AD513)</f>
        <v/>
      </c>
      <c r="AE514">
        <f>IFERROR(INDEX($A$4:$A$594,MATCH(511,$AD$4:$AD$594,0)),"")</f>
        <v/>
      </c>
    </row>
    <row r="515">
      <c r="A515" s="99" t="inlineStr">
        <is>
          <t>HK 머니마켓액티브</t>
        </is>
      </c>
      <c r="B515" s="99" t="inlineStr">
        <is>
          <t>0113P0</t>
        </is>
      </c>
      <c r="C515" s="99" t="inlineStr">
        <is>
          <t>흥국자산운용</t>
        </is>
      </c>
      <c r="D515" s="100" t="n">
        <v>102705</v>
      </c>
      <c r="E515" s="100" t="n">
        <v>51147090000</v>
      </c>
      <c r="F515" s="100" t="n">
        <v>28526555</v>
      </c>
      <c r="G515" s="101" t="n">
        <v>0.00045</v>
      </c>
      <c r="H515" s="101" t="n">
        <v>0.0029</v>
      </c>
      <c r="I515" s="101" t="n">
        <v>0.0024</v>
      </c>
      <c r="J515" s="101" t="n">
        <v>0.002395</v>
      </c>
      <c r="K515" s="100" t="n">
        <v>1</v>
      </c>
      <c r="L515" s="102" t="inlineStr">
        <is>
          <t>20251229</t>
        </is>
      </c>
      <c r="M515" s="99" t="inlineStr">
        <is>
          <t>제외</t>
        </is>
      </c>
      <c r="N515" s="99" t="inlineStr">
        <is>
          <t>60일 거래대금 0.3억(기준 5억 미만)</t>
        </is>
      </c>
      <c r="O515" s="99" t="inlineStr">
        <is>
          <t>KAP 머니마켓 지수(총수익)</t>
        </is>
      </c>
      <c r="P515" s="99" t="inlineStr">
        <is>
          <t>일반</t>
        </is>
      </c>
      <c r="Q515" s="99" t="inlineStr">
        <is>
          <t>단기자금(파킹형)</t>
        </is>
      </c>
      <c r="R515" s="99" t="inlineStr">
        <is>
          <t>연배당</t>
        </is>
      </c>
      <c r="S515" s="100" t="n">
        <v>1</v>
      </c>
      <c r="T515" s="101" t="n">
        <v>1</v>
      </c>
      <c r="U515" s="103" t="n">
        <v>0.0293</v>
      </c>
      <c r="V515" s="103" t="n">
        <v>0.0268</v>
      </c>
      <c r="W515" s="103" t="n">
        <v>0.0152</v>
      </c>
      <c r="X515" s="103" t="n">
        <v>0.008399999999999999</v>
      </c>
      <c r="Y515" s="99" t="inlineStr">
        <is>
          <t>20250930~20261002</t>
        </is>
      </c>
      <c r="Z515" s="99" t="inlineStr"/>
      <c r="AA515">
        <f>IF(AND($J515&lt;&gt;"",OR(조회_주기="전체",$R515=조회_주기),$J515&gt;=조회_최소,$J515&lt;=조회_최대),1,0)</f>
        <v/>
      </c>
      <c r="AB515">
        <f>IF($AA515=1,$AB514+1,$AB514)</f>
        <v/>
      </c>
      <c r="AC515">
        <f>IF(검색어="",1,IF(ISNUMBER(SEARCH(검색어,$A515)),1,0))</f>
        <v/>
      </c>
      <c r="AD515">
        <f>IF($AC515=1,$AD514+1,$AD514)</f>
        <v/>
      </c>
      <c r="AE515">
        <f>IFERROR(INDEX($A$4:$A$594,MATCH(512,$AD$4:$AD$594,0)),"")</f>
        <v/>
      </c>
    </row>
    <row r="516">
      <c r="A516" s="99" t="inlineStr">
        <is>
          <t>PLUS 미국S&amp;P500(H)</t>
        </is>
      </c>
      <c r="B516" s="99" t="inlineStr">
        <is>
          <t>269540</t>
        </is>
      </c>
      <c r="C516" s="99" t="inlineStr">
        <is>
          <t>한화자산운용</t>
        </is>
      </c>
      <c r="D516" s="100" t="n">
        <v>30000</v>
      </c>
      <c r="E516" s="100" t="n">
        <v>90000000000</v>
      </c>
      <c r="F516" s="100" t="n">
        <v>339417869</v>
      </c>
      <c r="G516" s="101" t="n">
        <v>6.2e-05</v>
      </c>
      <c r="H516" s="101" t="n">
        <v>0.1269</v>
      </c>
      <c r="I516" s="101" t="n">
        <v>0.0025</v>
      </c>
      <c r="J516" s="101" t="n">
        <v>0.002333</v>
      </c>
      <c r="K516" s="100" t="n">
        <v>4</v>
      </c>
      <c r="L516" s="102" t="inlineStr">
        <is>
          <t>20260429</t>
        </is>
      </c>
      <c r="M516" s="99" t="inlineStr">
        <is>
          <t>제외</t>
        </is>
      </c>
      <c r="N516" s="99" t="inlineStr">
        <is>
          <t>60일 거래대금 3.4억(기준 5억 미만)</t>
        </is>
      </c>
      <c r="O516" s="99" t="inlineStr">
        <is>
          <t>S&amp;P 500</t>
        </is>
      </c>
      <c r="P516" s="99" t="inlineStr">
        <is>
          <t>일반</t>
        </is>
      </c>
      <c r="Q516" s="99" t="inlineStr">
        <is>
          <t>주식</t>
        </is>
      </c>
      <c r="R516" s="99" t="inlineStr">
        <is>
          <t>연배당</t>
        </is>
      </c>
      <c r="S516" s="100" t="n">
        <v>1</v>
      </c>
      <c r="T516" s="101" t="n">
        <v>1</v>
      </c>
      <c r="U516" s="103" t="n">
        <v>0.1363</v>
      </c>
      <c r="V516" s="103" t="n">
        <v>0.1336</v>
      </c>
      <c r="W516" s="103" t="n">
        <v>0.1408</v>
      </c>
      <c r="X516" s="103" t="n">
        <v>0.0025</v>
      </c>
      <c r="Y516" s="99" t="inlineStr">
        <is>
          <t>20250922~20261002</t>
        </is>
      </c>
      <c r="Z516" s="99" t="inlineStr"/>
      <c r="AA516">
        <f>IF(AND($J516&lt;&gt;"",OR(조회_주기="전체",$R516=조회_주기),$J516&gt;=조회_최소,$J516&lt;=조회_최대),1,0)</f>
        <v/>
      </c>
      <c r="AB516">
        <f>IF($AA516=1,$AB515+1,$AB515)</f>
        <v/>
      </c>
      <c r="AC516">
        <f>IF(검색어="",1,IF(ISNUMBER(SEARCH(검색어,$A516)),1,0))</f>
        <v/>
      </c>
      <c r="AD516">
        <f>IF($AC516=1,$AD515+1,$AD515)</f>
        <v/>
      </c>
      <c r="AE516">
        <f>IFERROR(INDEX($A$4:$A$594,MATCH(513,$AD$4:$AD$594,0)),"")</f>
        <v/>
      </c>
    </row>
    <row r="517">
      <c r="A517" s="99" t="inlineStr">
        <is>
          <t>KODEX 미국AI소프트웨어TOP10</t>
        </is>
      </c>
      <c r="B517" s="99" t="inlineStr">
        <is>
          <t>0041D0</t>
        </is>
      </c>
      <c r="C517" s="99" t="inlineStr">
        <is>
          <t>삼성자산운용(ETF)</t>
        </is>
      </c>
      <c r="D517" s="100" t="n">
        <v>14350</v>
      </c>
      <c r="E517" s="100" t="n">
        <v>53095000000</v>
      </c>
      <c r="F517" s="100" t="n">
        <v>943894636</v>
      </c>
      <c r="G517" s="101" t="n">
        <v>0.004500000000000001</v>
      </c>
      <c r="H517" s="101" t="n">
        <v>0.3852</v>
      </c>
      <c r="I517" s="101" t="n">
        <v>0.001</v>
      </c>
      <c r="J517" s="101" t="n">
        <v>0.0023</v>
      </c>
      <c r="K517" s="100" t="n">
        <v>5</v>
      </c>
      <c r="L517" s="102" t="inlineStr">
        <is>
          <t>20260730</t>
        </is>
      </c>
      <c r="M517" s="99" t="inlineStr">
        <is>
          <t>제외</t>
        </is>
      </c>
      <c r="N517" s="99" t="inlineStr">
        <is>
          <t>변동성 38.5%(1년 기준, 기준 35% 초과)</t>
        </is>
      </c>
      <c r="O517" s="99" t="inlineStr">
        <is>
          <t>iSelect US AI Software TOP10 Index</t>
        </is>
      </c>
      <c r="P517" s="99" t="inlineStr">
        <is>
          <t>일반</t>
        </is>
      </c>
      <c r="Q517" s="99" t="inlineStr">
        <is>
          <t>주식</t>
        </is>
      </c>
      <c r="R517" s="99" t="inlineStr">
        <is>
          <t>분기배당</t>
        </is>
      </c>
      <c r="S517" s="100" t="n">
        <v>3</v>
      </c>
      <c r="T517" s="101" t="n">
        <v>1</v>
      </c>
      <c r="U517" s="103" t="n">
        <v>-0.0959</v>
      </c>
      <c r="V517" s="103" t="n">
        <v>-0.098</v>
      </c>
      <c r="W517" s="103" t="n">
        <v>0.2038</v>
      </c>
      <c r="X517" s="103" t="n">
        <v>0.1073</v>
      </c>
      <c r="Y517" s="99" t="inlineStr">
        <is>
          <t>20250922~20261002</t>
        </is>
      </c>
      <c r="Z517" s="99" t="inlineStr"/>
      <c r="AA517">
        <f>IF(AND($J517&lt;&gt;"",OR(조회_주기="전체",$R517=조회_주기),$J517&gt;=조회_최소,$J517&lt;=조회_최대),1,0)</f>
        <v/>
      </c>
      <c r="AB517">
        <f>IF($AA517=1,$AB516+1,$AB516)</f>
        <v/>
      </c>
      <c r="AC517">
        <f>IF(검색어="",1,IF(ISNUMBER(SEARCH(검색어,$A517)),1,0))</f>
        <v/>
      </c>
      <c r="AD517">
        <f>IF($AC517=1,$AD516+1,$AD516)</f>
        <v/>
      </c>
      <c r="AE517">
        <f>IFERROR(INDEX($A$4:$A$594,MATCH(514,$AD$4:$AD$594,0)),"")</f>
        <v/>
      </c>
    </row>
    <row r="518">
      <c r="A518" s="99" t="inlineStr">
        <is>
          <t>KODEX 로봇액티브</t>
        </is>
      </c>
      <c r="B518" s="99" t="inlineStr">
        <is>
          <t>445290</t>
        </is>
      </c>
      <c r="C518" s="99" t="inlineStr">
        <is>
          <t>삼성자산운용(ETF)</t>
        </is>
      </c>
      <c r="D518" s="100" t="n">
        <v>31580</v>
      </c>
      <c r="E518" s="100" t="n">
        <v>1095826000000</v>
      </c>
      <c r="F518" s="100" t="n">
        <v>16018746484</v>
      </c>
      <c r="G518" s="101" t="n">
        <v>0.005</v>
      </c>
      <c r="H518" s="101" t="n">
        <v>0.5829</v>
      </c>
      <c r="I518" s="101" t="n">
        <v>0.0005</v>
      </c>
      <c r="J518" s="101" t="n">
        <v>0.00228</v>
      </c>
      <c r="K518" s="100" t="n">
        <v>5</v>
      </c>
      <c r="L518" s="102" t="inlineStr">
        <is>
          <t>20260730</t>
        </is>
      </c>
      <c r="M518" s="99" t="inlineStr">
        <is>
          <t>제외</t>
        </is>
      </c>
      <c r="N518" s="99" t="inlineStr">
        <is>
          <t>변동성 58.3%(1년 기준, 기준 35% 초과)</t>
        </is>
      </c>
      <c r="O518" s="99" t="inlineStr">
        <is>
          <t>iSelect K-Robotics Index</t>
        </is>
      </c>
      <c r="P518" s="99" t="inlineStr">
        <is>
          <t>일반</t>
        </is>
      </c>
      <c r="Q518" s="99" t="inlineStr">
        <is>
          <t>주식</t>
        </is>
      </c>
      <c r="R518" s="99" t="inlineStr">
        <is>
          <t>연배당</t>
        </is>
      </c>
      <c r="S518" s="100" t="n">
        <v>2</v>
      </c>
      <c r="T518" s="101" t="n">
        <v>1</v>
      </c>
      <c r="U518" s="103" t="n"/>
      <c r="V518" s="103" t="n"/>
      <c r="W518" s="103" t="n">
        <v>0.0623</v>
      </c>
      <c r="X518" s="103" t="n">
        <v>-0.0356</v>
      </c>
      <c r="Y518" s="99" t="inlineStr"/>
      <c r="Z518" s="99" t="inlineStr">
        <is>
          <t>창 안 급변일 1일(20260304) — 내지 않음</t>
        </is>
      </c>
      <c r="AA518">
        <f>IF(AND($J518&lt;&gt;"",OR(조회_주기="전체",$R518=조회_주기),$J518&gt;=조회_최소,$J518&lt;=조회_최대),1,0)</f>
        <v/>
      </c>
      <c r="AB518">
        <f>IF($AA518=1,$AB517+1,$AB517)</f>
        <v/>
      </c>
      <c r="AC518">
        <f>IF(검색어="",1,IF(ISNUMBER(SEARCH(검색어,$A518)),1,0))</f>
        <v/>
      </c>
      <c r="AD518">
        <f>IF($AC518=1,$AD517+1,$AD517)</f>
        <v/>
      </c>
      <c r="AE518">
        <f>IFERROR(INDEX($A$4:$A$594,MATCH(515,$AD$4:$AD$594,0)),"")</f>
        <v/>
      </c>
    </row>
    <row r="519">
      <c r="A519" s="99" t="inlineStr">
        <is>
          <t>ACE 엔비디아밸류체인액티브</t>
        </is>
      </c>
      <c r="B519" s="99" t="inlineStr">
        <is>
          <t>483320</t>
        </is>
      </c>
      <c r="C519" s="99" t="inlineStr">
        <is>
          <t>한국투신운용(ETF)</t>
        </is>
      </c>
      <c r="D519" s="100" t="n">
        <v>26165</v>
      </c>
      <c r="E519" s="100" t="n">
        <v>304822250000</v>
      </c>
      <c r="F519" s="100" t="n">
        <v>15337629674</v>
      </c>
      <c r="G519" s="101" t="n">
        <v>0.004500000000000001</v>
      </c>
      <c r="H519" s="101" t="n">
        <v>0.4528</v>
      </c>
      <c r="I519" s="101" t="n">
        <v>0.0038</v>
      </c>
      <c r="J519" s="101" t="n">
        <v>0.002178</v>
      </c>
      <c r="K519" s="100" t="n">
        <v>1</v>
      </c>
      <c r="L519" s="102" t="inlineStr">
        <is>
          <t>20251229</t>
        </is>
      </c>
      <c r="M519" s="99" t="inlineStr">
        <is>
          <t>제외</t>
        </is>
      </c>
      <c r="N519" s="99" t="inlineStr">
        <is>
          <t>변동성 45.3%(1년 기준, 기준 35% 초과)</t>
        </is>
      </c>
      <c r="O519" s="99" t="inlineStr">
        <is>
          <t>KEDI Global AI Semiconductor Index</t>
        </is>
      </c>
      <c r="P519" s="99" t="inlineStr">
        <is>
          <t>일반</t>
        </is>
      </c>
      <c r="Q519" s="99" t="inlineStr">
        <is>
          <t>주식</t>
        </is>
      </c>
      <c r="R519" s="99" t="inlineStr">
        <is>
          <t>연배당</t>
        </is>
      </c>
      <c r="S519" s="100" t="n">
        <v>1</v>
      </c>
      <c r="T519" s="101" t="n">
        <v>1</v>
      </c>
      <c r="U519" s="103" t="n">
        <v>1.1357</v>
      </c>
      <c r="V519" s="103" t="n">
        <v>1.131</v>
      </c>
      <c r="W519" s="103" t="n">
        <v>0.4629</v>
      </c>
      <c r="X519" s="103" t="n">
        <v>-0.0818</v>
      </c>
      <c r="Y519" s="99" t="inlineStr">
        <is>
          <t>20250922~20261002</t>
        </is>
      </c>
      <c r="Z519" s="99" t="inlineStr"/>
      <c r="AA519">
        <f>IF(AND($J519&lt;&gt;"",OR(조회_주기="전체",$R519=조회_주기),$J519&gt;=조회_최소,$J519&lt;=조회_최대),1,0)</f>
        <v/>
      </c>
      <c r="AB519">
        <f>IF($AA519=1,$AB518+1,$AB518)</f>
        <v/>
      </c>
      <c r="AC519">
        <f>IF(검색어="",1,IF(ISNUMBER(SEARCH(검색어,$A519)),1,0))</f>
        <v/>
      </c>
      <c r="AD519">
        <f>IF($AC519=1,$AD518+1,$AD518)</f>
        <v/>
      </c>
      <c r="AE519">
        <f>IFERROR(INDEX($A$4:$A$594,MATCH(516,$AD$4:$AD$594,0)),"")</f>
        <v/>
      </c>
    </row>
    <row r="520">
      <c r="A520" s="99" t="inlineStr">
        <is>
          <t>RISE IT플러스</t>
        </is>
      </c>
      <c r="B520" s="99" t="inlineStr">
        <is>
          <t>326240</t>
        </is>
      </c>
      <c r="C520" s="99" t="inlineStr">
        <is>
          <t>KB자산운용</t>
        </is>
      </c>
      <c r="D520" s="100" t="n">
        <v>46645</v>
      </c>
      <c r="E520" s="100" t="n">
        <v>116612500000</v>
      </c>
      <c r="F520" s="100" t="n">
        <v>445983753</v>
      </c>
      <c r="G520" s="101" t="n">
        <v>0.004</v>
      </c>
      <c r="H520" s="101" t="n">
        <v>0.6042999999999999</v>
      </c>
      <c r="I520" s="101" t="n">
        <v>0.0024</v>
      </c>
      <c r="J520" s="101" t="n">
        <v>0.002144</v>
      </c>
      <c r="K520" s="100" t="n">
        <v>5</v>
      </c>
      <c r="L520" s="102" t="inlineStr">
        <is>
          <t>20260429</t>
        </is>
      </c>
      <c r="M520" s="99" t="inlineStr">
        <is>
          <t>제외</t>
        </is>
      </c>
      <c r="N520" s="99" t="inlineStr">
        <is>
          <t>60일 거래대금 4.5억(기준 5억 미만), 변동성 60.4%(1년 기준, 기준 35% 초과)</t>
        </is>
      </c>
      <c r="O520" s="99" t="inlineStr">
        <is>
          <t>FnGuide IT플러스 지수</t>
        </is>
      </c>
      <c r="P520" s="99" t="inlineStr">
        <is>
          <t>일반</t>
        </is>
      </c>
      <c r="Q520" s="99" t="inlineStr">
        <is>
          <t>주식</t>
        </is>
      </c>
      <c r="R520" s="99" t="inlineStr">
        <is>
          <t>연배당</t>
        </is>
      </c>
      <c r="S520" s="100" t="n">
        <v>1</v>
      </c>
      <c r="T520" s="101" t="n">
        <v>1</v>
      </c>
      <c r="U520" s="103" t="n"/>
      <c r="V520" s="103" t="n"/>
      <c r="W520" s="103" t="n"/>
      <c r="X520" s="103" t="n"/>
      <c r="Y520" s="99" t="inlineStr"/>
      <c r="Z520" s="99" t="inlineStr">
        <is>
          <t>창 안 급변일 1일(20260731) — 내지 않음 / 6개월: 창 안 급변일 1일(20260731) — 내지 않음 / 3개월: 창 안 급변일 1일(20260731) — 내지 않음</t>
        </is>
      </c>
      <c r="AA520">
        <f>IF(AND($J520&lt;&gt;"",OR(조회_주기="전체",$R520=조회_주기),$J520&gt;=조회_최소,$J520&lt;=조회_최대),1,0)</f>
        <v/>
      </c>
      <c r="AB520">
        <f>IF($AA520=1,$AB519+1,$AB519)</f>
        <v/>
      </c>
      <c r="AC520">
        <f>IF(검색어="",1,IF(ISNUMBER(SEARCH(검색어,$A520)),1,0))</f>
        <v/>
      </c>
      <c r="AD520">
        <f>IF($AC520=1,$AD519+1,$AD519)</f>
        <v/>
      </c>
      <c r="AE520">
        <f>IFERROR(INDEX($A$4:$A$594,MATCH(517,$AD$4:$AD$594,0)),"")</f>
        <v/>
      </c>
    </row>
    <row r="521">
      <c r="A521" s="99" t="inlineStr">
        <is>
          <t>WON 미국우주항공방산</t>
        </is>
      </c>
      <c r="B521" s="99" t="inlineStr">
        <is>
          <t>440910</t>
        </is>
      </c>
      <c r="C521" s="99" t="inlineStr">
        <is>
          <t>우리자산운용</t>
        </is>
      </c>
      <c r="D521" s="100" t="n">
        <v>21600</v>
      </c>
      <c r="E521" s="100" t="n">
        <v>48600000000</v>
      </c>
      <c r="F521" s="100" t="n">
        <v>255242517</v>
      </c>
      <c r="G521" s="101" t="n">
        <v>0.0035</v>
      </c>
      <c r="H521" s="101" t="n">
        <v>0.3054</v>
      </c>
      <c r="I521" s="101" t="n">
        <v>0.0018</v>
      </c>
      <c r="J521" s="101" t="n">
        <v>0.002083</v>
      </c>
      <c r="K521" s="100" t="n">
        <v>1</v>
      </c>
      <c r="L521" s="102" t="inlineStr">
        <is>
          <t>20251030</t>
        </is>
      </c>
      <c r="M521" s="99" t="inlineStr">
        <is>
          <t>제외</t>
        </is>
      </c>
      <c r="N521" s="99" t="inlineStr">
        <is>
          <t>60일 거래대금 2.6억(기준 5억 미만), 최근 12개월 분배 없음</t>
        </is>
      </c>
      <c r="O521" s="99" t="inlineStr">
        <is>
          <t>S&amp;P Aerospace &amp; Defense Select Industry Index</t>
        </is>
      </c>
      <c r="P521" s="99" t="inlineStr">
        <is>
          <t>일반</t>
        </is>
      </c>
      <c r="Q521" s="99" t="inlineStr">
        <is>
          <t>주식</t>
        </is>
      </c>
      <c r="R521" s="99" t="inlineStr">
        <is>
          <t>무분배</t>
        </is>
      </c>
      <c r="S521" s="100" t="n">
        <v>0</v>
      </c>
      <c r="T521" s="101" t="n">
        <v>1</v>
      </c>
      <c r="U521" s="103" t="n">
        <v>-0.006</v>
      </c>
      <c r="V521" s="103" t="n">
        <v>-0.008100000000000001</v>
      </c>
      <c r="W521" s="103" t="n">
        <v>-0.1872</v>
      </c>
      <c r="X521" s="103" t="n">
        <v>-0.2798</v>
      </c>
      <c r="Y521" s="99" t="inlineStr">
        <is>
          <t>20250922~20261002</t>
        </is>
      </c>
      <c r="Z521" s="99" t="inlineStr"/>
      <c r="AA521">
        <f>IF(AND($J521&lt;&gt;"",OR(조회_주기="전체",$R521=조회_주기),$J521&gt;=조회_최소,$J521&lt;=조회_최대),1,0)</f>
        <v/>
      </c>
      <c r="AB521">
        <f>IF($AA521=1,$AB520+1,$AB520)</f>
        <v/>
      </c>
      <c r="AC521">
        <f>IF(검색어="",1,IF(ISNUMBER(SEARCH(검색어,$A521)),1,0))</f>
        <v/>
      </c>
      <c r="AD521">
        <f>IF($AC521=1,$AD520+1,$AD520)</f>
        <v/>
      </c>
      <c r="AE521">
        <f>IFERROR(INDEX($A$4:$A$594,MATCH(518,$AD$4:$AD$594,0)),"")</f>
        <v/>
      </c>
    </row>
    <row r="522">
      <c r="A522" s="99" t="inlineStr">
        <is>
          <t>TIGER 차이나반도체FACTSET</t>
        </is>
      </c>
      <c r="B522" s="99" t="inlineStr">
        <is>
          <t>396520</t>
        </is>
      </c>
      <c r="C522" s="99" t="inlineStr">
        <is>
          <t>미래에셋자산운용</t>
        </is>
      </c>
      <c r="D522" s="100" t="n">
        <v>12010</v>
      </c>
      <c r="E522" s="100" t="n">
        <v>495292400000</v>
      </c>
      <c r="F522" s="100" t="n">
        <v>14731868574</v>
      </c>
      <c r="G522" s="101" t="n">
        <v>0.0049</v>
      </c>
      <c r="H522" s="101" t="n">
        <v>0.5253</v>
      </c>
      <c r="I522" s="101" t="n">
        <v>0.0025</v>
      </c>
      <c r="J522" s="101" t="n">
        <v>0.002082</v>
      </c>
      <c r="K522" s="100" t="n">
        <v>1</v>
      </c>
      <c r="L522" s="102" t="inlineStr">
        <is>
          <t>20251229</t>
        </is>
      </c>
      <c r="M522" s="99" t="inlineStr">
        <is>
          <t>제외</t>
        </is>
      </c>
      <c r="N522" s="99" t="inlineStr">
        <is>
          <t>변동성 52.5%(1년 기준, 기준 35% 초과)</t>
        </is>
      </c>
      <c r="O522" s="99" t="inlineStr">
        <is>
          <t>FactSet China Semiconductor Index PR</t>
        </is>
      </c>
      <c r="P522" s="99" t="inlineStr">
        <is>
          <t>일반</t>
        </is>
      </c>
      <c r="Q522" s="99" t="inlineStr">
        <is>
          <t>주식</t>
        </is>
      </c>
      <c r="R522" s="99" t="inlineStr">
        <is>
          <t>연배당</t>
        </is>
      </c>
      <c r="S522" s="100" t="n">
        <v>1</v>
      </c>
      <c r="T522" s="101" t="n">
        <v>0</v>
      </c>
      <c r="U522" s="103" t="n">
        <v>0.3254</v>
      </c>
      <c r="V522" s="103" t="n">
        <v>0.3227</v>
      </c>
      <c r="W522" s="103" t="n">
        <v>0.2392</v>
      </c>
      <c r="X522" s="103" t="n">
        <v>-0.3761</v>
      </c>
      <c r="Y522" s="99" t="inlineStr">
        <is>
          <t>20250922~20261002</t>
        </is>
      </c>
      <c r="Z522" s="99" t="inlineStr"/>
      <c r="AA522">
        <f>IF(AND($J522&lt;&gt;"",OR(조회_주기="전체",$R522=조회_주기),$J522&gt;=조회_최소,$J522&lt;=조회_최대),1,0)</f>
        <v/>
      </c>
      <c r="AB522">
        <f>IF($AA522=1,$AB521+1,$AB521)</f>
        <v/>
      </c>
      <c r="AC522">
        <f>IF(검색어="",1,IF(ISNUMBER(SEARCH(검색어,$A522)),1,0))</f>
        <v/>
      </c>
      <c r="AD522">
        <f>IF($AC522=1,$AD521+1,$AD521)</f>
        <v/>
      </c>
      <c r="AE522">
        <f>IFERROR(INDEX($A$4:$A$594,MATCH(519,$AD$4:$AD$594,0)),"")</f>
        <v/>
      </c>
    </row>
    <row r="523">
      <c r="A523" s="99" t="inlineStr">
        <is>
          <t>TIGER 코리아원자력</t>
        </is>
      </c>
      <c r="B523" s="99" t="inlineStr">
        <is>
          <t>0091P0</t>
        </is>
      </c>
      <c r="C523" s="99" t="inlineStr">
        <is>
          <t>미래에셋자산운용</t>
        </is>
      </c>
      <c r="D523" s="100" t="n">
        <v>16840</v>
      </c>
      <c r="E523" s="100" t="n">
        <v>604556000000</v>
      </c>
      <c r="F523" s="100" t="n">
        <v>34802852146</v>
      </c>
      <c r="G523" s="101" t="n">
        <v>0.005</v>
      </c>
      <c r="H523" s="101" t="n">
        <v>0.6858</v>
      </c>
      <c r="I523" s="101" t="n">
        <v>0.0013</v>
      </c>
      <c r="J523" s="101" t="n">
        <v>0.002078</v>
      </c>
      <c r="K523" s="100" t="n">
        <v>1</v>
      </c>
      <c r="L523" s="102" t="inlineStr">
        <is>
          <t>20260429</t>
        </is>
      </c>
      <c r="M523" s="99" t="inlineStr">
        <is>
          <t>제외</t>
        </is>
      </c>
      <c r="N523" s="99" t="inlineStr">
        <is>
          <t>변동성 68.6%(1년 기준, 기준 35% 초과)</t>
        </is>
      </c>
      <c r="O523" s="99" t="inlineStr">
        <is>
          <t>iSelect 코리아 원자력 지수</t>
        </is>
      </c>
      <c r="P523" s="99" t="inlineStr">
        <is>
          <t>일반</t>
        </is>
      </c>
      <c r="Q523" s="99" t="inlineStr">
        <is>
          <t>주식</t>
        </is>
      </c>
      <c r="R523" s="99" t="inlineStr">
        <is>
          <t>연배당</t>
        </is>
      </c>
      <c r="S523" s="100" t="n">
        <v>1</v>
      </c>
      <c r="T523" s="101" t="n">
        <v>1</v>
      </c>
      <c r="U523" s="103" t="n"/>
      <c r="V523" s="103" t="n"/>
      <c r="W523" s="103" t="n">
        <v>-0.1968</v>
      </c>
      <c r="X523" s="103" t="n">
        <v>0.016</v>
      </c>
      <c r="Y523" s="99" t="inlineStr"/>
      <c r="Z523" s="99" t="inlineStr">
        <is>
          <t>창 안 급변일 1일(20260304) — 내지 않음</t>
        </is>
      </c>
      <c r="AA523">
        <f>IF(AND($J523&lt;&gt;"",OR(조회_주기="전체",$R523=조회_주기),$J523&gt;=조회_최소,$J523&lt;=조회_최대),1,0)</f>
        <v/>
      </c>
      <c r="AB523">
        <f>IF($AA523=1,$AB522+1,$AB522)</f>
        <v/>
      </c>
      <c r="AC523">
        <f>IF(검색어="",1,IF(ISNUMBER(SEARCH(검색어,$A523)),1,0))</f>
        <v/>
      </c>
      <c r="AD523">
        <f>IF($AC523=1,$AD522+1,$AD522)</f>
        <v/>
      </c>
      <c r="AE523">
        <f>IFERROR(INDEX($A$4:$A$594,MATCH(520,$AD$4:$AD$594,0)),"")</f>
        <v/>
      </c>
    </row>
    <row r="524">
      <c r="A524" s="99" t="inlineStr">
        <is>
          <t>TIGER 헬스케어</t>
        </is>
      </c>
      <c r="B524" s="99" t="inlineStr">
        <is>
          <t>143860</t>
        </is>
      </c>
      <c r="C524" s="99" t="inlineStr">
        <is>
          <t>미래에셋자산운용</t>
        </is>
      </c>
      <c r="D524" s="100" t="n">
        <v>35620</v>
      </c>
      <c r="E524" s="100" t="n">
        <v>141767600000</v>
      </c>
      <c r="F524" s="100" t="n">
        <v>1063182338</v>
      </c>
      <c r="G524" s="101" t="n">
        <v>0.004</v>
      </c>
      <c r="H524" s="101" t="n">
        <v>0.4361</v>
      </c>
      <c r="I524" s="101" t="n">
        <v>0.0015</v>
      </c>
      <c r="J524" s="101" t="n">
        <v>0.002021</v>
      </c>
      <c r="K524" s="100" t="n">
        <v>5</v>
      </c>
      <c r="L524" s="102" t="inlineStr">
        <is>
          <t>20260429</t>
        </is>
      </c>
      <c r="M524" s="99" t="inlineStr">
        <is>
          <t>제외</t>
        </is>
      </c>
      <c r="N524" s="99" t="inlineStr">
        <is>
          <t>변동성 43.6%(1년 기준, 기준 35% 초과)</t>
        </is>
      </c>
      <c r="O524" s="99" t="inlineStr">
        <is>
          <t>KRX 헬스케어</t>
        </is>
      </c>
      <c r="P524" s="99" t="inlineStr">
        <is>
          <t>일반</t>
        </is>
      </c>
      <c r="Q524" s="99" t="inlineStr">
        <is>
          <t>주식</t>
        </is>
      </c>
      <c r="R524" s="99" t="inlineStr">
        <is>
          <t>연배당</t>
        </is>
      </c>
      <c r="S524" s="100" t="n">
        <v>1</v>
      </c>
      <c r="T524" s="101" t="n">
        <v>1</v>
      </c>
      <c r="U524" s="103" t="n">
        <v>-0.1854</v>
      </c>
      <c r="V524" s="103" t="n">
        <v>-0.1871</v>
      </c>
      <c r="W524" s="103" t="n">
        <v>-0.2388</v>
      </c>
      <c r="X524" s="103" t="n">
        <v>-0.09390000000000001</v>
      </c>
      <c r="Y524" s="99" t="inlineStr">
        <is>
          <t>20250922~20261002</t>
        </is>
      </c>
      <c r="Z524" s="99" t="inlineStr"/>
      <c r="AA524">
        <f>IF(AND($J524&lt;&gt;"",OR(조회_주기="전체",$R524=조회_주기),$J524&gt;=조회_최소,$J524&lt;=조회_최대),1,0)</f>
        <v/>
      </c>
      <c r="AB524">
        <f>IF($AA524=1,$AB523+1,$AB523)</f>
        <v/>
      </c>
      <c r="AC524">
        <f>IF(검색어="",1,IF(ISNUMBER(SEARCH(검색어,$A524)),1,0))</f>
        <v/>
      </c>
      <c r="AD524">
        <f>IF($AC524=1,$AD523+1,$AD523)</f>
        <v/>
      </c>
      <c r="AE524">
        <f>IFERROR(INDEX($A$4:$A$594,MATCH(521,$AD$4:$AD$594,0)),"")</f>
        <v/>
      </c>
    </row>
    <row r="525">
      <c r="A525" s="99" t="inlineStr">
        <is>
          <t>SOL 코스닥150</t>
        </is>
      </c>
      <c r="B525" s="99" t="inlineStr">
        <is>
          <t>450910</t>
        </is>
      </c>
      <c r="C525" s="99" t="inlineStr">
        <is>
          <t>신한자산운용</t>
        </is>
      </c>
      <c r="D525" s="100" t="n">
        <v>14890</v>
      </c>
      <c r="E525" s="100" t="n">
        <v>39011800000</v>
      </c>
      <c r="F525" s="100" t="n">
        <v>925436023</v>
      </c>
      <c r="G525" s="101" t="n">
        <v>0.0015</v>
      </c>
      <c r="H525" s="101" t="n">
        <v>0.5499000000000001</v>
      </c>
      <c r="I525" s="101" t="n">
        <v>0.0015</v>
      </c>
      <c r="J525" s="101" t="n">
        <v>0.002015</v>
      </c>
      <c r="K525" s="100" t="n">
        <v>3</v>
      </c>
      <c r="L525" s="102" t="inlineStr">
        <is>
          <t>20260429</t>
        </is>
      </c>
      <c r="M525" s="99" t="inlineStr">
        <is>
          <t>제외</t>
        </is>
      </c>
      <c r="N525" s="99" t="inlineStr">
        <is>
          <t>변동성 55.0%(1년 기준, 기준 35% 초과)</t>
        </is>
      </c>
      <c r="O525" s="99" t="inlineStr">
        <is>
          <t>KOSDAQ 150</t>
        </is>
      </c>
      <c r="P525" s="99" t="inlineStr">
        <is>
          <t>일반</t>
        </is>
      </c>
      <c r="Q525" s="99" t="inlineStr">
        <is>
          <t>주식</t>
        </is>
      </c>
      <c r="R525" s="99" t="inlineStr">
        <is>
          <t>연배당</t>
        </is>
      </c>
      <c r="S525" s="100" t="n">
        <v>1</v>
      </c>
      <c r="T525" s="101" t="n">
        <v>1</v>
      </c>
      <c r="U525" s="103" t="n"/>
      <c r="V525" s="103" t="n"/>
      <c r="W525" s="103" t="n">
        <v>-0.1609</v>
      </c>
      <c r="X525" s="103" t="n">
        <v>-0.002</v>
      </c>
      <c r="Y525" s="99" t="inlineStr"/>
      <c r="Z525" s="99" t="inlineStr">
        <is>
          <t>창 안 급변일 1일(20260304) — 내지 않음</t>
        </is>
      </c>
      <c r="AA525">
        <f>IF(AND($J525&lt;&gt;"",OR(조회_주기="전체",$R525=조회_주기),$J525&gt;=조회_최소,$J525&lt;=조회_최대),1,0)</f>
        <v/>
      </c>
      <c r="AB525">
        <f>IF($AA525=1,$AB524+1,$AB524)</f>
        <v/>
      </c>
      <c r="AC525">
        <f>IF(검색어="",1,IF(ISNUMBER(SEARCH(검색어,$A525)),1,0))</f>
        <v/>
      </c>
      <c r="AD525">
        <f>IF($AC525=1,$AD524+1,$AD524)</f>
        <v/>
      </c>
      <c r="AE525">
        <f>IFERROR(INDEX($A$4:$A$594,MATCH(522,$AD$4:$AD$594,0)),"")</f>
        <v/>
      </c>
    </row>
    <row r="526">
      <c r="A526" s="99" t="inlineStr">
        <is>
          <t>TIGER 2차전지소재Fn</t>
        </is>
      </c>
      <c r="B526" s="99" t="inlineStr">
        <is>
          <t>462010</t>
        </is>
      </c>
      <c r="C526" s="99" t="inlineStr">
        <is>
          <t>미래에셋자산운용</t>
        </is>
      </c>
      <c r="D526" s="100" t="n">
        <v>4995</v>
      </c>
      <c r="E526" s="100" t="n">
        <v>546453000000</v>
      </c>
      <c r="F526" s="100" t="n">
        <v>14179856490</v>
      </c>
      <c r="G526" s="101" t="n">
        <v>0.0039</v>
      </c>
      <c r="H526" s="101" t="n">
        <v>0.675</v>
      </c>
      <c r="I526" s="101" t="n">
        <v>0.0013</v>
      </c>
      <c r="J526" s="101" t="n">
        <v>0.002002</v>
      </c>
      <c r="K526" s="100" t="n">
        <v>3</v>
      </c>
      <c r="L526" s="102" t="inlineStr">
        <is>
          <t>20260429</t>
        </is>
      </c>
      <c r="M526" s="99" t="inlineStr">
        <is>
          <t>제외</t>
        </is>
      </c>
      <c r="N526" s="99" t="inlineStr">
        <is>
          <t>변동성 67.5%(1년 기준, 기준 35% 초과)</t>
        </is>
      </c>
      <c r="O526" s="99" t="inlineStr">
        <is>
          <t>FnGuide 2차전지소재 지수</t>
        </is>
      </c>
      <c r="P526" s="99" t="inlineStr">
        <is>
          <t>일반</t>
        </is>
      </c>
      <c r="Q526" s="99" t="inlineStr">
        <is>
          <t>주식</t>
        </is>
      </c>
      <c r="R526" s="99" t="inlineStr">
        <is>
          <t>연배당</t>
        </is>
      </c>
      <c r="S526" s="100" t="n">
        <v>1</v>
      </c>
      <c r="T526" s="101" t="n">
        <v>1</v>
      </c>
      <c r="U526" s="103" t="n"/>
      <c r="V526" s="103" t="n"/>
      <c r="W526" s="103" t="n">
        <v>-0.235</v>
      </c>
      <c r="X526" s="103" t="n">
        <v>0.0202</v>
      </c>
      <c r="Y526" s="99" t="inlineStr"/>
      <c r="Z526" s="99" t="inlineStr">
        <is>
          <t>창 안 급변일 1일(20260304) — 내지 않음</t>
        </is>
      </c>
      <c r="AA526">
        <f>IF(AND($J526&lt;&gt;"",OR(조회_주기="전체",$R526=조회_주기),$J526&gt;=조회_최소,$J526&lt;=조회_최대),1,0)</f>
        <v/>
      </c>
      <c r="AB526">
        <f>IF($AA526=1,$AB525+1,$AB525)</f>
        <v/>
      </c>
      <c r="AC526">
        <f>IF(검색어="",1,IF(ISNUMBER(SEARCH(검색어,$A526)),1,0))</f>
        <v/>
      </c>
      <c r="AD526">
        <f>IF($AC526=1,$AD525+1,$AD525)</f>
        <v/>
      </c>
      <c r="AE526">
        <f>IFERROR(INDEX($A$4:$A$594,MATCH(523,$AD$4:$AD$594,0)),"")</f>
        <v/>
      </c>
    </row>
    <row r="527">
      <c r="A527" s="99" t="inlineStr">
        <is>
          <t>SOL 조선TOP3플러스</t>
        </is>
      </c>
      <c r="B527" s="99" t="inlineStr">
        <is>
          <t>466920</t>
        </is>
      </c>
      <c r="C527" s="99" t="inlineStr">
        <is>
          <t>신한자산운용</t>
        </is>
      </c>
      <c r="D527" s="100" t="n">
        <v>26135</v>
      </c>
      <c r="E527" s="100" t="n">
        <v>1382541500000</v>
      </c>
      <c r="F527" s="100" t="n">
        <v>41391589526</v>
      </c>
      <c r="G527" s="101" t="n">
        <v>0.004500000000000001</v>
      </c>
      <c r="H527" s="101" t="n">
        <v>0.5478000000000001</v>
      </c>
      <c r="I527" s="101" t="n">
        <v>0.0012</v>
      </c>
      <c r="J527" s="101" t="n">
        <v>0.00199</v>
      </c>
      <c r="K527" s="100" t="n">
        <v>2</v>
      </c>
      <c r="L527" s="102" t="inlineStr">
        <is>
          <t>20260429</t>
        </is>
      </c>
      <c r="M527" s="99" t="inlineStr">
        <is>
          <t>제외</t>
        </is>
      </c>
      <c r="N527" s="99" t="inlineStr">
        <is>
          <t>변동성 54.8%(1년 기준, 기준 35% 초과)</t>
        </is>
      </c>
      <c r="O527" s="99" t="inlineStr">
        <is>
          <t>FnGuide 조선 TOP3 플러스 지수</t>
        </is>
      </c>
      <c r="P527" s="99" t="inlineStr">
        <is>
          <t>일반</t>
        </is>
      </c>
      <c r="Q527" s="99" t="inlineStr">
        <is>
          <t>주식</t>
        </is>
      </c>
      <c r="R527" s="99" t="inlineStr">
        <is>
          <t>연배당</t>
        </is>
      </c>
      <c r="S527" s="100" t="n">
        <v>1</v>
      </c>
      <c r="T527" s="101" t="n">
        <v>1</v>
      </c>
      <c r="U527" s="103" t="n"/>
      <c r="V527" s="103" t="n"/>
      <c r="W527" s="103" t="n">
        <v>-0.23</v>
      </c>
      <c r="X527" s="103" t="n">
        <v>-0.1877</v>
      </c>
      <c r="Y527" s="99" t="inlineStr"/>
      <c r="Z527" s="99" t="inlineStr">
        <is>
          <t>창 안 급변일 1일(20260304) — 내지 않음</t>
        </is>
      </c>
      <c r="AA527">
        <f>IF(AND($J527&lt;&gt;"",OR(조회_주기="전체",$R527=조회_주기),$J527&gt;=조회_최소,$J527&lt;=조회_최대),1,0)</f>
        <v/>
      </c>
      <c r="AB527">
        <f>IF($AA527=1,$AB526+1,$AB526)</f>
        <v/>
      </c>
      <c r="AC527">
        <f>IF(검색어="",1,IF(ISNUMBER(SEARCH(검색어,$A527)),1,0))</f>
        <v/>
      </c>
      <c r="AD527">
        <f>IF($AC527=1,$AD526+1,$AD526)</f>
        <v/>
      </c>
      <c r="AE527">
        <f>IFERROR(INDEX($A$4:$A$594,MATCH(524,$AD$4:$AD$594,0)),"")</f>
        <v/>
      </c>
    </row>
    <row r="528">
      <c r="A528" s="99" t="inlineStr">
        <is>
          <t>KIWOOM 코스닥150</t>
        </is>
      </c>
      <c r="B528" s="99" t="inlineStr">
        <is>
          <t>316670</t>
        </is>
      </c>
      <c r="C528" s="99" t="inlineStr">
        <is>
          <t>키움투자자산운용</t>
        </is>
      </c>
      <c r="D528" s="100" t="n">
        <v>7570</v>
      </c>
      <c r="E528" s="100" t="n">
        <v>49507800000</v>
      </c>
      <c r="F528" s="100" t="n">
        <v>1211696149</v>
      </c>
      <c r="G528" s="101" t="n">
        <v>0.0015</v>
      </c>
      <c r="H528" s="101" t="n">
        <v>0.5501</v>
      </c>
      <c r="I528" s="101" t="n">
        <v>0.0015</v>
      </c>
      <c r="J528" s="101" t="n">
        <v>0.001982</v>
      </c>
      <c r="K528" s="100" t="n">
        <v>5</v>
      </c>
      <c r="L528" s="102" t="inlineStr">
        <is>
          <t>20260429</t>
        </is>
      </c>
      <c r="M528" s="99" t="inlineStr">
        <is>
          <t>제외</t>
        </is>
      </c>
      <c r="N528" s="99" t="inlineStr">
        <is>
          <t>변동성 55.0%(1년 기준, 기준 35% 초과)</t>
        </is>
      </c>
      <c r="O528" s="99" t="inlineStr">
        <is>
          <t>KOSDAQ 150</t>
        </is>
      </c>
      <c r="P528" s="99" t="inlineStr">
        <is>
          <t>일반</t>
        </is>
      </c>
      <c r="Q528" s="99" t="inlineStr">
        <is>
          <t>주식</t>
        </is>
      </c>
      <c r="R528" s="99" t="inlineStr">
        <is>
          <t>연배당</t>
        </is>
      </c>
      <c r="S528" s="100" t="n">
        <v>1</v>
      </c>
      <c r="T528" s="101" t="n">
        <v>1</v>
      </c>
      <c r="U528" s="103" t="n"/>
      <c r="V528" s="103" t="n"/>
      <c r="W528" s="103" t="n">
        <v>-0.1602</v>
      </c>
      <c r="X528" s="103" t="n">
        <v>-0.0009</v>
      </c>
      <c r="Y528" s="99" t="inlineStr"/>
      <c r="Z528" s="99" t="inlineStr">
        <is>
          <t>창 안 급변일 1일(20260304) — 내지 않음</t>
        </is>
      </c>
      <c r="AA528">
        <f>IF(AND($J528&lt;&gt;"",OR(조회_주기="전체",$R528=조회_주기),$J528&gt;=조회_최소,$J528&lt;=조회_최대),1,0)</f>
        <v/>
      </c>
      <c r="AB528">
        <f>IF($AA528=1,$AB527+1,$AB527)</f>
        <v/>
      </c>
      <c r="AC528">
        <f>IF(검색어="",1,IF(ISNUMBER(SEARCH(검색어,$A528)),1,0))</f>
        <v/>
      </c>
      <c r="AD528">
        <f>IF($AC528=1,$AD527+1,$AD527)</f>
        <v/>
      </c>
      <c r="AE528">
        <f>IFERROR(INDEX($A$4:$A$594,MATCH(525,$AD$4:$AD$594,0)),"")</f>
        <v/>
      </c>
    </row>
    <row r="529">
      <c r="A529" s="99" t="inlineStr">
        <is>
          <t>PLUS 우주항공</t>
        </is>
      </c>
      <c r="B529" s="99" t="inlineStr">
        <is>
          <t>421320</t>
        </is>
      </c>
      <c r="C529" s="99" t="inlineStr">
        <is>
          <t>한화자산운용</t>
        </is>
      </c>
      <c r="D529" s="100" t="n">
        <v>30300</v>
      </c>
      <c r="E529" s="100" t="n">
        <v>290880000000</v>
      </c>
      <c r="F529" s="100" t="n">
        <v>2263286124</v>
      </c>
      <c r="G529" s="101" t="n">
        <v>0.004500000000000001</v>
      </c>
      <c r="H529" s="101" t="n">
        <v>0.6481</v>
      </c>
      <c r="I529" s="101" t="n">
        <v>0.0012</v>
      </c>
      <c r="J529" s="101" t="n">
        <v>0.00198</v>
      </c>
      <c r="K529" s="100" t="n">
        <v>4</v>
      </c>
      <c r="L529" s="102" t="inlineStr">
        <is>
          <t>20260429</t>
        </is>
      </c>
      <c r="M529" s="99" t="inlineStr">
        <is>
          <t>제외</t>
        </is>
      </c>
      <c r="N529" s="99" t="inlineStr">
        <is>
          <t>변동성 64.8%(1년 기준, 기준 35% 초과)</t>
        </is>
      </c>
      <c r="O529" s="99" t="inlineStr">
        <is>
          <t>iSelect 우주항공UAM 지수</t>
        </is>
      </c>
      <c r="P529" s="99" t="inlineStr">
        <is>
          <t>일반</t>
        </is>
      </c>
      <c r="Q529" s="99" t="inlineStr">
        <is>
          <t>주식</t>
        </is>
      </c>
      <c r="R529" s="99" t="inlineStr">
        <is>
          <t>연배당</t>
        </is>
      </c>
      <c r="S529" s="100" t="n">
        <v>1</v>
      </c>
      <c r="T529" s="101" t="n">
        <v>0.8667</v>
      </c>
      <c r="U529" s="103" t="n"/>
      <c r="V529" s="103" t="n"/>
      <c r="W529" s="103" t="n">
        <v>-0.3312</v>
      </c>
      <c r="X529" s="103" t="n">
        <v>-0.0154</v>
      </c>
      <c r="Y529" s="99" t="inlineStr"/>
      <c r="Z529" s="99" t="inlineStr">
        <is>
          <t>창 안 급변일 2일(20260304,20260305) — 내지 않음</t>
        </is>
      </c>
      <c r="AA529">
        <f>IF(AND($J529&lt;&gt;"",OR(조회_주기="전체",$R529=조회_주기),$J529&gt;=조회_최소,$J529&lt;=조회_최대),1,0)</f>
        <v/>
      </c>
      <c r="AB529">
        <f>IF($AA529=1,$AB528+1,$AB528)</f>
        <v/>
      </c>
      <c r="AC529">
        <f>IF(검색어="",1,IF(ISNUMBER(SEARCH(검색어,$A529)),1,0))</f>
        <v/>
      </c>
      <c r="AD529">
        <f>IF($AC529=1,$AD528+1,$AD528)</f>
        <v/>
      </c>
      <c r="AE529">
        <f>IFERROR(INDEX($A$4:$A$594,MATCH(526,$AD$4:$AD$594,0)),"")</f>
        <v/>
      </c>
    </row>
    <row r="530">
      <c r="A530" s="99" t="inlineStr">
        <is>
          <t>SOL 조선TOP3플러스레버리지</t>
        </is>
      </c>
      <c r="B530" s="99" t="inlineStr">
        <is>
          <t>0080Y0</t>
        </is>
      </c>
      <c r="C530" s="99" t="inlineStr">
        <is>
          <t>신한자산운용</t>
        </is>
      </c>
      <c r="D530" s="100" t="n">
        <v>7610</v>
      </c>
      <c r="E530" s="100" t="n">
        <v>101213000000</v>
      </c>
      <c r="F530" s="100" t="n">
        <v>6101939937</v>
      </c>
      <c r="G530" s="101" t="n">
        <v>0.005</v>
      </c>
      <c r="H530" s="101" t="n">
        <v>1.0692</v>
      </c>
      <c r="I530" s="101" t="n">
        <v>0.0009</v>
      </c>
      <c r="J530" s="101" t="n">
        <v>0.001971</v>
      </c>
      <c r="K530" s="100" t="n">
        <v>1</v>
      </c>
      <c r="L530" s="102" t="inlineStr">
        <is>
          <t>20251229</t>
        </is>
      </c>
      <c r="M530" s="99" t="inlineStr">
        <is>
          <t>제외</t>
        </is>
      </c>
      <c r="N530" s="99" t="inlineStr">
        <is>
          <t>변동성 106.9%(1년 기준, 기준 35% 초과)</t>
        </is>
      </c>
      <c r="O530" s="99" t="inlineStr">
        <is>
          <t>FnGuide 조선 TOP3 플러스 지수</t>
        </is>
      </c>
      <c r="P530" s="99" t="inlineStr">
        <is>
          <t>일반</t>
        </is>
      </c>
      <c r="Q530" s="99" t="inlineStr">
        <is>
          <t>주식</t>
        </is>
      </c>
      <c r="R530" s="99" t="inlineStr">
        <is>
          <t>연배당</t>
        </is>
      </c>
      <c r="S530" s="100" t="n">
        <v>1</v>
      </c>
      <c r="T530" s="101" t="n">
        <v>0</v>
      </c>
      <c r="U530" s="103" t="n"/>
      <c r="V530" s="103" t="n"/>
      <c r="W530" s="103" t="n"/>
      <c r="X530" s="103" t="n"/>
      <c r="Y530" s="99" t="inlineStr"/>
      <c r="Z530" s="99" t="inlineStr">
        <is>
          <t>창 안 급변일 6일(20260304,20260323,20260615,20260623,20260707,20260728) — 내지 않음 / 6개월: 창 안 급변일 4일(20260615,20260623,20260707,20260728) — 내지 않음 / 3개월: 창 안 급변일 2일(20260707,20260728) — 내지 않음</t>
        </is>
      </c>
      <c r="AA530">
        <f>IF(AND($J530&lt;&gt;"",OR(조회_주기="전체",$R530=조회_주기),$J530&gt;=조회_최소,$J530&lt;=조회_최대),1,0)</f>
        <v/>
      </c>
      <c r="AB530">
        <f>IF($AA530=1,$AB529+1,$AB529)</f>
        <v/>
      </c>
      <c r="AC530">
        <f>IF(검색어="",1,IF(ISNUMBER(SEARCH(검색어,$A530)),1,0))</f>
        <v/>
      </c>
      <c r="AD530">
        <f>IF($AC530=1,$AD529+1,$AD529)</f>
        <v/>
      </c>
      <c r="AE530">
        <f>IFERROR(INDEX($A$4:$A$594,MATCH(527,$AD$4:$AD$594,0)),"")</f>
        <v/>
      </c>
    </row>
    <row r="531">
      <c r="A531" s="99" t="inlineStr">
        <is>
          <t>SOL 한국원자력SMR</t>
        </is>
      </c>
      <c r="B531" s="99" t="inlineStr">
        <is>
          <t>0092B0</t>
        </is>
      </c>
      <c r="C531" s="99" t="inlineStr">
        <is>
          <t>신한자산운용</t>
        </is>
      </c>
      <c r="D531" s="100" t="n">
        <v>15485</v>
      </c>
      <c r="E531" s="100" t="n">
        <v>129299750000</v>
      </c>
      <c r="F531" s="100" t="n">
        <v>2595951279</v>
      </c>
      <c r="G531" s="101" t="n">
        <v>0.004500000000000001</v>
      </c>
      <c r="H531" s="101" t="n">
        <v>0.6466</v>
      </c>
      <c r="I531" s="101" t="n">
        <v>0.001</v>
      </c>
      <c r="J531" s="101" t="n">
        <v>0.001937</v>
      </c>
      <c r="K531" s="100" t="n">
        <v>2</v>
      </c>
      <c r="L531" s="102" t="inlineStr">
        <is>
          <t>20260429</t>
        </is>
      </c>
      <c r="M531" s="99" t="inlineStr">
        <is>
          <t>제외</t>
        </is>
      </c>
      <c r="N531" s="99" t="inlineStr">
        <is>
          <t>변동성 64.7%(1년 기준, 기준 35% 초과)</t>
        </is>
      </c>
      <c r="O531" s="99" t="inlineStr">
        <is>
          <t>FnGuide 한국원자력SMR 지수</t>
        </is>
      </c>
      <c r="P531" s="99" t="inlineStr">
        <is>
          <t>일반</t>
        </is>
      </c>
      <c r="Q531" s="99" t="inlineStr">
        <is>
          <t>주식</t>
        </is>
      </c>
      <c r="R531" s="99" t="inlineStr">
        <is>
          <t>연배당</t>
        </is>
      </c>
      <c r="S531" s="100" t="n">
        <v>2</v>
      </c>
      <c r="T531" s="101" t="n">
        <v>0.8333</v>
      </c>
      <c r="U531" s="103" t="n"/>
      <c r="V531" s="103" t="n"/>
      <c r="W531" s="103" t="n">
        <v>-0.2019</v>
      </c>
      <c r="X531" s="103" t="n">
        <v>-0.0043</v>
      </c>
      <c r="Y531" s="99" t="inlineStr"/>
      <c r="Z531" s="99" t="inlineStr">
        <is>
          <t>창 안 급변일 1일(20260304) — 내지 않음</t>
        </is>
      </c>
      <c r="AA531">
        <f>IF(AND($J531&lt;&gt;"",OR(조회_주기="전체",$R531=조회_주기),$J531&gt;=조회_최소,$J531&lt;=조회_최대),1,0)</f>
        <v/>
      </c>
      <c r="AB531">
        <f>IF($AA531=1,$AB530+1,$AB530)</f>
        <v/>
      </c>
      <c r="AC531">
        <f>IF(검색어="",1,IF(ISNUMBER(SEARCH(검색어,$A531)),1,0))</f>
        <v/>
      </c>
      <c r="AD531">
        <f>IF($AC531=1,$AD530+1,$AD530)</f>
        <v/>
      </c>
      <c r="AE531">
        <f>IFERROR(INDEX($A$4:$A$594,MATCH(528,$AD$4:$AD$594,0)),"")</f>
        <v/>
      </c>
    </row>
    <row r="532">
      <c r="A532" s="99" t="inlineStr">
        <is>
          <t>HANARO CAPEX설비투자iSelect</t>
        </is>
      </c>
      <c r="B532" s="99" t="inlineStr">
        <is>
          <t>454320</t>
        </is>
      </c>
      <c r="C532" s="99" t="inlineStr">
        <is>
          <t>NH-Amundi자산운용</t>
        </is>
      </c>
      <c r="D532" s="100" t="n">
        <v>41600</v>
      </c>
      <c r="E532" s="100" t="n">
        <v>89440000000</v>
      </c>
      <c r="F532" s="100" t="n">
        <v>497991282</v>
      </c>
      <c r="G532" s="101" t="n">
        <v>0.004500000000000001</v>
      </c>
      <c r="H532" s="101" t="n">
        <v>0.5679</v>
      </c>
      <c r="I532" s="101" t="n">
        <v>0.0014</v>
      </c>
      <c r="J532" s="101" t="n">
        <v>0.001923</v>
      </c>
      <c r="K532" s="100" t="n">
        <v>3</v>
      </c>
      <c r="L532" s="102" t="inlineStr">
        <is>
          <t>20260429</t>
        </is>
      </c>
      <c r="M532" s="99" t="inlineStr">
        <is>
          <t>제외</t>
        </is>
      </c>
      <c r="N532" s="99" t="inlineStr">
        <is>
          <t>60일 거래대금 5.0억(기준 5억 미만), 변동성 56.8%(1년 기준, 기준 35% 초과)</t>
        </is>
      </c>
      <c r="O532" s="99" t="inlineStr">
        <is>
          <t>iSelect CAPEX 설비투자 지수</t>
        </is>
      </c>
      <c r="P532" s="99" t="inlineStr">
        <is>
          <t>일반</t>
        </is>
      </c>
      <c r="Q532" s="99" t="inlineStr">
        <is>
          <t>주식</t>
        </is>
      </c>
      <c r="R532" s="99" t="inlineStr">
        <is>
          <t>연배당</t>
        </is>
      </c>
      <c r="S532" s="100" t="n">
        <v>1</v>
      </c>
      <c r="T532" s="101" t="n">
        <v>1</v>
      </c>
      <c r="U532" s="103" t="n"/>
      <c r="V532" s="103" t="n"/>
      <c r="W532" s="103" t="n">
        <v>-0.05309999999999999</v>
      </c>
      <c r="X532" s="103" t="n">
        <v>-0.0617</v>
      </c>
      <c r="Y532" s="99" t="inlineStr"/>
      <c r="Z532" s="99" t="inlineStr">
        <is>
          <t>창 안 급변일 1일(20260304) — 내지 않음</t>
        </is>
      </c>
      <c r="AA532">
        <f>IF(AND($J532&lt;&gt;"",OR(조회_주기="전체",$R532=조회_주기),$J532&gt;=조회_최소,$J532&lt;=조회_최대),1,0)</f>
        <v/>
      </c>
      <c r="AB532">
        <f>IF($AA532=1,$AB531+1,$AB531)</f>
        <v/>
      </c>
      <c r="AC532">
        <f>IF(검색어="",1,IF(ISNUMBER(SEARCH(검색어,$A532)),1,0))</f>
        <v/>
      </c>
      <c r="AD532">
        <f>IF($AC532=1,$AD531+1,$AD531)</f>
        <v/>
      </c>
      <c r="AE532">
        <f>IFERROR(INDEX($A$4:$A$594,MATCH(529,$AD$4:$AD$594,0)),"")</f>
        <v/>
      </c>
    </row>
    <row r="533">
      <c r="A533" s="99" t="inlineStr">
        <is>
          <t>TIGER 반도체TOP10</t>
        </is>
      </c>
      <c r="B533" s="99" t="inlineStr">
        <is>
          <t>396500</t>
        </is>
      </c>
      <c r="C533" s="99" t="inlineStr">
        <is>
          <t>미래에셋자산운용</t>
        </is>
      </c>
      <c r="D533" s="100" t="n">
        <v>39900</v>
      </c>
      <c r="E533" s="100" t="n">
        <v>10561530000000</v>
      </c>
      <c r="F533" s="100" t="n">
        <v>427860721132</v>
      </c>
      <c r="G533" s="101" t="n">
        <v>0.004500000000000001</v>
      </c>
      <c r="H533" s="101" t="n">
        <v>0.759</v>
      </c>
      <c r="I533" s="101" t="n">
        <v>0.0015</v>
      </c>
      <c r="J533" s="101" t="n">
        <v>0.00188</v>
      </c>
      <c r="K533" s="100" t="n">
        <v>9</v>
      </c>
      <c r="L533" s="102" t="inlineStr">
        <is>
          <t>20260429</t>
        </is>
      </c>
      <c r="M533" s="99" t="inlineStr">
        <is>
          <t>제외</t>
        </is>
      </c>
      <c r="N533" s="99" t="inlineStr">
        <is>
          <t>변동성 75.9%(1년 기준, 기준 35% 초과)</t>
        </is>
      </c>
      <c r="O533" s="99" t="inlineStr">
        <is>
          <t>FnGuide 반도체 TOP10 지수</t>
        </is>
      </c>
      <c r="P533" s="99" t="inlineStr">
        <is>
          <t>일반</t>
        </is>
      </c>
      <c r="Q533" s="99" t="inlineStr">
        <is>
          <t>주식</t>
        </is>
      </c>
      <c r="R533" s="99" t="inlineStr">
        <is>
          <t>연배당</t>
        </is>
      </c>
      <c r="S533" s="100" t="n">
        <v>1</v>
      </c>
      <c r="T533" s="101" t="n">
        <v>1</v>
      </c>
      <c r="U533" s="103" t="n"/>
      <c r="V533" s="103" t="n"/>
      <c r="W533" s="103" t="n"/>
      <c r="X533" s="103" t="n"/>
      <c r="Y533" s="99" t="inlineStr"/>
      <c r="Z533" s="99" t="inlineStr">
        <is>
          <t>창 안 급변일 2일(20260728,20260731) — 내지 않음 / 6개월: 창 안 급변일 2일(20260728,20260731) — 내지 않음 / 3개월: 창 안 급변일 2일(20260728,20260731) — 내지 않음</t>
        </is>
      </c>
      <c r="AA533">
        <f>IF(AND($J533&lt;&gt;"",OR(조회_주기="전체",$R533=조회_주기),$J533&gt;=조회_최소,$J533&lt;=조회_최대),1,0)</f>
        <v/>
      </c>
      <c r="AB533">
        <f>IF($AA533=1,$AB532+1,$AB532)</f>
        <v/>
      </c>
      <c r="AC533">
        <f>IF(검색어="",1,IF(ISNUMBER(SEARCH(검색어,$A533)),1,0))</f>
        <v/>
      </c>
      <c r="AD533">
        <f>IF($AC533=1,$AD532+1,$AD532)</f>
        <v/>
      </c>
      <c r="AE533">
        <f>IFERROR(INDEX($A$4:$A$594,MATCH(530,$AD$4:$AD$594,0)),"")</f>
        <v/>
      </c>
    </row>
    <row r="534">
      <c r="A534" s="99" t="inlineStr">
        <is>
          <t>KODEX 코스닥150</t>
        </is>
      </c>
      <c r="B534" s="99" t="inlineStr">
        <is>
          <t>229200</t>
        </is>
      </c>
      <c r="C534" s="99" t="inlineStr">
        <is>
          <t>삼성자산운용(ETF)</t>
        </is>
      </c>
      <c r="D534" s="100" t="n">
        <v>15180</v>
      </c>
      <c r="E534" s="100" t="n">
        <v>5000292000000</v>
      </c>
      <c r="F534" s="100" t="n">
        <v>485356541153</v>
      </c>
      <c r="G534" s="101" t="n">
        <v>0.0025</v>
      </c>
      <c r="H534" s="101" t="n">
        <v>0.5503</v>
      </c>
      <c r="I534" s="101" t="n">
        <v>0.0014</v>
      </c>
      <c r="J534" s="101" t="n">
        <v>0.001845</v>
      </c>
      <c r="K534" s="100" t="n">
        <v>5</v>
      </c>
      <c r="L534" s="102" t="inlineStr">
        <is>
          <t>20260429</t>
        </is>
      </c>
      <c r="M534" s="99" t="inlineStr">
        <is>
          <t>제외</t>
        </is>
      </c>
      <c r="N534" s="99" t="inlineStr">
        <is>
          <t>변동성 55.0%(1년 기준, 기준 35% 초과)</t>
        </is>
      </c>
      <c r="O534" s="99" t="inlineStr">
        <is>
          <t>KOSDAQ 150</t>
        </is>
      </c>
      <c r="P534" s="99" t="inlineStr">
        <is>
          <t>일반</t>
        </is>
      </c>
      <c r="Q534" s="99" t="inlineStr">
        <is>
          <t>주식</t>
        </is>
      </c>
      <c r="R534" s="99" t="inlineStr">
        <is>
          <t>연배당</t>
        </is>
      </c>
      <c r="S534" s="100" t="n">
        <v>1</v>
      </c>
      <c r="T534" s="101" t="n">
        <v>0.9643</v>
      </c>
      <c r="U534" s="103" t="n"/>
      <c r="V534" s="103" t="n"/>
      <c r="W534" s="103" t="n">
        <v>-0.16</v>
      </c>
      <c r="X534" s="103" t="n">
        <v>-0.0027</v>
      </c>
      <c r="Y534" s="99" t="inlineStr"/>
      <c r="Z534" s="99" t="inlineStr">
        <is>
          <t>창 안 급변일 1일(20260304) — 내지 않음</t>
        </is>
      </c>
      <c r="AA534">
        <f>IF(AND($J534&lt;&gt;"",OR(조회_주기="전체",$R534=조회_주기),$J534&gt;=조회_최소,$J534&lt;=조회_최대),1,0)</f>
        <v/>
      </c>
      <c r="AB534">
        <f>IF($AA534=1,$AB533+1,$AB533)</f>
        <v/>
      </c>
      <c r="AC534">
        <f>IF(검색어="",1,IF(ISNUMBER(SEARCH(검색어,$A534)),1,0))</f>
        <v/>
      </c>
      <c r="AD534">
        <f>IF($AC534=1,$AD533+1,$AD533)</f>
        <v/>
      </c>
      <c r="AE534">
        <f>IFERROR(INDEX($A$4:$A$594,MATCH(531,$AD$4:$AD$594,0)),"")</f>
        <v/>
      </c>
    </row>
    <row r="535">
      <c r="A535" s="99" t="inlineStr">
        <is>
          <t>IBK K-AI반도체코어테크</t>
        </is>
      </c>
      <c r="B535" s="99" t="inlineStr">
        <is>
          <t>0005G0</t>
        </is>
      </c>
      <c r="C535" s="99" t="inlineStr">
        <is>
          <t>IBK자산운용</t>
        </is>
      </c>
      <c r="D535" s="100" t="n">
        <v>57710</v>
      </c>
      <c r="E535" s="100" t="n">
        <v>199099500000</v>
      </c>
      <c r="F535" s="100" t="n">
        <v>1727520104</v>
      </c>
      <c r="G535" s="101" t="n">
        <v>0.0028</v>
      </c>
      <c r="H535" s="101" t="n">
        <v>0.7018000000000001</v>
      </c>
      <c r="I535" s="101" t="n">
        <v>0.0003</v>
      </c>
      <c r="J535" s="101" t="n">
        <v>0.001837</v>
      </c>
      <c r="K535" s="100" t="n">
        <v>6</v>
      </c>
      <c r="L535" s="102" t="inlineStr">
        <is>
          <t>20260730</t>
        </is>
      </c>
      <c r="M535" s="99" t="inlineStr">
        <is>
          <t>제외</t>
        </is>
      </c>
      <c r="N535" s="99" t="inlineStr">
        <is>
          <t>변동성 70.2%(1년 기준, 기준 35% 초과)</t>
        </is>
      </c>
      <c r="O535" s="99" t="inlineStr">
        <is>
          <t>FnGuide K-AI반도체 코어테크 지수</t>
        </is>
      </c>
      <c r="P535" s="99" t="inlineStr">
        <is>
          <t>일반</t>
        </is>
      </c>
      <c r="Q535" s="99" t="inlineStr">
        <is>
          <t>주식</t>
        </is>
      </c>
      <c r="R535" s="99" t="inlineStr">
        <is>
          <t>분기배당</t>
        </is>
      </c>
      <c r="S535" s="100" t="n">
        <v>3</v>
      </c>
      <c r="T535" s="101" t="n">
        <v>0.8208</v>
      </c>
      <c r="U535" s="103" t="n"/>
      <c r="V535" s="103" t="n"/>
      <c r="W535" s="103" t="n"/>
      <c r="X535" s="103" t="n"/>
      <c r="Y535" s="99" t="inlineStr"/>
      <c r="Z535" s="99" t="inlineStr">
        <is>
          <t>창 안 급변일 2일(20260728,20260731) — 내지 않음 / 6개월: 창 안 급변일 2일(20260728,20260731) — 내지 않음 / 3개월: 창 안 급변일 2일(20260728,20260731) — 내지 않음</t>
        </is>
      </c>
      <c r="AA535">
        <f>IF(AND($J535&lt;&gt;"",OR(조회_주기="전체",$R535=조회_주기),$J535&gt;=조회_최소,$J535&lt;=조회_최대),1,0)</f>
        <v/>
      </c>
      <c r="AB535">
        <f>IF($AA535=1,$AB534+1,$AB534)</f>
        <v/>
      </c>
      <c r="AC535">
        <f>IF(검색어="",1,IF(ISNUMBER(SEARCH(검색어,$A535)),1,0))</f>
        <v/>
      </c>
      <c r="AD535">
        <f>IF($AC535=1,$AD534+1,$AD534)</f>
        <v/>
      </c>
      <c r="AE535">
        <f>IFERROR(INDEX($A$4:$A$594,MATCH(532,$AD$4:$AD$594,0)),"")</f>
        <v/>
      </c>
    </row>
    <row r="536">
      <c r="A536" s="99" t="inlineStr">
        <is>
          <t>HANARO 전력설비투자</t>
        </is>
      </c>
      <c r="B536" s="99" t="inlineStr">
        <is>
          <t>491820</t>
        </is>
      </c>
      <c r="C536" s="99" t="inlineStr">
        <is>
          <t>NH-Amundi자산운용</t>
        </is>
      </c>
      <c r="D536" s="100" t="n">
        <v>44350</v>
      </c>
      <c r="E536" s="100" t="n">
        <v>161877500000</v>
      </c>
      <c r="F536" s="100" t="n">
        <v>5552013282</v>
      </c>
      <c r="G536" s="101" t="n">
        <v>0.0035</v>
      </c>
      <c r="H536" s="101" t="n">
        <v>0.7044</v>
      </c>
      <c r="I536" s="101" t="n">
        <v>0.0014</v>
      </c>
      <c r="J536" s="101" t="n">
        <v>0.001804</v>
      </c>
      <c r="K536" s="100" t="n">
        <v>2</v>
      </c>
      <c r="L536" s="102" t="inlineStr">
        <is>
          <t>20260429</t>
        </is>
      </c>
      <c r="M536" s="99" t="inlineStr">
        <is>
          <t>제외</t>
        </is>
      </c>
      <c r="N536" s="99" t="inlineStr">
        <is>
          <t>변동성 70.4%(1년 기준, 기준 35% 초과)</t>
        </is>
      </c>
      <c r="O536" s="99" t="inlineStr">
        <is>
          <t>iSelect 전력설비투자 지수</t>
        </is>
      </c>
      <c r="P536" s="99" t="inlineStr">
        <is>
          <t>일반</t>
        </is>
      </c>
      <c r="Q536" s="99" t="inlineStr">
        <is>
          <t>주식</t>
        </is>
      </c>
      <c r="R536" s="99" t="inlineStr">
        <is>
          <t>연배당</t>
        </is>
      </c>
      <c r="S536" s="100" t="n">
        <v>1</v>
      </c>
      <c r="T536" s="101" t="n">
        <v>1</v>
      </c>
      <c r="U536" s="103" t="n"/>
      <c r="V536" s="103" t="n"/>
      <c r="W536" s="103" t="n"/>
      <c r="X536" s="103" t="n"/>
      <c r="Y536" s="99" t="inlineStr"/>
      <c r="Z536" s="99" t="inlineStr">
        <is>
          <t>창 안 급변일 1일(20260731) — 내지 않음 / 6개월: 창 안 급변일 1일(20260731) — 내지 않음 / 3개월: 창 안 급변일 1일(20260731) — 내지 않음</t>
        </is>
      </c>
      <c r="AA536">
        <f>IF(AND($J536&lt;&gt;"",OR(조회_주기="전체",$R536=조회_주기),$J536&gt;=조회_최소,$J536&lt;=조회_최대),1,0)</f>
        <v/>
      </c>
      <c r="AB536">
        <f>IF($AA536=1,$AB535+1,$AB535)</f>
        <v/>
      </c>
      <c r="AC536">
        <f>IF(검색어="",1,IF(ISNUMBER(SEARCH(검색어,$A536)),1,0))</f>
        <v/>
      </c>
      <c r="AD536">
        <f>IF($AC536=1,$AD535+1,$AD535)</f>
        <v/>
      </c>
      <c r="AE536">
        <f>IFERROR(INDEX($A$4:$A$594,MATCH(533,$AD$4:$AD$594,0)),"")</f>
        <v/>
      </c>
    </row>
    <row r="537">
      <c r="A537" s="99" t="inlineStr">
        <is>
          <t>ACE AI반도체TOP3+</t>
        </is>
      </c>
      <c r="B537" s="99" t="inlineStr">
        <is>
          <t>469150</t>
        </is>
      </c>
      <c r="C537" s="99" t="inlineStr">
        <is>
          <t>한국투신운용(ETF)</t>
        </is>
      </c>
      <c r="D537" s="100" t="n">
        <v>66545</v>
      </c>
      <c r="E537" s="100" t="n">
        <v>1364172500000</v>
      </c>
      <c r="F537" s="100" t="n">
        <v>42775363826</v>
      </c>
      <c r="G537" s="101" t="n">
        <v>0.003</v>
      </c>
      <c r="H537" s="101" t="n">
        <v>0.7532</v>
      </c>
      <c r="I537" s="101" t="n">
        <v>0.002</v>
      </c>
      <c r="J537" s="101" t="n">
        <v>0.001803</v>
      </c>
      <c r="K537" s="100" t="n">
        <v>3</v>
      </c>
      <c r="L537" s="102" t="inlineStr">
        <is>
          <t>20260429</t>
        </is>
      </c>
      <c r="M537" s="99" t="inlineStr">
        <is>
          <t>제외</t>
        </is>
      </c>
      <c r="N537" s="99" t="inlineStr">
        <is>
          <t>변동성 75.3%(1년 기준, 기준 35% 초과)</t>
        </is>
      </c>
      <c r="O537" s="99" t="inlineStr">
        <is>
          <t>FnGuide AI 반도체 TOP3+ 지수</t>
        </is>
      </c>
      <c r="P537" s="99" t="inlineStr">
        <is>
          <t>일반</t>
        </is>
      </c>
      <c r="Q537" s="99" t="inlineStr">
        <is>
          <t>주식</t>
        </is>
      </c>
      <c r="R537" s="99" t="inlineStr">
        <is>
          <t>연배당</t>
        </is>
      </c>
      <c r="S537" s="100" t="n">
        <v>1</v>
      </c>
      <c r="T537" s="101" t="n">
        <v>0.9833</v>
      </c>
      <c r="U537" s="103" t="n"/>
      <c r="V537" s="103" t="n"/>
      <c r="W537" s="103" t="n"/>
      <c r="X537" s="103" t="n"/>
      <c r="Y537" s="99" t="inlineStr"/>
      <c r="Z537" s="99" t="inlineStr">
        <is>
          <t>창 안 급변일 2일(20260305,20260731) — 내지 않음 / 6개월: 창 안 급변일 1일(20260731) — 내지 않음 / 3개월: 창 안 급변일 1일(20260731) — 내지 않음</t>
        </is>
      </c>
      <c r="AA537">
        <f>IF(AND($J537&lt;&gt;"",OR(조회_주기="전체",$R537=조회_주기),$J537&gt;=조회_최소,$J537&lt;=조회_최대),1,0)</f>
        <v/>
      </c>
      <c r="AB537">
        <f>IF($AA537=1,$AB536+1,$AB536)</f>
        <v/>
      </c>
      <c r="AC537">
        <f>IF(검색어="",1,IF(ISNUMBER(SEARCH(검색어,$A537)),1,0))</f>
        <v/>
      </c>
      <c r="AD537">
        <f>IF($AC537=1,$AD536+1,$AD536)</f>
        <v/>
      </c>
      <c r="AE537">
        <f>IFERROR(INDEX($A$4:$A$594,MATCH(534,$AD$4:$AD$594,0)),"")</f>
        <v/>
      </c>
    </row>
    <row r="538">
      <c r="A538" s="99" t="inlineStr">
        <is>
          <t>TIGER 유로스탁스50(합성 H)</t>
        </is>
      </c>
      <c r="B538" s="99" t="inlineStr">
        <is>
          <t>195930</t>
        </is>
      </c>
      <c r="C538" s="99" t="inlineStr">
        <is>
          <t>미래에셋자산운용</t>
        </is>
      </c>
      <c r="D538" s="100" t="n">
        <v>22590</v>
      </c>
      <c r="E538" s="100" t="n">
        <v>36144000000</v>
      </c>
      <c r="F538" s="100" t="n">
        <v>188687179</v>
      </c>
      <c r="G538" s="101" t="n">
        <v>0.0024</v>
      </c>
      <c r="H538" s="101" t="n">
        <v>0.1548</v>
      </c>
      <c r="I538" s="101" t="n">
        <v>0.0019</v>
      </c>
      <c r="J538" s="101" t="n">
        <v>0.001771</v>
      </c>
      <c r="K538" s="100" t="n">
        <v>1</v>
      </c>
      <c r="L538" s="102" t="inlineStr">
        <is>
          <t>20251229</t>
        </is>
      </c>
      <c r="M538" s="99" t="inlineStr">
        <is>
          <t>제외</t>
        </is>
      </c>
      <c r="N538" s="99" t="inlineStr">
        <is>
          <t>60일 거래대금 1.9억(기준 5억 미만)</t>
        </is>
      </c>
      <c r="O538" s="99" t="inlineStr">
        <is>
          <t>EURO STOXX 50</t>
        </is>
      </c>
      <c r="P538" s="99" t="inlineStr">
        <is>
          <t>일반</t>
        </is>
      </c>
      <c r="Q538" s="99" t="inlineStr">
        <is>
          <t>주식</t>
        </is>
      </c>
      <c r="R538" s="99" t="inlineStr">
        <is>
          <t>연배당</t>
        </is>
      </c>
      <c r="S538" s="100" t="n">
        <v>1</v>
      </c>
      <c r="T538" s="101" t="n">
        <v>1</v>
      </c>
      <c r="U538" s="103" t="n">
        <v>0.1461</v>
      </c>
      <c r="V538" s="103" t="n">
        <v>0.144</v>
      </c>
      <c r="W538" s="103" t="n">
        <v>0.09669999999999999</v>
      </c>
      <c r="X538" s="103" t="n">
        <v>-0.0281</v>
      </c>
      <c r="Y538" s="99" t="inlineStr">
        <is>
          <t>20250922~20261002</t>
        </is>
      </c>
      <c r="Z538" s="99" t="inlineStr"/>
      <c r="AA538">
        <f>IF(AND($J538&lt;&gt;"",OR(조회_주기="전체",$R538=조회_주기),$J538&gt;=조회_최소,$J538&lt;=조회_최대),1,0)</f>
        <v/>
      </c>
      <c r="AB538">
        <f>IF($AA538=1,$AB537+1,$AB537)</f>
        <v/>
      </c>
      <c r="AC538">
        <f>IF(검색어="",1,IF(ISNUMBER(SEARCH(검색어,$A538)),1,0))</f>
        <v/>
      </c>
      <c r="AD538">
        <f>IF($AC538=1,$AD537+1,$AD537)</f>
        <v/>
      </c>
      <c r="AE538">
        <f>IFERROR(INDEX($A$4:$A$594,MATCH(535,$AD$4:$AD$594,0)),"")</f>
        <v/>
      </c>
    </row>
    <row r="539">
      <c r="A539" s="99" t="inlineStr">
        <is>
          <t>RISE 비메모리반도체액티브</t>
        </is>
      </c>
      <c r="B539" s="99" t="inlineStr">
        <is>
          <t>388420</t>
        </is>
      </c>
      <c r="C539" s="99" t="inlineStr">
        <is>
          <t>KB자산운용</t>
        </is>
      </c>
      <c r="D539" s="100" t="n">
        <v>31200</v>
      </c>
      <c r="E539" s="100" t="n">
        <v>273936000000</v>
      </c>
      <c r="F539" s="100" t="n">
        <v>5792330255</v>
      </c>
      <c r="G539" s="101" t="n">
        <v>0.005</v>
      </c>
      <c r="H539" s="101" t="n">
        <v>0.6973999999999999</v>
      </c>
      <c r="I539" s="101" t="n">
        <v>0.0026</v>
      </c>
      <c r="J539" s="101" t="n">
        <v>0.001763</v>
      </c>
      <c r="K539" s="100" t="n">
        <v>5</v>
      </c>
      <c r="L539" s="102" t="inlineStr">
        <is>
          <t>20260730</t>
        </is>
      </c>
      <c r="M539" s="99" t="inlineStr">
        <is>
          <t>제외</t>
        </is>
      </c>
      <c r="N539" s="99" t="inlineStr">
        <is>
          <t>변동성 69.7%(1년 기준, 기준 35% 초과)</t>
        </is>
      </c>
      <c r="O539" s="99" t="inlineStr">
        <is>
          <t>iSelect 비메모리 반도체 지수</t>
        </is>
      </c>
      <c r="P539" s="99" t="inlineStr">
        <is>
          <t>일반</t>
        </is>
      </c>
      <c r="Q539" s="99" t="inlineStr">
        <is>
          <t>주식</t>
        </is>
      </c>
      <c r="R539" s="99" t="inlineStr">
        <is>
          <t>연배당</t>
        </is>
      </c>
      <c r="S539" s="100" t="n">
        <v>1</v>
      </c>
      <c r="T539" s="101" t="n">
        <v>0.3455</v>
      </c>
      <c r="U539" s="103" t="n"/>
      <c r="V539" s="103" t="n"/>
      <c r="W539" s="103" t="n"/>
      <c r="X539" s="103" t="n"/>
      <c r="Y539" s="99" t="inlineStr"/>
      <c r="Z539" s="99" t="inlineStr">
        <is>
          <t>창 안 급변일 2일(20260728,20260731) — 내지 않음 / 6개월: 창 안 급변일 2일(20260728,20260731) — 내지 않음 / 3개월: 창 안 급변일 2일(20260728,20260731) — 내지 않음</t>
        </is>
      </c>
      <c r="AA539">
        <f>IF(AND($J539&lt;&gt;"",OR(조회_주기="전체",$R539=조회_주기),$J539&gt;=조회_최소,$J539&lt;=조회_최대),1,0)</f>
        <v/>
      </c>
      <c r="AB539">
        <f>IF($AA539=1,$AB538+1,$AB538)</f>
        <v/>
      </c>
      <c r="AC539">
        <f>IF(검색어="",1,IF(ISNUMBER(SEARCH(검색어,$A539)),1,0))</f>
        <v/>
      </c>
      <c r="AD539">
        <f>IF($AC539=1,$AD538+1,$AD538)</f>
        <v/>
      </c>
      <c r="AE539">
        <f>IFERROR(INDEX($A$4:$A$594,MATCH(536,$AD$4:$AD$594,0)),"")</f>
        <v/>
      </c>
    </row>
    <row r="540">
      <c r="A540" s="99" t="inlineStr">
        <is>
          <t>PLUS 한화그룹주</t>
        </is>
      </c>
      <c r="B540" s="99" t="inlineStr">
        <is>
          <t>0000J0</t>
        </is>
      </c>
      <c r="C540" s="99" t="inlineStr">
        <is>
          <t>한화자산운용</t>
        </is>
      </c>
      <c r="D540" s="100" t="n">
        <v>29060</v>
      </c>
      <c r="E540" s="100" t="n">
        <v>116240000000</v>
      </c>
      <c r="F540" s="100" t="n">
        <v>3791924103</v>
      </c>
      <c r="G540" s="101" t="n">
        <v>0.0019</v>
      </c>
      <c r="H540" s="101" t="n">
        <v>0.5772999999999999</v>
      </c>
      <c r="I540" s="101" t="n">
        <v>0.0012</v>
      </c>
      <c r="J540" s="101" t="n">
        <v>0.001721</v>
      </c>
      <c r="K540" s="100" t="n">
        <v>2</v>
      </c>
      <c r="L540" s="102" t="inlineStr">
        <is>
          <t>20260429</t>
        </is>
      </c>
      <c r="M540" s="99" t="inlineStr">
        <is>
          <t>제외</t>
        </is>
      </c>
      <c r="N540" s="99" t="inlineStr">
        <is>
          <t>변동성 57.7%(1년 기준, 기준 35% 초과)</t>
        </is>
      </c>
      <c r="O540" s="99" t="inlineStr">
        <is>
          <t>FnGuide 한화그룹주 지수</t>
        </is>
      </c>
      <c r="P540" s="99" t="inlineStr">
        <is>
          <t>일반</t>
        </is>
      </c>
      <c r="Q540" s="99" t="inlineStr">
        <is>
          <t>주식</t>
        </is>
      </c>
      <c r="R540" s="99" t="inlineStr">
        <is>
          <t>연배당</t>
        </is>
      </c>
      <c r="S540" s="100" t="n">
        <v>1</v>
      </c>
      <c r="T540" s="101" t="n">
        <v>0.92</v>
      </c>
      <c r="U540" s="103" t="n"/>
      <c r="V540" s="103" t="n"/>
      <c r="W540" s="103" t="n">
        <v>-0.2322</v>
      </c>
      <c r="X540" s="103" t="n">
        <v>-0.038</v>
      </c>
      <c r="Y540" s="99" t="inlineStr"/>
      <c r="Z540" s="99" t="inlineStr">
        <is>
          <t>창 안 급변일 1일(20260304) — 내지 않음</t>
        </is>
      </c>
      <c r="AA540">
        <f>IF(AND($J540&lt;&gt;"",OR(조회_주기="전체",$R540=조회_주기),$J540&gt;=조회_최소,$J540&lt;=조회_최대),1,0)</f>
        <v/>
      </c>
      <c r="AB540">
        <f>IF($AA540=1,$AB539+1,$AB539)</f>
        <v/>
      </c>
      <c r="AC540">
        <f>IF(검색어="",1,IF(ISNUMBER(SEARCH(검색어,$A540)),1,0))</f>
        <v/>
      </c>
      <c r="AD540">
        <f>IF($AC540=1,$AD539+1,$AD539)</f>
        <v/>
      </c>
      <c r="AE540">
        <f>IFERROR(INDEX($A$4:$A$594,MATCH(537,$AD$4:$AD$594,0)),"")</f>
        <v/>
      </c>
    </row>
    <row r="541">
      <c r="A541" s="99" t="inlineStr">
        <is>
          <t>TIGER 글로벌AI사이버보안</t>
        </is>
      </c>
      <c r="B541" s="99" t="inlineStr">
        <is>
          <t>418670</t>
        </is>
      </c>
      <c r="C541" s="99" t="inlineStr">
        <is>
          <t>미래에셋자산운용</t>
        </is>
      </c>
      <c r="D541" s="100" t="n">
        <v>19175</v>
      </c>
      <c r="E541" s="100" t="n">
        <v>66729000000</v>
      </c>
      <c r="F541" s="100" t="n">
        <v>1747797667</v>
      </c>
      <c r="G541" s="101" t="n">
        <v>0.0049</v>
      </c>
      <c r="H541" s="101" t="n">
        <v>0.3786</v>
      </c>
      <c r="I541" s="101" t="n">
        <v>0.0024</v>
      </c>
      <c r="J541" s="101" t="n">
        <v>0.001721</v>
      </c>
      <c r="K541" s="100" t="n">
        <v>1</v>
      </c>
      <c r="L541" s="102" t="inlineStr">
        <is>
          <t>20251229</t>
        </is>
      </c>
      <c r="M541" s="99" t="inlineStr">
        <is>
          <t>제외</t>
        </is>
      </c>
      <c r="N541" s="99" t="inlineStr">
        <is>
          <t>변동성 37.9%(1년 기준, 기준 35% 초과)</t>
        </is>
      </c>
      <c r="O541" s="99" t="inlineStr">
        <is>
          <t>Indxx Cybersecurity Index PR</t>
        </is>
      </c>
      <c r="P541" s="99" t="inlineStr">
        <is>
          <t>일반</t>
        </is>
      </c>
      <c r="Q541" s="99" t="inlineStr">
        <is>
          <t>주식</t>
        </is>
      </c>
      <c r="R541" s="99" t="inlineStr">
        <is>
          <t>연배당</t>
        </is>
      </c>
      <c r="S541" s="100" t="n">
        <v>1</v>
      </c>
      <c r="T541" s="101" t="n">
        <v>1</v>
      </c>
      <c r="U541" s="103" t="n">
        <v>0.2604</v>
      </c>
      <c r="V541" s="103" t="n">
        <v>0.2582</v>
      </c>
      <c r="W541" s="103" t="n">
        <v>0.6167</v>
      </c>
      <c r="X541" s="103" t="n">
        <v>0.0429</v>
      </c>
      <c r="Y541" s="99" t="inlineStr">
        <is>
          <t>20250922~20261002</t>
        </is>
      </c>
      <c r="Z541" s="99" t="inlineStr"/>
      <c r="AA541">
        <f>IF(AND($J541&lt;&gt;"",OR(조회_주기="전체",$R541=조회_주기),$J541&gt;=조회_최소,$J541&lt;=조회_최대),1,0)</f>
        <v/>
      </c>
      <c r="AB541">
        <f>IF($AA541=1,$AB540+1,$AB540)</f>
        <v/>
      </c>
      <c r="AC541">
        <f>IF(검색어="",1,IF(ISNUMBER(SEARCH(검색어,$A541)),1,0))</f>
        <v/>
      </c>
      <c r="AD541">
        <f>IF($AC541=1,$AD540+1,$AD540)</f>
        <v/>
      </c>
      <c r="AE541">
        <f>IFERROR(INDEX($A$4:$A$594,MATCH(538,$AD$4:$AD$594,0)),"")</f>
        <v/>
      </c>
    </row>
    <row r="542">
      <c r="A542" s="99" t="inlineStr">
        <is>
          <t>TIGER 미디어컨텐츠</t>
        </is>
      </c>
      <c r="B542" s="99" t="inlineStr">
        <is>
          <t>228810</t>
        </is>
      </c>
      <c r="C542" s="99" t="inlineStr">
        <is>
          <t>미래에셋자산운용</t>
        </is>
      </c>
      <c r="D542" s="100" t="n">
        <v>3000</v>
      </c>
      <c r="E542" s="100" t="n">
        <v>73710000000</v>
      </c>
      <c r="F542" s="100" t="n">
        <v>770949432</v>
      </c>
      <c r="G542" s="101" t="n">
        <v>0.005</v>
      </c>
      <c r="H542" s="101" t="n">
        <v>0.4063000000000001</v>
      </c>
      <c r="I542" s="101" t="n">
        <v>0.001</v>
      </c>
      <c r="J542" s="101" t="n">
        <v>0.001667</v>
      </c>
      <c r="K542" s="100" t="n">
        <v>5</v>
      </c>
      <c r="L542" s="102" t="inlineStr">
        <is>
          <t>20260429</t>
        </is>
      </c>
      <c r="M542" s="99" t="inlineStr">
        <is>
          <t>제외</t>
        </is>
      </c>
      <c r="N542" s="99" t="inlineStr">
        <is>
          <t>변동성 40.6%(1년 기준, 기준 35% 초과)</t>
        </is>
      </c>
      <c r="O542" s="99" t="inlineStr">
        <is>
          <t>WISE 미디어컨텐츠 지수</t>
        </is>
      </c>
      <c r="P542" s="99" t="inlineStr">
        <is>
          <t>일반</t>
        </is>
      </c>
      <c r="Q542" s="99" t="inlineStr">
        <is>
          <t>주식</t>
        </is>
      </c>
      <c r="R542" s="99" t="inlineStr">
        <is>
          <t>연배당</t>
        </is>
      </c>
      <c r="S542" s="100" t="n">
        <v>1</v>
      </c>
      <c r="T542" s="101" t="n">
        <v>0</v>
      </c>
      <c r="U542" s="103" t="n">
        <v>-0.5734</v>
      </c>
      <c r="V542" s="103" t="n">
        <v>-0.5740999999999999</v>
      </c>
      <c r="W542" s="103" t="n">
        <v>-0.3487</v>
      </c>
      <c r="X542" s="103" t="n">
        <v>-0.1182</v>
      </c>
      <c r="Y542" s="99" t="inlineStr">
        <is>
          <t>20250922~20261002</t>
        </is>
      </c>
      <c r="Z542" s="99" t="inlineStr"/>
      <c r="AA542">
        <f>IF(AND($J542&lt;&gt;"",OR(조회_주기="전체",$R542=조회_주기),$J542&gt;=조회_최소,$J542&lt;=조회_최대),1,0)</f>
        <v/>
      </c>
      <c r="AB542">
        <f>IF($AA542=1,$AB541+1,$AB541)</f>
        <v/>
      </c>
      <c r="AC542">
        <f>IF(검색어="",1,IF(ISNUMBER(SEARCH(검색어,$A542)),1,0))</f>
        <v/>
      </c>
      <c r="AD542">
        <f>IF($AC542=1,$AD541+1,$AD541)</f>
        <v/>
      </c>
      <c r="AE542">
        <f>IFERROR(INDEX($A$4:$A$594,MATCH(539,$AD$4:$AD$594,0)),"")</f>
        <v/>
      </c>
    </row>
    <row r="543">
      <c r="A543" s="99" t="inlineStr">
        <is>
          <t>KODEX 성장주</t>
        </is>
      </c>
      <c r="B543" s="99" t="inlineStr">
        <is>
          <t>325010</t>
        </is>
      </c>
      <c r="C543" s="99" t="inlineStr">
        <is>
          <t>삼성자산운용(ETF)</t>
        </is>
      </c>
      <c r="D543" s="100" t="n">
        <v>44895</v>
      </c>
      <c r="E543" s="100" t="n">
        <v>130195500000</v>
      </c>
      <c r="F543" s="100" t="n">
        <v>1165599810</v>
      </c>
      <c r="G543" s="101" t="n">
        <v>0.003</v>
      </c>
      <c r="H543" s="101" t="n">
        <v>0.5908</v>
      </c>
      <c r="I543" s="101" t="n">
        <v>0.0001</v>
      </c>
      <c r="J543" s="101" t="n">
        <v>0.001648</v>
      </c>
      <c r="K543" s="100" t="n">
        <v>6</v>
      </c>
      <c r="L543" s="102" t="inlineStr">
        <is>
          <t>20260730</t>
        </is>
      </c>
      <c r="M543" s="99" t="inlineStr">
        <is>
          <t>제외</t>
        </is>
      </c>
      <c r="N543" s="99" t="inlineStr">
        <is>
          <t>변동성 59.1%(1년 기준, 기준 35% 초과)</t>
        </is>
      </c>
      <c r="O543" s="99" t="inlineStr">
        <is>
          <t>FnGuide 성장 지수(PR)</t>
        </is>
      </c>
      <c r="P543" s="99" t="inlineStr">
        <is>
          <t>일반</t>
        </is>
      </c>
      <c r="Q543" s="99" t="inlineStr">
        <is>
          <t>주식</t>
        </is>
      </c>
      <c r="R543" s="99" t="inlineStr">
        <is>
          <t>연배당</t>
        </is>
      </c>
      <c r="S543" s="100" t="n">
        <v>2</v>
      </c>
      <c r="T543" s="101" t="n">
        <v>1</v>
      </c>
      <c r="U543" s="103" t="n"/>
      <c r="V543" s="103" t="n"/>
      <c r="W543" s="103" t="n"/>
      <c r="X543" s="103" t="n"/>
      <c r="Y543" s="99" t="inlineStr"/>
      <c r="Z543" s="99" t="inlineStr">
        <is>
          <t>창 안 급변일 1일(20260731) — 내지 않음 / 6개월: 창 안 급변일 1일(20260731) — 내지 않음 / 3개월: 창 안 급변일 1일(20260731) — 내지 않음</t>
        </is>
      </c>
      <c r="AA543">
        <f>IF(AND($J543&lt;&gt;"",OR(조회_주기="전체",$R543=조회_주기),$J543&gt;=조회_최소,$J543&lt;=조회_최대),1,0)</f>
        <v/>
      </c>
      <c r="AB543">
        <f>IF($AA543=1,$AB542+1,$AB542)</f>
        <v/>
      </c>
      <c r="AC543">
        <f>IF(검색어="",1,IF(ISNUMBER(SEARCH(검색어,$A543)),1,0))</f>
        <v/>
      </c>
      <c r="AD543">
        <f>IF($AC543=1,$AD542+1,$AD542)</f>
        <v/>
      </c>
      <c r="AE543">
        <f>IFERROR(INDEX($A$4:$A$594,MATCH(540,$AD$4:$AD$594,0)),"")</f>
        <v/>
      </c>
    </row>
    <row r="544">
      <c r="A544" s="99" t="inlineStr">
        <is>
          <t>TIGER 차이나과창판STAR50(합성)</t>
        </is>
      </c>
      <c r="B544" s="99" t="inlineStr">
        <is>
          <t>414780</t>
        </is>
      </c>
      <c r="C544" s="99" t="inlineStr">
        <is>
          <t>미래에셋자산운용</t>
        </is>
      </c>
      <c r="D544" s="100" t="n">
        <v>12585</v>
      </c>
      <c r="E544" s="100" t="n">
        <v>179965500000</v>
      </c>
      <c r="F544" s="100" t="n">
        <v>3891582771</v>
      </c>
      <c r="G544" s="101" t="n">
        <v>0.0009</v>
      </c>
      <c r="H544" s="101" t="n">
        <v>0.4539</v>
      </c>
      <c r="I544" s="101" t="n">
        <v>0.0018</v>
      </c>
      <c r="J544" s="101" t="n">
        <v>0.001589</v>
      </c>
      <c r="K544" s="100" t="n">
        <v>1</v>
      </c>
      <c r="L544" s="102" t="inlineStr">
        <is>
          <t>20251229</t>
        </is>
      </c>
      <c r="M544" s="99" t="inlineStr">
        <is>
          <t>제외</t>
        </is>
      </c>
      <c r="N544" s="99" t="inlineStr">
        <is>
          <t>변동성 45.4%(1년 기준, 기준 35% 초과)</t>
        </is>
      </c>
      <c r="O544" s="99" t="inlineStr">
        <is>
          <t>STAR50 Index</t>
        </is>
      </c>
      <c r="P544" s="99" t="inlineStr">
        <is>
          <t>일반</t>
        </is>
      </c>
      <c r="Q544" s="99" t="inlineStr">
        <is>
          <t>주식</t>
        </is>
      </c>
      <c r="R544" s="99" t="inlineStr">
        <is>
          <t>연배당</t>
        </is>
      </c>
      <c r="S544" s="100" t="n">
        <v>1</v>
      </c>
      <c r="T544" s="101" t="n">
        <v>1</v>
      </c>
      <c r="U544" s="103" t="n">
        <v>0.1518</v>
      </c>
      <c r="V544" s="103" t="n">
        <v>0.15</v>
      </c>
      <c r="W544" s="103" t="n">
        <v>0.1118</v>
      </c>
      <c r="X544" s="103" t="n">
        <v>-0.3137</v>
      </c>
      <c r="Y544" s="99" t="inlineStr">
        <is>
          <t>20250922~20261002</t>
        </is>
      </c>
      <c r="Z544" s="99" t="inlineStr"/>
      <c r="AA544">
        <f>IF(AND($J544&lt;&gt;"",OR(조회_주기="전체",$R544=조회_주기),$J544&gt;=조회_최소,$J544&lt;=조회_최대),1,0)</f>
        <v/>
      </c>
      <c r="AB544">
        <f>IF($AA544=1,$AB543+1,$AB543)</f>
        <v/>
      </c>
      <c r="AC544">
        <f>IF(검색어="",1,IF(ISNUMBER(SEARCH(검색어,$A544)),1,0))</f>
        <v/>
      </c>
      <c r="AD544">
        <f>IF($AC544=1,$AD543+1,$AD543)</f>
        <v/>
      </c>
      <c r="AE544">
        <f>IFERROR(INDEX($A$4:$A$594,MATCH(541,$AD$4:$AD$594,0)),"")</f>
        <v/>
      </c>
    </row>
    <row r="545">
      <c r="A545" s="99" t="inlineStr">
        <is>
          <t>TIGER 글로벌AI액티브</t>
        </is>
      </c>
      <c r="B545" s="99" t="inlineStr">
        <is>
          <t>466950</t>
        </is>
      </c>
      <c r="C545" s="99" t="inlineStr">
        <is>
          <t>미래에셋자산운용</t>
        </is>
      </c>
      <c r="D545" s="100" t="n">
        <v>32065</v>
      </c>
      <c r="E545" s="100" t="n">
        <v>605387200000</v>
      </c>
      <c r="F545" s="100" t="n">
        <v>5679354980</v>
      </c>
      <c r="G545" s="101" t="n">
        <v>0.007900000000000001</v>
      </c>
      <c r="H545" s="101" t="n">
        <v>0.4536</v>
      </c>
      <c r="I545" s="101" t="n">
        <v>0.0022</v>
      </c>
      <c r="J545" s="101" t="n">
        <v>0.001559</v>
      </c>
      <c r="K545" s="100" t="n">
        <v>1</v>
      </c>
      <c r="L545" s="102" t="inlineStr">
        <is>
          <t>20251229</t>
        </is>
      </c>
      <c r="M545" s="99" t="inlineStr">
        <is>
          <t>제외</t>
        </is>
      </c>
      <c r="N545" s="99" t="inlineStr">
        <is>
          <t>변동성 45.4%(1년 기준, 기준 35% 초과)</t>
        </is>
      </c>
      <c r="O545" s="99" t="inlineStr">
        <is>
          <t>Indxx Artificial Intelligence and Big Data Index PR</t>
        </is>
      </c>
      <c r="P545" s="99" t="inlineStr">
        <is>
          <t>일반</t>
        </is>
      </c>
      <c r="Q545" s="99" t="inlineStr">
        <is>
          <t>주식</t>
        </is>
      </c>
      <c r="R545" s="99" t="inlineStr">
        <is>
          <t>연배당</t>
        </is>
      </c>
      <c r="S545" s="100" t="n">
        <v>1</v>
      </c>
      <c r="T545" s="101" t="n">
        <v>1</v>
      </c>
      <c r="U545" s="103" t="n">
        <v>0.4087</v>
      </c>
      <c r="V545" s="103" t="n">
        <v>0.4065</v>
      </c>
      <c r="W545" s="103" t="n">
        <v>0.2695</v>
      </c>
      <c r="X545" s="103" t="n">
        <v>-0.1916</v>
      </c>
      <c r="Y545" s="99" t="inlineStr">
        <is>
          <t>20250922~20261002</t>
        </is>
      </c>
      <c r="Z545" s="99" t="inlineStr"/>
      <c r="AA545">
        <f>IF(AND($J545&lt;&gt;"",OR(조회_주기="전체",$R545=조회_주기),$J545&gt;=조회_최소,$J545&lt;=조회_최대),1,0)</f>
        <v/>
      </c>
      <c r="AB545">
        <f>IF($AA545=1,$AB544+1,$AB544)</f>
        <v/>
      </c>
      <c r="AC545">
        <f>IF(검색어="",1,IF(ISNUMBER(SEARCH(검색어,$A545)),1,0))</f>
        <v/>
      </c>
      <c r="AD545">
        <f>IF($AC545=1,$AD544+1,$AD544)</f>
        <v/>
      </c>
      <c r="AE545">
        <f>IFERROR(INDEX($A$4:$A$594,MATCH(542,$AD$4:$AD$594,0)),"")</f>
        <v/>
      </c>
    </row>
    <row r="546">
      <c r="A546" s="99" t="inlineStr">
        <is>
          <t>SOL 미국AI반도체칩메이커</t>
        </is>
      </c>
      <c r="B546" s="99" t="inlineStr">
        <is>
          <t>479620</t>
        </is>
      </c>
      <c r="C546" s="99" t="inlineStr">
        <is>
          <t>신한자산운용</t>
        </is>
      </c>
      <c r="D546" s="100" t="n">
        <v>26975</v>
      </c>
      <c r="E546" s="100" t="n">
        <v>93063750000</v>
      </c>
      <c r="F546" s="100" t="n">
        <v>1272153401</v>
      </c>
      <c r="G546" s="101" t="n">
        <v>0.004500000000000001</v>
      </c>
      <c r="H546" s="101" t="n">
        <v>0.4845</v>
      </c>
      <c r="I546" s="101" t="n">
        <v>0.0018</v>
      </c>
      <c r="J546" s="101" t="n">
        <v>0.001483</v>
      </c>
      <c r="K546" s="100" t="n">
        <v>2</v>
      </c>
      <c r="L546" s="102" t="inlineStr">
        <is>
          <t>20260429</t>
        </is>
      </c>
      <c r="M546" s="99" t="inlineStr">
        <is>
          <t>제외</t>
        </is>
      </c>
      <c r="N546" s="99" t="inlineStr">
        <is>
          <t>변동성 48.4%(1년 기준, 기준 35% 초과)</t>
        </is>
      </c>
      <c r="O546" s="99" t="inlineStr">
        <is>
          <t>Solactive US AI Semiconductor Chip Makers Index PR</t>
        </is>
      </c>
      <c r="P546" s="99" t="inlineStr">
        <is>
          <t>일반</t>
        </is>
      </c>
      <c r="Q546" s="99" t="inlineStr">
        <is>
          <t>주식</t>
        </is>
      </c>
      <c r="R546" s="99" t="inlineStr">
        <is>
          <t>연배당</t>
        </is>
      </c>
      <c r="S546" s="100" t="n">
        <v>1</v>
      </c>
      <c r="T546" s="101" t="n">
        <v>1</v>
      </c>
      <c r="U546" s="103" t="n">
        <v>1.1059</v>
      </c>
      <c r="V546" s="103" t="n">
        <v>1.1028</v>
      </c>
      <c r="W546" s="103" t="n">
        <v>0.6686</v>
      </c>
      <c r="X546" s="103" t="n">
        <v>-0.08810000000000001</v>
      </c>
      <c r="Y546" s="99" t="inlineStr">
        <is>
          <t>20250922~20261002</t>
        </is>
      </c>
      <c r="Z546" s="99" t="inlineStr"/>
      <c r="AA546">
        <f>IF(AND($J546&lt;&gt;"",OR(조회_주기="전체",$R546=조회_주기),$J546&gt;=조회_최소,$J546&lt;=조회_최대),1,0)</f>
        <v/>
      </c>
      <c r="AB546">
        <f>IF($AA546=1,$AB545+1,$AB545)</f>
        <v/>
      </c>
      <c r="AC546">
        <f>IF(검색어="",1,IF(ISNUMBER(SEARCH(검색어,$A546)),1,0))</f>
        <v/>
      </c>
      <c r="AD546">
        <f>IF($AC546=1,$AD545+1,$AD545)</f>
        <v/>
      </c>
      <c r="AE546">
        <f>IFERROR(INDEX($A$4:$A$594,MATCH(543,$AD$4:$AD$594,0)),"")</f>
        <v/>
      </c>
    </row>
    <row r="547">
      <c r="A547" s="99" t="inlineStr">
        <is>
          <t>SOL 반도체전공정</t>
        </is>
      </c>
      <c r="B547" s="99" t="inlineStr">
        <is>
          <t>475300</t>
        </is>
      </c>
      <c r="C547" s="99" t="inlineStr">
        <is>
          <t>신한자산운용</t>
        </is>
      </c>
      <c r="D547" s="100" t="n">
        <v>27080</v>
      </c>
      <c r="E547" s="100" t="n">
        <v>360164000000</v>
      </c>
      <c r="F547" s="100" t="n">
        <v>49287962287</v>
      </c>
      <c r="G547" s="101" t="n">
        <v>0.004500000000000001</v>
      </c>
      <c r="H547" s="101" t="n">
        <v>0.8020999999999999</v>
      </c>
      <c r="I547" s="101" t="n">
        <v>0.0018</v>
      </c>
      <c r="J547" s="101" t="n">
        <v>0.001477</v>
      </c>
      <c r="K547" s="100" t="n">
        <v>2</v>
      </c>
      <c r="L547" s="102" t="inlineStr">
        <is>
          <t>20260429</t>
        </is>
      </c>
      <c r="M547" s="99" t="inlineStr">
        <is>
          <t>제외</t>
        </is>
      </c>
      <c r="N547" s="99" t="inlineStr">
        <is>
          <t>변동성 80.2%(1년 기준, 기준 35% 초과)</t>
        </is>
      </c>
      <c r="O547" s="99" t="inlineStr">
        <is>
          <t>FnGuide 반도체 전공정 지수</t>
        </is>
      </c>
      <c r="P547" s="99" t="inlineStr">
        <is>
          <t>일반</t>
        </is>
      </c>
      <c r="Q547" s="99" t="inlineStr">
        <is>
          <t>주식</t>
        </is>
      </c>
      <c r="R547" s="99" t="inlineStr">
        <is>
          <t>연배당</t>
        </is>
      </c>
      <c r="S547" s="100" t="n">
        <v>1</v>
      </c>
      <c r="T547" s="101" t="n">
        <v>1</v>
      </c>
      <c r="U547" s="103" t="n"/>
      <c r="V547" s="103" t="n"/>
      <c r="W547" s="103" t="n"/>
      <c r="X547" s="103" t="n"/>
      <c r="Y547" s="99" t="inlineStr"/>
      <c r="Z547" s="99" t="inlineStr">
        <is>
          <t>창 안 급변일 3일(20260305,20260604,20260731) — 내지 않음 / 6개월: 창 안 급변일 2일(20260604,20260731) — 내지 않음 / 3개월: 창 안 급변일 1일(20260731) — 내지 않음</t>
        </is>
      </c>
      <c r="AA547">
        <f>IF(AND($J547&lt;&gt;"",OR(조회_주기="전체",$R547=조회_주기),$J547&gt;=조회_최소,$J547&lt;=조회_최대),1,0)</f>
        <v/>
      </c>
      <c r="AB547">
        <f>IF($AA547=1,$AB546+1,$AB546)</f>
        <v/>
      </c>
      <c r="AC547">
        <f>IF(검색어="",1,IF(ISNUMBER(SEARCH(검색어,$A547)),1,0))</f>
        <v/>
      </c>
      <c r="AD547">
        <f>IF($AC547=1,$AD546+1,$AD546)</f>
        <v/>
      </c>
      <c r="AE547">
        <f>IFERROR(INDEX($A$4:$A$594,MATCH(544,$AD$4:$AD$594,0)),"")</f>
        <v/>
      </c>
    </row>
    <row r="548">
      <c r="A548" s="99" t="inlineStr">
        <is>
          <t>PLUS K방산</t>
        </is>
      </c>
      <c r="B548" s="99" t="inlineStr">
        <is>
          <t>449450</t>
        </is>
      </c>
      <c r="C548" s="99" t="inlineStr">
        <is>
          <t>한화자산운용</t>
        </is>
      </c>
      <c r="D548" s="100" t="n">
        <v>52250</v>
      </c>
      <c r="E548" s="100" t="n">
        <v>1003722500000</v>
      </c>
      <c r="F548" s="100" t="n">
        <v>20259616412</v>
      </c>
      <c r="G548" s="101" t="n">
        <v>0.004500000000000001</v>
      </c>
      <c r="H548" s="101" t="n">
        <v>0.5988</v>
      </c>
      <c r="I548" s="101" t="n">
        <v>0.001</v>
      </c>
      <c r="J548" s="101" t="n">
        <v>0.001435</v>
      </c>
      <c r="K548" s="100" t="n">
        <v>3</v>
      </c>
      <c r="L548" s="102" t="inlineStr">
        <is>
          <t>20260429</t>
        </is>
      </c>
      <c r="M548" s="99" t="inlineStr">
        <is>
          <t>제외</t>
        </is>
      </c>
      <c r="N548" s="99" t="inlineStr">
        <is>
          <t>변동성 59.9%(1년 기준, 기준 35% 초과)</t>
        </is>
      </c>
      <c r="O548" s="99" t="inlineStr">
        <is>
          <t>FnGuide K-방위산업 지수</t>
        </is>
      </c>
      <c r="P548" s="99" t="inlineStr">
        <is>
          <t>일반</t>
        </is>
      </c>
      <c r="Q548" s="99" t="inlineStr">
        <is>
          <t>주식</t>
        </is>
      </c>
      <c r="R548" s="99" t="inlineStr">
        <is>
          <t>연배당</t>
        </is>
      </c>
      <c r="S548" s="100" t="n">
        <v>1</v>
      </c>
      <c r="T548" s="101" t="n">
        <v>0.6933</v>
      </c>
      <c r="U548" s="103" t="n"/>
      <c r="V548" s="103" t="n"/>
      <c r="W548" s="103" t="n">
        <v>-0.3194</v>
      </c>
      <c r="X548" s="103" t="n">
        <v>-0.1733</v>
      </c>
      <c r="Y548" s="99" t="inlineStr"/>
      <c r="Z548" s="99" t="inlineStr">
        <is>
          <t>창 안 급변일 1일(20260304) — 내지 않음</t>
        </is>
      </c>
      <c r="AA548">
        <f>IF(AND($J548&lt;&gt;"",OR(조회_주기="전체",$R548=조회_주기),$J548&gt;=조회_최소,$J548&lt;=조회_최대),1,0)</f>
        <v/>
      </c>
      <c r="AB548">
        <f>IF($AA548=1,$AB547+1,$AB547)</f>
        <v/>
      </c>
      <c r="AC548">
        <f>IF(검색어="",1,IF(ISNUMBER(SEARCH(검색어,$A548)),1,0))</f>
        <v/>
      </c>
      <c r="AD548">
        <f>IF($AC548=1,$AD547+1,$AD547)</f>
        <v/>
      </c>
      <c r="AE548">
        <f>IFERROR(INDEX($A$4:$A$594,MATCH(545,$AD$4:$AD$594,0)),"")</f>
        <v/>
      </c>
    </row>
    <row r="549">
      <c r="A549" s="99" t="inlineStr">
        <is>
          <t>KODEX 200롱코스닥150숏선물</t>
        </is>
      </c>
      <c r="B549" s="99" t="inlineStr">
        <is>
          <t>360140</t>
        </is>
      </c>
      <c r="C549" s="99" t="inlineStr">
        <is>
          <t>삼성자산운용(ETF)</t>
        </is>
      </c>
      <c r="D549" s="100" t="n">
        <v>21385</v>
      </c>
      <c r="E549" s="100" t="n">
        <v>47047000000</v>
      </c>
      <c r="F549" s="100" t="n">
        <v>1872823807</v>
      </c>
      <c r="G549" s="101" t="n">
        <v>0.0064</v>
      </c>
      <c r="H549" s="101" t="n">
        <v>0.4889</v>
      </c>
      <c r="I549" s="101" t="n">
        <v>0.0022</v>
      </c>
      <c r="J549" s="101" t="n">
        <v>0.001263</v>
      </c>
      <c r="K549" s="100" t="n">
        <v>1</v>
      </c>
      <c r="L549" s="102" t="inlineStr">
        <is>
          <t>20251229</t>
        </is>
      </c>
      <c r="M549" s="99" t="inlineStr">
        <is>
          <t>제외</t>
        </is>
      </c>
      <c r="N549" s="99" t="inlineStr">
        <is>
          <t>변동성 48.9%(1년 기준, 기준 35% 초과)</t>
        </is>
      </c>
      <c r="O549" s="99" t="inlineStr">
        <is>
          <t>코스피200 롱 코스닥150 숏 선물지수</t>
        </is>
      </c>
      <c r="P549" s="99" t="inlineStr">
        <is>
          <t>일반</t>
        </is>
      </c>
      <c r="Q549" s="99" t="inlineStr">
        <is>
          <t>주식</t>
        </is>
      </c>
      <c r="R549" s="99" t="inlineStr">
        <is>
          <t>연배당</t>
        </is>
      </c>
      <c r="S549" s="100" t="n">
        <v>1</v>
      </c>
      <c r="T549" s="101" t="n">
        <v>1</v>
      </c>
      <c r="U549" s="103" t="n">
        <v>1.0217</v>
      </c>
      <c r="V549" s="103" t="n">
        <v>1.0191</v>
      </c>
      <c r="W549" s="103" t="n">
        <v>0.5639999999999999</v>
      </c>
      <c r="X549" s="103" t="n">
        <v>-0.1668</v>
      </c>
      <c r="Y549" s="99" t="inlineStr">
        <is>
          <t>20250922~20261002</t>
        </is>
      </c>
      <c r="Z549" s="99" t="inlineStr"/>
      <c r="AA549">
        <f>IF(AND($J549&lt;&gt;"",OR(조회_주기="전체",$R549=조회_주기),$J549&gt;=조회_최소,$J549&lt;=조회_최대),1,0)</f>
        <v/>
      </c>
      <c r="AB549">
        <f>IF($AA549=1,$AB548+1,$AB548)</f>
        <v/>
      </c>
      <c r="AC549">
        <f>IF(검색어="",1,IF(ISNUMBER(SEARCH(검색어,$A549)),1,0))</f>
        <v/>
      </c>
      <c r="AD549">
        <f>IF($AC549=1,$AD548+1,$AD548)</f>
        <v/>
      </c>
      <c r="AE549">
        <f>IFERROR(INDEX($A$4:$A$594,MATCH(546,$AD$4:$AD$594,0)),"")</f>
        <v/>
      </c>
    </row>
    <row r="550">
      <c r="A550" s="99" t="inlineStr">
        <is>
          <t>TIGER 200IT레버리지</t>
        </is>
      </c>
      <c r="B550" s="99" t="inlineStr">
        <is>
          <t>243880</t>
        </is>
      </c>
      <c r="C550" s="99" t="inlineStr">
        <is>
          <t>미래에셋자산운용</t>
        </is>
      </c>
      <c r="D550" s="100" t="n">
        <v>363950</v>
      </c>
      <c r="E550" s="100" t="n">
        <v>473135000000</v>
      </c>
      <c r="F550" s="100" t="n">
        <v>53897075939</v>
      </c>
      <c r="G550" s="101" t="n">
        <v>0.0069</v>
      </c>
      <c r="H550" s="101" t="n">
        <v>1.4219</v>
      </c>
      <c r="I550" s="101" t="n">
        <v>0.0051</v>
      </c>
      <c r="J550" s="101" t="n">
        <v>0.001245</v>
      </c>
      <c r="K550" s="100" t="n">
        <v>1</v>
      </c>
      <c r="L550" s="102" t="inlineStr">
        <is>
          <t>20251229</t>
        </is>
      </c>
      <c r="M550" s="99" t="inlineStr">
        <is>
          <t>제외</t>
        </is>
      </c>
      <c r="N550" s="99" t="inlineStr">
        <is>
          <t>변동성 142.2%(1년 기준, 기준 35% 초과)</t>
        </is>
      </c>
      <c r="O550" s="99" t="inlineStr">
        <is>
          <t>K200정보기술</t>
        </is>
      </c>
      <c r="P550" s="99" t="inlineStr">
        <is>
          <t>일반</t>
        </is>
      </c>
      <c r="Q550" s="99" t="inlineStr">
        <is>
          <t>주식</t>
        </is>
      </c>
      <c r="R550" s="99" t="inlineStr">
        <is>
          <t>연배당</t>
        </is>
      </c>
      <c r="S550" s="100" t="n">
        <v>1</v>
      </c>
      <c r="T550" s="101" t="n">
        <v>1</v>
      </c>
      <c r="U550" s="103" t="n"/>
      <c r="V550" s="103" t="n"/>
      <c r="W550" s="103" t="n"/>
      <c r="X550" s="103" t="n"/>
      <c r="Y550" s="99" t="inlineStr"/>
      <c r="Z550" s="99" t="inlineStr">
        <is>
          <t>창 안 급변일 21일(20260202,20260303,20260304,20260309,20260323,20260401,20260408,20260504,20260521,20260608,20260609,20260623,20260702,20260713,20260715,20260716,20260724,20260728,20260729,20260731,20260806) — 내지 않음 / 6개월: 창 안 급변일 15일(20260408,20260504,20260521,20260608,20260609,20260623,20260702,20260713,20260715,20260716,20260724,20260728,20260729,20260731,20260806) — 내지 않음 / 3개월: 창 안 급변일 8일(20260713,20260715,20260716,20260724,20260728,20260729,20260731,20260806) — 내지 않음</t>
        </is>
      </c>
      <c r="AA550">
        <f>IF(AND($J550&lt;&gt;"",OR(조회_주기="전체",$R550=조회_주기),$J550&gt;=조회_최소,$J550&lt;=조회_최대),1,0)</f>
        <v/>
      </c>
      <c r="AB550">
        <f>IF($AA550=1,$AB549+1,$AB549)</f>
        <v/>
      </c>
      <c r="AC550">
        <f>IF(검색어="",1,IF(ISNUMBER(SEARCH(검색어,$A550)),1,0))</f>
        <v/>
      </c>
      <c r="AD550">
        <f>IF($AC550=1,$AD549+1,$AD549)</f>
        <v/>
      </c>
      <c r="AE550">
        <f>IFERROR(INDEX($A$4:$A$594,MATCH(547,$AD$4:$AD$594,0)),"")</f>
        <v/>
      </c>
    </row>
    <row r="551">
      <c r="A551" s="99" t="inlineStr">
        <is>
          <t>ACE 글로벌AI맞춤형반도체</t>
        </is>
      </c>
      <c r="B551" s="99" t="inlineStr">
        <is>
          <t>494340</t>
        </is>
      </c>
      <c r="C551" s="99" t="inlineStr">
        <is>
          <t>한국투신운용(ETF)</t>
        </is>
      </c>
      <c r="D551" s="100" t="n">
        <v>21065</v>
      </c>
      <c r="E551" s="100" t="n">
        <v>31597500000</v>
      </c>
      <c r="F551" s="100" t="n">
        <v>378495572</v>
      </c>
      <c r="G551" s="101" t="n">
        <v>0.004500000000000001</v>
      </c>
      <c r="H551" s="101" t="n">
        <v>0.4968</v>
      </c>
      <c r="I551" s="101" t="n">
        <v>0.0021</v>
      </c>
      <c r="J551" s="101" t="n">
        <v>0.001234</v>
      </c>
      <c r="K551" s="100" t="n">
        <v>1</v>
      </c>
      <c r="L551" s="102" t="inlineStr">
        <is>
          <t>20251229</t>
        </is>
      </c>
      <c r="M551" s="99" t="inlineStr">
        <is>
          <t>제외</t>
        </is>
      </c>
      <c r="N551" s="99" t="inlineStr">
        <is>
          <t>60일 거래대금 3.8억(기준 5억 미만), 변동성 49.7%(1년 기준, 기준 35% 초과)</t>
        </is>
      </c>
      <c r="O551" s="99" t="inlineStr">
        <is>
          <t>Solactive AI Custom Semicounductor Index</t>
        </is>
      </c>
      <c r="P551" s="99" t="inlineStr">
        <is>
          <t>일반</t>
        </is>
      </c>
      <c r="Q551" s="99" t="inlineStr">
        <is>
          <t>주식</t>
        </is>
      </c>
      <c r="R551" s="99" t="inlineStr">
        <is>
          <t>연배당</t>
        </is>
      </c>
      <c r="S551" s="100" t="n">
        <v>1</v>
      </c>
      <c r="T551" s="101" t="n">
        <v>1</v>
      </c>
      <c r="U551" s="103" t="n">
        <v>0.5817</v>
      </c>
      <c r="V551" s="103" t="n">
        <v>0.5797</v>
      </c>
      <c r="W551" s="103" t="n">
        <v>0.501</v>
      </c>
      <c r="X551" s="103" t="n">
        <v>-0.1397</v>
      </c>
      <c r="Y551" s="99" t="inlineStr">
        <is>
          <t>20250922~20261002</t>
        </is>
      </c>
      <c r="Z551" s="99" t="inlineStr"/>
      <c r="AA551">
        <f>IF(AND($J551&lt;&gt;"",OR(조회_주기="전체",$R551=조회_주기),$J551&gt;=조회_최소,$J551&lt;=조회_최대),1,0)</f>
        <v/>
      </c>
      <c r="AB551">
        <f>IF($AA551=1,$AB550+1,$AB550)</f>
        <v/>
      </c>
      <c r="AC551">
        <f>IF(검색어="",1,IF(ISNUMBER(SEARCH(검색어,$A551)),1,0))</f>
        <v/>
      </c>
      <c r="AD551">
        <f>IF($AC551=1,$AD550+1,$AD550)</f>
        <v/>
      </c>
      <c r="AE551">
        <f>IFERROR(INDEX($A$4:$A$594,MATCH(548,$AD$4:$AD$594,0)),"")</f>
        <v/>
      </c>
    </row>
    <row r="552">
      <c r="A552" s="99" t="inlineStr">
        <is>
          <t>ACE 미국주식베스트셀러</t>
        </is>
      </c>
      <c r="B552" s="99" t="inlineStr">
        <is>
          <t>473590</t>
        </is>
      </c>
      <c r="C552" s="99" t="inlineStr">
        <is>
          <t>한국투신운용(ETF)</t>
        </is>
      </c>
      <c r="D552" s="100" t="n">
        <v>19620</v>
      </c>
      <c r="E552" s="100" t="n">
        <v>46107000000</v>
      </c>
      <c r="F552" s="100" t="n">
        <v>1159934087</v>
      </c>
      <c r="G552" s="101" t="n">
        <v>0.003</v>
      </c>
      <c r="H552" s="101" t="n">
        <v>0.4018</v>
      </c>
      <c r="I552" s="101" t="n">
        <v>0.0012</v>
      </c>
      <c r="J552" s="101" t="n">
        <v>0.001223</v>
      </c>
      <c r="K552" s="100" t="n">
        <v>1</v>
      </c>
      <c r="L552" s="102" t="inlineStr">
        <is>
          <t>20251229</t>
        </is>
      </c>
      <c r="M552" s="99" t="inlineStr">
        <is>
          <t>제외</t>
        </is>
      </c>
      <c r="N552" s="99" t="inlineStr">
        <is>
          <t>변동성 40.2%(1년 기준, 기준 35% 초과)</t>
        </is>
      </c>
      <c r="O552" s="99" t="inlineStr">
        <is>
          <t>FnGuide US Equity BestSeller Index</t>
        </is>
      </c>
      <c r="P552" s="99" t="inlineStr">
        <is>
          <t>일반</t>
        </is>
      </c>
      <c r="Q552" s="99" t="inlineStr">
        <is>
          <t>주식</t>
        </is>
      </c>
      <c r="R552" s="99" t="inlineStr">
        <is>
          <t>연배당</t>
        </is>
      </c>
      <c r="S552" s="100" t="n">
        <v>1</v>
      </c>
      <c r="T552" s="101" t="n">
        <v>1</v>
      </c>
      <c r="U552" s="103" t="n">
        <v>-0.0179</v>
      </c>
      <c r="V552" s="103" t="n">
        <v>-0.0191</v>
      </c>
      <c r="W552" s="103" t="n">
        <v>0.04</v>
      </c>
      <c r="X552" s="103" t="n">
        <v>-0.08039999999999999</v>
      </c>
      <c r="Y552" s="99" t="inlineStr">
        <is>
          <t>20250922~20261002</t>
        </is>
      </c>
      <c r="Z552" s="99" t="inlineStr"/>
      <c r="AA552">
        <f>IF(AND($J552&lt;&gt;"",OR(조회_주기="전체",$R552=조회_주기),$J552&gt;=조회_최소,$J552&lt;=조회_최대),1,0)</f>
        <v/>
      </c>
      <c r="AB552">
        <f>IF($AA552=1,$AB551+1,$AB551)</f>
        <v/>
      </c>
      <c r="AC552">
        <f>IF(검색어="",1,IF(ISNUMBER(SEARCH(검색어,$A552)),1,0))</f>
        <v/>
      </c>
      <c r="AD552">
        <f>IF($AC552=1,$AD551+1,$AD551)</f>
        <v/>
      </c>
      <c r="AE552">
        <f>IFERROR(INDEX($A$4:$A$594,MATCH(549,$AD$4:$AD$594,0)),"")</f>
        <v/>
      </c>
    </row>
    <row r="553">
      <c r="A553" s="99" t="inlineStr">
        <is>
          <t>MIDAS 코스피액티브</t>
        </is>
      </c>
      <c r="B553" s="99" t="inlineStr">
        <is>
          <t>403790</t>
        </is>
      </c>
      <c r="C553" s="99" t="inlineStr">
        <is>
          <t>마이다스에셋자산운용</t>
        </is>
      </c>
      <c r="D553" s="100" t="n">
        <v>59050</v>
      </c>
      <c r="E553" s="100" t="n">
        <v>172721250000</v>
      </c>
      <c r="F553" s="100" t="n">
        <v>392885624</v>
      </c>
      <c r="G553" s="101" t="n">
        <v>0.0029</v>
      </c>
      <c r="H553" s="101" t="n">
        <v>0.5247999999999999</v>
      </c>
      <c r="I553" s="101" t="n">
        <v>0.0021</v>
      </c>
      <c r="J553" s="101" t="n">
        <v>0.001219</v>
      </c>
      <c r="K553" s="100" t="n">
        <v>1</v>
      </c>
      <c r="L553" s="102" t="inlineStr">
        <is>
          <t>20251229</t>
        </is>
      </c>
      <c r="M553" s="99" t="inlineStr">
        <is>
          <t>제외</t>
        </is>
      </c>
      <c r="N553" s="99" t="inlineStr">
        <is>
          <t>60일 거래대금 3.9억(기준 5억 미만), 변동성 52.5%(1년 기준, 기준 35% 초과)</t>
        </is>
      </c>
      <c r="O553" s="99" t="inlineStr">
        <is>
          <t>코스피</t>
        </is>
      </c>
      <c r="P553" s="99" t="inlineStr">
        <is>
          <t>일반</t>
        </is>
      </c>
      <c r="Q553" s="99" t="inlineStr">
        <is>
          <t>주식</t>
        </is>
      </c>
      <c r="R553" s="99" t="inlineStr">
        <is>
          <t>연배당</t>
        </is>
      </c>
      <c r="S553" s="100" t="n">
        <v>1</v>
      </c>
      <c r="T553" s="101" t="n">
        <v>1</v>
      </c>
      <c r="U553" s="103" t="n"/>
      <c r="V553" s="103" t="n"/>
      <c r="W553" s="103" t="n"/>
      <c r="X553" s="103" t="n"/>
      <c r="Y553" s="99" t="inlineStr"/>
      <c r="Z553" s="99" t="inlineStr">
        <is>
          <t>창 안 급변일 1일(20260731) — 내지 않음 / 6개월: 창 안 급변일 1일(20260731) — 내지 않음 / 3개월: 창 안 급변일 1일(20260731) — 내지 않음</t>
        </is>
      </c>
      <c r="AA553">
        <f>IF(AND($J553&lt;&gt;"",OR(조회_주기="전체",$R553=조회_주기),$J553&gt;=조회_최소,$J553&lt;=조회_최대),1,0)</f>
        <v/>
      </c>
      <c r="AB553">
        <f>IF($AA553=1,$AB552+1,$AB552)</f>
        <v/>
      </c>
      <c r="AC553">
        <f>IF(검색어="",1,IF(ISNUMBER(SEARCH(검색어,$A553)),1,0))</f>
        <v/>
      </c>
      <c r="AD553">
        <f>IF($AC553=1,$AD552+1,$AD552)</f>
        <v/>
      </c>
      <c r="AE553">
        <f>IFERROR(INDEX($A$4:$A$594,MATCH(550,$AD$4:$AD$594,0)),"")</f>
        <v/>
      </c>
    </row>
    <row r="554">
      <c r="A554" s="99" t="inlineStr">
        <is>
          <t>HANARO Fn K-반도체</t>
        </is>
      </c>
      <c r="B554" s="99" t="inlineStr">
        <is>
          <t>395270</t>
        </is>
      </c>
      <c r="C554" s="99" t="inlineStr">
        <is>
          <t>NH-Amundi자산운용</t>
        </is>
      </c>
      <c r="D554" s="100" t="n">
        <v>61600</v>
      </c>
      <c r="E554" s="100" t="n">
        <v>3822280000000</v>
      </c>
      <c r="F554" s="100" t="n">
        <v>101195931508</v>
      </c>
      <c r="G554" s="101" t="n">
        <v>0.004500000000000001</v>
      </c>
      <c r="H554" s="101" t="n">
        <v>0.7447</v>
      </c>
      <c r="I554" s="101" t="n">
        <v>0.0016</v>
      </c>
      <c r="J554" s="101" t="n">
        <v>0.001218</v>
      </c>
      <c r="K554" s="100" t="n">
        <v>9</v>
      </c>
      <c r="L554" s="102" t="inlineStr">
        <is>
          <t>20260429</t>
        </is>
      </c>
      <c r="M554" s="99" t="inlineStr">
        <is>
          <t>제외</t>
        </is>
      </c>
      <c r="N554" s="99" t="inlineStr">
        <is>
          <t>변동성 74.5%(1년 기준, 기준 35% 초과)</t>
        </is>
      </c>
      <c r="O554" s="99" t="inlineStr">
        <is>
          <t>FnGuide K-반도체 지수</t>
        </is>
      </c>
      <c r="P554" s="99" t="inlineStr">
        <is>
          <t>일반</t>
        </is>
      </c>
      <c r="Q554" s="99" t="inlineStr">
        <is>
          <t>주식</t>
        </is>
      </c>
      <c r="R554" s="99" t="inlineStr">
        <is>
          <t>연배당</t>
        </is>
      </c>
      <c r="S554" s="100" t="n">
        <v>1</v>
      </c>
      <c r="T554" s="101" t="n">
        <v>1</v>
      </c>
      <c r="U554" s="103" t="n"/>
      <c r="V554" s="103" t="n"/>
      <c r="W554" s="103" t="n"/>
      <c r="X554" s="103" t="n"/>
      <c r="Y554" s="99" t="inlineStr"/>
      <c r="Z554" s="99" t="inlineStr">
        <is>
          <t>창 안 급변일 3일(20260713,20260728,20260731) — 내지 않음 / 6개월: 창 안 급변일 3일(20260713,20260728,20260731) — 내지 않음 / 3개월: 창 안 급변일 3일(20260713,20260728,20260731) — 내지 않음</t>
        </is>
      </c>
      <c r="AA554">
        <f>IF(AND($J554&lt;&gt;"",OR(조회_주기="전체",$R554=조회_주기),$J554&gt;=조회_최소,$J554&lt;=조회_최대),1,0)</f>
        <v/>
      </c>
      <c r="AB554">
        <f>IF($AA554=1,$AB553+1,$AB553)</f>
        <v/>
      </c>
      <c r="AC554">
        <f>IF(검색어="",1,IF(ISNUMBER(SEARCH(검색어,$A554)),1,0))</f>
        <v/>
      </c>
      <c r="AD554">
        <f>IF($AC554=1,$AD553+1,$AD553)</f>
        <v/>
      </c>
      <c r="AE554">
        <f>IFERROR(INDEX($A$4:$A$594,MATCH(551,$AD$4:$AD$594,0)),"")</f>
        <v/>
      </c>
    </row>
    <row r="555">
      <c r="A555" s="99" t="inlineStr">
        <is>
          <t>KODEX 2차전지산업</t>
        </is>
      </c>
      <c r="B555" s="99" t="inlineStr">
        <is>
          <t>305720</t>
        </is>
      </c>
      <c r="C555" s="99" t="inlineStr">
        <is>
          <t>삼성자산운용(ETF)</t>
        </is>
      </c>
      <c r="D555" s="100" t="n">
        <v>15080</v>
      </c>
      <c r="E555" s="100" t="n">
        <v>1963416000000</v>
      </c>
      <c r="F555" s="100" t="n">
        <v>51158479374</v>
      </c>
      <c r="G555" s="101" t="n">
        <v>0.004500000000000001</v>
      </c>
      <c r="H555" s="101" t="n">
        <v>0.6092</v>
      </c>
      <c r="I555" s="101" t="n">
        <v>0.0008</v>
      </c>
      <c r="J555" s="101" t="n">
        <v>0.001194</v>
      </c>
      <c r="K555" s="100" t="n">
        <v>5</v>
      </c>
      <c r="L555" s="102" t="inlineStr">
        <is>
          <t>20260429</t>
        </is>
      </c>
      <c r="M555" s="99" t="inlineStr">
        <is>
          <t>제외</t>
        </is>
      </c>
      <c r="N555" s="99" t="inlineStr">
        <is>
          <t>변동성 60.9%(1년 기준, 기준 35% 초과)</t>
        </is>
      </c>
      <c r="O555" s="99" t="inlineStr">
        <is>
          <t>FnGuide 2차전지 산업 지수</t>
        </is>
      </c>
      <c r="P555" s="99" t="inlineStr">
        <is>
          <t>일반</t>
        </is>
      </c>
      <c r="Q555" s="99" t="inlineStr">
        <is>
          <t>주식</t>
        </is>
      </c>
      <c r="R555" s="99" t="inlineStr">
        <is>
          <t>연배당</t>
        </is>
      </c>
      <c r="S555" s="100" t="n">
        <v>1</v>
      </c>
      <c r="T555" s="101" t="n">
        <v>0.9444</v>
      </c>
      <c r="U555" s="103" t="n"/>
      <c r="V555" s="103" t="n"/>
      <c r="W555" s="103" t="n">
        <v>-0.1098</v>
      </c>
      <c r="X555" s="103" t="n">
        <v>0.0561</v>
      </c>
      <c r="Y555" s="99" t="inlineStr"/>
      <c r="Z555" s="99" t="inlineStr">
        <is>
          <t>창 안 급변일 1일(20260304) — 내지 않음</t>
        </is>
      </c>
      <c r="AA555">
        <f>IF(AND($J555&lt;&gt;"",OR(조회_주기="전체",$R555=조회_주기),$J555&gt;=조회_최소,$J555&lt;=조회_최대),1,0)</f>
        <v/>
      </c>
      <c r="AB555">
        <f>IF($AA555=1,$AB554+1,$AB554)</f>
        <v/>
      </c>
      <c r="AC555">
        <f>IF(검색어="",1,IF(ISNUMBER(SEARCH(검색어,$A555)),1,0))</f>
        <v/>
      </c>
      <c r="AD555">
        <f>IF($AC555=1,$AD554+1,$AD554)</f>
        <v/>
      </c>
      <c r="AE555">
        <f>IFERROR(INDEX($A$4:$A$594,MATCH(552,$AD$4:$AD$594,0)),"")</f>
        <v/>
      </c>
    </row>
    <row r="556">
      <c r="A556" s="99" t="inlineStr">
        <is>
          <t>HANARO 글로벌생성형AI액티브</t>
        </is>
      </c>
      <c r="B556" s="99" t="inlineStr">
        <is>
          <t>461340</t>
        </is>
      </c>
      <c r="C556" s="99" t="inlineStr">
        <is>
          <t>NH-Amundi자산운용</t>
        </is>
      </c>
      <c r="D556" s="100" t="n">
        <v>44385</v>
      </c>
      <c r="E556" s="100" t="n">
        <v>48823500000</v>
      </c>
      <c r="F556" s="100" t="n">
        <v>129761516</v>
      </c>
      <c r="G556" s="101" t="n">
        <v>0.006</v>
      </c>
      <c r="H556" s="101" t="n">
        <v>0.4024</v>
      </c>
      <c r="I556" s="101" t="n">
        <v>0.0004</v>
      </c>
      <c r="J556" s="101" t="n">
        <v>0.001194</v>
      </c>
      <c r="K556" s="100" t="n">
        <v>5</v>
      </c>
      <c r="L556" s="102" t="inlineStr">
        <is>
          <t>20260429</t>
        </is>
      </c>
      <c r="M556" s="99" t="inlineStr">
        <is>
          <t>제외</t>
        </is>
      </c>
      <c r="N556" s="99" t="inlineStr">
        <is>
          <t>60일 거래대금 1.3억(기준 5억 미만), 변동성 40.2%(1년 기준, 기준 35% 초과)</t>
        </is>
      </c>
      <c r="O556" s="99" t="inlineStr">
        <is>
          <t>Solactive United States Technology 100 Index</t>
        </is>
      </c>
      <c r="P556" s="99" t="inlineStr">
        <is>
          <t>일반</t>
        </is>
      </c>
      <c r="Q556" s="99" t="inlineStr">
        <is>
          <t>주식</t>
        </is>
      </c>
      <c r="R556" s="99" t="inlineStr">
        <is>
          <t>연배당</t>
        </is>
      </c>
      <c r="S556" s="100" t="n">
        <v>2</v>
      </c>
      <c r="T556" s="101" t="n">
        <v>1</v>
      </c>
      <c r="U556" s="103" t="n">
        <v>0.6451</v>
      </c>
      <c r="V556" s="103" t="n">
        <v>0.6431</v>
      </c>
      <c r="W556" s="103" t="n">
        <v>0.3925</v>
      </c>
      <c r="X556" s="103" t="n">
        <v>-0.0587</v>
      </c>
      <c r="Y556" s="99" t="inlineStr">
        <is>
          <t>20250922~20261002</t>
        </is>
      </c>
      <c r="Z556" s="99" t="inlineStr"/>
      <c r="AA556">
        <f>IF(AND($J556&lt;&gt;"",OR(조회_주기="전체",$R556=조회_주기),$J556&gt;=조회_최소,$J556&lt;=조회_최대),1,0)</f>
        <v/>
      </c>
      <c r="AB556">
        <f>IF($AA556=1,$AB555+1,$AB555)</f>
        <v/>
      </c>
      <c r="AC556">
        <f>IF(검색어="",1,IF(ISNUMBER(SEARCH(검색어,$A556)),1,0))</f>
        <v/>
      </c>
      <c r="AD556">
        <f>IF($AC556=1,$AD555+1,$AD555)</f>
        <v/>
      </c>
      <c r="AE556">
        <f>IFERROR(INDEX($A$4:$A$594,MATCH(553,$AD$4:$AD$594,0)),"")</f>
        <v/>
      </c>
    </row>
    <row r="557">
      <c r="A557" s="99" t="inlineStr">
        <is>
          <t>KODEX AI전력핵심설비</t>
        </is>
      </c>
      <c r="B557" s="99" t="inlineStr">
        <is>
          <t>487240</t>
        </is>
      </c>
      <c r="C557" s="99" t="inlineStr">
        <is>
          <t>삼성자산운용(ETF)</t>
        </is>
      </c>
      <c r="D557" s="100" t="n">
        <v>36900</v>
      </c>
      <c r="E557" s="100" t="n">
        <v>3239820000000</v>
      </c>
      <c r="F557" s="100" t="n">
        <v>105819161596</v>
      </c>
      <c r="G557" s="101" t="n">
        <v>0.0039</v>
      </c>
      <c r="H557" s="101" t="n">
        <v>0.7084999999999999</v>
      </c>
      <c r="I557" s="101" t="n">
        <v>0.0002</v>
      </c>
      <c r="J557" s="101" t="n">
        <v>0.001192</v>
      </c>
      <c r="K557" s="100" t="n">
        <v>3</v>
      </c>
      <c r="L557" s="102" t="inlineStr">
        <is>
          <t>20260730</t>
        </is>
      </c>
      <c r="M557" s="99" t="inlineStr">
        <is>
          <t>제외</t>
        </is>
      </c>
      <c r="N557" s="99" t="inlineStr">
        <is>
          <t>변동성 70.8%(1년 기준, 기준 35% 초과)</t>
        </is>
      </c>
      <c r="O557" s="99" t="inlineStr">
        <is>
          <t>iSelect AI전력핵심설비 지수</t>
        </is>
      </c>
      <c r="P557" s="99" t="inlineStr">
        <is>
          <t>일반</t>
        </is>
      </c>
      <c r="Q557" s="99" t="inlineStr">
        <is>
          <t>주식</t>
        </is>
      </c>
      <c r="R557" s="99" t="inlineStr">
        <is>
          <t>연배당</t>
        </is>
      </c>
      <c r="S557" s="100" t="n">
        <v>2</v>
      </c>
      <c r="T557" s="101" t="n">
        <v>0.8864</v>
      </c>
      <c r="U557" s="103" t="n"/>
      <c r="V557" s="103" t="n"/>
      <c r="W557" s="103" t="n"/>
      <c r="X557" s="103" t="n"/>
      <c r="Y557" s="99" t="inlineStr"/>
      <c r="Z557" s="99" t="inlineStr">
        <is>
          <t>창 안 급변일 1일(20260731) — 내지 않음 / 6개월: 창 안 급변일 1일(20260731) — 내지 않음 / 3개월: 창 안 급변일 1일(20260731) — 내지 않음</t>
        </is>
      </c>
      <c r="AA557">
        <f>IF(AND($J557&lt;&gt;"",OR(조회_주기="전체",$R557=조회_주기),$J557&gt;=조회_최소,$J557&lt;=조회_최대),1,0)</f>
        <v/>
      </c>
      <c r="AB557">
        <f>IF($AA557=1,$AB556+1,$AB556)</f>
        <v/>
      </c>
      <c r="AC557">
        <f>IF(검색어="",1,IF(ISNUMBER(SEARCH(검색어,$A557)),1,0))</f>
        <v/>
      </c>
      <c r="AD557">
        <f>IF($AC557=1,$AD556+1,$AD556)</f>
        <v/>
      </c>
      <c r="AE557">
        <f>IFERROR(INDEX($A$4:$A$594,MATCH(554,$AD$4:$AD$594,0)),"")</f>
        <v/>
      </c>
    </row>
    <row r="558">
      <c r="A558" s="99" t="inlineStr">
        <is>
          <t>SOL 미국양자컴퓨팅TOP10</t>
        </is>
      </c>
      <c r="B558" s="99" t="inlineStr">
        <is>
          <t>0023A0</t>
        </is>
      </c>
      <c r="C558" s="99" t="inlineStr">
        <is>
          <t>신한자산운용</t>
        </is>
      </c>
      <c r="D558" s="100" t="n">
        <v>23745</v>
      </c>
      <c r="E558" s="100" t="n">
        <v>417912000000</v>
      </c>
      <c r="F558" s="100" t="n">
        <v>4128576296</v>
      </c>
      <c r="G558" s="101" t="n">
        <v>0.004500000000000001</v>
      </c>
      <c r="H558" s="101" t="n">
        <v>0.6181</v>
      </c>
      <c r="I558" s="101" t="n">
        <v>0.0002</v>
      </c>
      <c r="J558" s="101" t="n">
        <v>0.001053</v>
      </c>
      <c r="K558" s="100" t="n">
        <v>2</v>
      </c>
      <c r="L558" s="102" t="inlineStr">
        <is>
          <t>20260429</t>
        </is>
      </c>
      <c r="M558" s="99" t="inlineStr">
        <is>
          <t>제외</t>
        </is>
      </c>
      <c r="N558" s="99" t="inlineStr">
        <is>
          <t>변동성 61.8%(1년 기준, 기준 35% 초과)</t>
        </is>
      </c>
      <c r="O558" s="99" t="inlineStr">
        <is>
          <t>KEDI U.S. Quantum Computing TOP10 Index PR</t>
        </is>
      </c>
      <c r="P558" s="99" t="inlineStr">
        <is>
          <t>일반</t>
        </is>
      </c>
      <c r="Q558" s="99" t="inlineStr">
        <is>
          <t>주식</t>
        </is>
      </c>
      <c r="R558" s="99" t="inlineStr">
        <is>
          <t>연배당</t>
        </is>
      </c>
      <c r="S558" s="100" t="n">
        <v>2</v>
      </c>
      <c r="T558" s="101" t="n">
        <v>1</v>
      </c>
      <c r="U558" s="103" t="n"/>
      <c r="V558" s="103" t="n"/>
      <c r="W558" s="103" t="n">
        <v>0.0775</v>
      </c>
      <c r="X558" s="103" t="n">
        <v>-0.252</v>
      </c>
      <c r="Y558" s="99" t="inlineStr"/>
      <c r="Z558" s="99" t="inlineStr">
        <is>
          <t>창 안 급변일 1일(20251010) — 내지 않음</t>
        </is>
      </c>
      <c r="AA558">
        <f>IF(AND($J558&lt;&gt;"",OR(조회_주기="전체",$R558=조회_주기),$J558&gt;=조회_최소,$J558&lt;=조회_최대),1,0)</f>
        <v/>
      </c>
      <c r="AB558">
        <f>IF($AA558=1,$AB557+1,$AB557)</f>
        <v/>
      </c>
      <c r="AC558">
        <f>IF(검색어="",1,IF(ISNUMBER(SEARCH(검색어,$A558)),1,0))</f>
        <v/>
      </c>
      <c r="AD558">
        <f>IF($AC558=1,$AD557+1,$AD557)</f>
        <v/>
      </c>
      <c r="AE558">
        <f>IFERROR(INDEX($A$4:$A$594,MATCH(555,$AD$4:$AD$594,0)),"")</f>
        <v/>
      </c>
    </row>
    <row r="559">
      <c r="A559" s="99" t="inlineStr">
        <is>
          <t>TIGER 글로벌리튬&amp;2차전지SOLACTIVE(합성)</t>
        </is>
      </c>
      <c r="B559" s="99" t="inlineStr">
        <is>
          <t>394670</t>
        </is>
      </c>
      <c r="C559" s="99" t="inlineStr">
        <is>
          <t>미래에셋자산운용</t>
        </is>
      </c>
      <c r="D559" s="100" t="n">
        <v>10210</v>
      </c>
      <c r="E559" s="100" t="n">
        <v>149066000000</v>
      </c>
      <c r="F559" s="100" t="n">
        <v>335932580</v>
      </c>
      <c r="G559" s="101" t="n">
        <v>0.0049</v>
      </c>
      <c r="H559" s="101" t="n">
        <v>0.2975</v>
      </c>
      <c r="I559" s="101" t="n">
        <v>0.0009</v>
      </c>
      <c r="J559" s="101" t="n">
        <v>0.0009790000000000001</v>
      </c>
      <c r="K559" s="100" t="n">
        <v>1</v>
      </c>
      <c r="L559" s="102" t="inlineStr">
        <is>
          <t>20251229</t>
        </is>
      </c>
      <c r="M559" s="99" t="inlineStr">
        <is>
          <t>제외</t>
        </is>
      </c>
      <c r="N559" s="99" t="inlineStr">
        <is>
          <t>60일 거래대금 3.4억(기준 5억 미만)</t>
        </is>
      </c>
      <c r="O559" s="99" t="inlineStr">
        <is>
          <t>Solactive Global Lithium Index PR</t>
        </is>
      </c>
      <c r="P559" s="99" t="inlineStr">
        <is>
          <t>일반</t>
        </is>
      </c>
      <c r="Q559" s="99" t="inlineStr">
        <is>
          <t>주식</t>
        </is>
      </c>
      <c r="R559" s="99" t="inlineStr">
        <is>
          <t>연배당</t>
        </is>
      </c>
      <c r="S559" s="100" t="n">
        <v>1</v>
      </c>
      <c r="T559" s="101" t="n">
        <v>1</v>
      </c>
      <c r="U559" s="103" t="n">
        <v>0.2618</v>
      </c>
      <c r="V559" s="103" t="n">
        <v>0.2606</v>
      </c>
      <c r="W559" s="103" t="n">
        <v>-0.1657</v>
      </c>
      <c r="X559" s="103" t="n">
        <v>-0.2149</v>
      </c>
      <c r="Y559" s="99" t="inlineStr">
        <is>
          <t>20250922~20261002</t>
        </is>
      </c>
      <c r="Z559" s="99" t="inlineStr"/>
      <c r="AA559">
        <f>IF(AND($J559&lt;&gt;"",OR(조회_주기="전체",$R559=조회_주기),$J559&gt;=조회_최소,$J559&lt;=조회_최대),1,0)</f>
        <v/>
      </c>
      <c r="AB559">
        <f>IF($AA559=1,$AB558+1,$AB558)</f>
        <v/>
      </c>
      <c r="AC559">
        <f>IF(검색어="",1,IF(ISNUMBER(SEARCH(검색어,$A559)),1,0))</f>
        <v/>
      </c>
      <c r="AD559">
        <f>IF($AC559=1,$AD558+1,$AD558)</f>
        <v/>
      </c>
      <c r="AE559">
        <f>IFERROR(INDEX($A$4:$A$594,MATCH(556,$AD$4:$AD$594,0)),"")</f>
        <v/>
      </c>
    </row>
    <row r="560">
      <c r="A560" s="99" t="inlineStr">
        <is>
          <t>KODEX AI반도체핵심장비</t>
        </is>
      </c>
      <c r="B560" s="99" t="inlineStr">
        <is>
          <t>471990</t>
        </is>
      </c>
      <c r="C560" s="99" t="inlineStr">
        <is>
          <t>삼성자산운용(ETF)</t>
        </is>
      </c>
      <c r="D560" s="100" t="n">
        <v>30300</v>
      </c>
      <c r="E560" s="100" t="n">
        <v>619635000000</v>
      </c>
      <c r="F560" s="100" t="n">
        <v>38519369225</v>
      </c>
      <c r="G560" s="101" t="n">
        <v>0.0039</v>
      </c>
      <c r="H560" s="101" t="n">
        <v>0.7404000000000001</v>
      </c>
      <c r="I560" s="101" t="n">
        <v>0.0003</v>
      </c>
      <c r="J560" s="101" t="n">
        <v>0.000957</v>
      </c>
      <c r="K560" s="100" t="n">
        <v>4</v>
      </c>
      <c r="L560" s="102" t="inlineStr">
        <is>
          <t>20260730</t>
        </is>
      </c>
      <c r="M560" s="99" t="inlineStr">
        <is>
          <t>제외</t>
        </is>
      </c>
      <c r="N560" s="99" t="inlineStr">
        <is>
          <t>변동성 74.0%(1년 기준, 기준 35% 초과)</t>
        </is>
      </c>
      <c r="O560" s="99" t="inlineStr">
        <is>
          <t>iSelect AI반도체핵심장비 지수</t>
        </is>
      </c>
      <c r="P560" s="99" t="inlineStr">
        <is>
          <t>일반</t>
        </is>
      </c>
      <c r="Q560" s="99" t="inlineStr">
        <is>
          <t>주식</t>
        </is>
      </c>
      <c r="R560" s="99" t="inlineStr">
        <is>
          <t>연배당</t>
        </is>
      </c>
      <c r="S560" s="100" t="n">
        <v>2</v>
      </c>
      <c r="T560" s="101" t="n">
        <v>0.931</v>
      </c>
      <c r="U560" s="103" t="n"/>
      <c r="V560" s="103" t="n"/>
      <c r="W560" s="103" t="n"/>
      <c r="X560" s="103" t="n"/>
      <c r="Y560" s="99" t="inlineStr"/>
      <c r="Z560" s="99" t="inlineStr">
        <is>
          <t>창 안 급변일 3일(20260305,20260728,20260731) — 내지 않음 / 6개월: 창 안 급변일 2일(20260728,20260731) — 내지 않음 / 3개월: 창 안 급변일 2일(20260728,20260731) — 내지 않음</t>
        </is>
      </c>
      <c r="AA560">
        <f>IF(AND($J560&lt;&gt;"",OR(조회_주기="전체",$R560=조회_주기),$J560&gt;=조회_최소,$J560&lt;=조회_최대),1,0)</f>
        <v/>
      </c>
      <c r="AB560">
        <f>IF($AA560=1,$AB559+1,$AB559)</f>
        <v/>
      </c>
      <c r="AC560">
        <f>IF(검색어="",1,IF(ISNUMBER(SEARCH(검색어,$A560)),1,0))</f>
        <v/>
      </c>
      <c r="AD560">
        <f>IF($AC560=1,$AD559+1,$AD559)</f>
        <v/>
      </c>
      <c r="AE560">
        <f>IFERROR(INDEX($A$4:$A$594,MATCH(557,$AD$4:$AD$594,0)),"")</f>
        <v/>
      </c>
    </row>
    <row r="561">
      <c r="A561" s="99" t="inlineStr">
        <is>
          <t>RISE 2차전지TOP10</t>
        </is>
      </c>
      <c r="B561" s="99" t="inlineStr">
        <is>
          <t>465330</t>
        </is>
      </c>
      <c r="C561" s="99" t="inlineStr">
        <is>
          <t>KB자산운용</t>
        </is>
      </c>
      <c r="D561" s="100" t="n">
        <v>11745</v>
      </c>
      <c r="E561" s="100" t="n">
        <v>69001875000</v>
      </c>
      <c r="F561" s="100" t="n">
        <v>2449485963</v>
      </c>
      <c r="G561" s="101" t="n">
        <v>0.0007000000000000001</v>
      </c>
      <c r="H561" s="101" t="n">
        <v>0.6162</v>
      </c>
      <c r="I561" s="101" t="n">
        <v>0.0007000000000000001</v>
      </c>
      <c r="J561" s="101" t="n">
        <v>0.000937</v>
      </c>
      <c r="K561" s="100" t="n">
        <v>2</v>
      </c>
      <c r="L561" s="102" t="inlineStr">
        <is>
          <t>20260429</t>
        </is>
      </c>
      <c r="M561" s="99" t="inlineStr">
        <is>
          <t>제외</t>
        </is>
      </c>
      <c r="N561" s="99" t="inlineStr">
        <is>
          <t>변동성 61.6%(1년 기준, 기준 35% 초과)</t>
        </is>
      </c>
      <c r="O561" s="99" t="inlineStr">
        <is>
          <t>iSelect 2차전지 Top10 지수</t>
        </is>
      </c>
      <c r="P561" s="99" t="inlineStr">
        <is>
          <t>일반</t>
        </is>
      </c>
      <c r="Q561" s="99" t="inlineStr">
        <is>
          <t>주식</t>
        </is>
      </c>
      <c r="R561" s="99" t="inlineStr">
        <is>
          <t>연배당</t>
        </is>
      </c>
      <c r="S561" s="100" t="n">
        <v>1</v>
      </c>
      <c r="T561" s="101" t="n">
        <v>1</v>
      </c>
      <c r="U561" s="103" t="n"/>
      <c r="V561" s="103" t="n"/>
      <c r="W561" s="103" t="n">
        <v>-0.0858</v>
      </c>
      <c r="X561" s="103" t="n">
        <v>0.1031</v>
      </c>
      <c r="Y561" s="99" t="inlineStr"/>
      <c r="Z561" s="99" t="inlineStr">
        <is>
          <t>창 안 급변일 1일(20260304) — 내지 않음</t>
        </is>
      </c>
      <c r="AA561">
        <f>IF(AND($J561&lt;&gt;"",OR(조회_주기="전체",$R561=조회_주기),$J561&gt;=조회_최소,$J561&lt;=조회_최대),1,0)</f>
        <v/>
      </c>
      <c r="AB561">
        <f>IF($AA561=1,$AB560+1,$AB560)</f>
        <v/>
      </c>
      <c r="AC561">
        <f>IF(검색어="",1,IF(ISNUMBER(SEARCH(검색어,$A561)),1,0))</f>
        <v/>
      </c>
      <c r="AD561">
        <f>IF($AC561=1,$AD560+1,$AD560)</f>
        <v/>
      </c>
      <c r="AE561">
        <f>IFERROR(INDEX($A$4:$A$594,MATCH(558,$AD$4:$AD$594,0)),"")</f>
        <v/>
      </c>
    </row>
    <row r="562">
      <c r="A562" s="99" t="inlineStr">
        <is>
          <t>PLUS 글로벌HBM반도체</t>
        </is>
      </c>
      <c r="B562" s="99" t="inlineStr">
        <is>
          <t>442580</t>
        </is>
      </c>
      <c r="C562" s="99" t="inlineStr">
        <is>
          <t>한화자산운용</t>
        </is>
      </c>
      <c r="D562" s="100" t="n">
        <v>109600</v>
      </c>
      <c r="E562" s="100" t="n">
        <v>1842376000000</v>
      </c>
      <c r="F562" s="100" t="n">
        <v>86765309106</v>
      </c>
      <c r="G562" s="101" t="n">
        <v>0.005</v>
      </c>
      <c r="H562" s="101" t="n">
        <v>0.6256</v>
      </c>
      <c r="I562" s="101" t="n">
        <v>0.0013</v>
      </c>
      <c r="J562" s="101" t="n">
        <v>0.0009120000000000001</v>
      </c>
      <c r="K562" s="100" t="n">
        <v>3</v>
      </c>
      <c r="L562" s="102" t="inlineStr">
        <is>
          <t>20260429</t>
        </is>
      </c>
      <c r="M562" s="99" t="inlineStr">
        <is>
          <t>제외</t>
        </is>
      </c>
      <c r="N562" s="99" t="inlineStr">
        <is>
          <t>변동성 62.6%(1년 기준, 기준 35% 초과)</t>
        </is>
      </c>
      <c r="O562" s="99" t="inlineStr">
        <is>
          <t>iSelect Global HBM Semiconductor Index</t>
        </is>
      </c>
      <c r="P562" s="99" t="inlineStr">
        <is>
          <t>일반</t>
        </is>
      </c>
      <c r="Q562" s="99" t="inlineStr">
        <is>
          <t>주식</t>
        </is>
      </c>
      <c r="R562" s="99" t="inlineStr">
        <is>
          <t>연배당</t>
        </is>
      </c>
      <c r="S562" s="100" t="n">
        <v>1</v>
      </c>
      <c r="T562" s="101" t="n">
        <v>1</v>
      </c>
      <c r="U562" s="103" t="n"/>
      <c r="V562" s="103" t="n"/>
      <c r="W562" s="103" t="n"/>
      <c r="X562" s="103" t="n"/>
      <c r="Y562" s="99" t="inlineStr"/>
      <c r="Z562" s="99" t="inlineStr">
        <is>
          <t>창 안 급변일 1일(20260731) — 내지 않음 / 6개월: 창 안 급변일 1일(20260731) — 내지 않음 / 3개월: 창 안 급변일 1일(20260731) — 내지 않음</t>
        </is>
      </c>
      <c r="AA562">
        <f>IF(AND($J562&lt;&gt;"",OR(조회_주기="전체",$R562=조회_주기),$J562&gt;=조회_최소,$J562&lt;=조회_최대),1,0)</f>
        <v/>
      </c>
      <c r="AB562">
        <f>IF($AA562=1,$AB561+1,$AB561)</f>
        <v/>
      </c>
      <c r="AC562">
        <f>IF(검색어="",1,IF(ISNUMBER(SEARCH(검색어,$A562)),1,0))</f>
        <v/>
      </c>
      <c r="AD562">
        <f>IF($AC562=1,$AD561+1,$AD561)</f>
        <v/>
      </c>
      <c r="AE562">
        <f>IFERROR(INDEX($A$4:$A$594,MATCH(559,$AD$4:$AD$594,0)),"")</f>
        <v/>
      </c>
    </row>
    <row r="563">
      <c r="A563" s="99" t="inlineStr">
        <is>
          <t>RISE AI&amp;로봇</t>
        </is>
      </c>
      <c r="B563" s="99" t="inlineStr">
        <is>
          <t>469070</t>
        </is>
      </c>
      <c r="C563" s="99" t="inlineStr">
        <is>
          <t>KB자산운용</t>
        </is>
      </c>
      <c r="D563" s="100" t="n">
        <v>11200</v>
      </c>
      <c r="E563" s="100" t="n">
        <v>375200000000</v>
      </c>
      <c r="F563" s="100" t="n">
        <v>4339092407</v>
      </c>
      <c r="G563" s="101" t="n">
        <v>0.004</v>
      </c>
      <c r="H563" s="101" t="n">
        <v>0.6042000000000001</v>
      </c>
      <c r="I563" s="101" t="n">
        <v>0.0005999999999999999</v>
      </c>
      <c r="J563" s="101" t="n">
        <v>0.000893</v>
      </c>
      <c r="K563" s="100" t="n">
        <v>2</v>
      </c>
      <c r="L563" s="102" t="inlineStr">
        <is>
          <t>20260429</t>
        </is>
      </c>
      <c r="M563" s="99" t="inlineStr">
        <is>
          <t>제외</t>
        </is>
      </c>
      <c r="N563" s="99" t="inlineStr">
        <is>
          <t>변동성 60.4%(1년 기준, 기준 35% 초과)</t>
        </is>
      </c>
      <c r="O563" s="99" t="inlineStr">
        <is>
          <t>iSelect AI&amp;로봇 지수</t>
        </is>
      </c>
      <c r="P563" s="99" t="inlineStr">
        <is>
          <t>일반</t>
        </is>
      </c>
      <c r="Q563" s="99" t="inlineStr">
        <is>
          <t>주식</t>
        </is>
      </c>
      <c r="R563" s="99" t="inlineStr">
        <is>
          <t>연배당</t>
        </is>
      </c>
      <c r="S563" s="100" t="n">
        <v>1</v>
      </c>
      <c r="T563" s="101" t="n">
        <v>0</v>
      </c>
      <c r="U563" s="103" t="n"/>
      <c r="V563" s="103" t="n"/>
      <c r="W563" s="103" t="n">
        <v>-0.1746</v>
      </c>
      <c r="X563" s="103" t="n">
        <v>0.0144</v>
      </c>
      <c r="Y563" s="99" t="inlineStr"/>
      <c r="Z563" s="99" t="inlineStr">
        <is>
          <t>창 안 급변일 1일(20260304) — 내지 않음</t>
        </is>
      </c>
      <c r="AA563">
        <f>IF(AND($J563&lt;&gt;"",OR(조회_주기="전체",$R563=조회_주기),$J563&gt;=조회_최소,$J563&lt;=조회_최대),1,0)</f>
        <v/>
      </c>
      <c r="AB563">
        <f>IF($AA563=1,$AB562+1,$AB562)</f>
        <v/>
      </c>
      <c r="AC563">
        <f>IF(검색어="",1,IF(ISNUMBER(SEARCH(검색어,$A563)),1,0))</f>
        <v/>
      </c>
      <c r="AD563">
        <f>IF($AC563=1,$AD562+1,$AD562)</f>
        <v/>
      </c>
      <c r="AE563">
        <f>IFERROR(INDEX($A$4:$A$594,MATCH(560,$AD$4:$AD$594,0)),"")</f>
        <v/>
      </c>
    </row>
    <row r="564">
      <c r="A564" s="99" t="inlineStr">
        <is>
          <t>RISE 네트워크인프라</t>
        </is>
      </c>
      <c r="B564" s="99" t="inlineStr">
        <is>
          <t>367760</t>
        </is>
      </c>
      <c r="C564" s="99" t="inlineStr">
        <is>
          <t>KB자산운용</t>
        </is>
      </c>
      <c r="D564" s="100" t="n">
        <v>63745</v>
      </c>
      <c r="E564" s="100" t="n">
        <v>733067500000</v>
      </c>
      <c r="F564" s="100" t="n">
        <v>17957578062</v>
      </c>
      <c r="G564" s="101" t="n">
        <v>0.004500000000000001</v>
      </c>
      <c r="H564" s="101" t="n">
        <v>0.7086</v>
      </c>
      <c r="I564" s="101" t="n">
        <v>0.0011</v>
      </c>
      <c r="J564" s="101" t="n">
        <v>0.000879</v>
      </c>
      <c r="K564" s="100" t="n">
        <v>5</v>
      </c>
      <c r="L564" s="102" t="inlineStr">
        <is>
          <t>20260429</t>
        </is>
      </c>
      <c r="M564" s="99" t="inlineStr">
        <is>
          <t>제외</t>
        </is>
      </c>
      <c r="N564" s="99" t="inlineStr">
        <is>
          <t>변동성 70.9%(1년 기준, 기준 35% 초과)</t>
        </is>
      </c>
      <c r="O564" s="99" t="inlineStr">
        <is>
          <t>FnGuide 네트워크 인프라 지수</t>
        </is>
      </c>
      <c r="P564" s="99" t="inlineStr">
        <is>
          <t>일반</t>
        </is>
      </c>
      <c r="Q564" s="99" t="inlineStr">
        <is>
          <t>주식</t>
        </is>
      </c>
      <c r="R564" s="99" t="inlineStr">
        <is>
          <t>연배당</t>
        </is>
      </c>
      <c r="S564" s="100" t="n">
        <v>1</v>
      </c>
      <c r="T564" s="101" t="n">
        <v>1</v>
      </c>
      <c r="U564" s="103" t="n"/>
      <c r="V564" s="103" t="n"/>
      <c r="W564" s="103" t="n"/>
      <c r="X564" s="103" t="n"/>
      <c r="Y564" s="99" t="inlineStr"/>
      <c r="Z564" s="99" t="inlineStr">
        <is>
          <t>창 안 급변일 2일(20260728,20260731) — 내지 않음 / 6개월: 창 안 급변일 2일(20260728,20260731) — 내지 않음 / 3개월: 창 안 급변일 2일(20260728,20260731) — 내지 않음</t>
        </is>
      </c>
      <c r="AA564">
        <f>IF(AND($J564&lt;&gt;"",OR(조회_주기="전체",$R564=조회_주기),$J564&gt;=조회_최소,$J564&lt;=조회_최대),1,0)</f>
        <v/>
      </c>
      <c r="AB564">
        <f>IF($AA564=1,$AB563+1,$AB563)</f>
        <v/>
      </c>
      <c r="AC564">
        <f>IF(검색어="",1,IF(ISNUMBER(SEARCH(검색어,$A564)),1,0))</f>
        <v/>
      </c>
      <c r="AD564">
        <f>IF($AC564=1,$AD563+1,$AD563)</f>
        <v/>
      </c>
      <c r="AE564">
        <f>IFERROR(INDEX($A$4:$A$594,MATCH(561,$AD$4:$AD$594,0)),"")</f>
        <v/>
      </c>
    </row>
    <row r="565">
      <c r="A565" s="99" t="inlineStr">
        <is>
          <t>KODEX AI반도체TOP2플러스</t>
        </is>
      </c>
      <c r="B565" s="99" t="inlineStr">
        <is>
          <t>395160</t>
        </is>
      </c>
      <c r="C565" s="99" t="inlineStr">
        <is>
          <t>삼성자산운용(ETF)</t>
        </is>
      </c>
      <c r="D565" s="100" t="n">
        <v>43220</v>
      </c>
      <c r="E565" s="100" t="n">
        <v>4218272000000</v>
      </c>
      <c r="F565" s="100" t="n">
        <v>221444241879</v>
      </c>
      <c r="G565" s="101" t="n">
        <v>0.004500000000000001</v>
      </c>
      <c r="H565" s="101" t="n">
        <v>0.7569</v>
      </c>
      <c r="I565" s="101" t="n">
        <v>0.001</v>
      </c>
      <c r="J565" s="101" t="n">
        <v>0.0008100000000000001</v>
      </c>
      <c r="K565" s="100" t="n">
        <v>5</v>
      </c>
      <c r="L565" s="102" t="inlineStr">
        <is>
          <t>20260429</t>
        </is>
      </c>
      <c r="M565" s="99" t="inlineStr">
        <is>
          <t>제외</t>
        </is>
      </c>
      <c r="N565" s="99" t="inlineStr">
        <is>
          <t>변동성 75.7%(1년 기준, 기준 35% 초과)</t>
        </is>
      </c>
      <c r="O565" s="99" t="inlineStr">
        <is>
          <t>FnGuide AI반도체 TOP2+ 지수</t>
        </is>
      </c>
      <c r="P565" s="99" t="inlineStr">
        <is>
          <t>일반</t>
        </is>
      </c>
      <c r="Q565" s="99" t="inlineStr">
        <is>
          <t>주식</t>
        </is>
      </c>
      <c r="R565" s="99" t="inlineStr">
        <is>
          <t>연배당</t>
        </is>
      </c>
      <c r="S565" s="100" t="n">
        <v>1</v>
      </c>
      <c r="T565" s="101" t="n">
        <v>1</v>
      </c>
      <c r="U565" s="103" t="n"/>
      <c r="V565" s="103" t="n"/>
      <c r="W565" s="103" t="n"/>
      <c r="X565" s="103" t="n"/>
      <c r="Y565" s="99" t="inlineStr"/>
      <c r="Z565" s="99" t="inlineStr">
        <is>
          <t>창 안 급변일 3일(20260713,20260728,20260731) — 내지 않음 / 6개월: 창 안 급변일 3일(20260713,20260728,20260731) — 내지 않음 / 3개월: 창 안 급변일 3일(20260713,20260728,20260731) — 내지 않음</t>
        </is>
      </c>
      <c r="AA565">
        <f>IF(AND($J565&lt;&gt;"",OR(조회_주기="전체",$R565=조회_주기),$J565&gt;=조회_최소,$J565&lt;=조회_최대),1,0)</f>
        <v/>
      </c>
      <c r="AB565">
        <f>IF($AA565=1,$AB564+1,$AB564)</f>
        <v/>
      </c>
      <c r="AC565">
        <f>IF(검색어="",1,IF(ISNUMBER(SEARCH(검색어,$A565)),1,0))</f>
        <v/>
      </c>
      <c r="AD565">
        <f>IF($AC565=1,$AD564+1,$AD564)</f>
        <v/>
      </c>
      <c r="AE565">
        <f>IFERROR(INDEX($A$4:$A$594,MATCH(562,$AD$4:$AD$594,0)),"")</f>
        <v/>
      </c>
    </row>
    <row r="566">
      <c r="A566" s="99" t="inlineStr">
        <is>
          <t>SOL 전고체배터리&amp;실리콘음극재</t>
        </is>
      </c>
      <c r="B566" s="99" t="inlineStr">
        <is>
          <t>0005D0</t>
        </is>
      </c>
      <c r="C566" s="99" t="inlineStr">
        <is>
          <t>신한자산운용</t>
        </is>
      </c>
      <c r="D566" s="100" t="n">
        <v>16070</v>
      </c>
      <c r="E566" s="100" t="n">
        <v>167931500000</v>
      </c>
      <c r="F566" s="100" t="n">
        <v>8820830231</v>
      </c>
      <c r="G566" s="101" t="n">
        <v>0.004500000000000001</v>
      </c>
      <c r="H566" s="101" t="n">
        <v>0.6851</v>
      </c>
      <c r="I566" s="101" t="n">
        <v>0.001</v>
      </c>
      <c r="J566" s="101" t="n">
        <v>0.000809</v>
      </c>
      <c r="K566" s="100" t="n">
        <v>1</v>
      </c>
      <c r="L566" s="102" t="inlineStr">
        <is>
          <t>20251229</t>
        </is>
      </c>
      <c r="M566" s="99" t="inlineStr">
        <is>
          <t>제외</t>
        </is>
      </c>
      <c r="N566" s="99" t="inlineStr">
        <is>
          <t>변동성 68.5%(1년 기준, 기준 35% 초과)</t>
        </is>
      </c>
      <c r="O566" s="99" t="inlineStr">
        <is>
          <t>FnGuide 전고체배터리&amp;실리콘음극재 지수</t>
        </is>
      </c>
      <c r="P566" s="99" t="inlineStr">
        <is>
          <t>일반</t>
        </is>
      </c>
      <c r="Q566" s="99" t="inlineStr">
        <is>
          <t>주식</t>
        </is>
      </c>
      <c r="R566" s="99" t="inlineStr">
        <is>
          <t>연배당</t>
        </is>
      </c>
      <c r="S566" s="100" t="n">
        <v>1</v>
      </c>
      <c r="T566" s="101" t="n">
        <v>0</v>
      </c>
      <c r="U566" s="103" t="n"/>
      <c r="V566" s="103" t="n"/>
      <c r="W566" s="103" t="n">
        <v>-0.1243</v>
      </c>
      <c r="X566" s="103" t="n">
        <v>0.0862</v>
      </c>
      <c r="Y566" s="99" t="inlineStr"/>
      <c r="Z566" s="99" t="inlineStr">
        <is>
          <t>창 안 급변일 1일(20260304) — 내지 않음</t>
        </is>
      </c>
      <c r="AA566">
        <f>IF(AND($J566&lt;&gt;"",OR(조회_주기="전체",$R566=조회_주기),$J566&gt;=조회_최소,$J566&lt;=조회_최대),1,0)</f>
        <v/>
      </c>
      <c r="AB566">
        <f>IF($AA566=1,$AB565+1,$AB565)</f>
        <v/>
      </c>
      <c r="AC566">
        <f>IF(검색어="",1,IF(ISNUMBER(SEARCH(검색어,$A566)),1,0))</f>
        <v/>
      </c>
      <c r="AD566">
        <f>IF($AC566=1,$AD565+1,$AD565)</f>
        <v/>
      </c>
      <c r="AE566">
        <f>IFERROR(INDEX($A$4:$A$594,MATCH(563,$AD$4:$AD$594,0)),"")</f>
        <v/>
      </c>
    </row>
    <row r="567">
      <c r="A567" s="99" t="inlineStr">
        <is>
          <t>TIGER 미국AI소프트웨어TOP4Plus</t>
        </is>
      </c>
      <c r="B567" s="99" t="inlineStr">
        <is>
          <t>0102A0</t>
        </is>
      </c>
      <c r="C567" s="99" t="inlineStr">
        <is>
          <t>미래에셋자산운용</t>
        </is>
      </c>
      <c r="D567" s="100" t="n">
        <v>8735</v>
      </c>
      <c r="E567" s="100" t="n">
        <v>70316750000</v>
      </c>
      <c r="F567" s="100" t="n">
        <v>798647749</v>
      </c>
      <c r="G567" s="101" t="n">
        <v>0.0049</v>
      </c>
      <c r="H567" s="101" t="n">
        <v>0.4419</v>
      </c>
      <c r="I567" s="101" t="n">
        <v>0.0005999999999999999</v>
      </c>
      <c r="J567" s="101" t="n">
        <v>0.0008010000000000001</v>
      </c>
      <c r="K567" s="100" t="n">
        <v>1</v>
      </c>
      <c r="L567" s="102" t="inlineStr">
        <is>
          <t>20251229</t>
        </is>
      </c>
      <c r="M567" s="99" t="inlineStr">
        <is>
          <t>제외</t>
        </is>
      </c>
      <c r="N567" s="99" t="inlineStr">
        <is>
          <t>변동성 44.2%(1년 기준, 기준 35% 초과)</t>
        </is>
      </c>
      <c r="O567" s="99" t="inlineStr">
        <is>
          <t>Akros US AI Software Top4 Plus Index</t>
        </is>
      </c>
      <c r="P567" s="99" t="inlineStr">
        <is>
          <t>일반</t>
        </is>
      </c>
      <c r="Q567" s="99" t="inlineStr">
        <is>
          <t>주식</t>
        </is>
      </c>
      <c r="R567" s="99" t="inlineStr">
        <is>
          <t>연배당</t>
        </is>
      </c>
      <c r="S567" s="100" t="n">
        <v>1</v>
      </c>
      <c r="T567" s="101" t="n">
        <v>1</v>
      </c>
      <c r="U567" s="103" t="n">
        <v>-0.2649</v>
      </c>
      <c r="V567" s="103" t="n">
        <v>-0.2655</v>
      </c>
      <c r="W567" s="103" t="n">
        <v>0.1383</v>
      </c>
      <c r="X567" s="103" t="n">
        <v>0.0441</v>
      </c>
      <c r="Y567" s="99" t="inlineStr">
        <is>
          <t>20250922~20261002</t>
        </is>
      </c>
      <c r="Z567" s="99" t="inlineStr"/>
      <c r="AA567">
        <f>IF(AND($J567&lt;&gt;"",OR(조회_주기="전체",$R567=조회_주기),$J567&gt;=조회_최소,$J567&lt;=조회_최대),1,0)</f>
        <v/>
      </c>
      <c r="AB567">
        <f>IF($AA567=1,$AB566+1,$AB566)</f>
        <v/>
      </c>
      <c r="AC567">
        <f>IF(검색어="",1,IF(ISNUMBER(SEARCH(검색어,$A567)),1,0))</f>
        <v/>
      </c>
      <c r="AD567">
        <f>IF($AC567=1,$AD566+1,$AD566)</f>
        <v/>
      </c>
      <c r="AE567">
        <f>IFERROR(INDEX($A$4:$A$594,MATCH(564,$AD$4:$AD$594,0)),"")</f>
        <v/>
      </c>
    </row>
    <row r="568">
      <c r="A568" s="99" t="inlineStr">
        <is>
          <t>TIGER 글로벌AI전력인프라액티브</t>
        </is>
      </c>
      <c r="B568" s="99" t="inlineStr">
        <is>
          <t>491010</t>
        </is>
      </c>
      <c r="C568" s="99" t="inlineStr">
        <is>
          <t>미래에셋자산운용</t>
        </is>
      </c>
      <c r="D568" s="100" t="n">
        <v>25180</v>
      </c>
      <c r="E568" s="100" t="n">
        <v>637305800000</v>
      </c>
      <c r="F568" s="100" t="n">
        <v>3591986263</v>
      </c>
      <c r="G568" s="101" t="n">
        <v>0.0049</v>
      </c>
      <c r="H568" s="101" t="n">
        <v>0.4922</v>
      </c>
      <c r="I568" s="101" t="n">
        <v>0.0011</v>
      </c>
      <c r="J568" s="101" t="n">
        <v>0.000794</v>
      </c>
      <c r="K568" s="100" t="n">
        <v>1</v>
      </c>
      <c r="L568" s="102" t="inlineStr">
        <is>
          <t>20251229</t>
        </is>
      </c>
      <c r="M568" s="99" t="inlineStr">
        <is>
          <t>제외</t>
        </is>
      </c>
      <c r="N568" s="99" t="inlineStr">
        <is>
          <t>변동성 49.2%(1년 기준, 기준 35% 초과)</t>
        </is>
      </c>
      <c r="O568" s="99" t="inlineStr">
        <is>
          <t>Mirae Asset AI Infrastructure Index PR</t>
        </is>
      </c>
      <c r="P568" s="99" t="inlineStr">
        <is>
          <t>일반</t>
        </is>
      </c>
      <c r="Q568" s="99" t="inlineStr">
        <is>
          <t>주식</t>
        </is>
      </c>
      <c r="R568" s="99" t="inlineStr">
        <is>
          <t>연배당</t>
        </is>
      </c>
      <c r="S568" s="100" t="n">
        <v>1</v>
      </c>
      <c r="T568" s="101" t="n">
        <v>1</v>
      </c>
      <c r="U568" s="103" t="n">
        <v>0.2957</v>
      </c>
      <c r="V568" s="103" t="n">
        <v>0.2946</v>
      </c>
      <c r="W568" s="103" t="n">
        <v>0.042</v>
      </c>
      <c r="X568" s="103" t="n">
        <v>-0.227</v>
      </c>
      <c r="Y568" s="99" t="inlineStr">
        <is>
          <t>20250922~20261002</t>
        </is>
      </c>
      <c r="Z568" s="99" t="inlineStr"/>
      <c r="AA568">
        <f>IF(AND($J568&lt;&gt;"",OR(조회_주기="전체",$R568=조회_주기),$J568&gt;=조회_최소,$J568&lt;=조회_최대),1,0)</f>
        <v/>
      </c>
      <c r="AB568">
        <f>IF($AA568=1,$AB567+1,$AB567)</f>
        <v/>
      </c>
      <c r="AC568">
        <f>IF(검색어="",1,IF(ISNUMBER(SEARCH(검색어,$A568)),1,0))</f>
        <v/>
      </c>
      <c r="AD568">
        <f>IF($AC568=1,$AD567+1,$AD567)</f>
        <v/>
      </c>
      <c r="AE568">
        <f>IFERROR(INDEX($A$4:$A$594,MATCH(565,$AD$4:$AD$594,0)),"")</f>
        <v/>
      </c>
    </row>
    <row r="569">
      <c r="A569" s="99" t="inlineStr">
        <is>
          <t>KODEX 반도체</t>
        </is>
      </c>
      <c r="B569" s="99" t="inlineStr">
        <is>
          <t>091160</t>
        </is>
      </c>
      <c r="C569" s="99" t="inlineStr">
        <is>
          <t>삼성자산운용(ETF)</t>
        </is>
      </c>
      <c r="D569" s="100" t="n">
        <v>148780</v>
      </c>
      <c r="E569" s="100" t="n">
        <v>6226443000000</v>
      </c>
      <c r="F569" s="100" t="n">
        <v>232432990282</v>
      </c>
      <c r="G569" s="101" t="n">
        <v>0.004500000000000001</v>
      </c>
      <c r="H569" s="101" t="n">
        <v>0.7256</v>
      </c>
      <c r="I569" s="101" t="n">
        <v>0.0009</v>
      </c>
      <c r="J569" s="101" t="n">
        <v>0.0007729999999999999</v>
      </c>
      <c r="K569" s="100" t="n">
        <v>5</v>
      </c>
      <c r="L569" s="102" t="inlineStr">
        <is>
          <t>20260429</t>
        </is>
      </c>
      <c r="M569" s="99" t="inlineStr">
        <is>
          <t>제외</t>
        </is>
      </c>
      <c r="N569" s="99" t="inlineStr">
        <is>
          <t>변동성 72.6%(1년 기준, 기준 35% 초과)</t>
        </is>
      </c>
      <c r="O569" s="99" t="inlineStr">
        <is>
          <t>KRX 반도체</t>
        </is>
      </c>
      <c r="P569" s="99" t="inlineStr">
        <is>
          <t>일반</t>
        </is>
      </c>
      <c r="Q569" s="99" t="inlineStr">
        <is>
          <t>주식</t>
        </is>
      </c>
      <c r="R569" s="99" t="inlineStr">
        <is>
          <t>연배당</t>
        </is>
      </c>
      <c r="S569" s="100" t="n">
        <v>1</v>
      </c>
      <c r="T569" s="101" t="n">
        <v>1</v>
      </c>
      <c r="U569" s="103" t="n"/>
      <c r="V569" s="103" t="n"/>
      <c r="W569" s="103" t="n"/>
      <c r="X569" s="103" t="n"/>
      <c r="Y569" s="99" t="inlineStr"/>
      <c r="Z569" s="99" t="inlineStr">
        <is>
          <t>창 안 급변일 1일(20260731) — 내지 않음 / 6개월: 창 안 급변일 1일(20260731) — 내지 않음 / 3개월: 창 안 급변일 1일(20260731) — 내지 않음</t>
        </is>
      </c>
      <c r="AA569">
        <f>IF(AND($J569&lt;&gt;"",OR(조회_주기="전체",$R569=조회_주기),$J569&gt;=조회_최소,$J569&lt;=조회_최대),1,0)</f>
        <v/>
      </c>
      <c r="AB569">
        <f>IF($AA569=1,$AB568+1,$AB568)</f>
        <v/>
      </c>
      <c r="AC569">
        <f>IF(검색어="",1,IF(ISNUMBER(SEARCH(검색어,$A569)),1,0))</f>
        <v/>
      </c>
      <c r="AD569">
        <f>IF($AC569=1,$AD568+1,$AD568)</f>
        <v/>
      </c>
      <c r="AE569">
        <f>IFERROR(INDEX($A$4:$A$594,MATCH(566,$AD$4:$AD$594,0)),"")</f>
        <v/>
      </c>
    </row>
    <row r="570">
      <c r="A570" s="99" t="inlineStr">
        <is>
          <t>KODEX IT</t>
        </is>
      </c>
      <c r="B570" s="99" t="inlineStr">
        <is>
          <t>266370</t>
        </is>
      </c>
      <c r="C570" s="99" t="inlineStr">
        <is>
          <t>삼성자산운용(ETF)</t>
        </is>
      </c>
      <c r="D570" s="100" t="n">
        <v>74000</v>
      </c>
      <c r="E570" s="100" t="n">
        <v>114700000000</v>
      </c>
      <c r="F570" s="100" t="n">
        <v>7140963180</v>
      </c>
      <c r="G570" s="101" t="n">
        <v>0.004500000000000001</v>
      </c>
      <c r="H570" s="101" t="n">
        <v>0.6908</v>
      </c>
      <c r="I570" s="101" t="n">
        <v>0.0009</v>
      </c>
      <c r="J570" s="101" t="n">
        <v>0.0006890000000000001</v>
      </c>
      <c r="K570" s="100" t="n">
        <v>5</v>
      </c>
      <c r="L570" s="102" t="inlineStr">
        <is>
          <t>20260429</t>
        </is>
      </c>
      <c r="M570" s="99" t="inlineStr">
        <is>
          <t>제외</t>
        </is>
      </c>
      <c r="N570" s="99" t="inlineStr">
        <is>
          <t>변동성 69.1%(1년 기준, 기준 35% 초과)</t>
        </is>
      </c>
      <c r="O570" s="99" t="inlineStr">
        <is>
          <t>KRX 정보기술</t>
        </is>
      </c>
      <c r="P570" s="99" t="inlineStr">
        <is>
          <t>일반</t>
        </is>
      </c>
      <c r="Q570" s="99" t="inlineStr">
        <is>
          <t>주식</t>
        </is>
      </c>
      <c r="R570" s="99" t="inlineStr">
        <is>
          <t>연배당</t>
        </is>
      </c>
      <c r="S570" s="100" t="n">
        <v>1</v>
      </c>
      <c r="T570" s="101" t="n">
        <v>1</v>
      </c>
      <c r="U570" s="103" t="n"/>
      <c r="V570" s="103" t="n"/>
      <c r="W570" s="103" t="n"/>
      <c r="X570" s="103" t="n"/>
      <c r="Y570" s="99" t="inlineStr"/>
      <c r="Z570" s="99" t="inlineStr">
        <is>
          <t>창 안 급변일 1일(20260731) — 내지 않음 / 6개월: 창 안 급변일 1일(20260731) — 내지 않음 / 3개월: 창 안 급변일 1일(20260731) — 내지 않음</t>
        </is>
      </c>
      <c r="AA570">
        <f>IF(AND($J570&lt;&gt;"",OR(조회_주기="전체",$R570=조회_주기),$J570&gt;=조회_최소,$J570&lt;=조회_최대),1,0)</f>
        <v/>
      </c>
      <c r="AB570">
        <f>IF($AA570=1,$AB569+1,$AB569)</f>
        <v/>
      </c>
      <c r="AC570">
        <f>IF(검색어="",1,IF(ISNUMBER(SEARCH(검색어,$A570)),1,0))</f>
        <v/>
      </c>
      <c r="AD570">
        <f>IF($AC570=1,$AD569+1,$AD569)</f>
        <v/>
      </c>
      <c r="AE570">
        <f>IFERROR(INDEX($A$4:$A$594,MATCH(567,$AD$4:$AD$594,0)),"")</f>
        <v/>
      </c>
    </row>
    <row r="571">
      <c r="A571" s="99" t="inlineStr">
        <is>
          <t>RISE 코스닥150</t>
        </is>
      </c>
      <c r="B571" s="99" t="inlineStr">
        <is>
          <t>270810</t>
        </is>
      </c>
      <c r="C571" s="99" t="inlineStr">
        <is>
          <t>KB자산운용</t>
        </is>
      </c>
      <c r="D571" s="100" t="n">
        <v>15110</v>
      </c>
      <c r="E571" s="100" t="n">
        <v>350552000000</v>
      </c>
      <c r="F571" s="100" t="n">
        <v>3892833999</v>
      </c>
      <c r="G571" s="101" t="n">
        <v>0.0002</v>
      </c>
      <c r="H571" s="101" t="n">
        <v>0.5502</v>
      </c>
      <c r="I571" s="101" t="n">
        <v>0.0005</v>
      </c>
      <c r="J571" s="101" t="n">
        <v>0.0006619999999999999</v>
      </c>
      <c r="K571" s="100" t="n">
        <v>5</v>
      </c>
      <c r="L571" s="102" t="inlineStr">
        <is>
          <t>20260429</t>
        </is>
      </c>
      <c r="M571" s="99" t="inlineStr">
        <is>
          <t>제외</t>
        </is>
      </c>
      <c r="N571" s="99" t="inlineStr">
        <is>
          <t>변동성 55.0%(1년 기준, 기준 35% 초과)</t>
        </is>
      </c>
      <c r="O571" s="99" t="inlineStr">
        <is>
          <t>KOSDAQ 150</t>
        </is>
      </c>
      <c r="P571" s="99" t="inlineStr">
        <is>
          <t>일반</t>
        </is>
      </c>
      <c r="Q571" s="99" t="inlineStr">
        <is>
          <t>주식</t>
        </is>
      </c>
      <c r="R571" s="99" t="inlineStr">
        <is>
          <t>연배당</t>
        </is>
      </c>
      <c r="S571" s="100" t="n">
        <v>1</v>
      </c>
      <c r="T571" s="101" t="n">
        <v>1</v>
      </c>
      <c r="U571" s="103" t="n"/>
      <c r="V571" s="103" t="n"/>
      <c r="W571" s="103" t="n">
        <v>-0.158</v>
      </c>
      <c r="X571" s="103" t="n">
        <v>-0.0018</v>
      </c>
      <c r="Y571" s="99" t="inlineStr"/>
      <c r="Z571" s="99" t="inlineStr">
        <is>
          <t>창 안 급변일 1일(20260304) — 내지 않음</t>
        </is>
      </c>
      <c r="AA571">
        <f>IF(AND($J571&lt;&gt;"",OR(조회_주기="전체",$R571=조회_주기),$J571&gt;=조회_최소,$J571&lt;=조회_최대),1,0)</f>
        <v/>
      </c>
      <c r="AB571">
        <f>IF($AA571=1,$AB570+1,$AB570)</f>
        <v/>
      </c>
      <c r="AC571">
        <f>IF(검색어="",1,IF(ISNUMBER(SEARCH(검색어,$A571)),1,0))</f>
        <v/>
      </c>
      <c r="AD571">
        <f>IF($AC571=1,$AD570+1,$AD570)</f>
        <v/>
      </c>
      <c r="AE571">
        <f>IFERROR(INDEX($A$4:$A$594,MATCH(568,$AD$4:$AD$594,0)),"")</f>
        <v/>
      </c>
    </row>
    <row r="572">
      <c r="A572" s="99" t="inlineStr">
        <is>
          <t>TIME 미국나스닥100액티브</t>
        </is>
      </c>
      <c r="B572" s="99" t="inlineStr">
        <is>
          <t>426030</t>
        </is>
      </c>
      <c r="C572" s="99" t="inlineStr">
        <is>
          <t>타임폴리오자산운용</t>
        </is>
      </c>
      <c r="D572" s="100" t="n">
        <v>48085</v>
      </c>
      <c r="E572" s="100" t="n">
        <v>2646598400000</v>
      </c>
      <c r="F572" s="100" t="n">
        <v>41743708932</v>
      </c>
      <c r="G572" s="101" t="n">
        <v>0.008</v>
      </c>
      <c r="H572" s="101" t="n">
        <v>0.4375</v>
      </c>
      <c r="I572" s="101" t="n">
        <v>0.0009</v>
      </c>
      <c r="J572" s="101" t="n">
        <v>0.000624</v>
      </c>
      <c r="K572" s="100" t="n">
        <v>1</v>
      </c>
      <c r="L572" s="102" t="inlineStr">
        <is>
          <t>20251229</t>
        </is>
      </c>
      <c r="M572" s="99" t="inlineStr">
        <is>
          <t>제외</t>
        </is>
      </c>
      <c r="N572" s="99" t="inlineStr">
        <is>
          <t>변동성 43.7%(1년 기준, 기준 35% 초과)</t>
        </is>
      </c>
      <c r="O572" s="99" t="inlineStr">
        <is>
          <t>나스닥 100</t>
        </is>
      </c>
      <c r="P572" s="99" t="inlineStr">
        <is>
          <t>일반</t>
        </is>
      </c>
      <c r="Q572" s="99" t="inlineStr">
        <is>
          <t>주식</t>
        </is>
      </c>
      <c r="R572" s="99" t="inlineStr">
        <is>
          <t>연배당</t>
        </is>
      </c>
      <c r="S572" s="100" t="n">
        <v>1</v>
      </c>
      <c r="T572" s="101" t="n">
        <v>1</v>
      </c>
      <c r="U572" s="103" t="n">
        <v>0.3531</v>
      </c>
      <c r="V572" s="103" t="n">
        <v>0.3522</v>
      </c>
      <c r="W572" s="103" t="n">
        <v>0.2383</v>
      </c>
      <c r="X572" s="103" t="n">
        <v>-0.116</v>
      </c>
      <c r="Y572" s="99" t="inlineStr">
        <is>
          <t>20250922~20261002</t>
        </is>
      </c>
      <c r="Z572" s="99" t="inlineStr"/>
      <c r="AA572">
        <f>IF(AND($J572&lt;&gt;"",OR(조회_주기="전체",$R572=조회_주기),$J572&gt;=조회_최소,$J572&lt;=조회_최대),1,0)</f>
        <v/>
      </c>
      <c r="AB572">
        <f>IF($AA572=1,$AB571+1,$AB571)</f>
        <v/>
      </c>
      <c r="AC572">
        <f>IF(검색어="",1,IF(ISNUMBER(SEARCH(검색어,$A572)),1,0))</f>
        <v/>
      </c>
      <c r="AD572">
        <f>IF($AC572=1,$AD571+1,$AD571)</f>
        <v/>
      </c>
      <c r="AE572">
        <f>IFERROR(INDEX($A$4:$A$594,MATCH(569,$AD$4:$AD$594,0)),"")</f>
        <v/>
      </c>
    </row>
    <row r="573">
      <c r="A573" s="99" t="inlineStr">
        <is>
          <t>HANARO 글로벌피지컬AI액티브</t>
        </is>
      </c>
      <c r="B573" s="99" t="inlineStr">
        <is>
          <t>0040S0</t>
        </is>
      </c>
      <c r="C573" s="99" t="inlineStr">
        <is>
          <t>NH-Amundi자산운용</t>
        </is>
      </c>
      <c r="D573" s="100" t="n">
        <v>23590</v>
      </c>
      <c r="E573" s="100" t="n">
        <v>58975000000</v>
      </c>
      <c r="F573" s="100" t="n">
        <v>372939836</v>
      </c>
      <c r="G573" s="101" t="n">
        <v>0.006</v>
      </c>
      <c r="H573" s="101" t="n">
        <v>0.415</v>
      </c>
      <c r="I573" s="101" t="n">
        <v>0.0007000000000000001</v>
      </c>
      <c r="J573" s="101" t="n">
        <v>0.000509</v>
      </c>
      <c r="K573" s="100" t="n">
        <v>1</v>
      </c>
      <c r="L573" s="102" t="inlineStr">
        <is>
          <t>20260129</t>
        </is>
      </c>
      <c r="M573" s="99" t="inlineStr">
        <is>
          <t>제외</t>
        </is>
      </c>
      <c r="N573" s="99" t="inlineStr">
        <is>
          <t>60일 거래대금 3.7억(기준 5억 미만), 변동성 41.5%(1년 기준, 기준 35% 초과)</t>
        </is>
      </c>
      <c r="O573" s="99" t="inlineStr">
        <is>
          <t>Solactive Physical AI Index PR</t>
        </is>
      </c>
      <c r="P573" s="99" t="inlineStr">
        <is>
          <t>일반</t>
        </is>
      </c>
      <c r="Q573" s="99" t="inlineStr">
        <is>
          <t>주식</t>
        </is>
      </c>
      <c r="R573" s="99" t="inlineStr">
        <is>
          <t>연배당</t>
        </is>
      </c>
      <c r="S573" s="100" t="n">
        <v>1</v>
      </c>
      <c r="T573" s="101" t="n">
        <v>1</v>
      </c>
      <c r="U573" s="103" t="n">
        <v>0.5296</v>
      </c>
      <c r="V573" s="103" t="n">
        <v>0.5289</v>
      </c>
      <c r="W573" s="103" t="n">
        <v>0.2203</v>
      </c>
      <c r="X573" s="103" t="n">
        <v>-0.1684</v>
      </c>
      <c r="Y573" s="99" t="inlineStr">
        <is>
          <t>20250922~20261002</t>
        </is>
      </c>
      <c r="Z573" s="99" t="inlineStr"/>
      <c r="AA573">
        <f>IF(AND($J573&lt;&gt;"",OR(조회_주기="전체",$R573=조회_주기),$J573&gt;=조회_최소,$J573&lt;=조회_최대),1,0)</f>
        <v/>
      </c>
      <c r="AB573">
        <f>IF($AA573=1,$AB572+1,$AB572)</f>
        <v/>
      </c>
      <c r="AC573">
        <f>IF(검색어="",1,IF(ISNUMBER(SEARCH(검색어,$A573)),1,0))</f>
        <v/>
      </c>
      <c r="AD573">
        <f>IF($AC573=1,$AD572+1,$AD572)</f>
        <v/>
      </c>
      <c r="AE573">
        <f>IFERROR(INDEX($A$4:$A$594,MATCH(570,$AD$4:$AD$594,0)),"")</f>
        <v/>
      </c>
    </row>
    <row r="574">
      <c r="A574" s="99" t="inlineStr">
        <is>
          <t>KODEX 방산TOP10</t>
        </is>
      </c>
      <c r="B574" s="99" t="inlineStr">
        <is>
          <t>0080G0</t>
        </is>
      </c>
      <c r="C574" s="99" t="inlineStr">
        <is>
          <t>삼성자산운용(ETF)</t>
        </is>
      </c>
      <c r="D574" s="100" t="n">
        <v>10575</v>
      </c>
      <c r="E574" s="100" t="n">
        <v>368010000000</v>
      </c>
      <c r="F574" s="100" t="n">
        <v>28651535870</v>
      </c>
      <c r="G574" s="101" t="n">
        <v>0.004500000000000001</v>
      </c>
      <c r="H574" s="101" t="n">
        <v>0.6029</v>
      </c>
      <c r="I574" s="101" t="n">
        <v>0.0005999999999999999</v>
      </c>
      <c r="J574" s="101" t="n">
        <v>0.000473</v>
      </c>
      <c r="K574" s="100" t="n">
        <v>1</v>
      </c>
      <c r="L574" s="102" t="inlineStr">
        <is>
          <t>20260730</t>
        </is>
      </c>
      <c r="M574" s="99" t="inlineStr">
        <is>
          <t>제외</t>
        </is>
      </c>
      <c r="N574" s="99" t="inlineStr">
        <is>
          <t>변동성 60.3%(1년 기준, 기준 35% 초과)</t>
        </is>
      </c>
      <c r="O574" s="99" t="inlineStr">
        <is>
          <t>iSelect 방산TOP10 지수</t>
        </is>
      </c>
      <c r="P574" s="99" t="inlineStr">
        <is>
          <t>일반</t>
        </is>
      </c>
      <c r="Q574" s="99" t="inlineStr">
        <is>
          <t>주식</t>
        </is>
      </c>
      <c r="R574" s="99" t="inlineStr">
        <is>
          <t>연배당</t>
        </is>
      </c>
      <c r="S574" s="100" t="n">
        <v>1</v>
      </c>
      <c r="T574" s="101" t="n">
        <v>0</v>
      </c>
      <c r="U574" s="103" t="n"/>
      <c r="V574" s="103" t="n"/>
      <c r="W574" s="103" t="n">
        <v>-0.2828</v>
      </c>
      <c r="X574" s="103" t="n">
        <v>-0.1278</v>
      </c>
      <c r="Y574" s="99" t="inlineStr"/>
      <c r="Z574" s="99" t="inlineStr">
        <is>
          <t>창 안 급변일 1일(20260304) — 내지 않음</t>
        </is>
      </c>
      <c r="AA574">
        <f>IF(AND($J574&lt;&gt;"",OR(조회_주기="전체",$R574=조회_주기),$J574&gt;=조회_최소,$J574&lt;=조회_최대),1,0)</f>
        <v/>
      </c>
      <c r="AB574">
        <f>IF($AA574=1,$AB573+1,$AB573)</f>
        <v/>
      </c>
      <c r="AC574">
        <f>IF(검색어="",1,IF(ISNUMBER(SEARCH(검색어,$A574)),1,0))</f>
        <v/>
      </c>
      <c r="AD574">
        <f>IF($AC574=1,$AD573+1,$AD573)</f>
        <v/>
      </c>
      <c r="AE574">
        <f>IFERROR(INDEX($A$4:$A$594,MATCH(571,$AD$4:$AD$594,0)),"")</f>
        <v/>
      </c>
    </row>
    <row r="575">
      <c r="A575" s="99" t="inlineStr">
        <is>
          <t>RISE 바이오TOP10액티브</t>
        </is>
      </c>
      <c r="B575" s="99" t="inlineStr">
        <is>
          <t>0000Z0</t>
        </is>
      </c>
      <c r="C575" s="99" t="inlineStr">
        <is>
          <t>KB자산운용</t>
        </is>
      </c>
      <c r="D575" s="100" t="n">
        <v>8530</v>
      </c>
      <c r="E575" s="100" t="n">
        <v>49900500000</v>
      </c>
      <c r="F575" s="100" t="n">
        <v>1973560405</v>
      </c>
      <c r="G575" s="101" t="n">
        <v>0.005</v>
      </c>
      <c r="H575" s="101" t="n">
        <v>0.627</v>
      </c>
      <c r="I575" s="101" t="n">
        <v>0.0003</v>
      </c>
      <c r="J575" s="101" t="n">
        <v>0.000469</v>
      </c>
      <c r="K575" s="100" t="n">
        <v>2</v>
      </c>
      <c r="L575" s="102" t="inlineStr">
        <is>
          <t>20260730</t>
        </is>
      </c>
      <c r="M575" s="99" t="inlineStr">
        <is>
          <t>제외</t>
        </is>
      </c>
      <c r="N575" s="99" t="inlineStr">
        <is>
          <t>변동성 62.7%(1년 기준, 기준 35% 초과)</t>
        </is>
      </c>
      <c r="O575" s="99" t="inlineStr">
        <is>
          <t>KRX 바이오 TOP 10 지수</t>
        </is>
      </c>
      <c r="P575" s="99" t="inlineStr">
        <is>
          <t>일반</t>
        </is>
      </c>
      <c r="Q575" s="99" t="inlineStr">
        <is>
          <t>주식</t>
        </is>
      </c>
      <c r="R575" s="99" t="inlineStr">
        <is>
          <t>반기배당</t>
        </is>
      </c>
      <c r="S575" s="100" t="n">
        <v>2</v>
      </c>
      <c r="T575" s="101" t="n">
        <v>0</v>
      </c>
      <c r="U575" s="103" t="n"/>
      <c r="V575" s="103" t="n"/>
      <c r="W575" s="103" t="n">
        <v>-0.445</v>
      </c>
      <c r="X575" s="103" t="n">
        <v>-0.1974</v>
      </c>
      <c r="Y575" s="99" t="inlineStr"/>
      <c r="Z575" s="99" t="inlineStr">
        <is>
          <t>창 안 급변일 1일(20260304) — 내지 않음</t>
        </is>
      </c>
      <c r="AA575">
        <f>IF(AND($J575&lt;&gt;"",OR(조회_주기="전체",$R575=조회_주기),$J575&gt;=조회_최소,$J575&lt;=조회_최대),1,0)</f>
        <v/>
      </c>
      <c r="AB575">
        <f>IF($AA575=1,$AB574+1,$AB574)</f>
        <v/>
      </c>
      <c r="AC575">
        <f>IF(검색어="",1,IF(ISNUMBER(SEARCH(검색어,$A575)),1,0))</f>
        <v/>
      </c>
      <c r="AD575">
        <f>IF($AC575=1,$AD574+1,$AD574)</f>
        <v/>
      </c>
      <c r="AE575">
        <f>IFERROR(INDEX($A$4:$A$594,MATCH(572,$AD$4:$AD$594,0)),"")</f>
        <v/>
      </c>
    </row>
    <row r="576">
      <c r="A576" s="99" t="inlineStr">
        <is>
          <t>TIME 글로벌AI인공지능액티브</t>
        </is>
      </c>
      <c r="B576" s="99" t="inlineStr">
        <is>
          <t>456600</t>
        </is>
      </c>
      <c r="C576" s="99" t="inlineStr">
        <is>
          <t>타임폴리오자산운용</t>
        </is>
      </c>
      <c r="D576" s="100" t="n">
        <v>59185</v>
      </c>
      <c r="E576" s="100" t="n">
        <v>2124741500000</v>
      </c>
      <c r="F576" s="100" t="n">
        <v>17471231714</v>
      </c>
      <c r="G576" s="101" t="n">
        <v>0.008</v>
      </c>
      <c r="H576" s="101" t="n">
        <v>0.4092</v>
      </c>
      <c r="I576" s="101" t="n">
        <v>0.0008</v>
      </c>
      <c r="J576" s="101" t="n">
        <v>0.000456</v>
      </c>
      <c r="K576" s="100" t="n">
        <v>1</v>
      </c>
      <c r="L576" s="102" t="inlineStr">
        <is>
          <t>20251229</t>
        </is>
      </c>
      <c r="M576" s="99" t="inlineStr">
        <is>
          <t>제외</t>
        </is>
      </c>
      <c r="N576" s="99" t="inlineStr">
        <is>
          <t>변동성 40.9%(1년 기준, 기준 35% 초과)</t>
        </is>
      </c>
      <c r="O576" s="99" t="inlineStr">
        <is>
          <t>Solactive Global Artificial Intelligence Index PR</t>
        </is>
      </c>
      <c r="P576" s="99" t="inlineStr">
        <is>
          <t>일반</t>
        </is>
      </c>
      <c r="Q576" s="99" t="inlineStr">
        <is>
          <t>주식</t>
        </is>
      </c>
      <c r="R576" s="99" t="inlineStr">
        <is>
          <t>연배당</t>
        </is>
      </c>
      <c r="S576" s="100" t="n">
        <v>1</v>
      </c>
      <c r="T576" s="101" t="n">
        <v>1</v>
      </c>
      <c r="U576" s="103" t="n">
        <v>0.6344</v>
      </c>
      <c r="V576" s="103" t="n">
        <v>0.6335999999999999</v>
      </c>
      <c r="W576" s="103" t="n">
        <v>0.4005</v>
      </c>
      <c r="X576" s="103" t="n">
        <v>-0.1155</v>
      </c>
      <c r="Y576" s="99" t="inlineStr">
        <is>
          <t>20250922~20261002</t>
        </is>
      </c>
      <c r="Z576" s="99" t="inlineStr"/>
      <c r="AA576">
        <f>IF(AND($J576&lt;&gt;"",OR(조회_주기="전체",$R576=조회_주기),$J576&gt;=조회_최소,$J576&lt;=조회_최대),1,0)</f>
        <v/>
      </c>
      <c r="AB576">
        <f>IF($AA576=1,$AB575+1,$AB575)</f>
        <v/>
      </c>
      <c r="AC576">
        <f>IF(검색어="",1,IF(ISNUMBER(SEARCH(검색어,$A576)),1,0))</f>
        <v/>
      </c>
      <c r="AD576">
        <f>IF($AC576=1,$AD575+1,$AD575)</f>
        <v/>
      </c>
      <c r="AE576">
        <f>IFERROR(INDEX($A$4:$A$594,MATCH(573,$AD$4:$AD$594,0)),"")</f>
        <v/>
      </c>
    </row>
    <row r="577">
      <c r="A577" s="99" t="inlineStr">
        <is>
          <t>TIME 차이나AI테크액티브</t>
        </is>
      </c>
      <c r="B577" s="99" t="inlineStr">
        <is>
          <t>0043Y0</t>
        </is>
      </c>
      <c r="C577" s="99" t="inlineStr">
        <is>
          <t>타임폴리오자산운용</t>
        </is>
      </c>
      <c r="D577" s="100" t="n">
        <v>18765</v>
      </c>
      <c r="E577" s="100" t="n">
        <v>320881500000</v>
      </c>
      <c r="F577" s="100" t="n">
        <v>4257860828</v>
      </c>
      <c r="G577" s="101" t="n">
        <v>0.008</v>
      </c>
      <c r="H577" s="101" t="n">
        <v>0.4669</v>
      </c>
      <c r="I577" s="101" t="n">
        <v>0.0005999999999999999</v>
      </c>
      <c r="J577" s="101" t="n">
        <v>0.000426</v>
      </c>
      <c r="K577" s="100" t="n">
        <v>1</v>
      </c>
      <c r="L577" s="102" t="inlineStr">
        <is>
          <t>20251229</t>
        </is>
      </c>
      <c r="M577" s="99" t="inlineStr">
        <is>
          <t>제외</t>
        </is>
      </c>
      <c r="N577" s="99" t="inlineStr">
        <is>
          <t>변동성 46.7%(1년 기준, 기준 35% 초과)</t>
        </is>
      </c>
      <c r="O577" s="99" t="inlineStr">
        <is>
          <t>Solactive China Artificial Intelligence Index PR</t>
        </is>
      </c>
      <c r="P577" s="99" t="inlineStr">
        <is>
          <t>일반</t>
        </is>
      </c>
      <c r="Q577" s="99" t="inlineStr">
        <is>
          <t>주식</t>
        </is>
      </c>
      <c r="R577" s="99" t="inlineStr">
        <is>
          <t>연배당</t>
        </is>
      </c>
      <c r="S577" s="100" t="n">
        <v>1</v>
      </c>
      <c r="T577" s="101" t="n">
        <v>1</v>
      </c>
      <c r="U577" s="103" t="n">
        <v>0.3715</v>
      </c>
      <c r="V577" s="103" t="n">
        <v>0.371</v>
      </c>
      <c r="W577" s="103" t="n">
        <v>0.1759</v>
      </c>
      <c r="X577" s="103" t="n">
        <v>-0.2595</v>
      </c>
      <c r="Y577" s="99" t="inlineStr">
        <is>
          <t>20250922~20261002</t>
        </is>
      </c>
      <c r="Z577" s="99" t="inlineStr"/>
      <c r="AA577">
        <f>IF(AND($J577&lt;&gt;"",OR(조회_주기="전체",$R577=조회_주기),$J577&gt;=조회_최소,$J577&lt;=조회_최대),1,0)</f>
        <v/>
      </c>
      <c r="AB577">
        <f>IF($AA577=1,$AB576+1,$AB576)</f>
        <v/>
      </c>
      <c r="AC577">
        <f>IF(검색어="",1,IF(ISNUMBER(SEARCH(검색어,$A577)),1,0))</f>
        <v/>
      </c>
      <c r="AD577">
        <f>IF($AC577=1,$AD576+1,$AD576)</f>
        <v/>
      </c>
      <c r="AE577">
        <f>IFERROR(INDEX($A$4:$A$594,MATCH(574,$AD$4:$AD$594,0)),"")</f>
        <v/>
      </c>
    </row>
    <row r="578">
      <c r="A578" s="99" t="inlineStr">
        <is>
          <t>SOL AI반도체소부장</t>
        </is>
      </c>
      <c r="B578" s="99" t="inlineStr">
        <is>
          <t>455850</t>
        </is>
      </c>
      <c r="C578" s="99" t="inlineStr">
        <is>
          <t>신한자산운용</t>
        </is>
      </c>
      <c r="D578" s="100" t="n">
        <v>30500</v>
      </c>
      <c r="E578" s="100" t="n">
        <v>1294725000000</v>
      </c>
      <c r="F578" s="100" t="n">
        <v>56216477235</v>
      </c>
      <c r="G578" s="101" t="n">
        <v>0.004500000000000001</v>
      </c>
      <c r="H578" s="101" t="n">
        <v>0.7364000000000001</v>
      </c>
      <c r="I578" s="101" t="n">
        <v>0.0004</v>
      </c>
      <c r="J578" s="101" t="n">
        <v>0.000393</v>
      </c>
      <c r="K578" s="100" t="n">
        <v>3</v>
      </c>
      <c r="L578" s="102" t="inlineStr">
        <is>
          <t>20260429</t>
        </is>
      </c>
      <c r="M578" s="99" t="inlineStr">
        <is>
          <t>제외</t>
        </is>
      </c>
      <c r="N578" s="99" t="inlineStr">
        <is>
          <t>변동성 73.6%(1년 기준, 기준 35% 초과)</t>
        </is>
      </c>
      <c r="O578" s="99" t="inlineStr">
        <is>
          <t>FnGuide AI 반도체 소부장 지수</t>
        </is>
      </c>
      <c r="P578" s="99" t="inlineStr">
        <is>
          <t>일반</t>
        </is>
      </c>
      <c r="Q578" s="99" t="inlineStr">
        <is>
          <t>주식</t>
        </is>
      </c>
      <c r="R578" s="99" t="inlineStr">
        <is>
          <t>연배당</t>
        </is>
      </c>
      <c r="S578" s="100" t="n">
        <v>1</v>
      </c>
      <c r="T578" s="101" t="n">
        <v>0.8333</v>
      </c>
      <c r="U578" s="103" t="n"/>
      <c r="V578" s="103" t="n"/>
      <c r="W578" s="103" t="n"/>
      <c r="X578" s="103" t="n"/>
      <c r="Y578" s="99" t="inlineStr"/>
      <c r="Z578" s="99" t="inlineStr">
        <is>
          <t>창 안 급변일 2일(20260305,20260731) — 내지 않음 / 6개월: 창 안 급변일 1일(20260731) — 내지 않음 / 3개월: 창 안 급변일 1일(20260731) — 내지 않음</t>
        </is>
      </c>
      <c r="AA578">
        <f>IF(AND($J578&lt;&gt;"",OR(조회_주기="전체",$R578=조회_주기),$J578&gt;=조회_최소,$J578&lt;=조회_최대),1,0)</f>
        <v/>
      </c>
      <c r="AB578">
        <f>IF($AA578=1,$AB577+1,$AB577)</f>
        <v/>
      </c>
      <c r="AC578">
        <f>IF(검색어="",1,IF(ISNUMBER(SEARCH(검색어,$A578)),1,0))</f>
        <v/>
      </c>
      <c r="AD578">
        <f>IF($AC578=1,$AD577+1,$AD577)</f>
        <v/>
      </c>
      <c r="AE578">
        <f>IFERROR(INDEX($A$4:$A$594,MATCH(575,$AD$4:$AD$594,0)),"")</f>
        <v/>
      </c>
    </row>
    <row r="579">
      <c r="A579" s="99" t="inlineStr">
        <is>
          <t>RISE AI반도체TOP10</t>
        </is>
      </c>
      <c r="B579" s="99" t="inlineStr">
        <is>
          <t>0093A0</t>
        </is>
      </c>
      <c r="C579" s="99" t="inlineStr">
        <is>
          <t>KB자산운용</t>
        </is>
      </c>
      <c r="D579" s="100" t="n">
        <v>38725</v>
      </c>
      <c r="E579" s="100" t="n">
        <v>211051250000</v>
      </c>
      <c r="F579" s="100" t="n">
        <v>6315232978</v>
      </c>
      <c r="G579" s="101" t="n">
        <v>0.002</v>
      </c>
      <c r="H579" s="101" t="n">
        <v>0.7404999999999999</v>
      </c>
      <c r="I579" s="101" t="n">
        <v>0.0003</v>
      </c>
      <c r="J579" s="101" t="n">
        <v>0.000387</v>
      </c>
      <c r="K579" s="100" t="n">
        <v>2</v>
      </c>
      <c r="L579" s="102" t="inlineStr">
        <is>
          <t>20260429</t>
        </is>
      </c>
      <c r="M579" s="99" t="inlineStr">
        <is>
          <t>제외</t>
        </is>
      </c>
      <c r="N579" s="99" t="inlineStr">
        <is>
          <t>변동성 74.0%(1년 기준, 기준 35% 초과)</t>
        </is>
      </c>
      <c r="O579" s="99" t="inlineStr">
        <is>
          <t>FnGuide AI반도체TOP10 지수</t>
        </is>
      </c>
      <c r="P579" s="99" t="inlineStr">
        <is>
          <t>일반</t>
        </is>
      </c>
      <c r="Q579" s="99" t="inlineStr">
        <is>
          <t>주식</t>
        </is>
      </c>
      <c r="R579" s="99" t="inlineStr">
        <is>
          <t>연배당</t>
        </is>
      </c>
      <c r="S579" s="100" t="n">
        <v>2</v>
      </c>
      <c r="T579" s="101" t="n">
        <v>0.6667</v>
      </c>
      <c r="U579" s="103" t="n"/>
      <c r="V579" s="103" t="n"/>
      <c r="W579" s="103" t="n"/>
      <c r="X579" s="103" t="n"/>
      <c r="Y579" s="99" t="inlineStr"/>
      <c r="Z579" s="99" t="inlineStr">
        <is>
          <t>창 안 급변일 3일(20260305,20260728,20260731) — 내지 않음 / 6개월: 창 안 급변일 2일(20260728,20260731) — 내지 않음 / 3개월: 창 안 급변일 2일(20260728,20260731) — 내지 않음</t>
        </is>
      </c>
      <c r="AA579">
        <f>IF(AND($J579&lt;&gt;"",OR(조회_주기="전체",$R579=조회_주기),$J579&gt;=조회_최소,$J579&lt;=조회_최대),1,0)</f>
        <v/>
      </c>
      <c r="AB579">
        <f>IF($AA579=1,$AB578+1,$AB578)</f>
        <v/>
      </c>
      <c r="AC579">
        <f>IF(검색어="",1,IF(ISNUMBER(SEARCH(검색어,$A579)),1,0))</f>
        <v/>
      </c>
      <c r="AD579">
        <f>IF($AC579=1,$AD578+1,$AD578)</f>
        <v/>
      </c>
      <c r="AE579">
        <f>IFERROR(INDEX($A$4:$A$594,MATCH(576,$AD$4:$AD$594,0)),"")</f>
        <v/>
      </c>
    </row>
    <row r="580">
      <c r="A580" s="99" t="inlineStr">
        <is>
          <t>SOL K방산</t>
        </is>
      </c>
      <c r="B580" s="99" t="inlineStr">
        <is>
          <t>490480</t>
        </is>
      </c>
      <c r="C580" s="99" t="inlineStr">
        <is>
          <t>신한자산운용</t>
        </is>
      </c>
      <c r="D580" s="100" t="n">
        <v>28720</v>
      </c>
      <c r="E580" s="100" t="n">
        <v>78980000000</v>
      </c>
      <c r="F580" s="100" t="n">
        <v>1770510810</v>
      </c>
      <c r="G580" s="101" t="n">
        <v>0.004500000000000001</v>
      </c>
      <c r="H580" s="101" t="n">
        <v>0.5639999999999999</v>
      </c>
      <c r="I580" s="101" t="n">
        <v>0.0003</v>
      </c>
      <c r="J580" s="101" t="n">
        <v>0.000383</v>
      </c>
      <c r="K580" s="100" t="n">
        <v>2</v>
      </c>
      <c r="L580" s="102" t="inlineStr">
        <is>
          <t>20260429</t>
        </is>
      </c>
      <c r="M580" s="99" t="inlineStr">
        <is>
          <t>제외</t>
        </is>
      </c>
      <c r="N580" s="99" t="inlineStr">
        <is>
          <t>변동성 56.4%(1년 기준, 기준 35% 초과)</t>
        </is>
      </c>
      <c r="O580" s="99" t="inlineStr">
        <is>
          <t>KEDI K방산 지수</t>
        </is>
      </c>
      <c r="P580" s="99" t="inlineStr">
        <is>
          <t>일반</t>
        </is>
      </c>
      <c r="Q580" s="99" t="inlineStr">
        <is>
          <t>주식</t>
        </is>
      </c>
      <c r="R580" s="99" t="inlineStr">
        <is>
          <t>연배당</t>
        </is>
      </c>
      <c r="S580" s="100" t="n">
        <v>1</v>
      </c>
      <c r="T580" s="101" t="n">
        <v>0</v>
      </c>
      <c r="U580" s="103" t="n">
        <v>0.0698</v>
      </c>
      <c r="V580" s="103" t="n">
        <v>0.0694</v>
      </c>
      <c r="W580" s="103" t="n">
        <v>-0.2532</v>
      </c>
      <c r="X580" s="103" t="n">
        <v>-0.1351</v>
      </c>
      <c r="Y580" s="99" t="inlineStr">
        <is>
          <t>20250922~20261002</t>
        </is>
      </c>
      <c r="Z580" s="99" t="inlineStr"/>
      <c r="AA580">
        <f>IF(AND($J580&lt;&gt;"",OR(조회_주기="전체",$R580=조회_주기),$J580&gt;=조회_최소,$J580&lt;=조회_최대),1,0)</f>
        <v/>
      </c>
      <c r="AB580">
        <f>IF($AA580=1,$AB579+1,$AB579)</f>
        <v/>
      </c>
      <c r="AC580">
        <f>IF(검색어="",1,IF(ISNUMBER(SEARCH(검색어,$A580)),1,0))</f>
        <v/>
      </c>
      <c r="AD580">
        <f>IF($AC580=1,$AD579+1,$AD579)</f>
        <v/>
      </c>
      <c r="AE580">
        <f>IFERROR(INDEX($A$4:$A$594,MATCH(577,$AD$4:$AD$594,0)),"")</f>
        <v/>
      </c>
    </row>
    <row r="581">
      <c r="A581" s="99" t="inlineStr">
        <is>
          <t>TIGER 코스닥150IT</t>
        </is>
      </c>
      <c r="B581" s="99" t="inlineStr">
        <is>
          <t>261060</t>
        </is>
      </c>
      <c r="C581" s="99" t="inlineStr">
        <is>
          <t>미래에셋자산운용</t>
        </is>
      </c>
      <c r="D581" s="100" t="n">
        <v>29240</v>
      </c>
      <c r="E581" s="100" t="n">
        <v>32164000000</v>
      </c>
      <c r="F581" s="100" t="n">
        <v>955660615</v>
      </c>
      <c r="G581" s="101" t="n">
        <v>0.004</v>
      </c>
      <c r="H581" s="101" t="n">
        <v>0.6850000000000001</v>
      </c>
      <c r="I581" s="101" t="n">
        <v>0.0003</v>
      </c>
      <c r="J581" s="101" t="n">
        <v>0.000342</v>
      </c>
      <c r="K581" s="100" t="n">
        <v>5</v>
      </c>
      <c r="L581" s="102" t="inlineStr">
        <is>
          <t>20260429</t>
        </is>
      </c>
      <c r="M581" s="99" t="inlineStr">
        <is>
          <t>제외</t>
        </is>
      </c>
      <c r="N581" s="99" t="inlineStr">
        <is>
          <t>변동성 68.5%(1년 기준, 기준 35% 초과)</t>
        </is>
      </c>
      <c r="O581" s="99" t="inlineStr">
        <is>
          <t>코스닥 150 정보기술</t>
        </is>
      </c>
      <c r="P581" s="99" t="inlineStr">
        <is>
          <t>일반</t>
        </is>
      </c>
      <c r="Q581" s="99" t="inlineStr">
        <is>
          <t>주식</t>
        </is>
      </c>
      <c r="R581" s="99" t="inlineStr">
        <is>
          <t>연배당</t>
        </is>
      </c>
      <c r="S581" s="100" t="n">
        <v>1</v>
      </c>
      <c r="T581" s="101" t="n">
        <v>0</v>
      </c>
      <c r="U581" s="103" t="n"/>
      <c r="V581" s="103" t="n"/>
      <c r="W581" s="103" t="n"/>
      <c r="X581" s="103" t="n"/>
      <c r="Y581" s="99" t="inlineStr"/>
      <c r="Z581" s="99" t="inlineStr">
        <is>
          <t>창 안 급변일 2일(20260305,20260731) — 내지 않음 / 6개월: 창 안 급변일 1일(20260731) — 내지 않음 / 3개월: 창 안 급변일 1일(20260731) — 내지 않음</t>
        </is>
      </c>
      <c r="AA581">
        <f>IF(AND($J581&lt;&gt;"",OR(조회_주기="전체",$R581=조회_주기),$J581&gt;=조회_최소,$J581&lt;=조회_최대),1,0)</f>
        <v/>
      </c>
      <c r="AB581">
        <f>IF($AA581=1,$AB580+1,$AB580)</f>
        <v/>
      </c>
      <c r="AC581">
        <f>IF(검색어="",1,IF(ISNUMBER(SEARCH(검색어,$A581)),1,0))</f>
        <v/>
      </c>
      <c r="AD581">
        <f>IF($AC581=1,$AD580+1,$AD580)</f>
        <v/>
      </c>
      <c r="AE581">
        <f>IFERROR(INDEX($A$4:$A$594,MATCH(578,$AD$4:$AD$594,0)),"")</f>
        <v/>
      </c>
    </row>
    <row r="582">
      <c r="A582" s="99" t="inlineStr">
        <is>
          <t>PLUS 신흥국MSCI(합성 H)</t>
        </is>
      </c>
      <c r="B582" s="99" t="inlineStr">
        <is>
          <t>195980</t>
        </is>
      </c>
      <c r="C582" s="99" t="inlineStr">
        <is>
          <t>한화자산운용</t>
        </is>
      </c>
      <c r="D582" s="100" t="n">
        <v>15300</v>
      </c>
      <c r="E582" s="100" t="n">
        <v>93942000000</v>
      </c>
      <c r="F582" s="100" t="n">
        <v>358799167</v>
      </c>
      <c r="G582" s="101" t="n">
        <v>0.005</v>
      </c>
      <c r="H582" s="101" t="n">
        <v>0.2345</v>
      </c>
      <c r="I582" s="101" t="n">
        <v>0.0004</v>
      </c>
      <c r="J582" s="101" t="n">
        <v>0.000327</v>
      </c>
      <c r="K582" s="100" t="n">
        <v>1</v>
      </c>
      <c r="L582" s="102" t="inlineStr">
        <is>
          <t>20251229</t>
        </is>
      </c>
      <c r="M582" s="99" t="inlineStr">
        <is>
          <t>제외</t>
        </is>
      </c>
      <c r="N582" s="99" t="inlineStr">
        <is>
          <t>60일 거래대금 3.6억(기준 5억 미만)</t>
        </is>
      </c>
      <c r="O582" s="99" t="inlineStr">
        <is>
          <t>MSCI Emerging Markets Index</t>
        </is>
      </c>
      <c r="P582" s="99" t="inlineStr">
        <is>
          <t>일반</t>
        </is>
      </c>
      <c r="Q582" s="99" t="inlineStr">
        <is>
          <t>주식</t>
        </is>
      </c>
      <c r="R582" s="99" t="inlineStr">
        <is>
          <t>연배당</t>
        </is>
      </c>
      <c r="S582" s="100" t="n">
        <v>1</v>
      </c>
      <c r="T582" s="101" t="n">
        <v>1</v>
      </c>
      <c r="U582" s="103" t="n">
        <v>0.2745</v>
      </c>
      <c r="V582" s="103" t="n">
        <v>0.2741</v>
      </c>
      <c r="W582" s="103" t="n">
        <v>0.1933</v>
      </c>
      <c r="X582" s="103" t="n">
        <v>0.0098</v>
      </c>
      <c r="Y582" s="99" t="inlineStr">
        <is>
          <t>20250922~20261002</t>
        </is>
      </c>
      <c r="Z582" s="99" t="inlineStr"/>
      <c r="AA582">
        <f>IF(AND($J582&lt;&gt;"",OR(조회_주기="전체",$R582=조회_주기),$J582&gt;=조회_최소,$J582&lt;=조회_최대),1,0)</f>
        <v/>
      </c>
      <c r="AB582">
        <f>IF($AA582=1,$AB581+1,$AB581)</f>
        <v/>
      </c>
      <c r="AC582">
        <f>IF(검색어="",1,IF(ISNUMBER(SEARCH(검색어,$A582)),1,0))</f>
        <v/>
      </c>
      <c r="AD582">
        <f>IF($AC582=1,$AD581+1,$AD581)</f>
        <v/>
      </c>
      <c r="AE582">
        <f>IFERROR(INDEX($A$4:$A$594,MATCH(579,$AD$4:$AD$594,0)),"")</f>
        <v/>
      </c>
    </row>
    <row r="583">
      <c r="A583" s="99" t="inlineStr">
        <is>
          <t>TIGER AI반도체핵심공정</t>
        </is>
      </c>
      <c r="B583" s="99" t="inlineStr">
        <is>
          <t>471760</t>
        </is>
      </c>
      <c r="C583" s="99" t="inlineStr">
        <is>
          <t>미래에셋자산운용</t>
        </is>
      </c>
      <c r="D583" s="100" t="n">
        <v>16685</v>
      </c>
      <c r="E583" s="100" t="n">
        <v>156839000000</v>
      </c>
      <c r="F583" s="100" t="n">
        <v>13034796413</v>
      </c>
      <c r="G583" s="101" t="n">
        <v>0.004500000000000001</v>
      </c>
      <c r="H583" s="101" t="n">
        <v>0.7476</v>
      </c>
      <c r="I583" s="101" t="n">
        <v>0.0002</v>
      </c>
      <c r="J583" s="101" t="n">
        <v>0.0003</v>
      </c>
      <c r="K583" s="100" t="n">
        <v>3</v>
      </c>
      <c r="L583" s="102" t="inlineStr">
        <is>
          <t>20260429</t>
        </is>
      </c>
      <c r="M583" s="99" t="inlineStr">
        <is>
          <t>제외</t>
        </is>
      </c>
      <c r="N583" s="99" t="inlineStr">
        <is>
          <t>변동성 74.8%(1년 기준, 기준 35% 초과)</t>
        </is>
      </c>
      <c r="O583" s="99" t="inlineStr">
        <is>
          <t>iSelect AI반도체핵심공정 지수</t>
        </is>
      </c>
      <c r="P583" s="99" t="inlineStr">
        <is>
          <t>일반</t>
        </is>
      </c>
      <c r="Q583" s="99" t="inlineStr">
        <is>
          <t>주식</t>
        </is>
      </c>
      <c r="R583" s="99" t="inlineStr">
        <is>
          <t>연배당</t>
        </is>
      </c>
      <c r="S583" s="100" t="n">
        <v>1</v>
      </c>
      <c r="T583" s="101" t="n">
        <v>1</v>
      </c>
      <c r="U583" s="103" t="n"/>
      <c r="V583" s="103" t="n"/>
      <c r="W583" s="103" t="n"/>
      <c r="X583" s="103" t="n"/>
      <c r="Y583" s="99" t="inlineStr"/>
      <c r="Z583" s="99" t="inlineStr">
        <is>
          <t>창 안 급변일 3일(20260305,20260728,20260731) — 내지 않음 / 6개월: 창 안 급변일 2일(20260728,20260731) — 내지 않음 / 3개월: 창 안 급변일 2일(20260728,20260731) — 내지 않음</t>
        </is>
      </c>
      <c r="AA583">
        <f>IF(AND($J583&lt;&gt;"",OR(조회_주기="전체",$R583=조회_주기),$J583&gt;=조회_최소,$J583&lt;=조회_최대),1,0)</f>
        <v/>
      </c>
      <c r="AB583">
        <f>IF($AA583=1,$AB582+1,$AB582)</f>
        <v/>
      </c>
      <c r="AC583">
        <f>IF(검색어="",1,IF(ISNUMBER(SEARCH(검색어,$A583)),1,0))</f>
        <v/>
      </c>
      <c r="AD583">
        <f>IF($AC583=1,$AD582+1,$AD582)</f>
        <v/>
      </c>
      <c r="AE583">
        <f>IFERROR(INDEX($A$4:$A$594,MATCH(580,$AD$4:$AD$594,0)),"")</f>
        <v/>
      </c>
    </row>
    <row r="584">
      <c r="A584" s="99" t="inlineStr">
        <is>
          <t>SOL 미국AI소프트웨어</t>
        </is>
      </c>
      <c r="B584" s="99" t="inlineStr">
        <is>
          <t>481180</t>
        </is>
      </c>
      <c r="C584" s="99" t="inlineStr">
        <is>
          <t>신한자산운용</t>
        </is>
      </c>
      <c r="D584" s="100" t="n">
        <v>16775</v>
      </c>
      <c r="E584" s="100" t="n">
        <v>142587500000</v>
      </c>
      <c r="F584" s="100" t="n">
        <v>1758407421</v>
      </c>
      <c r="G584" s="101" t="n">
        <v>0.004500000000000001</v>
      </c>
      <c r="H584" s="101" t="n">
        <v>0.3563</v>
      </c>
      <c r="I584" s="101" t="n">
        <v>0.0004</v>
      </c>
      <c r="J584" s="101" t="n">
        <v>0.000298</v>
      </c>
      <c r="K584" s="100" t="n">
        <v>2</v>
      </c>
      <c r="L584" s="102" t="inlineStr">
        <is>
          <t>20260429</t>
        </is>
      </c>
      <c r="M584" s="99" t="inlineStr">
        <is>
          <t>제외</t>
        </is>
      </c>
      <c r="N584" s="99" t="inlineStr">
        <is>
          <t>변동성 35.6%(1년 기준, 기준 35% 초과)</t>
        </is>
      </c>
      <c r="O584" s="99" t="inlineStr">
        <is>
          <t>KEDI US AI Software Index(PR)</t>
        </is>
      </c>
      <c r="P584" s="99" t="inlineStr">
        <is>
          <t>일반</t>
        </is>
      </c>
      <c r="Q584" s="99" t="inlineStr">
        <is>
          <t>주식</t>
        </is>
      </c>
      <c r="R584" s="99" t="inlineStr">
        <is>
          <t>연배당</t>
        </is>
      </c>
      <c r="S584" s="100" t="n">
        <v>1</v>
      </c>
      <c r="T584" s="101" t="n">
        <v>1</v>
      </c>
      <c r="U584" s="103" t="n">
        <v>0.0558</v>
      </c>
      <c r="V584" s="103" t="n">
        <v>0.0555</v>
      </c>
      <c r="W584" s="103" t="n">
        <v>0.3852</v>
      </c>
      <c r="X584" s="103" t="n">
        <v>0.0735</v>
      </c>
      <c r="Y584" s="99" t="inlineStr">
        <is>
          <t>20250922~20261002</t>
        </is>
      </c>
      <c r="Z584" s="99" t="inlineStr"/>
      <c r="AA584">
        <f>IF(AND($J584&lt;&gt;"",OR(조회_주기="전체",$R584=조회_주기),$J584&gt;=조회_최소,$J584&lt;=조회_최대),1,0)</f>
        <v/>
      </c>
      <c r="AB584">
        <f>IF($AA584=1,$AB583+1,$AB583)</f>
        <v/>
      </c>
      <c r="AC584">
        <f>IF(검색어="",1,IF(ISNUMBER(SEARCH(검색어,$A584)),1,0))</f>
        <v/>
      </c>
      <c r="AD584">
        <f>IF($AC584=1,$AD583+1,$AD583)</f>
        <v/>
      </c>
      <c r="AE584">
        <f>IFERROR(INDEX($A$4:$A$594,MATCH(581,$AD$4:$AD$594,0)),"")</f>
        <v/>
      </c>
    </row>
    <row r="585">
      <c r="A585" s="99" t="inlineStr">
        <is>
          <t>TIGER 한중반도체(합성)</t>
        </is>
      </c>
      <c r="B585" s="99" t="inlineStr">
        <is>
          <t>449690</t>
        </is>
      </c>
      <c r="C585" s="99" t="inlineStr">
        <is>
          <t>미래에셋자산운용</t>
        </is>
      </c>
      <c r="D585" s="100" t="n">
        <v>49435</v>
      </c>
      <c r="E585" s="100" t="n">
        <v>37076250000</v>
      </c>
      <c r="F585" s="100" t="n">
        <v>44996693</v>
      </c>
      <c r="G585" s="101" t="n">
        <v>0.0035</v>
      </c>
      <c r="H585" s="101" t="n">
        <v>0.5337</v>
      </c>
      <c r="I585" s="101" t="n">
        <v>0.0005</v>
      </c>
      <c r="J585" s="101" t="n">
        <v>0.000263</v>
      </c>
      <c r="K585" s="100" t="n">
        <v>1</v>
      </c>
      <c r="L585" s="102" t="inlineStr">
        <is>
          <t>20251229</t>
        </is>
      </c>
      <c r="M585" s="99" t="inlineStr">
        <is>
          <t>제외</t>
        </is>
      </c>
      <c r="N585" s="99" t="inlineStr">
        <is>
          <t>60일 거래대금 0.4억(기준 5억 미만), 변동성 53.4%(1년 기준, 기준 35% 초과)</t>
        </is>
      </c>
      <c r="O585" s="99" t="inlineStr">
        <is>
          <t>KRX CSI 한.중 반도체지수</t>
        </is>
      </c>
      <c r="P585" s="99" t="inlineStr">
        <is>
          <t>일반</t>
        </is>
      </c>
      <c r="Q585" s="99" t="inlineStr">
        <is>
          <t>주식</t>
        </is>
      </c>
      <c r="R585" s="99" t="inlineStr">
        <is>
          <t>연배당</t>
        </is>
      </c>
      <c r="S585" s="100" t="n">
        <v>1</v>
      </c>
      <c r="T585" s="101" t="n">
        <v>1</v>
      </c>
      <c r="U585" s="103" t="n">
        <v>1.2218</v>
      </c>
      <c r="V585" s="103" t="n">
        <v>1.2213</v>
      </c>
      <c r="W585" s="103" t="n">
        <v>0.4924</v>
      </c>
      <c r="X585" s="103" t="n">
        <v>-0.2205</v>
      </c>
      <c r="Y585" s="99" t="inlineStr">
        <is>
          <t>20250922~20261002</t>
        </is>
      </c>
      <c r="Z585" s="99" t="inlineStr"/>
      <c r="AA585">
        <f>IF(AND($J585&lt;&gt;"",OR(조회_주기="전체",$R585=조회_주기),$J585&gt;=조회_최소,$J585&lt;=조회_최대),1,0)</f>
        <v/>
      </c>
      <c r="AB585">
        <f>IF($AA585=1,$AB584+1,$AB584)</f>
        <v/>
      </c>
      <c r="AC585">
        <f>IF(검색어="",1,IF(ISNUMBER(SEARCH(검색어,$A585)),1,0))</f>
        <v/>
      </c>
      <c r="AD585">
        <f>IF($AC585=1,$AD584+1,$AD584)</f>
        <v/>
      </c>
      <c r="AE585">
        <f>IFERROR(INDEX($A$4:$A$594,MATCH(582,$AD$4:$AD$594,0)),"")</f>
        <v/>
      </c>
    </row>
    <row r="586">
      <c r="A586" s="99" t="inlineStr">
        <is>
          <t>KODEX 신재생에너지액티브</t>
        </is>
      </c>
      <c r="B586" s="99" t="inlineStr">
        <is>
          <t>385510</t>
        </is>
      </c>
      <c r="C586" s="99" t="inlineStr">
        <is>
          <t>삼성자산운용(ETF)</t>
        </is>
      </c>
      <c r="D586" s="100" t="n">
        <v>40915</v>
      </c>
      <c r="E586" s="100" t="n">
        <v>353914750000</v>
      </c>
      <c r="F586" s="100" t="n">
        <v>4664416895</v>
      </c>
      <c r="G586" s="101" t="n">
        <v>0.005</v>
      </c>
      <c r="H586" s="101" t="n">
        <v>0.6099</v>
      </c>
      <c r="I586" s="101" t="n">
        <v>0.0002</v>
      </c>
      <c r="J586" s="101" t="n">
        <v>0.000244</v>
      </c>
      <c r="K586" s="100" t="n">
        <v>5</v>
      </c>
      <c r="L586" s="102" t="inlineStr">
        <is>
          <t>20260429</t>
        </is>
      </c>
      <c r="M586" s="99" t="inlineStr">
        <is>
          <t>제외</t>
        </is>
      </c>
      <c r="N586" s="99" t="inlineStr">
        <is>
          <t>변동성 61.0%(1년 기준, 기준 35% 초과)</t>
        </is>
      </c>
      <c r="O586" s="99" t="inlineStr">
        <is>
          <t>FnGuide K-재생에너지 플러스 지수</t>
        </is>
      </c>
      <c r="P586" s="99" t="inlineStr">
        <is>
          <t>일반</t>
        </is>
      </c>
      <c r="Q586" s="99" t="inlineStr">
        <is>
          <t>주식</t>
        </is>
      </c>
      <c r="R586" s="99" t="inlineStr">
        <is>
          <t>연배당</t>
        </is>
      </c>
      <c r="S586" s="100" t="n">
        <v>1</v>
      </c>
      <c r="T586" s="101" t="n">
        <v>0.8</v>
      </c>
      <c r="U586" s="103" t="n"/>
      <c r="V586" s="103" t="n"/>
      <c r="W586" s="103" t="n">
        <v>-0.09820000000000001</v>
      </c>
      <c r="X586" s="103" t="n">
        <v>0.062</v>
      </c>
      <c r="Y586" s="99" t="inlineStr"/>
      <c r="Z586" s="99" t="inlineStr">
        <is>
          <t>창 안 급변일 1일(20260304) — 내지 않음</t>
        </is>
      </c>
      <c r="AA586">
        <f>IF(AND($J586&lt;&gt;"",OR(조회_주기="전체",$R586=조회_주기),$J586&gt;=조회_최소,$J586&lt;=조회_최대),1,0)</f>
        <v/>
      </c>
      <c r="AB586">
        <f>IF($AA586=1,$AB585+1,$AB585)</f>
        <v/>
      </c>
      <c r="AC586">
        <f>IF(검색어="",1,IF(ISNUMBER(SEARCH(검색어,$A586)),1,0))</f>
        <v/>
      </c>
      <c r="AD586">
        <f>IF($AC586=1,$AD585+1,$AD585)</f>
        <v/>
      </c>
      <c r="AE586">
        <f>IFERROR(INDEX($A$4:$A$594,MATCH(583,$AD$4:$AD$594,0)),"")</f>
        <v/>
      </c>
    </row>
    <row r="587">
      <c r="A587" s="99" t="inlineStr">
        <is>
          <t>SOL 반도체후공정</t>
        </is>
      </c>
      <c r="B587" s="99" t="inlineStr">
        <is>
          <t>475310</t>
        </is>
      </c>
      <c r="C587" s="99" t="inlineStr">
        <is>
          <t>신한자산운용</t>
        </is>
      </c>
      <c r="D587" s="100" t="n">
        <v>32750</v>
      </c>
      <c r="E587" s="100" t="n">
        <v>114625000000</v>
      </c>
      <c r="F587" s="100" t="n">
        <v>8096619123</v>
      </c>
      <c r="G587" s="101" t="n">
        <v>0.004500000000000001</v>
      </c>
      <c r="H587" s="101" t="n">
        <v>0.738</v>
      </c>
      <c r="I587" s="101" t="n">
        <v>0.0001</v>
      </c>
      <c r="J587" s="101" t="n">
        <v>0.000153</v>
      </c>
      <c r="K587" s="100" t="n">
        <v>2</v>
      </c>
      <c r="L587" s="102" t="inlineStr">
        <is>
          <t>20260429</t>
        </is>
      </c>
      <c r="M587" s="99" t="inlineStr">
        <is>
          <t>제외</t>
        </is>
      </c>
      <c r="N587" s="99" t="inlineStr">
        <is>
          <t>변동성 73.8%(1년 기준, 기준 35% 초과)</t>
        </is>
      </c>
      <c r="O587" s="99" t="inlineStr">
        <is>
          <t>FnGuide 반도체 후공정 지수</t>
        </is>
      </c>
      <c r="P587" s="99" t="inlineStr">
        <is>
          <t>일반</t>
        </is>
      </c>
      <c r="Q587" s="99" t="inlineStr">
        <is>
          <t>주식</t>
        </is>
      </c>
      <c r="R587" s="99" t="inlineStr">
        <is>
          <t>연배당</t>
        </is>
      </c>
      <c r="S587" s="100" t="n">
        <v>1</v>
      </c>
      <c r="T587" s="101" t="n">
        <v>0.4</v>
      </c>
      <c r="U587" s="103" t="n"/>
      <c r="V587" s="103" t="n"/>
      <c r="W587" s="103" t="n"/>
      <c r="X587" s="103" t="n"/>
      <c r="Y587" s="99" t="inlineStr"/>
      <c r="Z587" s="99" t="inlineStr">
        <is>
          <t>창 안 급변일 3일(20260305,20260728,20260731) — 내지 않음 / 6개월: 창 안 급변일 2일(20260728,20260731) — 내지 않음 / 3개월: 창 안 급변일 2일(20260728,20260731) — 내지 않음</t>
        </is>
      </c>
      <c r="AA587">
        <f>IF(AND($J587&lt;&gt;"",OR(조회_주기="전체",$R587=조회_주기),$J587&gt;=조회_최소,$J587&lt;=조회_최대),1,0)</f>
        <v/>
      </c>
      <c r="AB587">
        <f>IF($AA587=1,$AB586+1,$AB586)</f>
        <v/>
      </c>
      <c r="AC587">
        <f>IF(검색어="",1,IF(ISNUMBER(SEARCH(검색어,$A587)),1,0))</f>
        <v/>
      </c>
      <c r="AD587">
        <f>IF($AC587=1,$AD586+1,$AD586)</f>
        <v/>
      </c>
      <c r="AE587">
        <f>IFERROR(INDEX($A$4:$A$594,MATCH(584,$AD$4:$AD$594,0)),"")</f>
        <v/>
      </c>
    </row>
    <row r="588">
      <c r="A588" s="99" t="inlineStr">
        <is>
          <t>TIGER 반도체TOP10레버리지</t>
        </is>
      </c>
      <c r="B588" s="99" t="inlineStr">
        <is>
          <t>488080</t>
        </is>
      </c>
      <c r="C588" s="99" t="inlineStr">
        <is>
          <t>미래에셋자산운용</t>
        </is>
      </c>
      <c r="D588" s="100" t="n">
        <v>40520</v>
      </c>
      <c r="E588" s="100" t="n">
        <v>741516000000</v>
      </c>
      <c r="F588" s="100" t="n">
        <v>142767096493</v>
      </c>
      <c r="G588" s="101" t="n">
        <v>0.0049</v>
      </c>
      <c r="H588" s="101" t="n">
        <v>1.4739</v>
      </c>
      <c r="I588" s="101" t="n">
        <v>0.0004</v>
      </c>
      <c r="J588" s="101" t="n">
        <v>0.000148</v>
      </c>
      <c r="K588" s="100" t="n">
        <v>1</v>
      </c>
      <c r="L588" s="102" t="inlineStr">
        <is>
          <t>20251229</t>
        </is>
      </c>
      <c r="M588" s="99" t="inlineStr">
        <is>
          <t>제외</t>
        </is>
      </c>
      <c r="N588" s="99" t="inlineStr">
        <is>
          <t>변동성 147.4%(1년 기준, 기준 35% 초과)</t>
        </is>
      </c>
      <c r="O588" s="99" t="inlineStr">
        <is>
          <t>FnGuide 반도체 TOP10 지수</t>
        </is>
      </c>
      <c r="P588" s="99" t="inlineStr">
        <is>
          <t>일반</t>
        </is>
      </c>
      <c r="Q588" s="99" t="inlineStr">
        <is>
          <t>주식</t>
        </is>
      </c>
      <c r="R588" s="99" t="inlineStr">
        <is>
          <t>연배당</t>
        </is>
      </c>
      <c r="S588" s="100" t="n">
        <v>1</v>
      </c>
      <c r="T588" s="101" t="n">
        <v>0</v>
      </c>
      <c r="U588" s="103" t="n"/>
      <c r="V588" s="103" t="n"/>
      <c r="W588" s="103" t="n"/>
      <c r="X588" s="103" t="n"/>
      <c r="Y588" s="99" t="inlineStr"/>
      <c r="Z588" s="99" t="inlineStr">
        <is>
          <t>창 안 급변일 26일(20260202,20260203,20260226,20260303,20260304,20260305,20260309,20260401,20260408,20260515,20260521,20260608,20260609,20260612,20260623,20260702,20260713,20260715,20260716,20260724,20260728,20260729,20260731,20260806,20260819,20260820) — 내지 않음 / 6개월: 창 안 급변일 18일(20260408,20260515,20260521,20260608,20260609,20260612,20260623,20260702,20260713,20260715,20260716,20260724,20260728,20260729,20260731,20260806,20260819,20260820) — 내지 않음 / 3개월: 창 안 급변일 10일(20260713,20260715,20260716,20260724,20260728,20260729,20260731,20260806,20260819,20260820) — 내지 않음</t>
        </is>
      </c>
      <c r="AA588">
        <f>IF(AND($J588&lt;&gt;"",OR(조회_주기="전체",$R588=조회_주기),$J588&gt;=조회_최소,$J588&lt;=조회_최대),1,0)</f>
        <v/>
      </c>
      <c r="AB588">
        <f>IF($AA588=1,$AB587+1,$AB587)</f>
        <v/>
      </c>
      <c r="AC588">
        <f>IF(검색어="",1,IF(ISNUMBER(SEARCH(검색어,$A588)),1,0))</f>
        <v/>
      </c>
      <c r="AD588">
        <f>IF($AC588=1,$AD587+1,$AD587)</f>
        <v/>
      </c>
      <c r="AE588">
        <f>IFERROR(INDEX($A$4:$A$594,MATCH(585,$AD$4:$AD$594,0)),"")</f>
        <v/>
      </c>
    </row>
    <row r="589">
      <c r="A589" s="99" t="inlineStr">
        <is>
          <t>KIWOOM CD금리액티브(합성)</t>
        </is>
      </c>
      <c r="B589" s="99" t="inlineStr">
        <is>
          <t>458210</t>
        </is>
      </c>
      <c r="C589" s="99" t="inlineStr">
        <is>
          <t>키움투자자산운용</t>
        </is>
      </c>
      <c r="D589" s="100" t="n">
        <v>110925</v>
      </c>
      <c r="E589" s="100" t="n">
        <v>148972275000</v>
      </c>
      <c r="F589" s="100" t="n">
        <v>117180648</v>
      </c>
      <c r="G589" s="101" t="n">
        <v>0.0003</v>
      </c>
      <c r="H589" s="101" t="n">
        <v>0.0012</v>
      </c>
      <c r="I589" s="101" t="n">
        <v>0.0001</v>
      </c>
      <c r="J589" s="101" t="n">
        <v>0.000144</v>
      </c>
      <c r="K589" s="100" t="n">
        <v>1</v>
      </c>
      <c r="L589" s="102" t="inlineStr">
        <is>
          <t>20251229</t>
        </is>
      </c>
      <c r="M589" s="99" t="inlineStr">
        <is>
          <t>제외</t>
        </is>
      </c>
      <c r="N589" s="99" t="inlineStr">
        <is>
          <t>60일 거래대금 1.2억(기준 5억 미만)</t>
        </is>
      </c>
      <c r="O589" s="99" t="inlineStr">
        <is>
          <t>FnGuide CD수익률 투자 지수</t>
        </is>
      </c>
      <c r="P589" s="99" t="inlineStr">
        <is>
          <t>일반</t>
        </is>
      </c>
      <c r="Q589" s="99" t="inlineStr">
        <is>
          <t>단기자금(파킹형)</t>
        </is>
      </c>
      <c r="R589" s="99" t="inlineStr">
        <is>
          <t>연배당</t>
        </is>
      </c>
      <c r="S589" s="100" t="n">
        <v>1</v>
      </c>
      <c r="T589" s="101" t="n">
        <v>1</v>
      </c>
      <c r="U589" s="103" t="n">
        <v>0.0288</v>
      </c>
      <c r="V589" s="103" t="n">
        <v>0.0286</v>
      </c>
      <c r="W589" s="103" t="n">
        <v>0.0144</v>
      </c>
      <c r="X589" s="103" t="n">
        <v>0.0074</v>
      </c>
      <c r="Y589" s="99" t="inlineStr">
        <is>
          <t>20250922~20261002</t>
        </is>
      </c>
      <c r="Z589" s="99" t="inlineStr"/>
      <c r="AA589">
        <f>IF(AND($J589&lt;&gt;"",OR(조회_주기="전체",$R589=조회_주기),$J589&gt;=조회_최소,$J589&lt;=조회_최대),1,0)</f>
        <v/>
      </c>
      <c r="AB589">
        <f>IF($AA589=1,$AB588+1,$AB588)</f>
        <v/>
      </c>
      <c r="AC589">
        <f>IF(검색어="",1,IF(ISNUMBER(SEARCH(검색어,$A589)),1,0))</f>
        <v/>
      </c>
      <c r="AD589">
        <f>IF($AC589=1,$AD588+1,$AD588)</f>
        <v/>
      </c>
      <c r="AE589">
        <f>IFERROR(INDEX($A$4:$A$594,MATCH(586,$AD$4:$AD$594,0)),"")</f>
        <v/>
      </c>
    </row>
    <row r="590">
      <c r="A590" s="99" t="inlineStr">
        <is>
          <t>TIGER AI코리아그로스액티브</t>
        </is>
      </c>
      <c r="B590" s="99" t="inlineStr">
        <is>
          <t>365040</t>
        </is>
      </c>
      <c r="C590" s="99" t="inlineStr">
        <is>
          <t>미래에셋자산운용</t>
        </is>
      </c>
      <c r="D590" s="100" t="n">
        <v>37250</v>
      </c>
      <c r="E590" s="100" t="n">
        <v>78225000000</v>
      </c>
      <c r="F590" s="100" t="n">
        <v>605940569</v>
      </c>
      <c r="G590" s="101" t="n">
        <v>0.004</v>
      </c>
      <c r="H590" s="101" t="n">
        <v>0.5412</v>
      </c>
      <c r="I590" s="101" t="n">
        <v>0.0001</v>
      </c>
      <c r="J590" s="101" t="n">
        <v>0.000134</v>
      </c>
      <c r="K590" s="100" t="n">
        <v>5</v>
      </c>
      <c r="L590" s="102" t="inlineStr">
        <is>
          <t>20260429</t>
        </is>
      </c>
      <c r="M590" s="99" t="inlineStr">
        <is>
          <t>제외</t>
        </is>
      </c>
      <c r="N590" s="99" t="inlineStr">
        <is>
          <t>변동성 54.1%(1년 기준, 기준 35% 초과)</t>
        </is>
      </c>
      <c r="O590" s="99" t="inlineStr">
        <is>
          <t>코스피</t>
        </is>
      </c>
      <c r="P590" s="99" t="inlineStr">
        <is>
          <t>일반</t>
        </is>
      </c>
      <c r="Q590" s="99" t="inlineStr">
        <is>
          <t>주식</t>
        </is>
      </c>
      <c r="R590" s="99" t="inlineStr">
        <is>
          <t>연배당</t>
        </is>
      </c>
      <c r="S590" s="100" t="n">
        <v>1</v>
      </c>
      <c r="T590" s="101" t="n">
        <v>1</v>
      </c>
      <c r="U590" s="103" t="n"/>
      <c r="V590" s="103" t="n"/>
      <c r="W590" s="103" t="n"/>
      <c r="X590" s="103" t="n"/>
      <c r="Y590" s="99" t="inlineStr"/>
      <c r="Z590" s="99" t="inlineStr">
        <is>
          <t>창 안 급변일 1일(20260731) — 내지 않음 / 6개월: 창 안 급변일 1일(20260731) — 내지 않음 / 3개월: 창 안 급변일 1일(20260731) — 내지 않음</t>
        </is>
      </c>
      <c r="AA590">
        <f>IF(AND($J590&lt;&gt;"",OR(조회_주기="전체",$R590=조회_주기),$J590&gt;=조회_최소,$J590&lt;=조회_최대),1,0)</f>
        <v/>
      </c>
      <c r="AB590">
        <f>IF($AA590=1,$AB589+1,$AB589)</f>
        <v/>
      </c>
      <c r="AC590">
        <f>IF(검색어="",1,IF(ISNUMBER(SEARCH(검색어,$A590)),1,0))</f>
        <v/>
      </c>
      <c r="AD590">
        <f>IF($AC590=1,$AD589+1,$AD589)</f>
        <v/>
      </c>
      <c r="AE590">
        <f>IFERROR(INDEX($A$4:$A$594,MATCH(587,$AD$4:$AD$594,0)),"")</f>
        <v/>
      </c>
    </row>
    <row r="591">
      <c r="A591" s="99" t="inlineStr">
        <is>
          <t>TIGER 코리아테크액티브</t>
        </is>
      </c>
      <c r="B591" s="99" t="inlineStr">
        <is>
          <t>471780</t>
        </is>
      </c>
      <c r="C591" s="99" t="inlineStr">
        <is>
          <t>미래에셋자산운용</t>
        </is>
      </c>
      <c r="D591" s="100" t="n">
        <v>40550</v>
      </c>
      <c r="E591" s="100" t="n">
        <v>315884500000</v>
      </c>
      <c r="F591" s="100" t="n">
        <v>4831239429</v>
      </c>
      <c r="G591" s="101" t="n">
        <v>0.0077</v>
      </c>
      <c r="H591" s="101" t="n">
        <v>0.6541</v>
      </c>
      <c r="I591" s="101" t="n">
        <v>0.0001</v>
      </c>
      <c r="J591" s="101" t="n">
        <v>0.000123</v>
      </c>
      <c r="K591" s="100" t="n">
        <v>3</v>
      </c>
      <c r="L591" s="102" t="inlineStr">
        <is>
          <t>20260429</t>
        </is>
      </c>
      <c r="M591" s="99" t="inlineStr">
        <is>
          <t>제외</t>
        </is>
      </c>
      <c r="N591" s="99" t="inlineStr">
        <is>
          <t>변동성 65.4%(1년 기준, 기준 35% 초과)</t>
        </is>
      </c>
      <c r="O591" s="99" t="inlineStr">
        <is>
          <t>KRX 정보기술</t>
        </is>
      </c>
      <c r="P591" s="99" t="inlineStr">
        <is>
          <t>일반</t>
        </is>
      </c>
      <c r="Q591" s="99" t="inlineStr">
        <is>
          <t>주식</t>
        </is>
      </c>
      <c r="R591" s="99" t="inlineStr">
        <is>
          <t>연배당</t>
        </is>
      </c>
      <c r="S591" s="100" t="n">
        <v>1</v>
      </c>
      <c r="T591" s="101" t="n">
        <v>1</v>
      </c>
      <c r="U591" s="103" t="n"/>
      <c r="V591" s="103" t="n"/>
      <c r="W591" s="103" t="n"/>
      <c r="X591" s="103" t="n"/>
      <c r="Y591" s="99" t="inlineStr"/>
      <c r="Z591" s="99" t="inlineStr">
        <is>
          <t>창 안 급변일 2일(20260728,20260731) — 내지 않음 / 6개월: 창 안 급변일 2일(20260728,20260731) — 내지 않음 / 3개월: 창 안 급변일 2일(20260728,20260731) — 내지 않음</t>
        </is>
      </c>
      <c r="AA591">
        <f>IF(AND($J591&lt;&gt;"",OR(조회_주기="전체",$R591=조회_주기),$J591&gt;=조회_최소,$J591&lt;=조회_최대),1,0)</f>
        <v/>
      </c>
      <c r="AB591">
        <f>IF($AA591=1,$AB590+1,$AB590)</f>
        <v/>
      </c>
      <c r="AC591">
        <f>IF(검색어="",1,IF(ISNUMBER(SEARCH(검색어,$A591)),1,0))</f>
        <v/>
      </c>
      <c r="AD591">
        <f>IF($AC591=1,$AD590+1,$AD590)</f>
        <v/>
      </c>
      <c r="AE591">
        <f>IFERROR(INDEX($A$4:$A$594,MATCH(588,$AD$4:$AD$594,0)),"")</f>
        <v/>
      </c>
    </row>
    <row r="592">
      <c r="A592" s="99" t="inlineStr">
        <is>
          <t>KIWOOM 인도Nifty50(합성)</t>
        </is>
      </c>
      <c r="B592" s="99" t="inlineStr">
        <is>
          <t>200250</t>
        </is>
      </c>
      <c r="C592" s="99" t="inlineStr">
        <is>
          <t>키움투자자산운용</t>
        </is>
      </c>
      <c r="D592" s="100" t="n">
        <v>19455</v>
      </c>
      <c r="E592" s="100" t="n">
        <v>153694500000</v>
      </c>
      <c r="F592" s="100" t="n">
        <v>220875312</v>
      </c>
      <c r="G592" s="101" t="n">
        <v>0.0029</v>
      </c>
      <c r="H592" s="101" t="n">
        <v>0.1725</v>
      </c>
      <c r="I592" s="101" t="n">
        <v>0.0001</v>
      </c>
      <c r="J592" s="101" t="n">
        <v>0.000103</v>
      </c>
      <c r="K592" s="100" t="n">
        <v>1</v>
      </c>
      <c r="L592" s="102" t="inlineStr">
        <is>
          <t>20251229</t>
        </is>
      </c>
      <c r="M592" s="99" t="inlineStr">
        <is>
          <t>제외</t>
        </is>
      </c>
      <c r="N592" s="99" t="inlineStr">
        <is>
          <t>60일 거래대금 2.2억(기준 5억 미만)</t>
        </is>
      </c>
      <c r="O592" s="99" t="inlineStr">
        <is>
          <t>CNX NIFTY INDEX</t>
        </is>
      </c>
      <c r="P592" s="99" t="inlineStr">
        <is>
          <t>일반</t>
        </is>
      </c>
      <c r="Q592" s="99" t="inlineStr">
        <is>
          <t>주식</t>
        </is>
      </c>
      <c r="R592" s="99" t="inlineStr">
        <is>
          <t>연배당</t>
        </is>
      </c>
      <c r="S592" s="100" t="n">
        <v>1</v>
      </c>
      <c r="T592" s="101" t="n">
        <v>1</v>
      </c>
      <c r="U592" s="103" t="n">
        <v>-0.2267</v>
      </c>
      <c r="V592" s="103" t="n">
        <v>-0.2268</v>
      </c>
      <c r="W592" s="103" t="n">
        <v>-0.1512</v>
      </c>
      <c r="X592" s="103" t="n">
        <v>-0.1907</v>
      </c>
      <c r="Y592" s="99" t="inlineStr">
        <is>
          <t>20250922~20261002</t>
        </is>
      </c>
      <c r="Z592" s="99" t="inlineStr"/>
      <c r="AA592">
        <f>IF(AND($J592&lt;&gt;"",OR(조회_주기="전체",$R592=조회_주기),$J592&gt;=조회_최소,$J592&lt;=조회_최대),1,0)</f>
        <v/>
      </c>
      <c r="AB592">
        <f>IF($AA592=1,$AB591+1,$AB591)</f>
        <v/>
      </c>
      <c r="AC592">
        <f>IF(검색어="",1,IF(ISNUMBER(SEARCH(검색어,$A592)),1,0))</f>
        <v/>
      </c>
      <c r="AD592">
        <f>IF($AC592=1,$AD591+1,$AD591)</f>
        <v/>
      </c>
      <c r="AE592">
        <f>IFERROR(INDEX($A$4:$A$594,MATCH(589,$AD$4:$AD$594,0)),"")</f>
        <v/>
      </c>
    </row>
    <row r="593">
      <c r="A593" s="99" t="inlineStr">
        <is>
          <t>RISE 미국달러SOFR금리액티브(합성)</t>
        </is>
      </c>
      <c r="B593" s="99" t="inlineStr">
        <is>
          <t>455960</t>
        </is>
      </c>
      <c r="C593" s="99" t="inlineStr">
        <is>
          <t>KB자산운용</t>
        </is>
      </c>
      <c r="D593" s="100" t="n">
        <v>11965</v>
      </c>
      <c r="E593" s="100" t="n">
        <v>54799700000</v>
      </c>
      <c r="F593" s="100" t="n">
        <v>29358354</v>
      </c>
      <c r="G593" s="101" t="n">
        <v>0.0005</v>
      </c>
      <c r="H593" s="101" t="n">
        <v>0.104</v>
      </c>
      <c r="I593" s="101" t="n">
        <v>0.0001</v>
      </c>
      <c r="J593" s="101" t="n">
        <v>8.4e-05</v>
      </c>
      <c r="K593" s="100" t="n">
        <v>1</v>
      </c>
      <c r="L593" s="102" t="inlineStr">
        <is>
          <t>20251229</t>
        </is>
      </c>
      <c r="M593" s="99" t="inlineStr">
        <is>
          <t>제외</t>
        </is>
      </c>
      <c r="N593" s="99" t="inlineStr">
        <is>
          <t>60일 거래대금 0.3억(기준 5억 미만)</t>
        </is>
      </c>
      <c r="O593" s="99" t="inlineStr">
        <is>
          <t>KAP SOFR Index</t>
        </is>
      </c>
      <c r="P593" s="99" t="inlineStr">
        <is>
          <t>일반</t>
        </is>
      </c>
      <c r="Q593" s="99" t="inlineStr">
        <is>
          <t>단기자금(파킹형)</t>
        </is>
      </c>
      <c r="R593" s="99" t="inlineStr">
        <is>
          <t>연배당</t>
        </is>
      </c>
      <c r="S593" s="100" t="n">
        <v>1</v>
      </c>
      <c r="T593" s="101" t="n">
        <v>1</v>
      </c>
      <c r="U593" s="103" t="n">
        <v>0.008500000000000001</v>
      </c>
      <c r="V593" s="103" t="n">
        <v>0.008399999999999999</v>
      </c>
      <c r="W593" s="103" t="n">
        <v>-0.08550000000000001</v>
      </c>
      <c r="X593" s="103" t="n">
        <v>-0.1056</v>
      </c>
      <c r="Y593" s="99" t="inlineStr">
        <is>
          <t>20250922~20261002</t>
        </is>
      </c>
      <c r="Z593" s="99" t="inlineStr"/>
      <c r="AA593">
        <f>IF(AND($J593&lt;&gt;"",OR(조회_주기="전체",$R593=조회_주기),$J593&gt;=조회_최소,$J593&lt;=조회_최대),1,0)</f>
        <v/>
      </c>
      <c r="AB593">
        <f>IF($AA593=1,$AB592+1,$AB592)</f>
        <v/>
      </c>
      <c r="AC593">
        <f>IF(검색어="",1,IF(ISNUMBER(SEARCH(검색어,$A593)),1,0))</f>
        <v/>
      </c>
      <c r="AD593">
        <f>IF($AC593=1,$AD592+1,$AD592)</f>
        <v/>
      </c>
      <c r="AE593">
        <f>IFERROR(INDEX($A$4:$A$594,MATCH(590,$AD$4:$AD$594,0)),"")</f>
        <v/>
      </c>
    </row>
    <row r="594">
      <c r="A594" s="99" t="inlineStr">
        <is>
          <t>RISE AI전력인프라</t>
        </is>
      </c>
      <c r="B594" s="99" t="inlineStr">
        <is>
          <t>0101N0</t>
        </is>
      </c>
      <c r="C594" s="99" t="inlineStr">
        <is>
          <t>KB자산운용</t>
        </is>
      </c>
      <c r="D594" s="100" t="n">
        <v>22000</v>
      </c>
      <c r="E594" s="100" t="n">
        <v>695200000000</v>
      </c>
      <c r="F594" s="100" t="n">
        <v>7838183313</v>
      </c>
      <c r="G594" s="101" t="n">
        <v>0.002</v>
      </c>
      <c r="H594" s="101" t="n">
        <v>0.6609</v>
      </c>
      <c r="I594" s="101" t="n">
        <v>0.0001</v>
      </c>
      <c r="J594" s="101" t="n">
        <v>4.5e-05</v>
      </c>
      <c r="K594" s="100" t="n">
        <v>1</v>
      </c>
      <c r="L594" s="102" t="inlineStr">
        <is>
          <t>20251229</t>
        </is>
      </c>
      <c r="M594" s="99" t="inlineStr">
        <is>
          <t>제외</t>
        </is>
      </c>
      <c r="N594" s="99" t="inlineStr">
        <is>
          <t>변동성 66.1%(1년 기준, 기준 35% 초과)</t>
        </is>
      </c>
      <c r="O594" s="99" t="inlineStr">
        <is>
          <t>KRX-Akros AI 전력인프라 지수</t>
        </is>
      </c>
      <c r="P594" s="99" t="inlineStr">
        <is>
          <t>일반</t>
        </is>
      </c>
      <c r="Q594" s="99" t="inlineStr">
        <is>
          <t>주식</t>
        </is>
      </c>
      <c r="R594" s="99" t="inlineStr">
        <is>
          <t>연배당</t>
        </is>
      </c>
      <c r="S594" s="100" t="n">
        <v>1</v>
      </c>
      <c r="T594" s="101" t="n">
        <v>0</v>
      </c>
      <c r="U594" s="103" t="n"/>
      <c r="V594" s="103" t="n"/>
      <c r="W594" s="103" t="n"/>
      <c r="X594" s="103" t="n"/>
      <c r="Y594" s="99" t="inlineStr"/>
      <c r="Z594" s="99" t="inlineStr">
        <is>
          <t>창 안 급변일 2일(20260304,20260731) — 내지 않음 / 6개월: 창 안 급변일 1일(20260731) — 내지 않음 / 3개월: 창 안 급변일 1일(20260731) — 내지 않음</t>
        </is>
      </c>
      <c r="AA594">
        <f>IF(AND($J594&lt;&gt;"",OR(조회_주기="전체",$R594=조회_주기),$J594&gt;=조회_최소,$J594&lt;=조회_최대),1,0)</f>
        <v/>
      </c>
      <c r="AB594">
        <f>IF($AA594=1,$AB593+1,$AB593)</f>
        <v/>
      </c>
      <c r="AC594">
        <f>IF(검색어="",1,IF(ISNUMBER(SEARCH(검색어,$A594)),1,0))</f>
        <v/>
      </c>
      <c r="AD594">
        <f>IF($AC594=1,$AD593+1,$AD593)</f>
        <v/>
      </c>
      <c r="AE594">
        <f>IFERROR(INDEX($A$4:$A$594,MATCH(591,$AD$4:$AD$594,0)),"")</f>
        <v/>
      </c>
    </row>
    <row r="595">
      <c r="A595" s="99" t="inlineStr">
        <is>
          <t>KODEX 삼성전자SK하이닉스채권혼합50</t>
        </is>
      </c>
      <c r="B595" s="99" t="inlineStr">
        <is>
          <t>0177N0</t>
        </is>
      </c>
      <c r="C595" s="99" t="inlineStr">
        <is>
          <t>삼성자산운용(ETF)</t>
        </is>
      </c>
      <c r="D595" s="100" t="n">
        <v>14705</v>
      </c>
      <c r="E595" s="100" t="n">
        <v>1573435000000</v>
      </c>
      <c r="F595" s="100" t="n">
        <v>68983595456</v>
      </c>
      <c r="G595" s="101" t="n">
        <v>0.0007000000000000001</v>
      </c>
      <c r="H595" s="101" t="n">
        <v>0.4701</v>
      </c>
      <c r="I595" s="101" t="n">
        <v>0.0016</v>
      </c>
      <c r="J595" s="101" t="n"/>
      <c r="K595" s="100" t="n">
        <v>5</v>
      </c>
      <c r="L595" s="102" t="inlineStr">
        <is>
          <t>20260914</t>
        </is>
      </c>
      <c r="M595" s="99" t="inlineStr">
        <is>
          <t>제외</t>
        </is>
      </c>
      <c r="N595" s="99" t="inlineStr">
        <is>
          <t>변동성 47.0%(121거래일 기준, 기준 35% 초과), 상장 6개월(기준 12개월 미만), 연 분배율 산출 불가(상장 1년 미만 — 12개월 창이 안 채워짐)</t>
        </is>
      </c>
      <c r="O595" s="99" t="inlineStr">
        <is>
          <t>Wise 삼성전자 SK하이닉스 채권혼합 지수</t>
        </is>
      </c>
      <c r="P595" s="99" t="inlineStr">
        <is>
          <t>일반</t>
        </is>
      </c>
      <c r="Q595" s="99" t="inlineStr">
        <is>
          <t>멀티에셋</t>
        </is>
      </c>
      <c r="R595" s="99" t="inlineStr">
        <is>
          <t>판정 불가</t>
        </is>
      </c>
      <c r="S595" s="100" t="n">
        <v>5</v>
      </c>
      <c r="T595" s="101" t="n"/>
      <c r="U595" s="103" t="n"/>
      <c r="V595" s="103" t="n"/>
      <c r="W595" s="103" t="n">
        <v>0.3686</v>
      </c>
      <c r="X595" s="103" t="n">
        <v>-0.06660000000000001</v>
      </c>
      <c r="Y595" s="99" t="inlineStr"/>
      <c r="Z595" s="99" t="inlineStr">
        <is>
          <t>기준가 121일치뿐 — 창(250거래일)을 못 채움</t>
        </is>
      </c>
    </row>
    <row r="596">
      <c r="A596" s="99" t="inlineStr">
        <is>
          <t>KODEX 200커버드콜액티브</t>
        </is>
      </c>
      <c r="B596" s="99" t="inlineStr">
        <is>
          <t>0219E0</t>
        </is>
      </c>
      <c r="C596" s="99" t="inlineStr">
        <is>
          <t>삼성자산운용(ETF)</t>
        </is>
      </c>
      <c r="D596" s="100" t="n">
        <v>8435</v>
      </c>
      <c r="E596" s="100" t="n">
        <v>981834000000</v>
      </c>
      <c r="F596" s="100" t="n">
        <v>45509637780</v>
      </c>
      <c r="G596" s="101" t="n">
        <v>0.005</v>
      </c>
      <c r="H596" s="101" t="n"/>
      <c r="I596" s="101" t="n">
        <v>0.0206</v>
      </c>
      <c r="J596" s="101" t="n"/>
      <c r="K596" s="100" t="n">
        <v>3</v>
      </c>
      <c r="L596" s="102" t="inlineStr">
        <is>
          <t>20260929</t>
        </is>
      </c>
      <c r="M596" s="99" t="inlineStr">
        <is>
          <t>제외</t>
        </is>
      </c>
      <c r="N596" s="99" t="inlineStr">
        <is>
          <t>변동성 산출 불가(시세 55일치뿐), 상장 3개월(기준 12개월 미만), 연 분배율 산출 불가(상장 1년 미만 — 12개월 창이 안 채워짐)</t>
        </is>
      </c>
      <c r="O596" s="99" t="inlineStr">
        <is>
          <t>코스피 200 커버드콜 5% OTM</t>
        </is>
      </c>
      <c r="P596" s="99" t="inlineStr">
        <is>
          <t>커버드콜</t>
        </is>
      </c>
      <c r="Q596" s="99" t="inlineStr">
        <is>
          <t>주식</t>
        </is>
      </c>
      <c r="R596" s="99" t="inlineStr">
        <is>
          <t>판정 불가</t>
        </is>
      </c>
      <c r="S596" s="100" t="n">
        <v>3</v>
      </c>
      <c r="T596" s="101" t="n"/>
      <c r="U596" s="103" t="n"/>
      <c r="V596" s="103" t="n"/>
      <c r="W596" s="103" t="n"/>
      <c r="X596" s="103" t="n"/>
      <c r="Y596" s="99" t="inlineStr"/>
      <c r="Z596" s="99" t="inlineStr">
        <is>
          <t>기준가 55일치뿐 — 창(250거래일)을 못 채움 / 6개월: 기준가 55일치뿐 — 창(123거래일)을 못 채움 / 3개월: 기준가 55일치뿐 — 창(62거래일)을 못 채움</t>
        </is>
      </c>
    </row>
    <row r="597">
      <c r="A597" s="99" t="inlineStr">
        <is>
          <t>TIGER 반도체TOP10커버드콜액티브</t>
        </is>
      </c>
      <c r="B597" s="99" t="inlineStr">
        <is>
          <t>0177R0</t>
        </is>
      </c>
      <c r="C597" s="99" t="inlineStr">
        <is>
          <t>미래에셋자산운용</t>
        </is>
      </c>
      <c r="D597" s="100" t="n">
        <v>12195</v>
      </c>
      <c r="E597" s="100" t="n">
        <v>862186500000</v>
      </c>
      <c r="F597" s="100" t="n">
        <v>25770620177</v>
      </c>
      <c r="G597" s="101" t="n">
        <v>0.004500000000000001</v>
      </c>
      <c r="H597" s="101" t="n">
        <v>0.8808</v>
      </c>
      <c r="I597" s="101" t="n">
        <v>0.0155</v>
      </c>
      <c r="J597" s="101" t="n"/>
      <c r="K597" s="100" t="n">
        <v>5</v>
      </c>
      <c r="L597" s="102" t="inlineStr">
        <is>
          <t>20260914</t>
        </is>
      </c>
      <c r="M597" s="99" t="inlineStr">
        <is>
          <t>제외</t>
        </is>
      </c>
      <c r="N597" s="99" t="inlineStr">
        <is>
          <t>변동성 88.1%(111거래일 기준, 기준 35% 초과), 상장 6개월(기준 12개월 미만), 연 분배율 산출 불가(상장 1년 미만 — 12개월 창이 안 채워짐)</t>
        </is>
      </c>
      <c r="O597" s="99" t="inlineStr">
        <is>
          <t>FnGuide 반도체 TOP10 Capped 지수</t>
        </is>
      </c>
      <c r="P597" s="99" t="inlineStr">
        <is>
          <t>커버드콜</t>
        </is>
      </c>
      <c r="Q597" s="99" t="inlineStr">
        <is>
          <t>주식</t>
        </is>
      </c>
      <c r="R597" s="99" t="inlineStr">
        <is>
          <t>판정 불가</t>
        </is>
      </c>
      <c r="S597" s="100" t="n">
        <v>5</v>
      </c>
      <c r="T597" s="101" t="n"/>
      <c r="U597" s="103" t="n"/>
      <c r="V597" s="103" t="n"/>
      <c r="W597" s="103" t="n"/>
      <c r="X597" s="103" t="n"/>
      <c r="Y597" s="99" t="inlineStr"/>
      <c r="Z597" s="99" t="inlineStr">
        <is>
          <t>기준가 111일치뿐 — 창(250거래일)을 못 채움 / 6개월: 기준가 111일치뿐 — 창(123거래일)을 못 채움 / 3개월: 창 안 급변일 3일(20260713,20260728,20260731) — 내지 않음</t>
        </is>
      </c>
    </row>
    <row r="598">
      <c r="A598" s="99" t="inlineStr">
        <is>
          <t>SOL 200타겟위클리커버드콜</t>
        </is>
      </c>
      <c r="B598" s="99" t="inlineStr">
        <is>
          <t>0167B0</t>
        </is>
      </c>
      <c r="C598" s="99" t="inlineStr">
        <is>
          <t>신한자산운용</t>
        </is>
      </c>
      <c r="D598" s="100" t="n">
        <v>11940</v>
      </c>
      <c r="E598" s="100" t="n">
        <v>678192000000</v>
      </c>
      <c r="F598" s="100" t="n">
        <v>15506985474</v>
      </c>
      <c r="G598" s="101" t="n">
        <v>0.003</v>
      </c>
      <c r="H598" s="101" t="n">
        <v>0.6734</v>
      </c>
      <c r="I598" s="101" t="n">
        <v>0.0143</v>
      </c>
      <c r="J598" s="101" t="n"/>
      <c r="K598" s="100" t="n">
        <v>6</v>
      </c>
      <c r="L598" s="102" t="inlineStr">
        <is>
          <t>20260929</t>
        </is>
      </c>
      <c r="M598" s="99" t="inlineStr">
        <is>
          <t>제외</t>
        </is>
      </c>
      <c r="N598" s="99" t="inlineStr">
        <is>
          <t>변동성 67.3%(136거래일 기준, 기준 35% 초과), 상장 7개월(기준 12개월 미만), 연 분배율 산출 불가(상장 1년 미만 — 12개월 창이 안 채워짐)</t>
        </is>
      </c>
      <c r="O598" s="99" t="inlineStr">
        <is>
          <t>코스피 200 타겟 15% 위클리 커버드콜 지수</t>
        </is>
      </c>
      <c r="P598" s="99" t="inlineStr">
        <is>
          <t>커버드콜</t>
        </is>
      </c>
      <c r="Q598" s="99" t="inlineStr">
        <is>
          <t>주식</t>
        </is>
      </c>
      <c r="R598" s="99" t="inlineStr">
        <is>
          <t>판정 불가</t>
        </is>
      </c>
      <c r="S598" s="100" t="n">
        <v>6</v>
      </c>
      <c r="T598" s="101" t="n"/>
      <c r="U598" s="103" t="n"/>
      <c r="V598" s="103" t="n"/>
      <c r="W598" s="103" t="n"/>
      <c r="X598" s="103" t="n"/>
      <c r="Y598" s="99" t="inlineStr"/>
      <c r="Z598" s="99" t="inlineStr">
        <is>
          <t>기준가 136일치뿐 — 창(250거래일)을 못 채움 / 6개월: 창 안 급변일 1일(20260731) — 내지 않음 / 3개월: 창 안 급변일 1일(20260731) — 내지 않음</t>
        </is>
      </c>
    </row>
    <row r="599">
      <c r="A599" s="99" t="inlineStr">
        <is>
          <t>KODEX 미국성장커버드콜액티브</t>
        </is>
      </c>
      <c r="B599" s="99" t="inlineStr">
        <is>
          <t>0144L0</t>
        </is>
      </c>
      <c r="C599" s="99" t="inlineStr">
        <is>
          <t>삼성자산운용(ETF)</t>
        </is>
      </c>
      <c r="D599" s="100" t="n">
        <v>9460</v>
      </c>
      <c r="E599" s="100" t="n">
        <v>345290000000</v>
      </c>
      <c r="F599" s="100" t="n">
        <v>2083609240</v>
      </c>
      <c r="G599" s="101" t="n">
        <v>0.0049</v>
      </c>
      <c r="H599" s="101" t="n">
        <v>0.1797</v>
      </c>
      <c r="I599" s="101" t="n">
        <v>0.0101</v>
      </c>
      <c r="J599" s="101" t="n"/>
      <c r="K599" s="100" t="n">
        <v>9</v>
      </c>
      <c r="L599" s="102" t="inlineStr">
        <is>
          <t>20260929</t>
        </is>
      </c>
      <c r="M599" s="99" t="inlineStr">
        <is>
          <t>제외</t>
        </is>
      </c>
      <c r="N599" s="99" t="inlineStr">
        <is>
          <t>상장 10개월(기준 12개월 미만), 연 분배율 산출 불가(상장 1년 미만 — 12개월 창이 안 채워짐)</t>
        </is>
      </c>
      <c r="O599" s="99" t="inlineStr">
        <is>
          <t>나스닥 100</t>
        </is>
      </c>
      <c r="P599" s="99" t="inlineStr">
        <is>
          <t>커버드콜</t>
        </is>
      </c>
      <c r="Q599" s="99" t="inlineStr">
        <is>
          <t>주식</t>
        </is>
      </c>
      <c r="R599" s="99" t="inlineStr">
        <is>
          <t>판정 불가</t>
        </is>
      </c>
      <c r="S599" s="100" t="n">
        <v>9</v>
      </c>
      <c r="T599" s="101" t="n"/>
      <c r="U599" s="103" t="n"/>
      <c r="V599" s="103" t="n"/>
      <c r="W599" s="103" t="n">
        <v>0.0129</v>
      </c>
      <c r="X599" s="103" t="n">
        <v>-0.1101</v>
      </c>
      <c r="Y599" s="99" t="inlineStr"/>
      <c r="Z599" s="99" t="inlineStr">
        <is>
          <t>기준가 189일치뿐 — 창(250거래일)을 못 채움</t>
        </is>
      </c>
    </row>
    <row r="600">
      <c r="A600" s="99" t="inlineStr">
        <is>
          <t>KIWOOM 삼성전자&amp;SK하이닉스채권혼합50</t>
        </is>
      </c>
      <c r="B600" s="99" t="inlineStr">
        <is>
          <t>0183V0</t>
        </is>
      </c>
      <c r="C600" s="99" t="inlineStr">
        <is>
          <t>키움투자자산운용</t>
        </is>
      </c>
      <c r="D600" s="100" t="n">
        <v>12085</v>
      </c>
      <c r="E600" s="100" t="n">
        <v>275538000000</v>
      </c>
      <c r="F600" s="100" t="n">
        <v>10759863332</v>
      </c>
      <c r="G600" s="101" t="n">
        <v>0.0007000000000000001</v>
      </c>
      <c r="H600" s="101" t="n">
        <v>0.484</v>
      </c>
      <c r="I600" s="101" t="n">
        <v>0.0126</v>
      </c>
      <c r="J600" s="101" t="n"/>
      <c r="K600" s="100" t="n">
        <v>5</v>
      </c>
      <c r="L600" s="102" t="inlineStr">
        <is>
          <t>20260914</t>
        </is>
      </c>
      <c r="M600" s="99" t="inlineStr">
        <is>
          <t>제외</t>
        </is>
      </c>
      <c r="N600" s="99" t="inlineStr">
        <is>
          <t>변동성 48.4%(111거래일 기준, 기준 35% 초과), 상장 6개월(기준 12개월 미만), 연 분배율 산출 불가(상장 1년 미만 — 12개월 창이 안 채워짐)</t>
        </is>
      </c>
      <c r="O600" s="99" t="inlineStr">
        <is>
          <t>FnGuide 삼성전자 &amp; SK하이닉스 채권혼합 지수</t>
        </is>
      </c>
      <c r="P600" s="99" t="inlineStr">
        <is>
          <t>일반</t>
        </is>
      </c>
      <c r="Q600" s="99" t="inlineStr">
        <is>
          <t>멀티에셋</t>
        </is>
      </c>
      <c r="R600" s="99" t="inlineStr">
        <is>
          <t>판정 불가</t>
        </is>
      </c>
      <c r="S600" s="100" t="n">
        <v>5</v>
      </c>
      <c r="T600" s="101" t="n"/>
      <c r="U600" s="103" t="n"/>
      <c r="V600" s="103" t="n"/>
      <c r="W600" s="103" t="n"/>
      <c r="X600" s="103" t="n">
        <v>-0.094</v>
      </c>
      <c r="Y600" s="99" t="inlineStr"/>
      <c r="Z600" s="99" t="inlineStr">
        <is>
          <t>기준가 111일치뿐 — 창(250거래일)을 못 채움 / 6개월: 기준가 111일치뿐 — 창(123거래일)을 못 채움</t>
        </is>
      </c>
    </row>
    <row r="601">
      <c r="A601" s="99" t="inlineStr">
        <is>
          <t>TIGER 삼성전자SK하이닉스미국채혼합50</t>
        </is>
      </c>
      <c r="B601" s="99" t="inlineStr">
        <is>
          <t>0233J0</t>
        </is>
      </c>
      <c r="C601" s="99" t="inlineStr">
        <is>
          <t>미래에셋자산운용</t>
        </is>
      </c>
      <c r="D601" s="100" t="n">
        <v>10680</v>
      </c>
      <c r="E601" s="100" t="n">
        <v>213600000000</v>
      </c>
      <c r="F601" s="100" t="n"/>
      <c r="G601" s="101" t="n">
        <v>0.0015</v>
      </c>
      <c r="H601" s="101" t="n"/>
      <c r="I601" s="101" t="n">
        <v>0.0007000000000000001</v>
      </c>
      <c r="J601" s="101" t="n"/>
      <c r="K601" s="100" t="n">
        <v>1</v>
      </c>
      <c r="L601" s="102" t="inlineStr">
        <is>
          <t>20260929</t>
        </is>
      </c>
      <c r="M601" s="99" t="inlineStr">
        <is>
          <t>제외</t>
        </is>
      </c>
      <c r="N601" s="99" t="inlineStr">
        <is>
          <t>거래대금 미확인, 변동성 산출 불가(시세 27일치뿐), 상장 2개월(기준 12개월 미만), 연 분배율 산출 불가(상장 1년 미만 — 12개월 창이 안 채워짐)</t>
        </is>
      </c>
      <c r="O601" s="99" t="inlineStr">
        <is>
          <t>KRX 삼성전자 SK하이닉스 미국채 혼합지수</t>
        </is>
      </c>
      <c r="P601" s="99" t="inlineStr">
        <is>
          <t>일반</t>
        </is>
      </c>
      <c r="Q601" s="99" t="inlineStr">
        <is>
          <t>멀티에셋</t>
        </is>
      </c>
      <c r="R601" s="99" t="inlineStr">
        <is>
          <t>판정 불가</t>
        </is>
      </c>
      <c r="S601" s="100" t="n">
        <v>1</v>
      </c>
      <c r="T601" s="101" t="n"/>
      <c r="U601" s="103" t="n"/>
      <c r="V601" s="103" t="n"/>
      <c r="W601" s="103" t="n"/>
      <c r="X601" s="103" t="n"/>
      <c r="Y601" s="99" t="inlineStr"/>
      <c r="Z601" s="99" t="inlineStr">
        <is>
          <t>기준가 27일치뿐 — 창(250거래일)을 못 채움 / 6개월: 기준가 27일치뿐 — 창(123거래일)을 못 채움 / 3개월: 기준가 27일치뿐 — 창(62거래일)을 못 채움</t>
        </is>
      </c>
    </row>
    <row r="602">
      <c r="A602" s="99" t="inlineStr">
        <is>
          <t>KODEX 주주환원고배당주</t>
        </is>
      </c>
      <c r="B602" s="99" t="inlineStr">
        <is>
          <t>0153K0</t>
        </is>
      </c>
      <c r="C602" s="99" t="inlineStr">
        <is>
          <t>삼성자산운용(ETF)</t>
        </is>
      </c>
      <c r="D602" s="100" t="n">
        <v>11965</v>
      </c>
      <c r="E602" s="100" t="n">
        <v>206994500000</v>
      </c>
      <c r="F602" s="100" t="n">
        <v>2115334397</v>
      </c>
      <c r="G602" s="101" t="n">
        <v>0.0033</v>
      </c>
      <c r="H602" s="101" t="n">
        <v>0.3481</v>
      </c>
      <c r="I602" s="101" t="n">
        <v>0.0038</v>
      </c>
      <c r="J602" s="101" t="n"/>
      <c r="K602" s="100" t="n">
        <v>7</v>
      </c>
      <c r="L602" s="102" t="inlineStr">
        <is>
          <t>20260914</t>
        </is>
      </c>
      <c r="M602" s="99" t="inlineStr">
        <is>
          <t>제외</t>
        </is>
      </c>
      <c r="N602" s="99" t="inlineStr">
        <is>
          <t>상장 9개월(기준 12개월 미만), 연 분배율 산출 불가(상장 1년 미만 — 12개월 창이 안 채워짐)</t>
        </is>
      </c>
      <c r="O602" s="99" t="inlineStr">
        <is>
          <t>Akros 주주환원 고배당 지수</t>
        </is>
      </c>
      <c r="P602" s="99" t="inlineStr">
        <is>
          <t>일반</t>
        </is>
      </c>
      <c r="Q602" s="99" t="inlineStr">
        <is>
          <t>주식</t>
        </is>
      </c>
      <c r="R602" s="99" t="inlineStr">
        <is>
          <t>판정 불가</t>
        </is>
      </c>
      <c r="S602" s="100" t="n">
        <v>7</v>
      </c>
      <c r="T602" s="101" t="n"/>
      <c r="U602" s="103" t="n"/>
      <c r="V602" s="103" t="n"/>
      <c r="W602" s="103" t="n">
        <v>0.06610000000000001</v>
      </c>
      <c r="X602" s="103" t="n">
        <v>-0.0167</v>
      </c>
      <c r="Y602" s="99" t="inlineStr"/>
      <c r="Z602" s="99" t="inlineStr">
        <is>
          <t>기준가 172일치뿐 — 창(250거래일)을 못 채움</t>
        </is>
      </c>
    </row>
    <row r="603">
      <c r="A603" s="99" t="inlineStr">
        <is>
          <t>KODEX 반도체타겟위클리커버드콜</t>
        </is>
      </c>
      <c r="B603" s="99" t="inlineStr">
        <is>
          <t>0190G0</t>
        </is>
      </c>
      <c r="C603" s="99" t="inlineStr">
        <is>
          <t>삼성자산운용(ETF)</t>
        </is>
      </c>
      <c r="D603" s="100" t="n">
        <v>10230</v>
      </c>
      <c r="E603" s="100" t="n">
        <v>192324000000</v>
      </c>
      <c r="F603" s="100" t="n">
        <v>5787848250</v>
      </c>
      <c r="G603" s="101" t="n">
        <v>0.004500000000000001</v>
      </c>
      <c r="H603" s="101" t="n">
        <v>0.8269</v>
      </c>
      <c r="I603" s="101" t="n">
        <v>0.0072</v>
      </c>
      <c r="J603" s="101" t="n"/>
      <c r="K603" s="100" t="n">
        <v>5</v>
      </c>
      <c r="L603" s="102" t="inlineStr">
        <is>
          <t>20260929</t>
        </is>
      </c>
      <c r="M603" s="99" t="inlineStr">
        <is>
          <t>제외</t>
        </is>
      </c>
      <c r="N603" s="99" t="inlineStr">
        <is>
          <t>변동성 82.7%(98거래일 기준, 기준 35% 초과), 상장 5개월(기준 12개월 미만), 연 분배율 산출 불가(상장 1년 미만 — 12개월 창이 안 채워짐)</t>
        </is>
      </c>
      <c r="O603" s="99" t="inlineStr">
        <is>
          <t>KRX 반도체 타겟 9% 분배 위클리 커버드콜 지수</t>
        </is>
      </c>
      <c r="P603" s="99" t="inlineStr">
        <is>
          <t>커버드콜</t>
        </is>
      </c>
      <c r="Q603" s="99" t="inlineStr">
        <is>
          <t>주식</t>
        </is>
      </c>
      <c r="R603" s="99" t="inlineStr">
        <is>
          <t>판정 불가</t>
        </is>
      </c>
      <c r="S603" s="100" t="n">
        <v>5</v>
      </c>
      <c r="T603" s="101" t="n"/>
      <c r="U603" s="103" t="n"/>
      <c r="V603" s="103" t="n"/>
      <c r="W603" s="103" t="n"/>
      <c r="X603" s="103" t="n"/>
      <c r="Y603" s="99" t="inlineStr"/>
      <c r="Z603" s="99" t="inlineStr">
        <is>
          <t>기준가 98일치뿐 — 창(250거래일)을 못 채움 / 6개월: 기준가 98일치뿐 — 창(123거래일)을 못 채움 / 3개월: 창 안 급변일 1일(20260731) — 내지 않음</t>
        </is>
      </c>
    </row>
    <row r="604">
      <c r="A604" s="99" t="inlineStr">
        <is>
          <t>ACE 고배당주Plus커버드콜액티브</t>
        </is>
      </c>
      <c r="B604" s="99" t="inlineStr">
        <is>
          <t>0199C0</t>
        </is>
      </c>
      <c r="C604" s="99" t="inlineStr">
        <is>
          <t>한국투신운용(ETF)</t>
        </is>
      </c>
      <c r="D604" s="100" t="n">
        <v>8925</v>
      </c>
      <c r="E604" s="100" t="n">
        <v>143246250000</v>
      </c>
      <c r="F604" s="100" t="n">
        <v>5891823322</v>
      </c>
      <c r="G604" s="101" t="n">
        <v>0.004</v>
      </c>
      <c r="H604" s="101" t="n">
        <v>0.34</v>
      </c>
      <c r="I604" s="101" t="n">
        <v>0.0169</v>
      </c>
      <c r="J604" s="101" t="n"/>
      <c r="K604" s="100" t="n">
        <v>4</v>
      </c>
      <c r="L604" s="102" t="inlineStr">
        <is>
          <t>20260929</t>
        </is>
      </c>
      <c r="M604" s="99" t="inlineStr">
        <is>
          <t>제외</t>
        </is>
      </c>
      <c r="N604" s="99" t="inlineStr">
        <is>
          <t>상장 4개월(기준 12개월 미만), 연 분배율 산출 불가(상장 1년 미만 — 12개월 창이 안 채워짐)</t>
        </is>
      </c>
      <c r="O604" s="99" t="inlineStr">
        <is>
          <t>KRX-Akros 고배당주 20 위클리 고정 30% 커버드콜 지수</t>
        </is>
      </c>
      <c r="P604" s="99" t="inlineStr">
        <is>
          <t>커버드콜</t>
        </is>
      </c>
      <c r="Q604" s="99" t="inlineStr">
        <is>
          <t>주식</t>
        </is>
      </c>
      <c r="R604" s="99" t="inlineStr">
        <is>
          <t>판정 불가</t>
        </is>
      </c>
      <c r="S604" s="100" t="n">
        <v>4</v>
      </c>
      <c r="T604" s="101" t="n"/>
      <c r="U604" s="103" t="n"/>
      <c r="V604" s="103" t="n"/>
      <c r="W604" s="103" t="n"/>
      <c r="X604" s="103" t="n">
        <v>-0.1089</v>
      </c>
      <c r="Y604" s="99" t="inlineStr"/>
      <c r="Z604" s="99" t="inlineStr">
        <is>
          <t>기준가 84일치뿐 — 창(250거래일)을 못 채움 / 6개월: 기준가 84일치뿐 — 창(123거래일)을 못 채움</t>
        </is>
      </c>
    </row>
    <row r="605">
      <c r="A605" s="99" t="inlineStr">
        <is>
          <t>PLUS 테슬라위클리커버드콜채권혼합</t>
        </is>
      </c>
      <c r="B605" s="99" t="inlineStr">
        <is>
          <t>0132K0</t>
        </is>
      </c>
      <c r="C605" s="99" t="inlineStr">
        <is>
          <t>한화자산운용</t>
        </is>
      </c>
      <c r="D605" s="100" t="n">
        <v>7915</v>
      </c>
      <c r="E605" s="100" t="n">
        <v>106456750000</v>
      </c>
      <c r="F605" s="100" t="n">
        <v>1176392495</v>
      </c>
      <c r="G605" s="101" t="n">
        <v>0.0039</v>
      </c>
      <c r="H605" s="101" t="n">
        <v>0.1282</v>
      </c>
      <c r="I605" s="101" t="n">
        <v>0.02</v>
      </c>
      <c r="J605" s="101" t="n"/>
      <c r="K605" s="100" t="n">
        <v>10</v>
      </c>
      <c r="L605" s="102" t="inlineStr">
        <is>
          <t>20260914</t>
        </is>
      </c>
      <c r="M605" s="99" t="inlineStr">
        <is>
          <t>제외</t>
        </is>
      </c>
      <c r="N605" s="99" t="inlineStr">
        <is>
          <t>상장 10개월(기준 12개월 미만), 연 분배율 산출 불가(상장 1년 미만 — 12개월 창이 안 채워짐)</t>
        </is>
      </c>
      <c r="O605" s="99" t="inlineStr">
        <is>
          <t>Akros Tesla Weekly Covered Call Treasury Balanced Index</t>
        </is>
      </c>
      <c r="P605" s="99" t="inlineStr">
        <is>
          <t>커버드콜</t>
        </is>
      </c>
      <c r="Q605" s="99" t="inlineStr">
        <is>
          <t>멀티에셋</t>
        </is>
      </c>
      <c r="R605" s="99" t="inlineStr">
        <is>
          <t>판정 불가</t>
        </is>
      </c>
      <c r="S605" s="100" t="n">
        <v>10</v>
      </c>
      <c r="T605" s="101" t="n"/>
      <c r="U605" s="103" t="n"/>
      <c r="V605" s="103" t="n"/>
      <c r="W605" s="103" t="n">
        <v>-0.1377</v>
      </c>
      <c r="X605" s="103" t="n">
        <v>-0.1081</v>
      </c>
      <c r="Y605" s="99" t="inlineStr"/>
      <c r="Z605" s="99" t="inlineStr">
        <is>
          <t>기준가 199일치뿐 — 창(250거래일)을 못 채움</t>
        </is>
      </c>
    </row>
    <row r="606">
      <c r="A606" s="99" t="inlineStr">
        <is>
          <t>KIWOOM 코스닥150커버드콜액티브</t>
        </is>
      </c>
      <c r="B606" s="99" t="inlineStr">
        <is>
          <t>0198A0</t>
        </is>
      </c>
      <c r="C606" s="99" t="inlineStr">
        <is>
          <t>키움투자자산운용</t>
        </is>
      </c>
      <c r="D606" s="100" t="n">
        <v>8970</v>
      </c>
      <c r="E606" s="100" t="n">
        <v>96427500000</v>
      </c>
      <c r="F606" s="100" t="n">
        <v>5052047158</v>
      </c>
      <c r="G606" s="101" t="n">
        <v>0.0063</v>
      </c>
      <c r="H606" s="101" t="n">
        <v>0.5789</v>
      </c>
      <c r="I606" s="101" t="n">
        <v>0.0245</v>
      </c>
      <c r="J606" s="101" t="n"/>
      <c r="K606" s="100" t="n">
        <v>3</v>
      </c>
      <c r="L606" s="102" t="inlineStr">
        <is>
          <t>20260929</t>
        </is>
      </c>
      <c r="M606" s="99" t="inlineStr">
        <is>
          <t>제외</t>
        </is>
      </c>
      <c r="N606" s="99" t="inlineStr">
        <is>
          <t>변동성 57.9%(65거래일 기준, 기준 35% 초과), 상장 4개월(기준 12개월 미만), 연 분배율 산출 불가(상장 1년 미만 — 12개월 창이 안 채워짐)</t>
        </is>
      </c>
      <c r="O606" s="99" t="inlineStr">
        <is>
          <t>코스닥 150 위클리 고정 30% 커버드콜 지수</t>
        </is>
      </c>
      <c r="P606" s="99" t="inlineStr">
        <is>
          <t>커버드콜</t>
        </is>
      </c>
      <c r="Q606" s="99" t="inlineStr">
        <is>
          <t>주식</t>
        </is>
      </c>
      <c r="R606" s="99" t="inlineStr">
        <is>
          <t>판정 불가</t>
        </is>
      </c>
      <c r="S606" s="100" t="n">
        <v>3</v>
      </c>
      <c r="T606" s="101" t="n"/>
      <c r="U606" s="103" t="n"/>
      <c r="V606" s="103" t="n"/>
      <c r="W606" s="103" t="n"/>
      <c r="X606" s="103" t="n">
        <v>-0.09050000000000001</v>
      </c>
      <c r="Y606" s="99" t="inlineStr"/>
      <c r="Z606" s="99" t="inlineStr">
        <is>
          <t>기준가 65일치뿐 — 창(250거래일)을 못 채움 / 6개월: 기준가 65일치뿐 — 창(123거래일)을 못 채움</t>
        </is>
      </c>
    </row>
    <row r="607">
      <c r="A607" s="99" t="inlineStr">
        <is>
          <t>PLUS 200커버드콜액티브</t>
        </is>
      </c>
      <c r="B607" s="99" t="inlineStr">
        <is>
          <t>0210E0</t>
        </is>
      </c>
      <c r="C607" s="99" t="inlineStr">
        <is>
          <t>한화자산운용</t>
        </is>
      </c>
      <c r="D607" s="100" t="n">
        <v>7375</v>
      </c>
      <c r="E607" s="100" t="n">
        <v>74487500000</v>
      </c>
      <c r="F607" s="100" t="n">
        <v>2041218775</v>
      </c>
      <c r="G607" s="101" t="n">
        <v>0.00491</v>
      </c>
      <c r="H607" s="101" t="n">
        <v>0.7214</v>
      </c>
      <c r="I607" s="101" t="n">
        <v>0.0205</v>
      </c>
      <c r="J607" s="101" t="n"/>
      <c r="K607" s="100" t="n">
        <v>3</v>
      </c>
      <c r="L607" s="102" t="inlineStr">
        <is>
          <t>20260929</t>
        </is>
      </c>
      <c r="M607" s="99" t="inlineStr">
        <is>
          <t>제외</t>
        </is>
      </c>
      <c r="N607" s="99" t="inlineStr">
        <is>
          <t>변동성 72.1%(70거래일 기준, 기준 35% 초과), 상장 4개월(기준 12개월 미만), 연 분배율 산출 불가(상장 1년 미만 — 12개월 창이 안 채워짐)</t>
        </is>
      </c>
      <c r="O607" s="99" t="inlineStr">
        <is>
          <t>코스피 200 위클리 고정 30% 커버드콜 지수</t>
        </is>
      </c>
      <c r="P607" s="99" t="inlineStr">
        <is>
          <t>커버드콜</t>
        </is>
      </c>
      <c r="Q607" s="99" t="inlineStr">
        <is>
          <t>주식</t>
        </is>
      </c>
      <c r="R607" s="99" t="inlineStr">
        <is>
          <t>판정 불가</t>
        </is>
      </c>
      <c r="S607" s="100" t="n">
        <v>3</v>
      </c>
      <c r="T607" s="101" t="n"/>
      <c r="U607" s="103" t="n"/>
      <c r="V607" s="103" t="n"/>
      <c r="W607" s="103" t="n"/>
      <c r="X607" s="103" t="n"/>
      <c r="Y607" s="99" t="inlineStr"/>
      <c r="Z607" s="99" t="inlineStr">
        <is>
          <t>기준가 70일치뿐 — 창(250거래일)을 못 채움 / 6개월: 기준가 70일치뿐 — 창(123거래일)을 못 채움 / 3개월: 창 안 급변일 1일(20260731) — 내지 않음</t>
        </is>
      </c>
    </row>
    <row r="608">
      <c r="A608" s="99" t="inlineStr">
        <is>
          <t>ACE 삼성전자SK하이닉스플러스채권혼합50</t>
        </is>
      </c>
      <c r="B608" s="99" t="inlineStr">
        <is>
          <t>0233A0</t>
        </is>
      </c>
      <c r="C608" s="99" t="inlineStr">
        <is>
          <t>한국투신운용(ETF)</t>
        </is>
      </c>
      <c r="D608" s="100" t="n">
        <v>10820</v>
      </c>
      <c r="E608" s="100" t="n">
        <v>69248000000</v>
      </c>
      <c r="F608" s="100" t="n"/>
      <c r="G608" s="101" t="n">
        <v>0.0007000000000000001</v>
      </c>
      <c r="H608" s="101" t="n"/>
      <c r="I608" s="101" t="n">
        <v>0.0012</v>
      </c>
      <c r="J608" s="101" t="n"/>
      <c r="K608" s="100" t="n">
        <v>1</v>
      </c>
      <c r="L608" s="102" t="inlineStr">
        <is>
          <t>20260929</t>
        </is>
      </c>
      <c r="M608" s="99" t="inlineStr">
        <is>
          <t>제외</t>
        </is>
      </c>
      <c r="N608" s="99" t="inlineStr">
        <is>
          <t>거래대금 미확인, 변동성 산출 불가(시세 27일치뿐), 상장 2개월(기준 12개월 미만), 연 분배율 산출 불가(상장 1년 미만 — 12개월 창이 안 채워짐)</t>
        </is>
      </c>
      <c r="O608" s="99" t="inlineStr">
        <is>
          <t>KAP 삼성전자SK하이닉스플러스채권혼합50지수</t>
        </is>
      </c>
      <c r="P608" s="99" t="inlineStr">
        <is>
          <t>일반</t>
        </is>
      </c>
      <c r="Q608" s="99" t="inlineStr">
        <is>
          <t>멀티에셋</t>
        </is>
      </c>
      <c r="R608" s="99" t="inlineStr">
        <is>
          <t>판정 불가</t>
        </is>
      </c>
      <c r="S608" s="100" t="n">
        <v>1</v>
      </c>
      <c r="T608" s="101" t="n"/>
      <c r="U608" s="103" t="n"/>
      <c r="V608" s="103" t="n"/>
      <c r="W608" s="103" t="n"/>
      <c r="X608" s="103" t="n"/>
      <c r="Y608" s="99" t="inlineStr"/>
      <c r="Z608" s="99" t="inlineStr">
        <is>
          <t>기준가 27일치뿐 — 창(250거래일)을 못 채움 / 6개월: 기준가 27일치뿐 — 창(123거래일)을 못 채움 / 3개월: 기준가 27일치뿐 — 창(62거래일)을 못 채움</t>
        </is>
      </c>
    </row>
    <row r="609">
      <c r="A609" s="99" t="inlineStr">
        <is>
          <t>KoAct 고배당액티브</t>
        </is>
      </c>
      <c r="B609" s="99" t="inlineStr">
        <is>
          <t>0222D0</t>
        </is>
      </c>
      <c r="C609" s="99" t="inlineStr">
        <is>
          <t>삼성액티브자산(ETF)</t>
        </is>
      </c>
      <c r="D609" s="100" t="n">
        <v>10060</v>
      </c>
      <c r="E609" s="100" t="n">
        <v>66396000000</v>
      </c>
      <c r="F609" s="100" t="n">
        <v>1881742948</v>
      </c>
      <c r="G609" s="101" t="n">
        <v>0.005</v>
      </c>
      <c r="H609" s="101" t="n"/>
      <c r="I609" s="101" t="n">
        <v>0.007900000000000001</v>
      </c>
      <c r="J609" s="101" t="n"/>
      <c r="K609" s="100" t="n">
        <v>2</v>
      </c>
      <c r="L609" s="102" t="inlineStr">
        <is>
          <t>20260929</t>
        </is>
      </c>
      <c r="M609" s="99" t="inlineStr">
        <is>
          <t>제외</t>
        </is>
      </c>
      <c r="N609" s="99" t="inlineStr">
        <is>
          <t>변동성 산출 불가(시세 46일치뿐), 상장 3개월(기준 12개월 미만), 연 분배율 산출 불가(상장 1년 미만 — 12개월 창이 안 채워짐)</t>
        </is>
      </c>
      <c r="O609" s="99" t="inlineStr">
        <is>
          <t>K200고배당</t>
        </is>
      </c>
      <c r="P609" s="99" t="inlineStr">
        <is>
          <t>일반</t>
        </is>
      </c>
      <c r="Q609" s="99" t="inlineStr">
        <is>
          <t>주식</t>
        </is>
      </c>
      <c r="R609" s="99" t="inlineStr">
        <is>
          <t>판정 불가</t>
        </is>
      </c>
      <c r="S609" s="100" t="n">
        <v>2</v>
      </c>
      <c r="T609" s="101" t="n"/>
      <c r="U609" s="103" t="n"/>
      <c r="V609" s="103" t="n"/>
      <c r="W609" s="103" t="n"/>
      <c r="X609" s="103" t="n"/>
      <c r="Y609" s="99" t="inlineStr"/>
      <c r="Z609" s="99" t="inlineStr">
        <is>
          <t>기준가 46일치뿐 — 창(250거래일)을 못 채움 / 6개월: 기준가 46일치뿐 — 창(123거래일)을 못 채움 / 3개월: 기준가 46일치뿐 — 창(62거래일)을 못 채움</t>
        </is>
      </c>
    </row>
    <row r="610">
      <c r="A610" s="99" t="inlineStr">
        <is>
          <t>HANARO 증권고배당TOP3플러스</t>
        </is>
      </c>
      <c r="B610" s="99" t="inlineStr">
        <is>
          <t>0111J0</t>
        </is>
      </c>
      <c r="C610" s="99" t="inlineStr">
        <is>
          <t>NH-Amundi자산운용</t>
        </is>
      </c>
      <c r="D610" s="100" t="n">
        <v>11985</v>
      </c>
      <c r="E610" s="100" t="n">
        <v>52734000000</v>
      </c>
      <c r="F610" s="100" t="n">
        <v>1397613109</v>
      </c>
      <c r="G610" s="101" t="n">
        <v>0.0007000000000000001</v>
      </c>
      <c r="H610" s="101" t="n">
        <v>0.6284000000000001</v>
      </c>
      <c r="I610" s="101" t="n">
        <v>0.0033</v>
      </c>
      <c r="J610" s="101" t="n"/>
      <c r="K610" s="100" t="n">
        <v>9</v>
      </c>
      <c r="L610" s="102" t="inlineStr">
        <is>
          <t>20260929</t>
        </is>
      </c>
      <c r="M610" s="99" t="inlineStr">
        <is>
          <t>제외</t>
        </is>
      </c>
      <c r="N610" s="99" t="inlineStr">
        <is>
          <t>변동성 62.8%(1년 기준, 기준 35% 초과), 연 분배율 산출 불가(상장 1년 미만 — 12개월 창이 안 채워짐)</t>
        </is>
      </c>
      <c r="O610" s="99" t="inlineStr">
        <is>
          <t>FnGuide 증권 고배당 TOP3 플러스 지수</t>
        </is>
      </c>
      <c r="P610" s="99" t="inlineStr">
        <is>
          <t>일반</t>
        </is>
      </c>
      <c r="Q610" s="99" t="inlineStr">
        <is>
          <t>주식</t>
        </is>
      </c>
      <c r="R610" s="99" t="inlineStr">
        <is>
          <t>비정기</t>
        </is>
      </c>
      <c r="S610" s="100" t="n">
        <v>9</v>
      </c>
      <c r="T610" s="101" t="n"/>
      <c r="U610" s="103" t="n"/>
      <c r="V610" s="103" t="n"/>
      <c r="W610" s="103" t="n">
        <v>-0.273</v>
      </c>
      <c r="X610" s="103" t="n">
        <v>-0.2298</v>
      </c>
      <c r="Y610" s="99" t="inlineStr"/>
      <c r="Z610" s="99" t="inlineStr">
        <is>
          <t>기준가 229일치뿐 — 창(250거래일)을 못 채움</t>
        </is>
      </c>
    </row>
    <row r="611">
      <c r="A611" s="99" t="inlineStr">
        <is>
          <t>ACE 고배당주</t>
        </is>
      </c>
      <c r="B611" s="99" t="inlineStr">
        <is>
          <t>0139P0</t>
        </is>
      </c>
      <c r="C611" s="99" t="inlineStr">
        <is>
          <t>한국투신운용(ETF)</t>
        </is>
      </c>
      <c r="D611" s="100" t="n">
        <v>13250</v>
      </c>
      <c r="E611" s="100" t="n">
        <v>50350000000</v>
      </c>
      <c r="F611" s="100" t="n">
        <v>386107035</v>
      </c>
      <c r="G611" s="101" t="n">
        <v>0.0015</v>
      </c>
      <c r="H611" s="101" t="n">
        <v>0.3819</v>
      </c>
      <c r="I611" s="101" t="n">
        <v>0.0039</v>
      </c>
      <c r="J611" s="101" t="n"/>
      <c r="K611" s="100" t="n">
        <v>10</v>
      </c>
      <c r="L611" s="102" t="inlineStr">
        <is>
          <t>20260929</t>
        </is>
      </c>
      <c r="M611" s="99" t="inlineStr">
        <is>
          <t>제외</t>
        </is>
      </c>
      <c r="N611" s="99" t="inlineStr">
        <is>
          <t>60일 거래대금 3.9억(기준 5억 미만), 변동성 38.2%(194거래일 기준, 기준 35% 초과), 상장 10개월(기준 12개월 미만), 연 분배율 산출 불가(상장 1년 미만 — 12개월 창이 안 채워짐)</t>
        </is>
      </c>
      <c r="O611" s="99" t="inlineStr">
        <is>
          <t>KRX-Akros 고배당주 20 지수</t>
        </is>
      </c>
      <c r="P611" s="99" t="inlineStr">
        <is>
          <t>일반</t>
        </is>
      </c>
      <c r="Q611" s="99" t="inlineStr">
        <is>
          <t>주식</t>
        </is>
      </c>
      <c r="R611" s="99" t="inlineStr">
        <is>
          <t>판정 불가</t>
        </is>
      </c>
      <c r="S611" s="100" t="n">
        <v>10</v>
      </c>
      <c r="T611" s="101" t="n"/>
      <c r="U611" s="103" t="n"/>
      <c r="V611" s="103" t="n"/>
      <c r="W611" s="103" t="n">
        <v>0.0177</v>
      </c>
      <c r="X611" s="103" t="n">
        <v>-0.0347</v>
      </c>
      <c r="Y611" s="99" t="inlineStr"/>
      <c r="Z611" s="99" t="inlineStr">
        <is>
          <t>기준가 194일치뿐 — 창(250거래일)을 못 채움</t>
        </is>
      </c>
    </row>
    <row r="612">
      <c r="A612" s="99" t="inlineStr">
        <is>
          <t>RISE 미국S&amp;P500데일리고정커버드콜</t>
        </is>
      </c>
      <c r="B612" s="99" t="inlineStr">
        <is>
          <t>0138T0</t>
        </is>
      </c>
      <c r="C612" s="99" t="inlineStr">
        <is>
          <t>KB자산운용</t>
        </is>
      </c>
      <c r="D612" s="100" t="n">
        <v>9250</v>
      </c>
      <c r="E612" s="100" t="n">
        <v>32375000000</v>
      </c>
      <c r="F612" s="100" t="n">
        <v>288168241</v>
      </c>
      <c r="G612" s="101" t="n">
        <v>0.0025</v>
      </c>
      <c r="H612" s="101" t="n">
        <v>0.1535</v>
      </c>
      <c r="I612" s="101" t="n">
        <v>0.008</v>
      </c>
      <c r="J612" s="101" t="n"/>
      <c r="K612" s="100" t="n">
        <v>10</v>
      </c>
      <c r="L612" s="102" t="inlineStr">
        <is>
          <t>20260914</t>
        </is>
      </c>
      <c r="M612" s="99" t="inlineStr">
        <is>
          <t>제외</t>
        </is>
      </c>
      <c r="N612" s="99" t="inlineStr">
        <is>
          <t>60일 거래대금 2.9억(기준 5억 미만), 상장 10개월(기준 12개월 미만), 연 분배율 산출 불가(상장 1년 미만 — 12개월 창이 안 채워짐)</t>
        </is>
      </c>
      <c r="O612" s="99" t="inlineStr">
        <is>
          <t>S&amp;P 500 10% Daily Fixed Covered Call Index (USD) TR</t>
        </is>
      </c>
      <c r="P612" s="99" t="inlineStr">
        <is>
          <t>커버드콜</t>
        </is>
      </c>
      <c r="Q612" s="99" t="inlineStr">
        <is>
          <t>주식</t>
        </is>
      </c>
      <c r="R612" s="99" t="inlineStr">
        <is>
          <t>판정 불가</t>
        </is>
      </c>
      <c r="S612" s="100" t="n">
        <v>10</v>
      </c>
      <c r="T612" s="101" t="n"/>
      <c r="U612" s="103" t="n"/>
      <c r="V612" s="103" t="n"/>
      <c r="W612" s="103" t="n">
        <v>-0.0313</v>
      </c>
      <c r="X612" s="103" t="n">
        <v>-0.1226</v>
      </c>
      <c r="Y612" s="99" t="inlineStr"/>
      <c r="Z612" s="99" t="inlineStr">
        <is>
          <t>기준가 189일치뿐 — 창(250거래일)을 못 채움</t>
        </is>
      </c>
    </row>
    <row r="613">
      <c r="A613" s="99" t="inlineStr">
        <is>
          <t>1Q 엔비디아알파벳미국채혼합50</t>
        </is>
      </c>
      <c r="B613" s="99" t="inlineStr">
        <is>
          <t>0224X0</t>
        </is>
      </c>
      <c r="C613" s="99" t="inlineStr">
        <is>
          <t>하나자산운용</t>
        </is>
      </c>
      <c r="D613" s="100" t="n">
        <v>9650</v>
      </c>
      <c r="E613" s="100" t="n">
        <v>27502500000</v>
      </c>
      <c r="F613" s="100" t="n">
        <v>997932264</v>
      </c>
      <c r="G613" s="101" t="n">
        <v>0.004500000000000001</v>
      </c>
      <c r="H613" s="101" t="n"/>
      <c r="I613" s="101" t="n">
        <v>0.0012</v>
      </c>
      <c r="J613" s="101" t="n"/>
      <c r="K613" s="100" t="n">
        <v>2</v>
      </c>
      <c r="L613" s="102" t="inlineStr">
        <is>
          <t>20260929</t>
        </is>
      </c>
      <c r="M613" s="99" t="inlineStr">
        <is>
          <t>제외</t>
        </is>
      </c>
      <c r="N613" s="99" t="inlineStr">
        <is>
          <t>순자산 275억(기준 300억 미만), 변동성 산출 불가(시세 46일치뿐), 상장 3개월(기준 12개월 미만), 연 분배율 산출 불가(상장 1년 미만 — 12개월 창이 안 채워짐)</t>
        </is>
      </c>
      <c r="O613" s="99" t="inlineStr">
        <is>
          <t>KEDI Nvidia Alphabet U.S. Short-Term Treasury Balanced 50 In</t>
        </is>
      </c>
      <c r="P613" s="99" t="inlineStr">
        <is>
          <t>일반</t>
        </is>
      </c>
      <c r="Q613" s="99" t="inlineStr">
        <is>
          <t>멀티에셋</t>
        </is>
      </c>
      <c r="R613" s="99" t="inlineStr">
        <is>
          <t>판정 불가</t>
        </is>
      </c>
      <c r="S613" s="100" t="n">
        <v>2</v>
      </c>
      <c r="T613" s="101" t="n"/>
      <c r="U613" s="103" t="n"/>
      <c r="V613" s="103" t="n"/>
      <c r="W613" s="103" t="n"/>
      <c r="X613" s="103" t="n"/>
      <c r="Y613" s="99" t="inlineStr"/>
      <c r="Z613" s="99" t="inlineStr">
        <is>
          <t>기준가 46일치뿐 — 창(250거래일)을 못 채움 / 6개월: 기준가 46일치뿐 — 창(123거래일)을 못 채움 / 3개월: 기준가 46일치뿐 — 창(62거래일)을 못 채움</t>
        </is>
      </c>
    </row>
    <row r="614">
      <c r="A614" s="99" t="inlineStr">
        <is>
          <t>SOL 배당성향탑픽액티브</t>
        </is>
      </c>
      <c r="B614" s="99" t="inlineStr">
        <is>
          <t>0152E0</t>
        </is>
      </c>
      <c r="C614" s="99" t="inlineStr">
        <is>
          <t>신한자산운용</t>
        </is>
      </c>
      <c r="D614" s="100" t="n">
        <v>10665</v>
      </c>
      <c r="E614" s="100" t="n">
        <v>26129250000</v>
      </c>
      <c r="F614" s="100" t="n">
        <v>198913338</v>
      </c>
      <c r="G614" s="101" t="n">
        <v>0.003</v>
      </c>
      <c r="H614" s="101" t="n">
        <v>0.3233</v>
      </c>
      <c r="I614" s="101" t="n">
        <v>0.0046</v>
      </c>
      <c r="J614" s="101" t="n"/>
      <c r="K614" s="100" t="n">
        <v>8</v>
      </c>
      <c r="L614" s="102" t="inlineStr">
        <is>
          <t>20260929</t>
        </is>
      </c>
      <c r="M614" s="99" t="inlineStr">
        <is>
          <t>제외</t>
        </is>
      </c>
      <c r="N614" s="99" t="inlineStr">
        <is>
          <t>순자산 261억(기준 300억 미만), 60일 거래대금 2.0억(기준 5억 미만), 상장 9개월(기준 12개월 미만), 연 분배율 산출 불가(상장 1년 미만 — 12개월 창이 안 채워짐)</t>
        </is>
      </c>
      <c r="O614" s="99" t="inlineStr">
        <is>
          <t>FnGuide 배당성향탑픽 지수</t>
        </is>
      </c>
      <c r="P614" s="99" t="inlineStr">
        <is>
          <t>일반</t>
        </is>
      </c>
      <c r="Q614" s="99" t="inlineStr">
        <is>
          <t>주식</t>
        </is>
      </c>
      <c r="R614" s="99" t="inlineStr">
        <is>
          <t>판정 불가</t>
        </is>
      </c>
      <c r="S614" s="100" t="n">
        <v>8</v>
      </c>
      <c r="T614" s="101" t="n"/>
      <c r="U614" s="103" t="n"/>
      <c r="V614" s="103" t="n"/>
      <c r="W614" s="103" t="n">
        <v>-0.055</v>
      </c>
      <c r="X614" s="103" t="n">
        <v>-0.0687</v>
      </c>
      <c r="Y614" s="99" t="inlineStr"/>
      <c r="Z614" s="99" t="inlineStr">
        <is>
          <t>기준가 177일치뿐 — 창(250거래일)을 못 채움</t>
        </is>
      </c>
    </row>
    <row r="615">
      <c r="A615" s="99" t="inlineStr">
        <is>
          <t>RISE 미국고배당다우존스TOP10</t>
        </is>
      </c>
      <c r="B615" s="99" t="inlineStr">
        <is>
          <t>0115C0</t>
        </is>
      </c>
      <c r="C615" s="99" t="inlineStr">
        <is>
          <t>KB자산운용</t>
        </is>
      </c>
      <c r="D615" s="100" t="n">
        <v>10370</v>
      </c>
      <c r="E615" s="100" t="n">
        <v>24369500000</v>
      </c>
      <c r="F615" s="100" t="n">
        <v>187624319</v>
      </c>
      <c r="G615" s="101" t="n">
        <v>0.0001</v>
      </c>
      <c r="H615" s="101" t="n">
        <v>0.1593</v>
      </c>
      <c r="I615" s="101" t="n">
        <v>0.0031</v>
      </c>
      <c r="J615" s="101" t="n"/>
      <c r="K615" s="100" t="n">
        <v>10</v>
      </c>
      <c r="L615" s="102" t="inlineStr">
        <is>
          <t>20260914</t>
        </is>
      </c>
      <c r="M615" s="99" t="inlineStr">
        <is>
          <t>제외</t>
        </is>
      </c>
      <c r="N615" s="99" t="inlineStr">
        <is>
          <t>순자산 244억(기준 300억 미만), 60일 거래대금 1.9억(기준 5억 미만), 연 분배율 산출 불가(상장 1년 미만 — 12개월 창이 안 채워짐)</t>
        </is>
      </c>
      <c r="O615" s="99" t="inlineStr">
        <is>
          <t>Dow Jones U.S. High Dividend 10 Index (USD)</t>
        </is>
      </c>
      <c r="P615" s="99" t="inlineStr">
        <is>
          <t>일반</t>
        </is>
      </c>
      <c r="Q615" s="99" t="inlineStr">
        <is>
          <t>주식</t>
        </is>
      </c>
      <c r="R615" s="99" t="inlineStr">
        <is>
          <t>월배당</t>
        </is>
      </c>
      <c r="S615" s="100" t="n">
        <v>10</v>
      </c>
      <c r="T615" s="101" t="n"/>
      <c r="U615" s="103" t="n"/>
      <c r="V615" s="103" t="n"/>
      <c r="W615" s="103" t="n">
        <v>-0.0974</v>
      </c>
      <c r="X615" s="103" t="n">
        <v>-0.1472</v>
      </c>
      <c r="Y615" s="99" t="inlineStr"/>
      <c r="Z615" s="99" t="inlineStr">
        <is>
          <t>기준가 234일치뿐 — 창(250거래일)을 못 채움</t>
        </is>
      </c>
    </row>
    <row r="616">
      <c r="A616" s="99" t="inlineStr">
        <is>
          <t>RISE 코스닥커버드콜액티브</t>
        </is>
      </c>
      <c r="B616" s="99" t="inlineStr">
        <is>
          <t>0223A0</t>
        </is>
      </c>
      <c r="C616" s="99" t="inlineStr">
        <is>
          <t>KB자산운용</t>
        </is>
      </c>
      <c r="D616" s="100" t="n">
        <v>11895</v>
      </c>
      <c r="E616" s="100" t="n">
        <v>22600500000</v>
      </c>
      <c r="F616" s="100" t="n">
        <v>2686382099</v>
      </c>
      <c r="G616" s="101" t="n">
        <v>0.003</v>
      </c>
      <c r="H616" s="101" t="n"/>
      <c r="I616" s="101" t="n">
        <v>0.0206</v>
      </c>
      <c r="J616" s="101" t="n"/>
      <c r="K616" s="100" t="n">
        <v>2</v>
      </c>
      <c r="L616" s="102" t="inlineStr">
        <is>
          <t>20260929</t>
        </is>
      </c>
      <c r="M616" s="99" t="inlineStr">
        <is>
          <t>제외</t>
        </is>
      </c>
      <c r="N616" s="99" t="inlineStr">
        <is>
          <t>순자산 226억(기준 300억 미만), 변동성 산출 불가(시세 46일치뿐), 상장 3개월(기준 12개월 미만), 연 분배율 산출 불가(상장 1년 미만 — 12개월 창이 안 채워짐)</t>
        </is>
      </c>
      <c r="O616" s="99" t="inlineStr">
        <is>
          <t>코스닥 150 타겟 15% 위클리 커버드콜 지수</t>
        </is>
      </c>
      <c r="P616" s="99" t="inlineStr">
        <is>
          <t>커버드콜</t>
        </is>
      </c>
      <c r="Q616" s="99" t="inlineStr">
        <is>
          <t>주식</t>
        </is>
      </c>
      <c r="R616" s="99" t="inlineStr">
        <is>
          <t>판정 불가</t>
        </is>
      </c>
      <c r="S616" s="100" t="n">
        <v>2</v>
      </c>
      <c r="T616" s="101" t="n"/>
      <c r="U616" s="103" t="n"/>
      <c r="V616" s="103" t="n"/>
      <c r="W616" s="103" t="n"/>
      <c r="X616" s="103" t="n"/>
      <c r="Y616" s="99" t="inlineStr"/>
      <c r="Z616" s="99" t="inlineStr">
        <is>
          <t>기준가 46일치뿐 — 창(250거래일)을 못 채움 / 6개월: 기준가 46일치뿐 — 창(123거래일)을 못 채움 / 3개월: 기준가 46일치뿐 — 창(62거래일)을 못 채움</t>
        </is>
      </c>
    </row>
    <row r="617">
      <c r="A617" s="99" t="inlineStr">
        <is>
          <t>SOL 코스피200채권혼합50</t>
        </is>
      </c>
      <c r="B617" s="99" t="inlineStr">
        <is>
          <t>0192S0</t>
        </is>
      </c>
      <c r="C617" s="99" t="inlineStr">
        <is>
          <t>신한자산운용</t>
        </is>
      </c>
      <c r="D617" s="100" t="n">
        <v>9555</v>
      </c>
      <c r="E617" s="100" t="n">
        <v>21021000000</v>
      </c>
      <c r="F617" s="100" t="n">
        <v>1716106938</v>
      </c>
      <c r="G617" s="101" t="n">
        <v>0.0015</v>
      </c>
      <c r="H617" s="101" t="n">
        <v>0.3789</v>
      </c>
      <c r="I617" s="101" t="n">
        <v>0.0013</v>
      </c>
      <c r="J617" s="101" t="n"/>
      <c r="K617" s="100" t="n">
        <v>4</v>
      </c>
      <c r="L617" s="102" t="inlineStr">
        <is>
          <t>20260929</t>
        </is>
      </c>
      <c r="M617" s="99" t="inlineStr">
        <is>
          <t>제외</t>
        </is>
      </c>
      <c r="N617" s="99" t="inlineStr">
        <is>
          <t>순자산 210억(기준 300억 미만), 변동성 37.9%(93거래일 기준, 기준 35% 초과), 상장 5개월(기준 12개월 미만), 연 분배율 산출 불가(상장 1년 미만 — 12개월 창이 안 채워짐)</t>
        </is>
      </c>
      <c r="O617" s="99" t="inlineStr">
        <is>
          <t>코스피 200 KTB 혼합지수</t>
        </is>
      </c>
      <c r="P617" s="99" t="inlineStr">
        <is>
          <t>일반</t>
        </is>
      </c>
      <c r="Q617" s="99" t="inlineStr">
        <is>
          <t>멀티에셋</t>
        </is>
      </c>
      <c r="R617" s="99" t="inlineStr">
        <is>
          <t>판정 불가</t>
        </is>
      </c>
      <c r="S617" s="100" t="n">
        <v>4</v>
      </c>
      <c r="T617" s="101" t="n"/>
      <c r="U617" s="103" t="n"/>
      <c r="V617" s="103" t="n"/>
      <c r="W617" s="103" t="n"/>
      <c r="X617" s="103" t="n">
        <v>-0.07099999999999999</v>
      </c>
      <c r="Y617" s="99" t="inlineStr"/>
      <c r="Z617" s="99" t="inlineStr">
        <is>
          <t>기준가 93일치뿐 — 창(250거래일)을 못 채움 / 6개월: 기준가 93일치뿐 — 창(123거래일)을 못 채움</t>
        </is>
      </c>
    </row>
    <row r="618">
      <c r="A618" s="99" t="inlineStr">
        <is>
          <t>PLUS 미국고배당주액티브</t>
        </is>
      </c>
      <c r="B618" s="99" t="inlineStr">
        <is>
          <t>0153X0</t>
        </is>
      </c>
      <c r="C618" s="99" t="inlineStr">
        <is>
          <t>한화자산운용</t>
        </is>
      </c>
      <c r="D618" s="100" t="n">
        <v>10510</v>
      </c>
      <c r="E618" s="100" t="n">
        <v>19443500000</v>
      </c>
      <c r="F618" s="100" t="n">
        <v>494642918</v>
      </c>
      <c r="G618" s="101" t="n">
        <v>0.0023</v>
      </c>
      <c r="H618" s="101" t="n">
        <v>0.1566</v>
      </c>
      <c r="I618" s="101" t="n">
        <v>0.0042</v>
      </c>
      <c r="J618" s="101" t="n"/>
      <c r="K618" s="100" t="n">
        <v>8</v>
      </c>
      <c r="L618" s="102" t="inlineStr">
        <is>
          <t>20260929</t>
        </is>
      </c>
      <c r="M618" s="99" t="inlineStr">
        <is>
          <t>제외</t>
        </is>
      </c>
      <c r="N618" s="99" t="inlineStr">
        <is>
          <t>순자산 194억(기준 300억 미만), 60일 거래대금 4.9억(기준 5억 미만), 상장 9개월(기준 12개월 미만), 연 분배율 산출 불가(상장 1년 미만 — 12개월 창이 안 채워짐)</t>
        </is>
      </c>
      <c r="O618" s="99" t="inlineStr">
        <is>
          <t>Akros U.S. High Dividend 20 Index</t>
        </is>
      </c>
      <c r="P618" s="99" t="inlineStr">
        <is>
          <t>일반</t>
        </is>
      </c>
      <c r="Q618" s="99" t="inlineStr">
        <is>
          <t>주식</t>
        </is>
      </c>
      <c r="R618" s="99" t="inlineStr">
        <is>
          <t>판정 불가</t>
        </is>
      </c>
      <c r="S618" s="100" t="n">
        <v>8</v>
      </c>
      <c r="T618" s="101" t="n"/>
      <c r="U618" s="103" t="n"/>
      <c r="V618" s="103" t="n"/>
      <c r="W618" s="103" t="n">
        <v>-0.07049999999999999</v>
      </c>
      <c r="X618" s="103" t="n">
        <v>-0.0781</v>
      </c>
      <c r="Y618" s="99" t="inlineStr"/>
      <c r="Z618" s="99" t="inlineStr">
        <is>
          <t>기준가 167일치뿐 — 창(250거래일)을 못 채움</t>
        </is>
      </c>
    </row>
    <row r="619">
      <c r="A619" s="99" t="inlineStr">
        <is>
          <t>KIWOOM 미국대형주500월간목표헤지액티브</t>
        </is>
      </c>
      <c r="B619" s="99" t="inlineStr">
        <is>
          <t>0084E0</t>
        </is>
      </c>
      <c r="C619" s="99" t="inlineStr">
        <is>
          <t>키움투자자산운용</t>
        </is>
      </c>
      <c r="D619" s="100" t="n">
        <v>9930</v>
      </c>
      <c r="E619" s="100" t="n">
        <v>14398500000</v>
      </c>
      <c r="F619" s="100" t="n">
        <v>1938513</v>
      </c>
      <c r="G619" s="101" t="n">
        <v>0.0049</v>
      </c>
      <c r="H619" s="101" t="n">
        <v>0.1149</v>
      </c>
      <c r="I619" s="101" t="n">
        <v>0.0016</v>
      </c>
      <c r="J619" s="101" t="n"/>
      <c r="K619" s="100" t="n">
        <v>11</v>
      </c>
      <c r="L619" s="102" t="inlineStr">
        <is>
          <t>20260929</t>
        </is>
      </c>
      <c r="M619" s="99" t="inlineStr">
        <is>
          <t>제외</t>
        </is>
      </c>
      <c r="N619" s="99" t="inlineStr">
        <is>
          <t>순자산 144억(기준 300억 미만), 60일 거래대금 0.0억(기준 5억 미만), 연 분배율 산출 불가(상장 1년 미만 — 12개월 창이 안 채워짐)</t>
        </is>
      </c>
      <c r="O619" s="99" t="inlineStr">
        <is>
          <t>Akros U.S. Large Cap 500 Protective Allocation Monthly Index</t>
        </is>
      </c>
      <c r="P619" s="99" t="inlineStr">
        <is>
          <t>일반</t>
        </is>
      </c>
      <c r="Q619" s="99" t="inlineStr">
        <is>
          <t>멀티에셋</t>
        </is>
      </c>
      <c r="R619" s="99" t="inlineStr">
        <is>
          <t>월배당</t>
        </is>
      </c>
      <c r="S619" s="100" t="n">
        <v>11</v>
      </c>
      <c r="T619" s="101" t="n"/>
      <c r="U619" s="103" t="n"/>
      <c r="V619" s="103" t="n"/>
      <c r="W619" s="103" t="n">
        <v>-0.0326</v>
      </c>
      <c r="X619" s="103" t="n">
        <v>-0.1209</v>
      </c>
      <c r="Y619" s="99" t="inlineStr"/>
      <c r="Z619" s="99" t="inlineStr">
        <is>
          <t>기준가 234일치뿐 — 창(250거래일)을 못 채움</t>
        </is>
      </c>
    </row>
    <row r="620">
      <c r="A620" s="99" t="inlineStr">
        <is>
          <t>ACE 리츠부동산인프라액티브</t>
        </is>
      </c>
      <c r="B620" s="99" t="inlineStr">
        <is>
          <t>0153P0</t>
        </is>
      </c>
      <c r="C620" s="99" t="inlineStr">
        <is>
          <t>한국투신운용(ETF)</t>
        </is>
      </c>
      <c r="D620" s="100" t="n">
        <v>9420</v>
      </c>
      <c r="E620" s="100" t="n">
        <v>13659000000</v>
      </c>
      <c r="F620" s="100" t="n">
        <v>65977903</v>
      </c>
      <c r="G620" s="101" t="n">
        <v>0.0005999999999999999</v>
      </c>
      <c r="H620" s="101" t="n">
        <v>0.186</v>
      </c>
      <c r="I620" s="101" t="n">
        <v>0.005699999999999999</v>
      </c>
      <c r="J620" s="101" t="n"/>
      <c r="K620" s="100" t="n">
        <v>8</v>
      </c>
      <c r="L620" s="102" t="inlineStr">
        <is>
          <t>20260929</t>
        </is>
      </c>
      <c r="M620" s="99" t="inlineStr">
        <is>
          <t>제외</t>
        </is>
      </c>
      <c r="N620" s="99" t="inlineStr">
        <is>
          <t>순자산 137억(기준 300억 미만), 60일 거래대금 0.7억(기준 5억 미만), 상장 9개월(기준 12개월 미만), 연 분배율 산출 불가(상장 1년 미만 — 12개월 창이 안 채워짐)</t>
        </is>
      </c>
      <c r="O620" s="99" t="inlineStr">
        <is>
          <t>FnGuide 맥쿼리인프라 배당 리츠 지수</t>
        </is>
      </c>
      <c r="P620" s="99" t="inlineStr">
        <is>
          <t>일반</t>
        </is>
      </c>
      <c r="Q620" s="99" t="inlineStr">
        <is>
          <t>부동산</t>
        </is>
      </c>
      <c r="R620" s="99" t="inlineStr">
        <is>
          <t>판정 불가</t>
        </is>
      </c>
      <c r="S620" s="100" t="n">
        <v>8</v>
      </c>
      <c r="T620" s="101" t="n"/>
      <c r="U620" s="103" t="n"/>
      <c r="V620" s="103" t="n"/>
      <c r="W620" s="103" t="n">
        <v>-0.1016</v>
      </c>
      <c r="X620" s="103" t="n">
        <v>0.005600000000000001</v>
      </c>
      <c r="Y620" s="99" t="inlineStr"/>
      <c r="Z620" s="99" t="inlineStr">
        <is>
          <t>기준가 172일치뿐 — 창(250거래일)을 못 채움</t>
        </is>
      </c>
    </row>
    <row r="621">
      <c r="A621" s="99" t="inlineStr">
        <is>
          <t>KIWOOM 미국S&amp;P500 TOP10&amp;배당다우비중전환</t>
        </is>
      </c>
      <c r="B621" s="99" t="inlineStr">
        <is>
          <t>0127V0</t>
        </is>
      </c>
      <c r="C621" s="99" t="inlineStr">
        <is>
          <t>키움투자자산운용</t>
        </is>
      </c>
      <c r="D621" s="100" t="n">
        <v>10620</v>
      </c>
      <c r="E621" s="100" t="n">
        <v>13275000000</v>
      </c>
      <c r="F621" s="100" t="n">
        <v>34011538</v>
      </c>
      <c r="G621" s="101" t="n">
        <v>0.0019</v>
      </c>
      <c r="H621" s="101" t="n">
        <v>0.1569</v>
      </c>
      <c r="I621" s="101" t="n">
        <v>0.0009</v>
      </c>
      <c r="J621" s="101" t="n"/>
      <c r="K621" s="100" t="n">
        <v>10</v>
      </c>
      <c r="L621" s="102" t="inlineStr">
        <is>
          <t>20260929</t>
        </is>
      </c>
      <c r="M621" s="99" t="inlineStr">
        <is>
          <t>제외</t>
        </is>
      </c>
      <c r="N621" s="99" t="inlineStr">
        <is>
          <t>순자산 133억(기준 300억 미만), 60일 거래대금 0.3억(기준 5억 미만), 상장 11개월(기준 12개월 미만), 연 분배율 산출 불가(상장 1년 미만 — 12개월 창이 안 채워짐)</t>
        </is>
      </c>
      <c r="O621" s="99" t="inlineStr">
        <is>
          <t>S&amp;P 500 Top 10 and Dow Jones U.S. Dividend 100 Life Cycle 20</t>
        </is>
      </c>
      <c r="P621" s="99" t="inlineStr">
        <is>
          <t>일반</t>
        </is>
      </c>
      <c r="Q621" s="99" t="inlineStr">
        <is>
          <t>주식</t>
        </is>
      </c>
      <c r="R621" s="99" t="inlineStr">
        <is>
          <t>판정 불가</t>
        </is>
      </c>
      <c r="S621" s="100" t="n">
        <v>10</v>
      </c>
      <c r="T621" s="101" t="n"/>
      <c r="U621" s="103" t="n"/>
      <c r="V621" s="103" t="n"/>
      <c r="W621" s="103" t="n">
        <v>0.05769999999999999</v>
      </c>
      <c r="X621" s="103" t="n">
        <v>-0.0556</v>
      </c>
      <c r="Y621" s="99" t="inlineStr"/>
      <c r="Z621" s="99" t="inlineStr">
        <is>
          <t>기준가 219일치뿐 — 창(250거래일)을 못 채움</t>
        </is>
      </c>
    </row>
    <row r="622">
      <c r="A622" s="99" t="inlineStr">
        <is>
          <t>KIWOOM SK하이닉스선물단일종목레버리지</t>
        </is>
      </c>
      <c r="B622" s="99" t="inlineStr">
        <is>
          <t>0194R0</t>
        </is>
      </c>
      <c r="C622" s="99" t="inlineStr">
        <is>
          <t>키움투자자산운용</t>
        </is>
      </c>
      <c r="D622" s="100" t="n">
        <v>9630</v>
      </c>
      <c r="E622" s="100" t="n">
        <v>13000500000</v>
      </c>
      <c r="F622" s="100" t="n">
        <v>2488851788</v>
      </c>
      <c r="G622" s="101" t="n">
        <v>0.0025</v>
      </c>
      <c r="H622" s="101" t="n">
        <v>2.2622</v>
      </c>
      <c r="I622" s="101" t="n">
        <v>0.0008</v>
      </c>
      <c r="J622" s="101" t="n"/>
      <c r="K622" s="100" t="n">
        <v>3</v>
      </c>
      <c r="L622" s="102" t="inlineStr">
        <is>
          <t>20260914</t>
        </is>
      </c>
      <c r="M622" s="99" t="inlineStr">
        <is>
          <t>제외</t>
        </is>
      </c>
      <c r="N622" s="99" t="inlineStr">
        <is>
          <t>순자산 130억(기준 300억 미만), 변동성 226.2%(88거래일 기준, 기준 35% 초과), 상장 5개월(기준 12개월 미만), 연 분배율 산출 불가(상장 1년 미만 — 12개월 창이 안 채워짐)</t>
        </is>
      </c>
      <c r="O622" s="99" t="inlineStr">
        <is>
          <t>KRX SK하이닉스 선물 지수</t>
        </is>
      </c>
      <c r="P622" s="99" t="inlineStr">
        <is>
          <t>일반</t>
        </is>
      </c>
      <c r="Q622" s="99" t="inlineStr">
        <is>
          <t>주식</t>
        </is>
      </c>
      <c r="R622" s="99" t="inlineStr">
        <is>
          <t>판정 불가</t>
        </is>
      </c>
      <c r="S622" s="100" t="n">
        <v>3</v>
      </c>
      <c r="T622" s="101" t="n"/>
      <c r="U622" s="103" t="n"/>
      <c r="V622" s="103" t="n"/>
      <c r="W622" s="103" t="n"/>
      <c r="X622" s="103" t="n"/>
      <c r="Y622" s="99" t="inlineStr"/>
      <c r="Z622" s="99" t="inlineStr">
        <is>
          <t>기준가 88일치뿐 — 창(250거래일)을 못 채움 / 6개월: 기준가 88일치뿐 — 창(123거래일)을 못 채움 / 3개월: 창 안 급변일 12일(20260708,20260713,20260716,20260724,20260728,20260729,20260730,20260731,20260806,20260819,20260820,20260907) — 내지 않음</t>
        </is>
      </c>
    </row>
    <row r="623">
      <c r="A623" s="99" t="inlineStr">
        <is>
          <t>KIWOOM 미국S&amp;P500&amp;배당다우존스비중전환</t>
        </is>
      </c>
      <c r="B623" s="99" t="inlineStr">
        <is>
          <t>0127T0</t>
        </is>
      </c>
      <c r="C623" s="99" t="inlineStr">
        <is>
          <t>키움투자자산운용</t>
        </is>
      </c>
      <c r="D623" s="100" t="n">
        <v>10740</v>
      </c>
      <c r="E623" s="100" t="n">
        <v>12888000000</v>
      </c>
      <c r="F623" s="100" t="n">
        <v>35952382</v>
      </c>
      <c r="G623" s="101" t="n">
        <v>0.0009</v>
      </c>
      <c r="H623" s="101" t="n">
        <v>0.1307</v>
      </c>
      <c r="I623" s="101" t="n">
        <v>0.0014</v>
      </c>
      <c r="J623" s="101" t="n"/>
      <c r="K623" s="100" t="n">
        <v>10</v>
      </c>
      <c r="L623" s="102" t="inlineStr">
        <is>
          <t>20260929</t>
        </is>
      </c>
      <c r="M623" s="99" t="inlineStr">
        <is>
          <t>제외</t>
        </is>
      </c>
      <c r="N623" s="99" t="inlineStr">
        <is>
          <t>순자산 129억(기준 300억 미만), 60일 거래대금 0.4억(기준 5억 미만), 상장 11개월(기준 12개월 미만), 연 분배율 산출 불가(상장 1년 미만 — 12개월 창이 안 채워짐)</t>
        </is>
      </c>
      <c r="O623" s="99" t="inlineStr">
        <is>
          <t>S&amp;P 500 and Dow Jones U.S. Dividend 100 Life Cycle 2040 Inde</t>
        </is>
      </c>
      <c r="P623" s="99" t="inlineStr">
        <is>
          <t>일반</t>
        </is>
      </c>
      <c r="Q623" s="99" t="inlineStr">
        <is>
          <t>주식</t>
        </is>
      </c>
      <c r="R623" s="99" t="inlineStr">
        <is>
          <t>판정 불가</t>
        </is>
      </c>
      <c r="S623" s="100" t="n">
        <v>10</v>
      </c>
      <c r="T623" s="101" t="n"/>
      <c r="U623" s="103" t="n"/>
      <c r="V623" s="103" t="n"/>
      <c r="W623" s="103" t="n">
        <v>0.0197</v>
      </c>
      <c r="X623" s="103" t="n">
        <v>-0.0975</v>
      </c>
      <c r="Y623" s="99" t="inlineStr"/>
      <c r="Z623" s="99" t="inlineStr">
        <is>
          <t>기준가 219일치뿐 — 창(250거래일)을 못 채움</t>
        </is>
      </c>
    </row>
    <row r="624">
      <c r="A624" s="99" t="inlineStr">
        <is>
          <t>KIWOOM 현대차그룹TOP3채권혼합50</t>
        </is>
      </c>
      <c r="B624" s="99" t="inlineStr">
        <is>
          <t>0220A0</t>
        </is>
      </c>
      <c r="C624" s="99" t="inlineStr">
        <is>
          <t>키움투자자산운용</t>
        </is>
      </c>
      <c r="D624" s="100" t="n">
        <v>8720</v>
      </c>
      <c r="E624" s="100" t="n">
        <v>12208000000</v>
      </c>
      <c r="F624" s="100" t="n">
        <v>366090482</v>
      </c>
      <c r="G624" s="101" t="n">
        <v>0.0015</v>
      </c>
      <c r="H624" s="101" t="n"/>
      <c r="I624" s="101" t="n">
        <v>0.0011</v>
      </c>
      <c r="J624" s="101" t="n"/>
      <c r="K624" s="100" t="n">
        <v>2</v>
      </c>
      <c r="L624" s="102" t="inlineStr">
        <is>
          <t>20260929</t>
        </is>
      </c>
      <c r="M624" s="99" t="inlineStr">
        <is>
          <t>제외</t>
        </is>
      </c>
      <c r="N624" s="99" t="inlineStr">
        <is>
          <t>순자산 122억(기준 300억 미만), 60일 거래대금 3.7억(기준 5억 미만), 변동성 산출 불가(시세 55일치뿐), 상장 3개월(기준 12개월 미만), 연 분배율 산출 불가(상장 1년 미만 — 12개월 창이 안 채워짐)</t>
        </is>
      </c>
      <c r="O624" s="99" t="inlineStr">
        <is>
          <t>FnGuide 현대차그룹TOP3 채권혼합지수</t>
        </is>
      </c>
      <c r="P624" s="99" t="inlineStr">
        <is>
          <t>일반</t>
        </is>
      </c>
      <c r="Q624" s="99" t="inlineStr">
        <is>
          <t>멀티에셋</t>
        </is>
      </c>
      <c r="R624" s="99" t="inlineStr">
        <is>
          <t>판정 불가</t>
        </is>
      </c>
      <c r="S624" s="100" t="n">
        <v>2</v>
      </c>
      <c r="T624" s="101" t="n"/>
      <c r="U624" s="103" t="n"/>
      <c r="V624" s="103" t="n"/>
      <c r="W624" s="103" t="n"/>
      <c r="X624" s="103" t="n"/>
      <c r="Y624" s="99" t="inlineStr"/>
      <c r="Z624" s="99" t="inlineStr">
        <is>
          <t>기준가 55일치뿐 — 창(250거래일)을 못 채움 / 6개월: 기준가 55일치뿐 — 창(123거래일)을 못 채움 / 3개월: 기준가 55일치뿐 — 창(62거래일)을 못 채움</t>
        </is>
      </c>
    </row>
    <row r="625">
      <c r="A625" s="99" t="inlineStr">
        <is>
          <t>PLUS 200위클리커버드콜채권혼합</t>
        </is>
      </c>
      <c r="B625" s="99" t="inlineStr">
        <is>
          <t>0203D0</t>
        </is>
      </c>
      <c r="C625" s="99" t="inlineStr">
        <is>
          <t>한화자산운용</t>
        </is>
      </c>
      <c r="D625" s="100" t="n">
        <v>9050</v>
      </c>
      <c r="E625" s="100" t="n">
        <v>11765000000</v>
      </c>
      <c r="F625" s="100" t="n">
        <v>229249304</v>
      </c>
      <c r="G625" s="101" t="n">
        <v>0.0039</v>
      </c>
      <c r="H625" s="101" t="n">
        <v>0.3617</v>
      </c>
      <c r="I625" s="101" t="n">
        <v>0.0071</v>
      </c>
      <c r="J625" s="101" t="n"/>
      <c r="K625" s="100" t="n">
        <v>4</v>
      </c>
      <c r="L625" s="102" t="inlineStr">
        <is>
          <t>20260929</t>
        </is>
      </c>
      <c r="M625" s="99" t="inlineStr">
        <is>
          <t>제외</t>
        </is>
      </c>
      <c r="N625" s="99" t="inlineStr">
        <is>
          <t>순자산 118억(기준 300억 미만), 60일 거래대금 2.3억(기준 5억 미만), 변동성 36.2%(84거래일 기준, 기준 35% 초과), 상장 4개월(기준 12개월 미만), 연 분배율 산출 불가(상장 1년 미만 — 12개월 창이 안 채워짐)</t>
        </is>
      </c>
      <c r="O625" s="99" t="inlineStr">
        <is>
          <t>코스피 200 KTB 혼합 위클리 고정 10% 커버드콜 지수</t>
        </is>
      </c>
      <c r="P625" s="99" t="inlineStr">
        <is>
          <t>커버드콜</t>
        </is>
      </c>
      <c r="Q625" s="99" t="inlineStr">
        <is>
          <t>멀티에셋</t>
        </is>
      </c>
      <c r="R625" s="99" t="inlineStr">
        <is>
          <t>판정 불가</t>
        </is>
      </c>
      <c r="S625" s="100" t="n">
        <v>4</v>
      </c>
      <c r="T625" s="101" t="n"/>
      <c r="U625" s="103" t="n"/>
      <c r="V625" s="103" t="n"/>
      <c r="W625" s="103" t="n"/>
      <c r="X625" s="103" t="n">
        <v>-0.0843</v>
      </c>
      <c r="Y625" s="99" t="inlineStr"/>
      <c r="Z625" s="99" t="inlineStr">
        <is>
          <t>기준가 84일치뿐 — 창(250거래일)을 못 채움 / 6개월: 기준가 84일치뿐 — 창(123거래일)을 못 채움</t>
        </is>
      </c>
    </row>
    <row r="626">
      <c r="A626" s="99" t="inlineStr">
        <is>
          <t>DAISHIN 금융&amp;지주고배당</t>
        </is>
      </c>
      <c r="B626" s="99" t="inlineStr">
        <is>
          <t>0189Z0</t>
        </is>
      </c>
      <c r="C626" s="99" t="inlineStr">
        <is>
          <t>대신자산운용</t>
        </is>
      </c>
      <c r="D626" s="100" t="n">
        <v>10120</v>
      </c>
      <c r="E626" s="100" t="n">
        <v>10120000000</v>
      </c>
      <c r="F626" s="100" t="n">
        <v>35005683</v>
      </c>
      <c r="G626" s="101" t="n">
        <v>0.0024</v>
      </c>
      <c r="H626" s="101" t="n">
        <v>0.2753</v>
      </c>
      <c r="I626" s="101" t="n">
        <v>0.0019</v>
      </c>
      <c r="J626" s="101" t="n"/>
      <c r="K626" s="100" t="n">
        <v>3</v>
      </c>
      <c r="L626" s="102" t="inlineStr">
        <is>
          <t>20260929</t>
        </is>
      </c>
      <c r="M626" s="99" t="inlineStr">
        <is>
          <t>제외</t>
        </is>
      </c>
      <c r="N626" s="99" t="inlineStr">
        <is>
          <t>순자산 101억(기준 300억 미만), 60일 거래대금 0.4억(기준 5억 미만), 상장 4개월(기준 12개월 미만), 연 분배율 산출 불가(상장 1년 미만 — 12개월 창이 안 채워짐)</t>
        </is>
      </c>
      <c r="O626" s="99" t="inlineStr">
        <is>
          <t>KRX-Akros 금융 &amp; 지주 고배당 지수</t>
        </is>
      </c>
      <c r="P626" s="99" t="inlineStr">
        <is>
          <t>일반</t>
        </is>
      </c>
      <c r="Q626" s="99" t="inlineStr">
        <is>
          <t>주식</t>
        </is>
      </c>
      <c r="R626" s="99" t="inlineStr">
        <is>
          <t>판정 불가</t>
        </is>
      </c>
      <c r="S626" s="100" t="n">
        <v>3</v>
      </c>
      <c r="T626" s="101" t="n"/>
      <c r="U626" s="103" t="n"/>
      <c r="V626" s="103" t="n"/>
      <c r="W626" s="103" t="n"/>
      <c r="X626" s="103" t="n">
        <v>-0.0113</v>
      </c>
      <c r="Y626" s="99" t="inlineStr"/>
      <c r="Z626" s="99" t="inlineStr">
        <is>
          <t>기준가 80일치뿐 — 창(250거래일)을 못 채움 / 6개월: 기준가 80일치뿐 — 창(123거래일)을 못 채움</t>
        </is>
      </c>
    </row>
    <row r="627">
      <c r="A627" s="99" t="inlineStr">
        <is>
          <t>KIWOOM 삼성전자선물단일종목레버리지</t>
        </is>
      </c>
      <c r="B627" s="99" t="inlineStr">
        <is>
          <t>0194N0</t>
        </is>
      </c>
      <c r="C627" s="99" t="inlineStr">
        <is>
          <t>키움투자자산운용</t>
        </is>
      </c>
      <c r="D627" s="100" t="n">
        <v>12410</v>
      </c>
      <c r="E627" s="100" t="n">
        <v>9617750000</v>
      </c>
      <c r="F627" s="100" t="n">
        <v>949624349</v>
      </c>
      <c r="G627" s="101" t="n">
        <v>0.0025</v>
      </c>
      <c r="H627" s="101" t="n">
        <v>1.8566</v>
      </c>
      <c r="I627" s="101" t="n">
        <v>0.0011</v>
      </c>
      <c r="J627" s="101" t="n"/>
      <c r="K627" s="100" t="n">
        <v>4</v>
      </c>
      <c r="L627" s="102" t="inlineStr">
        <is>
          <t>20260929</t>
        </is>
      </c>
      <c r="M627" s="99" t="inlineStr">
        <is>
          <t>제외</t>
        </is>
      </c>
      <c r="N627" s="99" t="inlineStr">
        <is>
          <t>순자산 96억(기준 300억 미만), 변동성 185.7%(88거래일 기준, 기준 35% 초과), 상장 5개월(기준 12개월 미만), 연 분배율 산출 불가(상장 1년 미만 — 12개월 창이 안 채워짐)</t>
        </is>
      </c>
      <c r="O627" s="99" t="inlineStr">
        <is>
          <t>KRX 삼성전자 선물 지수</t>
        </is>
      </c>
      <c r="P627" s="99" t="inlineStr">
        <is>
          <t>일반</t>
        </is>
      </c>
      <c r="Q627" s="99" t="inlineStr">
        <is>
          <t>주식</t>
        </is>
      </c>
      <c r="R627" s="99" t="inlineStr">
        <is>
          <t>판정 불가</t>
        </is>
      </c>
      <c r="S627" s="100" t="n">
        <v>4</v>
      </c>
      <c r="T627" s="101" t="n"/>
      <c r="U627" s="103" t="n"/>
      <c r="V627" s="103" t="n"/>
      <c r="W627" s="103" t="n"/>
      <c r="X627" s="103" t="n"/>
      <c r="Y627" s="99" t="inlineStr"/>
      <c r="Z627" s="99" t="inlineStr">
        <is>
          <t>기준가 88일치뿐 — 창(250거래일)을 못 채움 / 6개월: 기준가 88일치뿐 — 창(123거래일)을 못 채움 / 3개월: 창 안 급변일 10일(20260707,20260708,20260713,20260716,20260724,20260728,20260731,20260819,20260820,20260824) — 내지 않음</t>
        </is>
      </c>
    </row>
    <row r="628">
      <c r="A628" s="99" t="inlineStr">
        <is>
          <t>KIWOOM 미국우주테크TOP2채권혼합50</t>
        </is>
      </c>
      <c r="B628" s="99" t="inlineStr">
        <is>
          <t>0216K0</t>
        </is>
      </c>
      <c r="C628" s="99" t="inlineStr">
        <is>
          <t>키움투자자산운용</t>
        </is>
      </c>
      <c r="D628" s="100" t="n">
        <v>8770</v>
      </c>
      <c r="E628" s="100" t="n">
        <v>8770000000</v>
      </c>
      <c r="F628" s="100" t="n">
        <v>400291287</v>
      </c>
      <c r="G628" s="101" t="n">
        <v>0.0021</v>
      </c>
      <c r="H628" s="101" t="n"/>
      <c r="I628" s="101" t="n">
        <v>0.0011</v>
      </c>
      <c r="J628" s="101" t="n"/>
      <c r="K628" s="100" t="n">
        <v>2</v>
      </c>
      <c r="L628" s="102" t="inlineStr">
        <is>
          <t>20260929</t>
        </is>
      </c>
      <c r="M628" s="99" t="inlineStr">
        <is>
          <t>제외</t>
        </is>
      </c>
      <c r="N628" s="99" t="inlineStr">
        <is>
          <t>순자산 88억(기준 300억 미만), 60일 거래대금 4.0억(기준 5억 미만), 변동성 산출 불가(시세 60일치뿐), 상장 3개월(기준 12개월 미만), 연 분배율 산출 불가(상장 1년 미만 — 12개월 창이 안 채워짐)</t>
        </is>
      </c>
      <c r="O628" s="99" t="inlineStr">
        <is>
          <t>Akros 미국우주 Top2 채권혼합 지수</t>
        </is>
      </c>
      <c r="P628" s="99" t="inlineStr">
        <is>
          <t>일반</t>
        </is>
      </c>
      <c r="Q628" s="99" t="inlineStr">
        <is>
          <t>멀티에셋</t>
        </is>
      </c>
      <c r="R628" s="99" t="inlineStr">
        <is>
          <t>판정 불가</t>
        </is>
      </c>
      <c r="S628" s="100" t="n">
        <v>2</v>
      </c>
      <c r="T628" s="101" t="n"/>
      <c r="U628" s="103" t="n"/>
      <c r="V628" s="103" t="n"/>
      <c r="W628" s="103" t="n"/>
      <c r="X628" s="103" t="n">
        <v>-0.129</v>
      </c>
      <c r="Y628" s="99" t="inlineStr"/>
      <c r="Z628" s="99" t="inlineStr">
        <is>
          <t>기준가 60일치뿐 — 창(250거래일)을 못 채움 / 6개월: 기준가 60일치뿐 — 창(123거래일)을 못 채움</t>
        </is>
      </c>
    </row>
    <row r="629">
      <c r="A629" s="99" t="inlineStr">
        <is>
          <t>FOCUS AI반도체위클리고정커버드콜</t>
        </is>
      </c>
      <c r="B629" s="99" t="inlineStr">
        <is>
          <t>0176P0</t>
        </is>
      </c>
      <c r="C629" s="99" t="inlineStr">
        <is>
          <t>브이아이자산운용</t>
        </is>
      </c>
      <c r="D629" s="100" t="n">
        <v>14650</v>
      </c>
      <c r="E629" s="100" t="n">
        <v>8057500000</v>
      </c>
      <c r="F629" s="100" t="n">
        <v>141480087</v>
      </c>
      <c r="G629" s="101" t="n">
        <v>0.003</v>
      </c>
      <c r="H629" s="101" t="n">
        <v>0.778</v>
      </c>
      <c r="I629" s="101" t="n">
        <v>0.0159</v>
      </c>
      <c r="J629" s="101" t="n"/>
      <c r="K629" s="100" t="n">
        <v>6</v>
      </c>
      <c r="L629" s="102" t="inlineStr">
        <is>
          <t>20260929</t>
        </is>
      </c>
      <c r="M629" s="99" t="inlineStr">
        <is>
          <t>제외</t>
        </is>
      </c>
      <c r="N629" s="99" t="inlineStr">
        <is>
          <t>순자산 81억(기준 300억 미만), 60일 거래대금 1.4억(기준 5억 미만), 변동성 77.8%(121거래일 기준, 기준 35% 초과), 상장 6개월(기준 12개월 미만), 연 분배율 산출 불가(상장 1년 미만 — 12개월 창이 안 채워짐)</t>
        </is>
      </c>
      <c r="O629" s="99" t="inlineStr">
        <is>
          <t>AI 반도체 위클리 고정 30% 커버드콜 지수</t>
        </is>
      </c>
      <c r="P629" s="99" t="inlineStr">
        <is>
          <t>커버드콜</t>
        </is>
      </c>
      <c r="Q629" s="99" t="inlineStr">
        <is>
          <t>주식</t>
        </is>
      </c>
      <c r="R629" s="99" t="inlineStr">
        <is>
          <t>판정 불가</t>
        </is>
      </c>
      <c r="S629" s="100" t="n">
        <v>6</v>
      </c>
      <c r="T629" s="101" t="n"/>
      <c r="U629" s="103" t="n"/>
      <c r="V629" s="103" t="n"/>
      <c r="W629" s="103" t="n"/>
      <c r="X629" s="103" t="n"/>
      <c r="Y629" s="99" t="inlineStr"/>
      <c r="Z629" s="99" t="inlineStr">
        <is>
          <t>기준가 121일치뿐 — 창(250거래일)을 못 채움 / 6개월: 창 안 급변일 1일(20260731) — 내지 않음 / 3개월: 창 안 급변일 1일(20260731) — 내지 않음</t>
        </is>
      </c>
    </row>
    <row r="630">
      <c r="A630" s="99" t="inlineStr">
        <is>
          <t>DAISHIN 오피스리츠플러스</t>
        </is>
      </c>
      <c r="B630" s="99" t="inlineStr">
        <is>
          <t>0174J0</t>
        </is>
      </c>
      <c r="C630" s="99" t="inlineStr">
        <is>
          <t>대신자산운용</t>
        </is>
      </c>
      <c r="D630" s="100" t="n">
        <v>8675</v>
      </c>
      <c r="E630" s="100" t="n">
        <v>5205000000</v>
      </c>
      <c r="F630" s="100" t="n">
        <v>56367211</v>
      </c>
      <c r="G630" s="101" t="n">
        <v>0.0019</v>
      </c>
      <c r="H630" s="101" t="n">
        <v>0.2705</v>
      </c>
      <c r="I630" s="101" t="n">
        <v>0.005699999999999999</v>
      </c>
      <c r="J630" s="101" t="n"/>
      <c r="K630" s="100" t="n">
        <v>6</v>
      </c>
      <c r="L630" s="102" t="inlineStr">
        <is>
          <t>20260929</t>
        </is>
      </c>
      <c r="M630" s="99" t="inlineStr">
        <is>
          <t>제외</t>
        </is>
      </c>
      <c r="N630" s="99" t="inlineStr">
        <is>
          <t>순자산 52억(기준 300억 미만), 60일 거래대금 0.6억(기준 5억 미만), 상장 7개월(기준 12개월 미만), 연 분배율 산출 불가(상장 1년 미만 — 12개월 창이 안 채워짐)</t>
        </is>
      </c>
      <c r="O630" s="99" t="inlineStr">
        <is>
          <t>KRX 프라임 오피스 리츠 지수</t>
        </is>
      </c>
      <c r="P630" s="99" t="inlineStr">
        <is>
          <t>일반</t>
        </is>
      </c>
      <c r="Q630" s="99" t="inlineStr">
        <is>
          <t>부동산</t>
        </is>
      </c>
      <c r="R630" s="99" t="inlineStr">
        <is>
          <t>판정 불가</t>
        </is>
      </c>
      <c r="S630" s="100" t="n">
        <v>6</v>
      </c>
      <c r="T630" s="101" t="n"/>
      <c r="U630" s="103" t="n"/>
      <c r="V630" s="103" t="n"/>
      <c r="W630" s="103" t="n">
        <v>-0.1172</v>
      </c>
      <c r="X630" s="103" t="n">
        <v>0.009000000000000001</v>
      </c>
      <c r="Y630" s="99" t="inlineStr"/>
      <c r="Z630" s="99" t="inlineStr">
        <is>
          <t>기준가 126일치뿐 — 창(250거래일)을 못 채움</t>
        </is>
      </c>
    </row>
    <row r="631">
      <c r="A631" s="99" t="inlineStr">
        <is>
          <t>PLUS 차이나항셍테크위클리타겟커버드콜</t>
        </is>
      </c>
      <c r="B631" s="99" t="inlineStr">
        <is>
          <t>0128D0</t>
        </is>
      </c>
      <c r="C631" s="99" t="inlineStr">
        <is>
          <t>한화자산운용</t>
        </is>
      </c>
      <c r="D631" s="100" t="n">
        <v>6075</v>
      </c>
      <c r="E631" s="100" t="n">
        <v>4252500000</v>
      </c>
      <c r="F631" s="100" t="n">
        <v>23991165</v>
      </c>
      <c r="G631" s="101" t="n">
        <v>0.0039</v>
      </c>
      <c r="H631" s="101" t="n">
        <v>0.2701</v>
      </c>
      <c r="I631" s="101" t="n">
        <v>0.0126</v>
      </c>
      <c r="J631" s="101" t="n"/>
      <c r="K631" s="100" t="n">
        <v>10</v>
      </c>
      <c r="L631" s="102" t="inlineStr">
        <is>
          <t>20260929</t>
        </is>
      </c>
      <c r="M631" s="99" t="inlineStr">
        <is>
          <t>제외</t>
        </is>
      </c>
      <c r="N631" s="99" t="inlineStr">
        <is>
          <t>순자산 43억(기준 300억 미만), 60일 거래대금 0.2억(기준 5억 미만), 상장 11개월(기준 12개월 미만), 연 분배율 산출 불가(상장 1년 미만 — 12개월 창이 안 채워짐)</t>
        </is>
      </c>
      <c r="O631" s="99" t="inlineStr">
        <is>
          <t>HSTECH 15% Target Premium Weekly Covered Call Index</t>
        </is>
      </c>
      <c r="P631" s="99" t="inlineStr">
        <is>
          <t>커버드콜</t>
        </is>
      </c>
      <c r="Q631" s="99" t="inlineStr">
        <is>
          <t>주식</t>
        </is>
      </c>
      <c r="R631" s="99" t="inlineStr">
        <is>
          <t>판정 불가</t>
        </is>
      </c>
      <c r="S631" s="100" t="n">
        <v>10</v>
      </c>
      <c r="T631" s="101" t="n"/>
      <c r="U631" s="103" t="n"/>
      <c r="V631" s="103" t="n"/>
      <c r="W631" s="103" t="n">
        <v>-0.2227</v>
      </c>
      <c r="X631" s="103" t="n">
        <v>-0.1777</v>
      </c>
      <c r="Y631" s="99" t="inlineStr"/>
      <c r="Z631" s="99" t="inlineStr">
        <is>
          <t>기준가 214일치뿐 — 창(250거래일)을 못 채움</t>
        </is>
      </c>
    </row>
    <row r="632">
      <c r="A632" s="99" t="inlineStr">
        <is>
          <t>RISE 삼성전자SK하이닉스채권혼합50</t>
        </is>
      </c>
      <c r="B632" s="99" t="inlineStr">
        <is>
          <t>0162Z0</t>
        </is>
      </c>
      <c r="C632" s="99" t="inlineStr">
        <is>
          <t>KB자산운용</t>
        </is>
      </c>
      <c r="D632" s="100" t="n">
        <v>13940</v>
      </c>
      <c r="E632" s="100" t="n">
        <v>4202910000000</v>
      </c>
      <c r="F632" s="100" t="n">
        <v>116031329239</v>
      </c>
      <c r="G632" s="101" t="n">
        <v>0.0001</v>
      </c>
      <c r="H632" s="101" t="n">
        <v>0.4697</v>
      </c>
      <c r="I632" s="101" t="n">
        <v>0.0022</v>
      </c>
      <c r="J632" s="101" t="n"/>
      <c r="K632" s="100" t="n">
        <v>2</v>
      </c>
      <c r="L632" s="102" t="inlineStr">
        <is>
          <t>20260730</t>
        </is>
      </c>
      <c r="M632" s="99" t="inlineStr">
        <is>
          <t>제외</t>
        </is>
      </c>
      <c r="N632" s="99" t="inlineStr">
        <is>
          <t>변동성 47.0%(148거래일 기준, 기준 35% 초과), 상장 8개월(기준 12개월 미만), 연 분배율 산출 불가(상장 1년 미만 — 12개월 창이 안 채워짐)</t>
        </is>
      </c>
      <c r="O632" s="99" t="inlineStr">
        <is>
          <t>KAP 삼성전자SK하이닉스채권혼합50지수</t>
        </is>
      </c>
      <c r="P632" s="99" t="inlineStr">
        <is>
          <t>일반</t>
        </is>
      </c>
      <c r="Q632" s="99" t="inlineStr">
        <is>
          <t>멀티에셋</t>
        </is>
      </c>
      <c r="R632" s="99" t="inlineStr">
        <is>
          <t>판정 불가</t>
        </is>
      </c>
      <c r="S632" s="100" t="n">
        <v>2</v>
      </c>
      <c r="T632" s="101" t="n"/>
      <c r="U632" s="103" t="n"/>
      <c r="V632" s="103" t="n"/>
      <c r="W632" s="103" t="n">
        <v>0.4172</v>
      </c>
      <c r="X632" s="103" t="n">
        <v>-0.0636</v>
      </c>
      <c r="Y632" s="99" t="inlineStr"/>
      <c r="Z632" s="99" t="inlineStr">
        <is>
          <t>기준가 148일치뿐 — 창(250거래일)을 못 채움</t>
        </is>
      </c>
    </row>
    <row r="633">
      <c r="A633" s="99" t="inlineStr">
        <is>
          <t>TIGER 코리아AI전력기기TOP3플러스</t>
        </is>
      </c>
      <c r="B633" s="99" t="inlineStr">
        <is>
          <t>0117V0</t>
        </is>
      </c>
      <c r="C633" s="99" t="inlineStr">
        <is>
          <t>미래에셋자산운용</t>
        </is>
      </c>
      <c r="D633" s="100" t="n">
        <v>19275</v>
      </c>
      <c r="E633" s="100" t="n">
        <v>1021575000000</v>
      </c>
      <c r="F633" s="100" t="n">
        <v>34102555395</v>
      </c>
      <c r="G633" s="101" t="n">
        <v>0.004</v>
      </c>
      <c r="H633" s="101" t="n">
        <v>0.7284</v>
      </c>
      <c r="I633" s="101" t="n">
        <v>0.0066</v>
      </c>
      <c r="J633" s="101" t="n"/>
      <c r="K633" s="100" t="n">
        <v>1</v>
      </c>
      <c r="L633" s="102" t="inlineStr">
        <is>
          <t>20260730</t>
        </is>
      </c>
      <c r="M633" s="99" t="inlineStr">
        <is>
          <t>제외</t>
        </is>
      </c>
      <c r="N633" s="99" t="inlineStr">
        <is>
          <t>변동성 72.8%(1년 기준, 기준 35% 초과), 연 분배율 산출 불가(상장 1년 미만 — 12개월 창이 안 채워짐)</t>
        </is>
      </c>
      <c r="O633" s="99" t="inlineStr">
        <is>
          <t>KEDI 코리아AI전력기기TOP3플러스 지수</t>
        </is>
      </c>
      <c r="P633" s="99" t="inlineStr">
        <is>
          <t>일반</t>
        </is>
      </c>
      <c r="Q633" s="99" t="inlineStr">
        <is>
          <t>주식</t>
        </is>
      </c>
      <c r="R633" s="99" t="inlineStr">
        <is>
          <t>연배당</t>
        </is>
      </c>
      <c r="S633" s="100" t="n">
        <v>1</v>
      </c>
      <c r="T633" s="101" t="n"/>
      <c r="U633" s="103" t="n"/>
      <c r="V633" s="103" t="n"/>
      <c r="W633" s="103" t="n"/>
      <c r="X633" s="103" t="n"/>
      <c r="Y633" s="99" t="inlineStr"/>
      <c r="Z633" s="99" t="inlineStr">
        <is>
          <t>기준가 234일치뿐 — 창(250거래일)을 못 채움 / 6개월: 창 안 급변일 1일(20260731) — 내지 않음 / 3개월: 창 안 급변일 1일(20260731) — 내지 않음</t>
        </is>
      </c>
    </row>
    <row r="634">
      <c r="A634" s="99" t="inlineStr">
        <is>
          <t>KODEX 26-12 금융채(AA-이상)액티브</t>
        </is>
      </c>
      <c r="B634" s="99" t="inlineStr">
        <is>
          <t>0117L0</t>
        </is>
      </c>
      <c r="C634" s="99" t="inlineStr">
        <is>
          <t>삼성자산운용(ETF)</t>
        </is>
      </c>
      <c r="D634" s="100" t="n">
        <v>10185</v>
      </c>
      <c r="E634" s="100" t="n">
        <v>872243400000</v>
      </c>
      <c r="F634" s="100" t="n">
        <v>291571883</v>
      </c>
      <c r="G634" s="101" t="n">
        <v>0.0009</v>
      </c>
      <c r="H634" s="101" t="n">
        <v>0.0059</v>
      </c>
      <c r="I634" s="101" t="n">
        <v>0.0053</v>
      </c>
      <c r="J634" s="101" t="n"/>
      <c r="K634" s="100" t="n">
        <v>1</v>
      </c>
      <c r="L634" s="102" t="inlineStr">
        <is>
          <t>20251212</t>
        </is>
      </c>
      <c r="M634" s="99" t="inlineStr">
        <is>
          <t>제외</t>
        </is>
      </c>
      <c r="N634" s="99" t="inlineStr">
        <is>
          <t>60일 거래대금 2.9억(기준 5억 미만), 연 분배율 산출 불가(상장 1년 미만 — 12개월 창이 안 채워짐)</t>
        </is>
      </c>
      <c r="O634" s="99" t="inlineStr">
        <is>
          <t>KAP 26-12 금융채 총수익 지수(AA- 이상)</t>
        </is>
      </c>
      <c r="P634" s="99" t="inlineStr">
        <is>
          <t>일반</t>
        </is>
      </c>
      <c r="Q634" s="99" t="inlineStr">
        <is>
          <t>채권</t>
        </is>
      </c>
      <c r="R634" s="99" t="inlineStr">
        <is>
          <t>연배당</t>
        </is>
      </c>
      <c r="S634" s="100" t="n">
        <v>1</v>
      </c>
      <c r="T634" s="101" t="n"/>
      <c r="U634" s="103" t="n"/>
      <c r="V634" s="103" t="n"/>
      <c r="W634" s="103" t="n">
        <v>0.0142</v>
      </c>
      <c r="X634" s="103" t="n">
        <v>0.007800000000000001</v>
      </c>
      <c r="Y634" s="99" t="inlineStr"/>
      <c r="Z634" s="99" t="inlineStr">
        <is>
          <t>기준가 229일치뿐 — 창(250거래일)을 못 채움</t>
        </is>
      </c>
    </row>
    <row r="635">
      <c r="A635" s="99" t="inlineStr">
        <is>
          <t>TIGER 2차전지TOP10</t>
        </is>
      </c>
      <c r="B635" s="99" t="inlineStr">
        <is>
          <t>364980</t>
        </is>
      </c>
      <c r="C635" s="99" t="inlineStr">
        <is>
          <t>미래에셋자산운용</t>
        </is>
      </c>
      <c r="D635" s="100" t="n">
        <v>10270</v>
      </c>
      <c r="E635" s="100" t="n">
        <v>699387000000</v>
      </c>
      <c r="F635" s="100" t="n">
        <v>30532260409</v>
      </c>
      <c r="G635" s="101" t="n">
        <v>0.004</v>
      </c>
      <c r="H635" s="101" t="n">
        <v>0.5760999999999999</v>
      </c>
      <c r="I635" s="101" t="n">
        <v>0.0054</v>
      </c>
      <c r="J635" s="101" t="n"/>
      <c r="K635" s="100" t="n">
        <v>4</v>
      </c>
      <c r="L635" s="102" t="inlineStr">
        <is>
          <t>20250429</t>
        </is>
      </c>
      <c r="M635" s="99" t="inlineStr">
        <is>
          <t>제외</t>
        </is>
      </c>
      <c r="N635" s="99" t="inlineStr">
        <is>
          <t>변동성 57.6%(1년 기준, 기준 35% 초과), 최근 12개월 분배 없음, 연 분배율 산출 불가(최근 12개월 분배 기록 없음)</t>
        </is>
      </c>
      <c r="O635" s="99" t="inlineStr">
        <is>
          <t>KRX 2차전지 TOP 10 지수</t>
        </is>
      </c>
      <c r="P635" s="99" t="inlineStr">
        <is>
          <t>일반</t>
        </is>
      </c>
      <c r="Q635" s="99" t="inlineStr">
        <is>
          <t>주식</t>
        </is>
      </c>
      <c r="R635" s="99" t="inlineStr">
        <is>
          <t>무분배</t>
        </is>
      </c>
      <c r="S635" s="100" t="n">
        <v>0</v>
      </c>
      <c r="T635" s="101" t="n"/>
      <c r="U635" s="103" t="n"/>
      <c r="V635" s="103" t="n"/>
      <c r="W635" s="103" t="n">
        <v>-0.0277</v>
      </c>
      <c r="X635" s="103" t="n">
        <v>0.0621</v>
      </c>
      <c r="Y635" s="99" t="inlineStr"/>
      <c r="Z635" s="99" t="inlineStr">
        <is>
          <t>창 안 급변일 1일(20260304) — 내지 않음</t>
        </is>
      </c>
    </row>
    <row r="636">
      <c r="A636" s="99" t="inlineStr">
        <is>
          <t>ACE 미국대형성장주액티브</t>
        </is>
      </c>
      <c r="B636" s="99" t="inlineStr">
        <is>
          <t>0127P0</t>
        </is>
      </c>
      <c r="C636" s="99" t="inlineStr">
        <is>
          <t>한국투신운용(ETF)</t>
        </is>
      </c>
      <c r="D636" s="100" t="n">
        <v>10550</v>
      </c>
      <c r="E636" s="100" t="n">
        <v>692080000000</v>
      </c>
      <c r="F636" s="100" t="n">
        <v>1211427794</v>
      </c>
      <c r="G636" s="101" t="n">
        <v>0.003</v>
      </c>
      <c r="H636" s="101" t="n">
        <v>0.2159</v>
      </c>
      <c r="I636" s="101" t="n">
        <v>0.0017</v>
      </c>
      <c r="J636" s="101" t="n"/>
      <c r="K636" s="100" t="n">
        <v>2</v>
      </c>
      <c r="L636" s="102" t="inlineStr">
        <is>
          <t>20260730</t>
        </is>
      </c>
      <c r="M636" s="99" t="inlineStr">
        <is>
          <t>제외</t>
        </is>
      </c>
      <c r="N636" s="99" t="inlineStr">
        <is>
          <t>상장 11개월(기준 12개월 미만), 연 분배율 산출 불가(상장 1년 미만 — 12개월 창이 안 채워짐)</t>
        </is>
      </c>
      <c r="O636" s="99" t="inlineStr">
        <is>
          <t>Morningstar US Large Cap Growth PR USD</t>
        </is>
      </c>
      <c r="P636" s="99" t="inlineStr">
        <is>
          <t>일반</t>
        </is>
      </c>
      <c r="Q636" s="99" t="inlineStr">
        <is>
          <t>주식</t>
        </is>
      </c>
      <c r="R636" s="99" t="inlineStr">
        <is>
          <t>판정 불가</t>
        </is>
      </c>
      <c r="S636" s="100" t="n">
        <v>2</v>
      </c>
      <c r="T636" s="101" t="n"/>
      <c r="U636" s="103" t="n"/>
      <c r="V636" s="103" t="n"/>
      <c r="W636" s="103" t="n">
        <v>0.1</v>
      </c>
      <c r="X636" s="103" t="n">
        <v>-0.0929</v>
      </c>
      <c r="Y636" s="99" t="inlineStr"/>
      <c r="Z636" s="99" t="inlineStr">
        <is>
          <t>기준가 219일치뿐 — 창(250거래일)을 못 채움</t>
        </is>
      </c>
    </row>
    <row r="637">
      <c r="A637" s="99" t="inlineStr">
        <is>
          <t>TIGER K방산&amp;우주</t>
        </is>
      </c>
      <c r="B637" s="99" t="inlineStr">
        <is>
          <t>463250</t>
        </is>
      </c>
      <c r="C637" s="99" t="inlineStr">
        <is>
          <t>미래에셋자산운용</t>
        </is>
      </c>
      <c r="D637" s="100" t="n"/>
      <c r="E637" s="100" t="n"/>
      <c r="F637" s="100" t="n"/>
      <c r="G637" s="101" t="n"/>
      <c r="H637" s="101" t="n"/>
      <c r="I637" s="101" t="n"/>
      <c r="J637" s="101" t="n"/>
      <c r="K637" s="100" t="n"/>
      <c r="L637" s="102" t="n"/>
      <c r="M637" s="99" t="inlineStr">
        <is>
          <t>제외</t>
        </is>
      </c>
      <c r="N637" s="99" t="inlineStr">
        <is>
          <t>수집 실패(세 번 다시 물었으나 답이 오지 않음: HTTP 403)</t>
        </is>
      </c>
      <c r="O637" s="99" t="inlineStr"/>
      <c r="P637" s="99" t="inlineStr">
        <is>
          <t>일반</t>
        </is>
      </c>
      <c r="Q637" s="99" t="inlineStr"/>
      <c r="R637" s="99" t="inlineStr"/>
      <c r="S637" s="100" t="n"/>
      <c r="T637" s="101" t="n"/>
      <c r="U637" s="103" t="n"/>
      <c r="V637" s="103" t="n"/>
      <c r="W637" s="103" t="n"/>
      <c r="X637" s="103" t="n"/>
      <c r="Y637" s="99" t="inlineStr"/>
      <c r="Z637" s="99" t="inlineStr"/>
    </row>
    <row r="638">
      <c r="A638" s="99" t="inlineStr">
        <is>
          <t>KODEX 미국AI광통신네트워크</t>
        </is>
      </c>
      <c r="B638" s="99" t="inlineStr">
        <is>
          <t>0173Y0</t>
        </is>
      </c>
      <c r="C638" s="99" t="inlineStr">
        <is>
          <t>삼성자산운용(ETF)</t>
        </is>
      </c>
      <c r="D638" s="100" t="n">
        <v>11680</v>
      </c>
      <c r="E638" s="100" t="n">
        <v>433912000000</v>
      </c>
      <c r="F638" s="100" t="n">
        <v>12153318619</v>
      </c>
      <c r="G638" s="101" t="n">
        <v>0.005500000000000001</v>
      </c>
      <c r="H638" s="101" t="n">
        <v>0.7898999999999999</v>
      </c>
      <c r="I638" s="101" t="n">
        <v>0.0005</v>
      </c>
      <c r="J638" s="101" t="n"/>
      <c r="K638" s="100" t="n">
        <v>1</v>
      </c>
      <c r="L638" s="102" t="inlineStr">
        <is>
          <t>20260730</t>
        </is>
      </c>
      <c r="M638" s="99" t="inlineStr">
        <is>
          <t>제외</t>
        </is>
      </c>
      <c r="N638" s="99" t="inlineStr">
        <is>
          <t>변동성 79.0%(126거래일 기준, 기준 35% 초과), 상장 7개월(기준 12개월 미만), 연 분배율 산출 불가(상장 1년 미만 — 12개월 창이 안 채워짐)</t>
        </is>
      </c>
      <c r="O638" s="99" t="inlineStr">
        <is>
          <t>Akros U.S. AI Optical Communication and Network Infrastructu</t>
        </is>
      </c>
      <c r="P638" s="99" t="inlineStr">
        <is>
          <t>일반</t>
        </is>
      </c>
      <c r="Q638" s="99" t="inlineStr">
        <is>
          <t>주식</t>
        </is>
      </c>
      <c r="R638" s="99" t="inlineStr">
        <is>
          <t>판정 불가</t>
        </is>
      </c>
      <c r="S638" s="100" t="n">
        <v>1</v>
      </c>
      <c r="T638" s="101" t="n"/>
      <c r="U638" s="103" t="n"/>
      <c r="V638" s="103" t="n"/>
      <c r="W638" s="103" t="n">
        <v>0.0592</v>
      </c>
      <c r="X638" s="103" t="n">
        <v>-0.08749999999999999</v>
      </c>
      <c r="Y638" s="99" t="inlineStr"/>
      <c r="Z638" s="99" t="inlineStr">
        <is>
          <t>기준가 126일치뿐 — 창(250거래일)을 못 채움</t>
        </is>
      </c>
    </row>
    <row r="639">
      <c r="A639" s="99" t="inlineStr">
        <is>
          <t>1Q 미국우주항공테크</t>
        </is>
      </c>
      <c r="B639" s="99" t="inlineStr">
        <is>
          <t>0131V0</t>
        </is>
      </c>
      <c r="C639" s="99" t="inlineStr">
        <is>
          <t>하나자산운용</t>
        </is>
      </c>
      <c r="D639" s="100" t="n">
        <v>10625</v>
      </c>
      <c r="E639" s="100" t="n">
        <v>346906250000</v>
      </c>
      <c r="F639" s="100" t="n">
        <v>1671407316</v>
      </c>
      <c r="G639" s="101" t="n">
        <v>0.0049</v>
      </c>
      <c r="H639" s="101" t="n">
        <v>0.5203</v>
      </c>
      <c r="I639" s="101" t="n">
        <v>0.001</v>
      </c>
      <c r="J639" s="101" t="n"/>
      <c r="K639" s="100" t="n">
        <v>1</v>
      </c>
      <c r="L639" s="102" t="inlineStr">
        <is>
          <t>20260429</t>
        </is>
      </c>
      <c r="M639" s="99" t="inlineStr">
        <is>
          <t>제외</t>
        </is>
      </c>
      <c r="N639" s="99" t="inlineStr">
        <is>
          <t>변동성 52.0%(1년 기준, 기준 35% 초과), 상장 11개월(기준 12개월 미만), 연 분배율 산출 불가(상장 1년 미만 — 12개월 창이 안 채워짐)</t>
        </is>
      </c>
      <c r="O639" s="99" t="inlineStr">
        <is>
          <t>Akros U.S. Aerospace Tech Index</t>
        </is>
      </c>
      <c r="P639" s="99" t="inlineStr">
        <is>
          <t>일반</t>
        </is>
      </c>
      <c r="Q639" s="99" t="inlineStr">
        <is>
          <t>주식</t>
        </is>
      </c>
      <c r="R639" s="99" t="inlineStr">
        <is>
          <t>판정 불가</t>
        </is>
      </c>
      <c r="S639" s="100" t="n">
        <v>1</v>
      </c>
      <c r="T639" s="101" t="n"/>
      <c r="U639" s="103" t="n"/>
      <c r="V639" s="103" t="n"/>
      <c r="W639" s="103" t="n">
        <v>-0.1567</v>
      </c>
      <c r="X639" s="103" t="n">
        <v>-0.2101</v>
      </c>
      <c r="Y639" s="99" t="inlineStr"/>
      <c r="Z639" s="99" t="inlineStr">
        <is>
          <t>기준가 209일치뿐 — 창(250거래일)을 못 채움</t>
        </is>
      </c>
    </row>
    <row r="640">
      <c r="A640" s="99" t="inlineStr">
        <is>
          <t>KoAct 바이오헬스케어액티브</t>
        </is>
      </c>
      <c r="B640" s="99" t="inlineStr">
        <is>
          <t>462900</t>
        </is>
      </c>
      <c r="C640" s="99" t="inlineStr">
        <is>
          <t>삼성액티브자산(ETF)</t>
        </is>
      </c>
      <c r="D640" s="100" t="n">
        <v>12900</v>
      </c>
      <c r="E640" s="100" t="n">
        <v>337335000000</v>
      </c>
      <c r="F640" s="100" t="n">
        <v>17823636539</v>
      </c>
      <c r="G640" s="101" t="n">
        <v>0.005</v>
      </c>
      <c r="H640" s="101" t="n">
        <v>0.6018</v>
      </c>
      <c r="I640" s="101" t="n">
        <v>0.0024</v>
      </c>
      <c r="J640" s="101" t="n"/>
      <c r="K640" s="100" t="n">
        <v>1</v>
      </c>
      <c r="L640" s="102" t="inlineStr">
        <is>
          <t>20240429</t>
        </is>
      </c>
      <c r="M640" s="99" t="inlineStr">
        <is>
          <t>제외</t>
        </is>
      </c>
      <c r="N640" s="99" t="inlineStr">
        <is>
          <t>변동성 60.2%(1년 기준, 기준 35% 초과), 최근 12개월 분배 없음, 연 분배율 산출 불가(최근 12개월 분배 기록 없음)</t>
        </is>
      </c>
      <c r="O640" s="99" t="inlineStr">
        <is>
          <t>iSelect 바이오헬스케어 PR 지수</t>
        </is>
      </c>
      <c r="P640" s="99" t="inlineStr">
        <is>
          <t>일반</t>
        </is>
      </c>
      <c r="Q640" s="99" t="inlineStr">
        <is>
          <t>주식</t>
        </is>
      </c>
      <c r="R640" s="99" t="inlineStr">
        <is>
          <t>무분배</t>
        </is>
      </c>
      <c r="S640" s="100" t="n">
        <v>0</v>
      </c>
      <c r="T640" s="101" t="n"/>
      <c r="U640" s="103" t="n"/>
      <c r="V640" s="103" t="n"/>
      <c r="W640" s="103" t="n">
        <v>-0.3865</v>
      </c>
      <c r="X640" s="103" t="n">
        <v>-0.2055</v>
      </c>
      <c r="Y640" s="99" t="inlineStr"/>
      <c r="Z640" s="99" t="inlineStr">
        <is>
          <t>창 안 급변일 1일(20260304) — 내지 않음</t>
        </is>
      </c>
    </row>
    <row r="641">
      <c r="A641" s="99" t="inlineStr">
        <is>
          <t>KODEX 미국우주항공</t>
        </is>
      </c>
      <c r="B641" s="99" t="inlineStr">
        <is>
          <t>0167Z0</t>
        </is>
      </c>
      <c r="C641" s="99" t="inlineStr">
        <is>
          <t>삼성자산운용(ETF)</t>
        </is>
      </c>
      <c r="D641" s="100" t="n">
        <v>7310</v>
      </c>
      <c r="E641" s="100" t="n">
        <v>335529000000</v>
      </c>
      <c r="F641" s="100" t="n">
        <v>4973685327</v>
      </c>
      <c r="G641" s="101" t="n">
        <v>0.005500000000000001</v>
      </c>
      <c r="H641" s="101" t="n">
        <v>0.6659999999999999</v>
      </c>
      <c r="I641" s="101" t="n">
        <v>0.0011</v>
      </c>
      <c r="J641" s="101" t="n"/>
      <c r="K641" s="100" t="n">
        <v>1</v>
      </c>
      <c r="L641" s="102" t="inlineStr">
        <is>
          <t>20260730</t>
        </is>
      </c>
      <c r="M641" s="99" t="inlineStr">
        <is>
          <t>제외</t>
        </is>
      </c>
      <c r="N641" s="99" t="inlineStr">
        <is>
          <t>변동성 66.6%(136거래일 기준, 기준 35% 초과), 상장 7개월(기준 12개월 미만), 연 분배율 산출 불가(상장 1년 미만 — 12개월 창이 안 채워짐)</t>
        </is>
      </c>
      <c r="O641" s="99" t="inlineStr">
        <is>
          <t>iSelect U.S. Aerospace Index</t>
        </is>
      </c>
      <c r="P641" s="99" t="inlineStr">
        <is>
          <t>일반</t>
        </is>
      </c>
      <c r="Q641" s="99" t="inlineStr">
        <is>
          <t>주식</t>
        </is>
      </c>
      <c r="R641" s="99" t="inlineStr">
        <is>
          <t>판정 불가</t>
        </is>
      </c>
      <c r="S641" s="100" t="n">
        <v>1</v>
      </c>
      <c r="T641" s="101" t="n"/>
      <c r="U641" s="103" t="n"/>
      <c r="V641" s="103" t="n"/>
      <c r="W641" s="103" t="n">
        <v>-0.3174</v>
      </c>
      <c r="X641" s="103" t="n">
        <v>-0.3433</v>
      </c>
      <c r="Y641" s="99" t="inlineStr"/>
      <c r="Z641" s="99" t="inlineStr">
        <is>
          <t>기준가 136일치뿐 — 창(250거래일)을 못 채움</t>
        </is>
      </c>
    </row>
    <row r="642">
      <c r="A642" s="99" t="inlineStr">
        <is>
          <t>KODEX 바이오</t>
        </is>
      </c>
      <c r="B642" s="99" t="inlineStr">
        <is>
          <t>244580</t>
        </is>
      </c>
      <c r="C642" s="99" t="inlineStr">
        <is>
          <t>삼성자산운용(ETF)</t>
        </is>
      </c>
      <c r="D642" s="100" t="n">
        <v>8305</v>
      </c>
      <c r="E642" s="100" t="n">
        <v>217923200000</v>
      </c>
      <c r="F642" s="100" t="n">
        <v>4606531305</v>
      </c>
      <c r="G642" s="101" t="n">
        <v>0.004500000000000001</v>
      </c>
      <c r="H642" s="101" t="n">
        <v>0.5052</v>
      </c>
      <c r="I642" s="101" t="n">
        <v>0.0018</v>
      </c>
      <c r="J642" s="101" t="n"/>
      <c r="K642" s="100" t="n">
        <v>2</v>
      </c>
      <c r="L642" s="102" t="inlineStr">
        <is>
          <t>20250429</t>
        </is>
      </c>
      <c r="M642" s="99" t="inlineStr">
        <is>
          <t>제외</t>
        </is>
      </c>
      <c r="N642" s="99" t="inlineStr">
        <is>
          <t>변동성 50.5%(1년 기준, 기준 35% 초과), 최근 12개월 분배 없음, 연 분배율 산출 불가(최근 12개월 분배 기록 없음)</t>
        </is>
      </c>
      <c r="O642" s="99" t="inlineStr">
        <is>
          <t>FnGuide 바이오 지수</t>
        </is>
      </c>
      <c r="P642" s="99" t="inlineStr">
        <is>
          <t>일반</t>
        </is>
      </c>
      <c r="Q642" s="99" t="inlineStr">
        <is>
          <t>주식</t>
        </is>
      </c>
      <c r="R642" s="99" t="inlineStr">
        <is>
          <t>무분배</t>
        </is>
      </c>
      <c r="S642" s="100" t="n">
        <v>0</v>
      </c>
      <c r="T642" s="101" t="n"/>
      <c r="U642" s="103" t="n"/>
      <c r="V642" s="103" t="n"/>
      <c r="W642" s="103" t="n">
        <v>-0.2974</v>
      </c>
      <c r="X642" s="103" t="n">
        <v>-0.0824</v>
      </c>
      <c r="Y642" s="99" t="inlineStr"/>
      <c r="Z642" s="99" t="inlineStr">
        <is>
          <t>창 안 급변일 1일(20260304) — 내지 않음</t>
        </is>
      </c>
    </row>
    <row r="643">
      <c r="A643" s="99" t="inlineStr">
        <is>
          <t>KODEX 미국AI반도체TOP3플러스</t>
        </is>
      </c>
      <c r="B643" s="99" t="inlineStr">
        <is>
          <t>0151S0</t>
        </is>
      </c>
      <c r="C643" s="99" t="inlineStr">
        <is>
          <t>삼성자산운용(ETF)</t>
        </is>
      </c>
      <c r="D643" s="100" t="n">
        <v>15900</v>
      </c>
      <c r="E643" s="100" t="n">
        <v>217830000000</v>
      </c>
      <c r="F643" s="100" t="n">
        <v>5423856605</v>
      </c>
      <c r="G643" s="101" t="n">
        <v>0.0049</v>
      </c>
      <c r="H643" s="101" t="n">
        <v>0.462</v>
      </c>
      <c r="I643" s="101" t="n">
        <v>0.0009</v>
      </c>
      <c r="J643" s="101" t="n"/>
      <c r="K643" s="100" t="n">
        <v>2</v>
      </c>
      <c r="L643" s="102" t="inlineStr">
        <is>
          <t>20260730</t>
        </is>
      </c>
      <c r="M643" s="99" t="inlineStr">
        <is>
          <t>제외</t>
        </is>
      </c>
      <c r="N643" s="99" t="inlineStr">
        <is>
          <t>변동성 46.2%(177거래일 기준, 기준 35% 초과), 상장 9개월(기준 12개월 미만), 연 분배율 산출 불가(상장 1년 미만 — 12개월 창이 안 채워짐)</t>
        </is>
      </c>
      <c r="O643" s="99" t="inlineStr">
        <is>
          <t>Akros U.S. AI Semiconductor TOP3 Plus Index</t>
        </is>
      </c>
      <c r="P643" s="99" t="inlineStr">
        <is>
          <t>일반</t>
        </is>
      </c>
      <c r="Q643" s="99" t="inlineStr">
        <is>
          <t>주식</t>
        </is>
      </c>
      <c r="R643" s="99" t="inlineStr">
        <is>
          <t>판정 불가</t>
        </is>
      </c>
      <c r="S643" s="100" t="n">
        <v>2</v>
      </c>
      <c r="T643" s="101" t="n"/>
      <c r="U643" s="103" t="n"/>
      <c r="V643" s="103" t="n"/>
      <c r="W643" s="103" t="n">
        <v>0.4301</v>
      </c>
      <c r="X643" s="103" t="n">
        <v>-0.0712</v>
      </c>
      <c r="Y643" s="99" t="inlineStr"/>
      <c r="Z643" s="99" t="inlineStr">
        <is>
          <t>기준가 177일치뿐 — 창(250거래일)을 못 채움</t>
        </is>
      </c>
    </row>
    <row r="644">
      <c r="A644" s="99" t="inlineStr">
        <is>
          <t>KODEX 28-12 회사채(AA-이상)액티브</t>
        </is>
      </c>
      <c r="B644" s="99" t="inlineStr">
        <is>
          <t>0119H0</t>
        </is>
      </c>
      <c r="C644" s="99" t="inlineStr">
        <is>
          <t>삼성자산운용(ETF)</t>
        </is>
      </c>
      <c r="D644" s="100" t="n">
        <v>9940</v>
      </c>
      <c r="E644" s="100" t="n">
        <v>215002200000</v>
      </c>
      <c r="F644" s="100" t="n">
        <v>245799731</v>
      </c>
      <c r="G644" s="101" t="n">
        <v>0.0009</v>
      </c>
      <c r="H644" s="101" t="n">
        <v>0.0208</v>
      </c>
      <c r="I644" s="101" t="n">
        <v>0.0049</v>
      </c>
      <c r="J644" s="101" t="n"/>
      <c r="K644" s="100" t="n">
        <v>1</v>
      </c>
      <c r="L644" s="102" t="inlineStr">
        <is>
          <t>20251212</t>
        </is>
      </c>
      <c r="M644" s="99" t="inlineStr">
        <is>
          <t>제외</t>
        </is>
      </c>
      <c r="N644" s="99" t="inlineStr">
        <is>
          <t>60일 거래대금 2.5억(기준 5억 미만), 상장 11개월(기준 12개월 미만), 연 분배율 산출 불가(상장 1년 미만 — 12개월 창이 안 채워짐)</t>
        </is>
      </c>
      <c r="O644" s="99" t="inlineStr">
        <is>
          <t>KAP 28-12 회사채 총수익 지수(AA- 이상)</t>
        </is>
      </c>
      <c r="P644" s="99" t="inlineStr">
        <is>
          <t>일반</t>
        </is>
      </c>
      <c r="Q644" s="99" t="inlineStr">
        <is>
          <t>채권</t>
        </is>
      </c>
      <c r="R644" s="99" t="inlineStr">
        <is>
          <t>판정 불가</t>
        </is>
      </c>
      <c r="S644" s="100" t="n">
        <v>1</v>
      </c>
      <c r="T644" s="101" t="n"/>
      <c r="U644" s="103" t="n"/>
      <c r="V644" s="103" t="n"/>
      <c r="W644" s="103" t="n">
        <v>0.009599999999999999</v>
      </c>
      <c r="X644" s="103" t="n">
        <v>0.008800000000000001</v>
      </c>
      <c r="Y644" s="99" t="inlineStr"/>
      <c r="Z644" s="99" t="inlineStr">
        <is>
          <t>기준가 224일치뿐 — 창(250거래일)을 못 채움</t>
        </is>
      </c>
    </row>
    <row r="645">
      <c r="A645" s="99" t="inlineStr">
        <is>
          <t>KODEX 조선TOP10</t>
        </is>
      </c>
      <c r="B645" s="99" t="inlineStr">
        <is>
          <t>0115D0</t>
        </is>
      </c>
      <c r="C645" s="99" t="inlineStr">
        <is>
          <t>삼성자산운용(ETF)</t>
        </is>
      </c>
      <c r="D645" s="100" t="n">
        <v>7215</v>
      </c>
      <c r="E645" s="100" t="n">
        <v>188311500000</v>
      </c>
      <c r="F645" s="100" t="n">
        <v>16009712868</v>
      </c>
      <c r="G645" s="101" t="n">
        <v>0.004500000000000001</v>
      </c>
      <c r="H645" s="101" t="n">
        <v>0.5568</v>
      </c>
      <c r="I645" s="101" t="n">
        <v>0.0022</v>
      </c>
      <c r="J645" s="101" t="n"/>
      <c r="K645" s="100" t="n">
        <v>1</v>
      </c>
      <c r="L645" s="102" t="inlineStr">
        <is>
          <t>20260429</t>
        </is>
      </c>
      <c r="M645" s="99" t="inlineStr">
        <is>
          <t>제외</t>
        </is>
      </c>
      <c r="N645" s="99" t="inlineStr">
        <is>
          <t>변동성 55.7%(1년 기준, 기준 35% 초과), 연 분배율 산출 불가(상장 1년 미만 — 12개월 창이 안 채워짐)</t>
        </is>
      </c>
      <c r="O645" s="99" t="inlineStr">
        <is>
          <t>KRX 조선 TOP10</t>
        </is>
      </c>
      <c r="P645" s="99" t="inlineStr">
        <is>
          <t>일반</t>
        </is>
      </c>
      <c r="Q645" s="99" t="inlineStr">
        <is>
          <t>주식</t>
        </is>
      </c>
      <c r="R645" s="99" t="inlineStr">
        <is>
          <t>연배당</t>
        </is>
      </c>
      <c r="S645" s="100" t="n">
        <v>1</v>
      </c>
      <c r="T645" s="101" t="n"/>
      <c r="U645" s="103" t="n"/>
      <c r="V645" s="103" t="n"/>
      <c r="W645" s="103" t="n">
        <v>-0.2212</v>
      </c>
      <c r="X645" s="103" t="n">
        <v>-0.1821</v>
      </c>
      <c r="Y645" s="99" t="inlineStr"/>
      <c r="Z645" s="99" t="inlineStr">
        <is>
          <t>기준가 229일치뿐 — 창(250거래일)을 못 채움</t>
        </is>
      </c>
    </row>
    <row r="646">
      <c r="A646" s="99" t="inlineStr">
        <is>
          <t>RISE 코리아전략산업액티브</t>
        </is>
      </c>
      <c r="B646" s="99" t="inlineStr">
        <is>
          <t>0151P0</t>
        </is>
      </c>
      <c r="C646" s="99" t="inlineStr">
        <is>
          <t>KB자산운용</t>
        </is>
      </c>
      <c r="D646" s="100" t="n">
        <v>15320</v>
      </c>
      <c r="E646" s="100" t="n">
        <v>150136000000</v>
      </c>
      <c r="F646" s="100" t="n">
        <v>4550820817</v>
      </c>
      <c r="G646" s="101" t="n">
        <v>0.005</v>
      </c>
      <c r="H646" s="101" t="n">
        <v>0.7087</v>
      </c>
      <c r="I646" s="101" t="n">
        <v>0.0025</v>
      </c>
      <c r="J646" s="101" t="n"/>
      <c r="K646" s="100" t="n">
        <v>1</v>
      </c>
      <c r="L646" s="102" t="inlineStr">
        <is>
          <t>20260730</t>
        </is>
      </c>
      <c r="M646" s="99" t="inlineStr">
        <is>
          <t>제외</t>
        </is>
      </c>
      <c r="N646" s="99" t="inlineStr">
        <is>
          <t>변동성 70.9%(172거래일 기준, 기준 35% 초과), 상장 9개월(기준 12개월 미만), 연 분배율 산출 불가(상장 1년 미만 — 12개월 창이 안 채워짐)</t>
        </is>
      </c>
      <c r="O646" s="99" t="inlineStr">
        <is>
          <t>KAP 코리아전략산업지수</t>
        </is>
      </c>
      <c r="P646" s="99" t="inlineStr">
        <is>
          <t>일반</t>
        </is>
      </c>
      <c r="Q646" s="99" t="inlineStr">
        <is>
          <t>주식</t>
        </is>
      </c>
      <c r="R646" s="99" t="inlineStr">
        <is>
          <t>판정 불가</t>
        </is>
      </c>
      <c r="S646" s="100" t="n">
        <v>1</v>
      </c>
      <c r="T646" s="101" t="n"/>
      <c r="U646" s="103" t="n"/>
      <c r="V646" s="103" t="n"/>
      <c r="W646" s="103" t="n"/>
      <c r="X646" s="103" t="n"/>
      <c r="Y646" s="99" t="inlineStr"/>
      <c r="Z646" s="99" t="inlineStr">
        <is>
          <t>기준가 172일치뿐 — 창(250거래일)을 못 채움 / 6개월: 창 안 급변일 1일(20260731) — 내지 않음 / 3개월: 창 안 급변일 1일(20260731) — 내지 않음</t>
        </is>
      </c>
    </row>
    <row r="647">
      <c r="A647" s="99" t="inlineStr">
        <is>
          <t>ACE 미국대형가치주액티브</t>
        </is>
      </c>
      <c r="B647" s="99" t="inlineStr">
        <is>
          <t>0127M0</t>
        </is>
      </c>
      <c r="C647" s="99" t="inlineStr">
        <is>
          <t>한국투신운용(ETF)</t>
        </is>
      </c>
      <c r="D647" s="100" t="n">
        <v>11815</v>
      </c>
      <c r="E647" s="100" t="n">
        <v>141780000000</v>
      </c>
      <c r="F647" s="100" t="n">
        <v>953083101</v>
      </c>
      <c r="G647" s="101" t="n">
        <v>0.003</v>
      </c>
      <c r="H647" s="101" t="n">
        <v>0.1515</v>
      </c>
      <c r="I647" s="101" t="n">
        <v>0.0036</v>
      </c>
      <c r="J647" s="101" t="n"/>
      <c r="K647" s="100" t="n">
        <v>4</v>
      </c>
      <c r="L647" s="102" t="inlineStr">
        <is>
          <t>20260730</t>
        </is>
      </c>
      <c r="M647" s="99" t="inlineStr">
        <is>
          <t>제외</t>
        </is>
      </c>
      <c r="N647" s="99" t="inlineStr">
        <is>
          <t>상장 11개월(기준 12개월 미만), 연 분배율 산출 불가(상장 1년 미만 — 12개월 창이 안 채워짐)</t>
        </is>
      </c>
      <c r="O647" s="99" t="inlineStr">
        <is>
          <t>Morningstar US Large Cap Value PR USD</t>
        </is>
      </c>
      <c r="P647" s="99" t="inlineStr">
        <is>
          <t>일반</t>
        </is>
      </c>
      <c r="Q647" s="99" t="inlineStr">
        <is>
          <t>주식</t>
        </is>
      </c>
      <c r="R647" s="99" t="inlineStr">
        <is>
          <t>판정 불가</t>
        </is>
      </c>
      <c r="S647" s="100" t="n">
        <v>4</v>
      </c>
      <c r="T647" s="101" t="n"/>
      <c r="U647" s="103" t="n"/>
      <c r="V647" s="103" t="n"/>
      <c r="W647" s="103" t="n">
        <v>0.0731</v>
      </c>
      <c r="X647" s="103" t="n">
        <v>-0.1007</v>
      </c>
      <c r="Y647" s="99" t="inlineStr"/>
      <c r="Z647" s="99" t="inlineStr">
        <is>
          <t>기준가 219일치뿐 — 창(250거래일)을 못 채움</t>
        </is>
      </c>
    </row>
    <row r="648">
      <c r="A648" s="99" t="inlineStr">
        <is>
          <t>TIGER 미국AI전력SMR</t>
        </is>
      </c>
      <c r="B648" s="99" t="inlineStr">
        <is>
          <t>0123G0</t>
        </is>
      </c>
      <c r="C648" s="99" t="inlineStr">
        <is>
          <t>미래에셋자산운용</t>
        </is>
      </c>
      <c r="D648" s="100" t="n">
        <v>5800</v>
      </c>
      <c r="E648" s="100" t="n">
        <v>120350000000</v>
      </c>
      <c r="F648" s="100" t="n">
        <v>732725876</v>
      </c>
      <c r="G648" s="101" t="n">
        <v>0.0049</v>
      </c>
      <c r="H648" s="101" t="n">
        <v>0.5449000000000001</v>
      </c>
      <c r="I648" s="101" t="n">
        <v>0.0005</v>
      </c>
      <c r="J648" s="101" t="n"/>
      <c r="K648" s="100" t="n">
        <v>1</v>
      </c>
      <c r="L648" s="102" t="inlineStr">
        <is>
          <t>20251229</t>
        </is>
      </c>
      <c r="M648" s="99" t="inlineStr">
        <is>
          <t>제외</t>
        </is>
      </c>
      <c r="N648" s="99" t="inlineStr">
        <is>
          <t>변동성 54.5%(1년 기준, 기준 35% 초과), 상장 11개월(기준 12개월 미만), 연 분배율 산출 불가(상장 1년 미만 — 12개월 창이 안 채워짐)</t>
        </is>
      </c>
      <c r="O648" s="99" t="inlineStr">
        <is>
          <t>Akros U.S. AI Electricity SMR Index</t>
        </is>
      </c>
      <c r="P648" s="99" t="inlineStr">
        <is>
          <t>일반</t>
        </is>
      </c>
      <c r="Q648" s="99" t="inlineStr">
        <is>
          <t>주식</t>
        </is>
      </c>
      <c r="R648" s="99" t="inlineStr">
        <is>
          <t>판정 불가</t>
        </is>
      </c>
      <c r="S648" s="100" t="n">
        <v>1</v>
      </c>
      <c r="T648" s="101" t="n"/>
      <c r="U648" s="103" t="n"/>
      <c r="V648" s="103" t="n"/>
      <c r="W648" s="103" t="n">
        <v>-0.1786</v>
      </c>
      <c r="X648" s="103" t="n">
        <v>-0.2504</v>
      </c>
      <c r="Y648" s="99" t="inlineStr"/>
      <c r="Z648" s="99" t="inlineStr">
        <is>
          <t>기준가 224일치뿐 — 창(250거래일)을 못 채움</t>
        </is>
      </c>
    </row>
    <row r="649">
      <c r="A649" s="99" t="inlineStr">
        <is>
          <t>KIWOOM 미국S&amp;P500모멘텀</t>
        </is>
      </c>
      <c r="B649" s="99" t="inlineStr">
        <is>
          <t>0137V0</t>
        </is>
      </c>
      <c r="C649" s="99" t="inlineStr">
        <is>
          <t>키움투자자산운용</t>
        </is>
      </c>
      <c r="D649" s="100" t="n">
        <v>11580</v>
      </c>
      <c r="E649" s="100" t="n">
        <v>106536000000</v>
      </c>
      <c r="F649" s="100" t="n">
        <v>1126506618</v>
      </c>
      <c r="G649" s="101" t="n">
        <v>0.0012</v>
      </c>
      <c r="H649" s="101" t="n">
        <v>0.2732</v>
      </c>
      <c r="I649" s="101" t="n">
        <v>0.0014</v>
      </c>
      <c r="J649" s="101" t="n"/>
      <c r="K649" s="100" t="n">
        <v>3</v>
      </c>
      <c r="L649" s="102" t="inlineStr">
        <is>
          <t>20260730</t>
        </is>
      </c>
      <c r="M649" s="99" t="inlineStr">
        <is>
          <t>제외</t>
        </is>
      </c>
      <c r="N649" s="99" t="inlineStr">
        <is>
          <t>상장 10개월(기준 12개월 미만), 연 분배율 산출 불가(상장 1년 미만 — 12개월 창이 안 채워짐)</t>
        </is>
      </c>
      <c r="O649" s="99" t="inlineStr">
        <is>
          <t>S&amp;P 500 Momentum Index (US Dollar)</t>
        </is>
      </c>
      <c r="P649" s="99" t="inlineStr">
        <is>
          <t>일반</t>
        </is>
      </c>
      <c r="Q649" s="99" t="inlineStr">
        <is>
          <t>주식</t>
        </is>
      </c>
      <c r="R649" s="99" t="inlineStr">
        <is>
          <t>판정 불가</t>
        </is>
      </c>
      <c r="S649" s="100" t="n">
        <v>3</v>
      </c>
      <c r="T649" s="101" t="n"/>
      <c r="U649" s="103" t="n"/>
      <c r="V649" s="103" t="n"/>
      <c r="W649" s="103" t="n">
        <v>0.187</v>
      </c>
      <c r="X649" s="103" t="n">
        <v>-0.1048</v>
      </c>
      <c r="Y649" s="99" t="inlineStr"/>
      <c r="Z649" s="99" t="inlineStr">
        <is>
          <t>기준가 199일치뿐 — 창(250거래일)을 못 채움</t>
        </is>
      </c>
    </row>
    <row r="650">
      <c r="A650" s="99" t="inlineStr">
        <is>
          <t>PLUS 금채권혼합</t>
        </is>
      </c>
      <c r="B650" s="99" t="inlineStr">
        <is>
          <t>0138Y0</t>
        </is>
      </c>
      <c r="C650" s="99" t="inlineStr">
        <is>
          <t>한화자산운용</t>
        </is>
      </c>
      <c r="D650" s="100" t="n">
        <v>9510</v>
      </c>
      <c r="E650" s="100" t="n">
        <v>104610000000</v>
      </c>
      <c r="F650" s="100" t="n">
        <v>1459090751</v>
      </c>
      <c r="G650" s="101" t="n">
        <v>0.0015</v>
      </c>
      <c r="H650" s="101" t="n">
        <v>0.1536</v>
      </c>
      <c r="I650" s="101" t="n">
        <v>0.0002</v>
      </c>
      <c r="J650" s="101" t="n"/>
      <c r="K650" s="100" t="n">
        <v>1</v>
      </c>
      <c r="L650" s="102" t="inlineStr">
        <is>
          <t>20251229</t>
        </is>
      </c>
      <c r="M650" s="99" t="inlineStr">
        <is>
          <t>제외</t>
        </is>
      </c>
      <c r="N650" s="99" t="inlineStr">
        <is>
          <t>상장 10개월(기준 12개월 미만), 연 분배율 산출 불가(상장 1년 미만 — 12개월 창이 안 채워짐)</t>
        </is>
      </c>
      <c r="O650" s="99" t="inlineStr">
        <is>
          <t>Akros U.S. Gold ETF Treasury Balanced Index</t>
        </is>
      </c>
      <c r="P650" s="99" t="inlineStr">
        <is>
          <t>일반</t>
        </is>
      </c>
      <c r="Q650" s="99" t="inlineStr">
        <is>
          <t>멀티에셋</t>
        </is>
      </c>
      <c r="R650" s="99" t="inlineStr">
        <is>
          <t>판정 불가</t>
        </is>
      </c>
      <c r="S650" s="100" t="n">
        <v>1</v>
      </c>
      <c r="T650" s="101" t="n"/>
      <c r="U650" s="103" t="n"/>
      <c r="V650" s="103" t="n"/>
      <c r="W650" s="103" t="n">
        <v>-0.1003</v>
      </c>
      <c r="X650" s="103" t="n">
        <v>-0.0495</v>
      </c>
      <c r="Y650" s="99" t="inlineStr"/>
      <c r="Z650" s="99" t="inlineStr">
        <is>
          <t>기준가 194일치뿐 — 창(250거래일)을 못 채움</t>
        </is>
      </c>
    </row>
    <row r="651">
      <c r="A651" s="99" t="inlineStr">
        <is>
          <t>RISE 26-11 회사채(AA-이상)액티브</t>
        </is>
      </c>
      <c r="B651" s="99" t="inlineStr">
        <is>
          <t>0122W0</t>
        </is>
      </c>
      <c r="C651" s="99" t="inlineStr">
        <is>
          <t>KB자산운용</t>
        </is>
      </c>
      <c r="D651" s="100" t="n">
        <v>51135</v>
      </c>
      <c r="E651" s="100" t="n">
        <v>101963190000</v>
      </c>
      <c r="F651" s="100" t="n">
        <v>225256967</v>
      </c>
      <c r="G651" s="101" t="n">
        <v>0.0005</v>
      </c>
      <c r="H651" s="101" t="n">
        <v>0.0035</v>
      </c>
      <c r="I651" s="101" t="n">
        <v>0.0027</v>
      </c>
      <c r="J651" s="101" t="n"/>
      <c r="K651" s="100" t="n">
        <v>1</v>
      </c>
      <c r="L651" s="102" t="inlineStr">
        <is>
          <t>20251212</t>
        </is>
      </c>
      <c r="M651" s="99" t="inlineStr">
        <is>
          <t>제외</t>
        </is>
      </c>
      <c r="N651" s="99" t="inlineStr">
        <is>
          <t>60일 거래대금 2.3억(기준 5억 미만), 상장 11개월(기준 12개월 미만), 연 분배율 산출 불가(상장 1년 미만 — 12개월 창이 안 채워짐)</t>
        </is>
      </c>
      <c r="O651" s="99" t="inlineStr">
        <is>
          <t>KAP 26-11 회사채(AA-이상) 총수익지수</t>
        </is>
      </c>
      <c r="P651" s="99" t="inlineStr">
        <is>
          <t>일반</t>
        </is>
      </c>
      <c r="Q651" s="99" t="inlineStr">
        <is>
          <t>채권</t>
        </is>
      </c>
      <c r="R651" s="99" t="inlineStr">
        <is>
          <t>판정 불가</t>
        </is>
      </c>
      <c r="S651" s="100" t="n">
        <v>1</v>
      </c>
      <c r="T651" s="101" t="n"/>
      <c r="U651" s="103" t="n"/>
      <c r="V651" s="103" t="n"/>
      <c r="W651" s="103" t="n">
        <v>0.0141</v>
      </c>
      <c r="X651" s="103" t="n">
        <v>0.008</v>
      </c>
      <c r="Y651" s="99" t="inlineStr"/>
      <c r="Z651" s="99" t="inlineStr">
        <is>
          <t>기준가 214일치뿐 — 창(250거래일)을 못 채움</t>
        </is>
      </c>
    </row>
    <row r="652">
      <c r="A652" s="99" t="inlineStr">
        <is>
          <t>KODEX 차이나AI반도체TOP10</t>
        </is>
      </c>
      <c r="B652" s="99" t="inlineStr">
        <is>
          <t>0162L0</t>
        </is>
      </c>
      <c r="C652" s="99" t="inlineStr">
        <is>
          <t>삼성자산운용(ETF)</t>
        </is>
      </c>
      <c r="D652" s="100" t="n">
        <v>12175</v>
      </c>
      <c r="E652" s="100" t="n">
        <v>98008750000</v>
      </c>
      <c r="F652" s="100" t="n">
        <v>12966404746</v>
      </c>
      <c r="G652" s="101" t="n">
        <v>0.005500000000000001</v>
      </c>
      <c r="H652" s="101" t="n">
        <v>0.6283</v>
      </c>
      <c r="I652" s="101" t="n">
        <v>0.0012</v>
      </c>
      <c r="J652" s="101" t="n"/>
      <c r="K652" s="100" t="n">
        <v>2</v>
      </c>
      <c r="L652" s="102" t="inlineStr">
        <is>
          <t>20260730</t>
        </is>
      </c>
      <c r="M652" s="99" t="inlineStr">
        <is>
          <t>제외</t>
        </is>
      </c>
      <c r="N652" s="99" t="inlineStr">
        <is>
          <t>변동성 62.8%(148거래일 기준, 기준 35% 초과), 상장 8개월(기준 12개월 미만), 연 분배율 산출 불가(상장 1년 미만 — 12개월 창이 안 채워짐)</t>
        </is>
      </c>
      <c r="O652" s="99" t="inlineStr">
        <is>
          <t>Indxx China AI Semiconductor Top 10 Index</t>
        </is>
      </c>
      <c r="P652" s="99" t="inlineStr">
        <is>
          <t>일반</t>
        </is>
      </c>
      <c r="Q652" s="99" t="inlineStr">
        <is>
          <t>주식</t>
        </is>
      </c>
      <c r="R652" s="99" t="inlineStr">
        <is>
          <t>판정 불가</t>
        </is>
      </c>
      <c r="S652" s="100" t="n">
        <v>2</v>
      </c>
      <c r="T652" s="101" t="n"/>
      <c r="U652" s="103" t="n"/>
      <c r="V652" s="103" t="n"/>
      <c r="W652" s="103" t="n">
        <v>0.3161</v>
      </c>
      <c r="X652" s="103" t="n">
        <v>-0.333</v>
      </c>
      <c r="Y652" s="99" t="inlineStr"/>
      <c r="Z652" s="99" t="inlineStr">
        <is>
          <t>기준가 148일치뿐 — 창(250거래일)을 못 채움</t>
        </is>
      </c>
    </row>
    <row r="653">
      <c r="A653" s="99" t="inlineStr">
        <is>
          <t>TIGER 미국AI데이터센터TOP4Plus</t>
        </is>
      </c>
      <c r="B653" s="99" t="inlineStr">
        <is>
          <t>0142D0</t>
        </is>
      </c>
      <c r="C653" s="99" t="inlineStr">
        <is>
          <t>미래에셋자산운용</t>
        </is>
      </c>
      <c r="D653" s="100" t="n">
        <v>10405</v>
      </c>
      <c r="E653" s="100" t="n">
        <v>97286750000</v>
      </c>
      <c r="F653" s="100" t="n">
        <v>1869748983</v>
      </c>
      <c r="G653" s="101" t="n">
        <v>0.0049</v>
      </c>
      <c r="H653" s="101" t="n">
        <v>0.742</v>
      </c>
      <c r="I653" s="101" t="n">
        <v>0.0002</v>
      </c>
      <c r="J653" s="101" t="n"/>
      <c r="K653" s="100" t="n">
        <v>1</v>
      </c>
      <c r="L653" s="102" t="inlineStr">
        <is>
          <t>20251229</t>
        </is>
      </c>
      <c r="M653" s="99" t="inlineStr">
        <is>
          <t>제외</t>
        </is>
      </c>
      <c r="N653" s="99" t="inlineStr">
        <is>
          <t>변동성 74.2%(199거래일 기준, 기준 35% 초과), 상장 10개월(기준 12개월 미만), 연 분배율 산출 불가(상장 1년 미만 — 12개월 창이 안 채워짐)</t>
        </is>
      </c>
      <c r="O653" s="99" t="inlineStr">
        <is>
          <t>Akros U.S. AI Data Center TOP4 Plus Index</t>
        </is>
      </c>
      <c r="P653" s="99" t="inlineStr">
        <is>
          <t>일반</t>
        </is>
      </c>
      <c r="Q653" s="99" t="inlineStr">
        <is>
          <t>주식</t>
        </is>
      </c>
      <c r="R653" s="99" t="inlineStr">
        <is>
          <t>판정 불가</t>
        </is>
      </c>
      <c r="S653" s="100" t="n">
        <v>1</v>
      </c>
      <c r="T653" s="101" t="n"/>
      <c r="U653" s="103" t="n"/>
      <c r="V653" s="103" t="n"/>
      <c r="W653" s="103" t="n"/>
      <c r="X653" s="103" t="n"/>
      <c r="Y653" s="99" t="inlineStr"/>
      <c r="Z653" s="99" t="inlineStr">
        <is>
          <t>기준가 199일치뿐 — 창(250거래일)을 못 채움 / 6개월: 창 안 급변일 1일(20260731) — 내지 않음 / 3개월: 창 안 급변일 1일(20260731) — 내지 않음</t>
        </is>
      </c>
    </row>
    <row r="654">
      <c r="A654" s="99" t="inlineStr">
        <is>
          <t>TIGER 구글밸류체인</t>
        </is>
      </c>
      <c r="B654" s="99" t="inlineStr">
        <is>
          <t>0190Y0</t>
        </is>
      </c>
      <c r="C654" s="99" t="inlineStr">
        <is>
          <t>미래에셋자산운용</t>
        </is>
      </c>
      <c r="D654" s="100" t="n">
        <v>8615</v>
      </c>
      <c r="E654" s="100" t="n">
        <v>69781500000</v>
      </c>
      <c r="F654" s="100" t="n">
        <v>752832434</v>
      </c>
      <c r="G654" s="101" t="n">
        <v>0.004500000000000001</v>
      </c>
      <c r="H654" s="101" t="n">
        <v>0.3707</v>
      </c>
      <c r="I654" s="101" t="n">
        <v>0.0037</v>
      </c>
      <c r="J654" s="101" t="n"/>
      <c r="K654" s="100" t="n">
        <v>1</v>
      </c>
      <c r="L654" s="102" t="inlineStr">
        <is>
          <t>20260730</t>
        </is>
      </c>
      <c r="M654" s="99" t="inlineStr">
        <is>
          <t>제외</t>
        </is>
      </c>
      <c r="N654" s="99" t="inlineStr">
        <is>
          <t>변동성 37.1%(98거래일 기준, 기준 35% 초과), 상장 5개월(기준 12개월 미만), 연 분배율 산출 불가(상장 1년 미만 — 12개월 창이 안 채워짐)</t>
        </is>
      </c>
      <c r="O654" s="99" t="inlineStr">
        <is>
          <t>Akros Google Value Chain Index</t>
        </is>
      </c>
      <c r="P654" s="99" t="inlineStr">
        <is>
          <t>일반</t>
        </is>
      </c>
      <c r="Q654" s="99" t="inlineStr">
        <is>
          <t>주식</t>
        </is>
      </c>
      <c r="R654" s="99" t="inlineStr">
        <is>
          <t>판정 불가</t>
        </is>
      </c>
      <c r="S654" s="100" t="n">
        <v>1</v>
      </c>
      <c r="T654" s="101" t="n"/>
      <c r="U654" s="103" t="n"/>
      <c r="V654" s="103" t="n"/>
      <c r="W654" s="103" t="n"/>
      <c r="X654" s="103" t="n">
        <v>-0.1338</v>
      </c>
      <c r="Y654" s="99" t="inlineStr"/>
      <c r="Z654" s="99" t="inlineStr">
        <is>
          <t>기준가 98일치뿐 — 창(250거래일)을 못 채움 / 6개월: 기준가 98일치뿐 — 창(123거래일)을 못 채움</t>
        </is>
      </c>
    </row>
    <row r="655">
      <c r="A655" s="99" t="inlineStr">
        <is>
          <t>KODEX 헬스케어</t>
        </is>
      </c>
      <c r="B655" s="99" t="inlineStr">
        <is>
          <t>266420</t>
        </is>
      </c>
      <c r="C655" s="99" t="inlineStr">
        <is>
          <t>삼성자산운용(ETF)</t>
        </is>
      </c>
      <c r="D655" s="100" t="n">
        <v>16210</v>
      </c>
      <c r="E655" s="100" t="n">
        <v>69703000000</v>
      </c>
      <c r="F655" s="100" t="n">
        <v>610589881</v>
      </c>
      <c r="G655" s="101" t="n">
        <v>0.0009</v>
      </c>
      <c r="H655" s="101" t="n">
        <v>0.4373</v>
      </c>
      <c r="I655" s="101" t="n">
        <v>0.0026</v>
      </c>
      <c r="J655" s="101" t="n"/>
      <c r="K655" s="100" t="n">
        <v>2</v>
      </c>
      <c r="L655" s="102" t="inlineStr">
        <is>
          <t>20250429</t>
        </is>
      </c>
      <c r="M655" s="99" t="inlineStr">
        <is>
          <t>제외</t>
        </is>
      </c>
      <c r="N655" s="99" t="inlineStr">
        <is>
          <t>변동성 43.7%(1년 기준, 기준 35% 초과), 최근 12개월 분배 없음, 연 분배율 산출 불가(최근 12개월 분배 기록 없음)</t>
        </is>
      </c>
      <c r="O655" s="99" t="inlineStr">
        <is>
          <t>KRX 헬스케어</t>
        </is>
      </c>
      <c r="P655" s="99" t="inlineStr">
        <is>
          <t>일반</t>
        </is>
      </c>
      <c r="Q655" s="99" t="inlineStr">
        <is>
          <t>주식</t>
        </is>
      </c>
      <c r="R655" s="99" t="inlineStr">
        <is>
          <t>무분배</t>
        </is>
      </c>
      <c r="S655" s="100" t="n">
        <v>0</v>
      </c>
      <c r="T655" s="101" t="n"/>
      <c r="U655" s="103" t="n"/>
      <c r="V655" s="103" t="n">
        <v>-0.1832</v>
      </c>
      <c r="W655" s="103" t="n">
        <v>-0.2366</v>
      </c>
      <c r="X655" s="103" t="n">
        <v>-0.09320000000000001</v>
      </c>
      <c r="Y655" s="99" t="inlineStr">
        <is>
          <t>20250922~20261002</t>
        </is>
      </c>
      <c r="Z655" s="99" t="inlineStr">
        <is>
          <t>기준가 수익률은 냈으나 최근 12개월 분배금 합계가 없어 총수익률은 내지 않음</t>
        </is>
      </c>
    </row>
    <row r="656">
      <c r="A656" s="99" t="inlineStr">
        <is>
          <t>TIME 글로벌탑픽액티브</t>
        </is>
      </c>
      <c r="B656" s="99" t="inlineStr">
        <is>
          <t>0113D0</t>
        </is>
      </c>
      <c r="C656" s="99" t="inlineStr">
        <is>
          <t>타임폴리오자산운용</t>
        </is>
      </c>
      <c r="D656" s="100" t="n">
        <v>11605</v>
      </c>
      <c r="E656" s="100" t="n">
        <v>66148500000</v>
      </c>
      <c r="F656" s="100" t="n">
        <v>453621653</v>
      </c>
      <c r="G656" s="101" t="n">
        <v>0.0005999999999999999</v>
      </c>
      <c r="H656" s="101" t="n">
        <v>0.1878</v>
      </c>
      <c r="I656" s="101" t="n">
        <v>0.0016</v>
      </c>
      <c r="J656" s="101" t="n"/>
      <c r="K656" s="100" t="n">
        <v>1</v>
      </c>
      <c r="L656" s="102" t="inlineStr">
        <is>
          <t>20251229</t>
        </is>
      </c>
      <c r="M656" s="99" t="inlineStr">
        <is>
          <t>제외</t>
        </is>
      </c>
      <c r="N656" s="99" t="inlineStr">
        <is>
          <t>60일 거래대금 4.5억(기준 5억 미만), 연 분배율 산출 불가(상장 1년 미만 — 12개월 창이 안 채워짐)</t>
        </is>
      </c>
      <c r="O656" s="99" t="inlineStr">
        <is>
          <t>Bloomberg World Large, Mid &amp; Small Cap Price Return Index</t>
        </is>
      </c>
      <c r="P656" s="99" t="inlineStr">
        <is>
          <t>일반</t>
        </is>
      </c>
      <c r="Q656" s="99" t="inlineStr">
        <is>
          <t>멀티에셋</t>
        </is>
      </c>
      <c r="R656" s="99" t="inlineStr">
        <is>
          <t>연배당</t>
        </is>
      </c>
      <c r="S656" s="100" t="n">
        <v>1</v>
      </c>
      <c r="T656" s="101" t="n"/>
      <c r="U656" s="103" t="n"/>
      <c r="V656" s="103" t="n"/>
      <c r="W656" s="103" t="n">
        <v>0.0195</v>
      </c>
      <c r="X656" s="103" t="n">
        <v>-0.1033</v>
      </c>
      <c r="Y656" s="99" t="inlineStr"/>
      <c r="Z656" s="99" t="inlineStr">
        <is>
          <t>기준가 229일치뿐 — 창(250거래일)을 못 채움</t>
        </is>
      </c>
    </row>
    <row r="657">
      <c r="A657" s="99" t="inlineStr">
        <is>
          <t>KODEX 코리아소버린AI</t>
        </is>
      </c>
      <c r="B657" s="99" t="inlineStr">
        <is>
          <t>0115E0</t>
        </is>
      </c>
      <c r="C657" s="99" t="inlineStr">
        <is>
          <t>삼성자산운용(ETF)</t>
        </is>
      </c>
      <c r="D657" s="100" t="n">
        <v>14410</v>
      </c>
      <c r="E657" s="100" t="n">
        <v>62683500000</v>
      </c>
      <c r="F657" s="100" t="n">
        <v>1052664277</v>
      </c>
      <c r="G657" s="101" t="n">
        <v>0.004500000000000001</v>
      </c>
      <c r="H657" s="101" t="n">
        <v>0.4647</v>
      </c>
      <c r="I657" s="101" t="n">
        <v>0.0021</v>
      </c>
      <c r="J657" s="101" t="n"/>
      <c r="K657" s="100" t="n">
        <v>2</v>
      </c>
      <c r="L657" s="102" t="inlineStr">
        <is>
          <t>20260730</t>
        </is>
      </c>
      <c r="M657" s="99" t="inlineStr">
        <is>
          <t>제외</t>
        </is>
      </c>
      <c r="N657" s="99" t="inlineStr">
        <is>
          <t>변동성 46.5%(1년 기준, 기준 35% 초과), 연 분배율 산출 불가(상장 1년 미만 — 12개월 창이 안 채워짐)</t>
        </is>
      </c>
      <c r="O657" s="99" t="inlineStr">
        <is>
          <t>KRX 코리아 소버린 AI 지수</t>
        </is>
      </c>
      <c r="P657" s="99" t="inlineStr">
        <is>
          <t>일반</t>
        </is>
      </c>
      <c r="Q657" s="99" t="inlineStr">
        <is>
          <t>주식</t>
        </is>
      </c>
      <c r="R657" s="99" t="inlineStr">
        <is>
          <t>연배당</t>
        </is>
      </c>
      <c r="S657" s="100" t="n">
        <v>2</v>
      </c>
      <c r="T657" s="101" t="n"/>
      <c r="U657" s="103" t="n"/>
      <c r="V657" s="103" t="n"/>
      <c r="W657" s="103" t="n">
        <v>0.1455</v>
      </c>
      <c r="X657" s="103" t="n">
        <v>0.0018</v>
      </c>
      <c r="Y657" s="99" t="inlineStr"/>
      <c r="Z657" s="99" t="inlineStr">
        <is>
          <t>기준가 234일치뿐 — 창(250거래일)을 못 채움</t>
        </is>
      </c>
    </row>
    <row r="658">
      <c r="A658" s="99" t="inlineStr">
        <is>
          <t>SOL 조선기자재</t>
        </is>
      </c>
      <c r="B658" s="99" t="inlineStr">
        <is>
          <t>0141S0</t>
        </is>
      </c>
      <c r="C658" s="99" t="inlineStr">
        <is>
          <t>신한자산운용</t>
        </is>
      </c>
      <c r="D658" s="100" t="n">
        <v>8545</v>
      </c>
      <c r="E658" s="100" t="n">
        <v>55969750000</v>
      </c>
      <c r="F658" s="100" t="n">
        <v>2263356902</v>
      </c>
      <c r="G658" s="101" t="n">
        <v>0.004500000000000001</v>
      </c>
      <c r="H658" s="101" t="n">
        <v>0.5815</v>
      </c>
      <c r="I658" s="101" t="n">
        <v>0.0007000000000000001</v>
      </c>
      <c r="J658" s="101" t="n"/>
      <c r="K658" s="100" t="n">
        <v>2</v>
      </c>
      <c r="L658" s="102" t="inlineStr">
        <is>
          <t>20260429</t>
        </is>
      </c>
      <c r="M658" s="99" t="inlineStr">
        <is>
          <t>제외</t>
        </is>
      </c>
      <c r="N658" s="99" t="inlineStr">
        <is>
          <t>변동성 58.2%(194거래일 기준, 기준 35% 초과), 상장 10개월(기준 12개월 미만), 연 분배율 산출 불가(상장 1년 미만 — 12개월 창이 안 채워짐)</t>
        </is>
      </c>
      <c r="O658" s="99" t="inlineStr">
        <is>
          <t>FnGuide 조선 기자재 지수</t>
        </is>
      </c>
      <c r="P658" s="99" t="inlineStr">
        <is>
          <t>일반</t>
        </is>
      </c>
      <c r="Q658" s="99" t="inlineStr">
        <is>
          <t>주식</t>
        </is>
      </c>
      <c r="R658" s="99" t="inlineStr">
        <is>
          <t>판정 불가</t>
        </is>
      </c>
      <c r="S658" s="100" t="n">
        <v>2</v>
      </c>
      <c r="T658" s="101" t="n"/>
      <c r="U658" s="103" t="n"/>
      <c r="V658" s="103" t="n"/>
      <c r="W658" s="103" t="n">
        <v>-0.2374</v>
      </c>
      <c r="X658" s="103" t="n">
        <v>-0.099</v>
      </c>
      <c r="Y658" s="99" t="inlineStr"/>
      <c r="Z658" s="99" t="inlineStr">
        <is>
          <t>기준가 194일치뿐 — 창(250거래일)을 못 채움</t>
        </is>
      </c>
    </row>
    <row r="659">
      <c r="A659" s="99" t="inlineStr">
        <is>
          <t>HANARO 반도체핵심공정주도주</t>
        </is>
      </c>
      <c r="B659" s="99" t="inlineStr">
        <is>
          <t>476260</t>
        </is>
      </c>
      <c r="C659" s="99" t="inlineStr">
        <is>
          <t>NH-Amundi자산운용</t>
        </is>
      </c>
      <c r="D659" s="100" t="n">
        <v>15385</v>
      </c>
      <c r="E659" s="100" t="n">
        <v>54616750000</v>
      </c>
      <c r="F659" s="100" t="n">
        <v>5964759278</v>
      </c>
      <c r="G659" s="101" t="n">
        <v>0.004500000000000001</v>
      </c>
      <c r="H659" s="101" t="n">
        <v>0.79</v>
      </c>
      <c r="I659" s="101" t="n">
        <v>0.0067</v>
      </c>
      <c r="J659" s="101" t="n"/>
      <c r="K659" s="100" t="n">
        <v>1</v>
      </c>
      <c r="L659" s="102" t="inlineStr">
        <is>
          <t>20250429</t>
        </is>
      </c>
      <c r="M659" s="99" t="inlineStr">
        <is>
          <t>제외</t>
        </is>
      </c>
      <c r="N659" s="99" t="inlineStr">
        <is>
          <t>변동성 79.0%(1년 기준, 기준 35% 초과), 최근 12개월 분배 없음, 연 분배율 산출 불가(최근 12개월 분배 기록 없음)</t>
        </is>
      </c>
      <c r="O659" s="99" t="inlineStr">
        <is>
          <t>FnGuide 반도체 핵심 공정 주도주 지수</t>
        </is>
      </c>
      <c r="P659" s="99" t="inlineStr">
        <is>
          <t>일반</t>
        </is>
      </c>
      <c r="Q659" s="99" t="inlineStr">
        <is>
          <t>주식</t>
        </is>
      </c>
      <c r="R659" s="99" t="inlineStr">
        <is>
          <t>무분배</t>
        </is>
      </c>
      <c r="S659" s="100" t="n">
        <v>0</v>
      </c>
      <c r="T659" s="101" t="n"/>
      <c r="U659" s="103" t="n"/>
      <c r="V659" s="103" t="n"/>
      <c r="W659" s="103" t="n"/>
      <c r="X659" s="103" t="n"/>
      <c r="Y659" s="99" t="inlineStr"/>
      <c r="Z659" s="99" t="inlineStr">
        <is>
          <t>창 안 급변일 5일(20260305,20260604,20260609,20260702,20260731) — 내지 않음 / 6개월: 창 안 급변일 4일(20260604,20260609,20260702,20260731) — 내지 않음 / 3개월: 창 안 급변일 1일(20260731) — 내지 않음</t>
        </is>
      </c>
    </row>
    <row r="660">
      <c r="A660" s="99" t="inlineStr">
        <is>
          <t>PLUS K제조업핵심기업액티브</t>
        </is>
      </c>
      <c r="B660" s="99" t="inlineStr">
        <is>
          <t>0166S0</t>
        </is>
      </c>
      <c r="C660" s="99" t="inlineStr">
        <is>
          <t>한화자산운용</t>
        </is>
      </c>
      <c r="D660" s="100" t="n">
        <v>11755</v>
      </c>
      <c r="E660" s="100" t="n">
        <v>53485250000</v>
      </c>
      <c r="F660" s="100" t="n">
        <v>864740766</v>
      </c>
      <c r="G660" s="101" t="n">
        <v>0.0063</v>
      </c>
      <c r="H660" s="101" t="n">
        <v>0.7027</v>
      </c>
      <c r="I660" s="101" t="n">
        <v>0.0004</v>
      </c>
      <c r="J660" s="101" t="n"/>
      <c r="K660" s="100" t="n">
        <v>1</v>
      </c>
      <c r="L660" s="102" t="inlineStr">
        <is>
          <t>20260429</t>
        </is>
      </c>
      <c r="M660" s="99" t="inlineStr">
        <is>
          <t>제외</t>
        </is>
      </c>
      <c r="N660" s="99" t="inlineStr">
        <is>
          <t>변동성 70.3%(131거래일 기준, 기준 35% 초과), 상장 7개월(기준 12개월 미만), 연 분배율 산출 불가(상장 1년 미만 — 12개월 창이 안 채워짐)</t>
        </is>
      </c>
      <c r="O660" s="99" t="inlineStr">
        <is>
          <t>Akros K제조업 50 지수</t>
        </is>
      </c>
      <c r="P660" s="99" t="inlineStr">
        <is>
          <t>일반</t>
        </is>
      </c>
      <c r="Q660" s="99" t="inlineStr">
        <is>
          <t>주식</t>
        </is>
      </c>
      <c r="R660" s="99" t="inlineStr">
        <is>
          <t>판정 불가</t>
        </is>
      </c>
      <c r="S660" s="100" t="n">
        <v>1</v>
      </c>
      <c r="T660" s="101" t="n"/>
      <c r="U660" s="103" t="n"/>
      <c r="V660" s="103" t="n"/>
      <c r="W660" s="103" t="n"/>
      <c r="X660" s="103" t="n"/>
      <c r="Y660" s="99" t="inlineStr"/>
      <c r="Z660" s="99" t="inlineStr">
        <is>
          <t>기준가 131일치뿐 — 창(250거래일)을 못 채움 / 6개월: 창 안 급변일 1일(20260731) — 내지 않음 / 3개월: 창 안 급변일 1일(20260731) — 내지 않음</t>
        </is>
      </c>
    </row>
    <row r="661">
      <c r="A661" s="99" t="inlineStr">
        <is>
          <t>ACE 미국AI테크핵심산업액티브</t>
        </is>
      </c>
      <c r="B661" s="99" t="inlineStr">
        <is>
          <t>0118Z0</t>
        </is>
      </c>
      <c r="C661" s="99" t="inlineStr">
        <is>
          <t>한국투신운용(ETF)</t>
        </is>
      </c>
      <c r="D661" s="100" t="n">
        <v>8590</v>
      </c>
      <c r="E661" s="100" t="n">
        <v>51110500000</v>
      </c>
      <c r="F661" s="100" t="n">
        <v>207594811</v>
      </c>
      <c r="G661" s="101" t="n">
        <v>0.004500000000000001</v>
      </c>
      <c r="H661" s="101" t="n">
        <v>0.4415</v>
      </c>
      <c r="I661" s="101" t="n">
        <v>0.0003</v>
      </c>
      <c r="J661" s="101" t="n"/>
      <c r="K661" s="100" t="n">
        <v>1</v>
      </c>
      <c r="L661" s="102" t="inlineStr">
        <is>
          <t>20251229</t>
        </is>
      </c>
      <c r="M661" s="99" t="inlineStr">
        <is>
          <t>제외</t>
        </is>
      </c>
      <c r="N661" s="99" t="inlineStr">
        <is>
          <t>60일 거래대금 2.1억(기준 5억 미만), 변동성 44.1%(1년 기준, 기준 35% 초과), 연 분배율 산출 불가(상장 1년 미만 — 12개월 창이 안 채워짐)</t>
        </is>
      </c>
      <c r="O661" s="99" t="inlineStr">
        <is>
          <t>Akros U.S. AI Innovator Index</t>
        </is>
      </c>
      <c r="P661" s="99" t="inlineStr">
        <is>
          <t>일반</t>
        </is>
      </c>
      <c r="Q661" s="99" t="inlineStr">
        <is>
          <t>주식</t>
        </is>
      </c>
      <c r="R661" s="99" t="inlineStr">
        <is>
          <t>연배당</t>
        </is>
      </c>
      <c r="S661" s="100" t="n">
        <v>1</v>
      </c>
      <c r="T661" s="101" t="n"/>
      <c r="U661" s="103" t="n"/>
      <c r="V661" s="103" t="n"/>
      <c r="W661" s="103" t="n">
        <v>0.0224</v>
      </c>
      <c r="X661" s="103" t="n">
        <v>-0.1346</v>
      </c>
      <c r="Y661" s="99" t="inlineStr"/>
      <c r="Z661" s="99" t="inlineStr">
        <is>
          <t>기준가 229일치뿐 — 창(250거래일)을 못 채움</t>
        </is>
      </c>
    </row>
    <row r="662">
      <c r="A662" s="99" t="inlineStr">
        <is>
          <t>SOL 미국넥스트테크TOP10액티브</t>
        </is>
      </c>
      <c r="B662" s="99" t="inlineStr">
        <is>
          <t>0118S0</t>
        </is>
      </c>
      <c r="C662" s="99" t="inlineStr">
        <is>
          <t>신한자산운용</t>
        </is>
      </c>
      <c r="D662" s="100" t="n">
        <v>10885</v>
      </c>
      <c r="E662" s="100" t="n">
        <v>50071000000</v>
      </c>
      <c r="F662" s="100" t="n">
        <v>449222779</v>
      </c>
      <c r="G662" s="101" t="n">
        <v>0.005500000000000001</v>
      </c>
      <c r="H662" s="101" t="n">
        <v>0.6008</v>
      </c>
      <c r="I662" s="101" t="n">
        <v>0.0004</v>
      </c>
      <c r="J662" s="101" t="n"/>
      <c r="K662" s="100" t="n">
        <v>2</v>
      </c>
      <c r="L662" s="102" t="inlineStr">
        <is>
          <t>20260429</t>
        </is>
      </c>
      <c r="M662" s="99" t="inlineStr">
        <is>
          <t>제외</t>
        </is>
      </c>
      <c r="N662" s="99" t="inlineStr">
        <is>
          <t>60일 거래대금 4.5억(기준 5억 미만), 변동성 60.1%(1년 기준, 기준 35% 초과), 연 분배율 산출 불가(상장 1년 미만 — 12개월 창이 안 채워짐)</t>
        </is>
      </c>
      <c r="O662" s="99" t="inlineStr">
        <is>
          <t>KEDI U.S. Next Tech Top10 Index</t>
        </is>
      </c>
      <c r="P662" s="99" t="inlineStr">
        <is>
          <t>일반</t>
        </is>
      </c>
      <c r="Q662" s="99" t="inlineStr">
        <is>
          <t>주식</t>
        </is>
      </c>
      <c r="R662" s="99" t="inlineStr">
        <is>
          <t>연배당</t>
        </is>
      </c>
      <c r="S662" s="100" t="n">
        <v>2</v>
      </c>
      <c r="T662" s="101" t="n"/>
      <c r="U662" s="103" t="n"/>
      <c r="V662" s="103" t="n"/>
      <c r="W662" s="103" t="n">
        <v>0.0507</v>
      </c>
      <c r="X662" s="103" t="n">
        <v>-0.1975</v>
      </c>
      <c r="Y662" s="99" t="inlineStr"/>
      <c r="Z662" s="99" t="inlineStr">
        <is>
          <t>기준가 229일치뿐 — 창(250거래일)을 못 채움</t>
        </is>
      </c>
    </row>
    <row r="663">
      <c r="A663" s="99" t="inlineStr">
        <is>
          <t>IBK 미국AI TOP10국채혼합50</t>
        </is>
      </c>
      <c r="B663" s="99" t="inlineStr">
        <is>
          <t>0178H0</t>
        </is>
      </c>
      <c r="C663" s="99" t="inlineStr">
        <is>
          <t>IBK자산운용</t>
        </is>
      </c>
      <c r="D663" s="100" t="n">
        <v>10240</v>
      </c>
      <c r="E663" s="100" t="n">
        <v>48128000000</v>
      </c>
      <c r="F663" s="100" t="n">
        <v>101808150</v>
      </c>
      <c r="G663" s="101" t="n">
        <v>0.0025</v>
      </c>
      <c r="H663" s="101" t="n">
        <v>0.1355</v>
      </c>
      <c r="I663" s="101" t="n">
        <v>0.0015</v>
      </c>
      <c r="J663" s="101" t="n"/>
      <c r="K663" s="100" t="n">
        <v>1</v>
      </c>
      <c r="L663" s="102" t="inlineStr">
        <is>
          <t>20260730</t>
        </is>
      </c>
      <c r="M663" s="99" t="inlineStr">
        <is>
          <t>제외</t>
        </is>
      </c>
      <c r="N663" s="99" t="inlineStr">
        <is>
          <t>60일 거래대금 1.0억(기준 5억 미만), 상장 6개월(기준 12개월 미만), 연 분배율 산출 불가(상장 1년 미만 — 12개월 창이 안 채워짐)</t>
        </is>
      </c>
      <c r="O663" s="99" t="inlineStr">
        <is>
          <t>FnGuide 미국AI TOP10국채혼합 지수</t>
        </is>
      </c>
      <c r="P663" s="99" t="inlineStr">
        <is>
          <t>일반</t>
        </is>
      </c>
      <c r="Q663" s="99" t="inlineStr">
        <is>
          <t>멀티에셋</t>
        </is>
      </c>
      <c r="R663" s="99" t="inlineStr">
        <is>
          <t>판정 불가</t>
        </is>
      </c>
      <c r="S663" s="100" t="n">
        <v>1</v>
      </c>
      <c r="T663" s="101" t="n"/>
      <c r="U663" s="103" t="n"/>
      <c r="V663" s="103" t="n"/>
      <c r="W663" s="103" t="n"/>
      <c r="X663" s="103" t="n">
        <v>0.0154</v>
      </c>
      <c r="Y663" s="99" t="inlineStr"/>
      <c r="Z663" s="99" t="inlineStr">
        <is>
          <t>기준가 106일치뿐 — 창(250거래일)을 못 채움 / 6개월: 기준가 106일치뿐 — 창(123거래일)을 못 채움</t>
        </is>
      </c>
    </row>
    <row r="664">
      <c r="A664" s="99" t="inlineStr">
        <is>
          <t>SOL 중기종합채권(AA-이상)액티브</t>
        </is>
      </c>
      <c r="B664" s="99" t="inlineStr">
        <is>
          <t>0141T0</t>
        </is>
      </c>
      <c r="C664" s="99" t="inlineStr">
        <is>
          <t>신한자산운용</t>
        </is>
      </c>
      <c r="D664" s="100" t="n">
        <v>50380</v>
      </c>
      <c r="E664" s="100" t="n">
        <v>47961760000</v>
      </c>
      <c r="F664" s="100" t="n">
        <v>23556054</v>
      </c>
      <c r="G664" s="101" t="n">
        <v>0.0005</v>
      </c>
      <c r="H664" s="101" t="n">
        <v>0.0187</v>
      </c>
      <c r="I664" s="101" t="n">
        <v>0.0004</v>
      </c>
      <c r="J664" s="101" t="n"/>
      <c r="K664" s="100" t="n">
        <v>1</v>
      </c>
      <c r="L664" s="102" t="inlineStr">
        <is>
          <t>20251229</t>
        </is>
      </c>
      <c r="M664" s="99" t="inlineStr">
        <is>
          <t>제외</t>
        </is>
      </c>
      <c r="N664" s="99" t="inlineStr">
        <is>
          <t>60일 거래대금 0.2억(기준 5억 미만), 상장 10개월(기준 12개월 미만), 연 분배율 산출 불가(상장 1년 미만 — 12개월 창이 안 채워짐)</t>
        </is>
      </c>
      <c r="O664" s="99" t="inlineStr">
        <is>
          <t>KAP K-중기종합채권지수(AA-이상, 총수익)</t>
        </is>
      </c>
      <c r="P664" s="99" t="inlineStr">
        <is>
          <t>일반</t>
        </is>
      </c>
      <c r="Q664" s="99" t="inlineStr">
        <is>
          <t>채권</t>
        </is>
      </c>
      <c r="R664" s="99" t="inlineStr">
        <is>
          <t>판정 불가</t>
        </is>
      </c>
      <c r="S664" s="100" t="n">
        <v>1</v>
      </c>
      <c r="T664" s="101" t="n"/>
      <c r="U664" s="103" t="n"/>
      <c r="V664" s="103" t="n"/>
      <c r="W664" s="103" t="n">
        <v>0.009000000000000001</v>
      </c>
      <c r="X664" s="103" t="n">
        <v>0.0071</v>
      </c>
      <c r="Y664" s="99" t="inlineStr"/>
      <c r="Z664" s="99" t="inlineStr">
        <is>
          <t>기준가 194일치뿐 — 창(250거래일)을 못 채움</t>
        </is>
      </c>
    </row>
    <row r="665">
      <c r="A665" s="99" t="inlineStr">
        <is>
          <t>1Q 코스닥150채권혼합50액티브</t>
        </is>
      </c>
      <c r="B665" s="99" t="inlineStr">
        <is>
          <t>0186S0</t>
        </is>
      </c>
      <c r="C665" s="99" t="inlineStr">
        <is>
          <t>하나자산운용</t>
        </is>
      </c>
      <c r="D665" s="100" t="n">
        <v>8745</v>
      </c>
      <c r="E665" s="100" t="n">
        <v>44599500000</v>
      </c>
      <c r="F665" s="100" t="n">
        <v>2667407559</v>
      </c>
      <c r="G665" s="101" t="n">
        <v>0.0063</v>
      </c>
      <c r="H665" s="101" t="n">
        <v>0.3153</v>
      </c>
      <c r="I665" s="101" t="n">
        <v>0.0027</v>
      </c>
      <c r="J665" s="101" t="n"/>
      <c r="K665" s="100" t="n">
        <v>1</v>
      </c>
      <c r="L665" s="102" t="inlineStr">
        <is>
          <t>20260730</t>
        </is>
      </c>
      <c r="M665" s="99" t="inlineStr">
        <is>
          <t>제외</t>
        </is>
      </c>
      <c r="N665" s="99" t="inlineStr">
        <is>
          <t>상장 6개월(기준 12개월 미만), 연 분배율 산출 불가(상장 1년 미만 — 12개월 창이 안 채워짐)</t>
        </is>
      </c>
      <c r="O665" s="99" t="inlineStr">
        <is>
          <t>코스닥 150 단기국공채 혼합지수</t>
        </is>
      </c>
      <c r="P665" s="99" t="inlineStr">
        <is>
          <t>일반</t>
        </is>
      </c>
      <c r="Q665" s="99" t="inlineStr">
        <is>
          <t>멀티에셋</t>
        </is>
      </c>
      <c r="R665" s="99" t="inlineStr">
        <is>
          <t>판정 불가</t>
        </is>
      </c>
      <c r="S665" s="100" t="n">
        <v>1</v>
      </c>
      <c r="T665" s="101" t="n"/>
      <c r="U665" s="103" t="n"/>
      <c r="V665" s="103" t="n"/>
      <c r="W665" s="103" t="n"/>
      <c r="X665" s="103" t="n">
        <v>0.0072</v>
      </c>
      <c r="Y665" s="99" t="inlineStr"/>
      <c r="Z665" s="99" t="inlineStr">
        <is>
          <t>기준가 106일치뿐 — 창(250거래일)을 못 채움 / 6개월: 기준가 106일치뿐 — 창(123거래일)을 못 채움</t>
        </is>
      </c>
    </row>
    <row r="666">
      <c r="A666" s="99" t="inlineStr">
        <is>
          <t>KODEX 미국원자력SMR</t>
        </is>
      </c>
      <c r="B666" s="99" t="inlineStr">
        <is>
          <t>0132H0</t>
        </is>
      </c>
      <c r="C666" s="99" t="inlineStr">
        <is>
          <t>삼성자산운용(ETF)</t>
        </is>
      </c>
      <c r="D666" s="100" t="n">
        <v>6915</v>
      </c>
      <c r="E666" s="100" t="n">
        <v>41144250000</v>
      </c>
      <c r="F666" s="100" t="n">
        <v>366075864</v>
      </c>
      <c r="G666" s="101" t="n">
        <v>0.004500000000000001</v>
      </c>
      <c r="H666" s="101" t="n">
        <v>0.5171</v>
      </c>
      <c r="I666" s="101" t="n">
        <v>0.0005</v>
      </c>
      <c r="J666" s="101" t="n"/>
      <c r="K666" s="100" t="n">
        <v>3</v>
      </c>
      <c r="L666" s="102" t="inlineStr">
        <is>
          <t>20260730</t>
        </is>
      </c>
      <c r="M666" s="99" t="inlineStr">
        <is>
          <t>제외</t>
        </is>
      </c>
      <c r="N666" s="99" t="inlineStr">
        <is>
          <t>60일 거래대금 3.7억(기준 5억 미만), 변동성 51.7%(1년 기준, 기준 35% 초과), 상장 11개월(기준 12개월 미만), 연 분배율 산출 불가(상장 1년 미만 — 12개월 창이 안 채워짐)</t>
        </is>
      </c>
      <c r="O666" s="99" t="inlineStr">
        <is>
          <t>iSelect U.S. Nuclear Power SMR Index</t>
        </is>
      </c>
      <c r="P666" s="99" t="inlineStr">
        <is>
          <t>일반</t>
        </is>
      </c>
      <c r="Q666" s="99" t="inlineStr">
        <is>
          <t>주식</t>
        </is>
      </c>
      <c r="R666" s="99" t="inlineStr">
        <is>
          <t>판정 불가</t>
        </is>
      </c>
      <c r="S666" s="100" t="n">
        <v>3</v>
      </c>
      <c r="T666" s="101" t="n"/>
      <c r="U666" s="103" t="n"/>
      <c r="V666" s="103" t="n"/>
      <c r="W666" s="103" t="n">
        <v>-0.3486</v>
      </c>
      <c r="X666" s="103" t="n">
        <v>-0.3011</v>
      </c>
      <c r="Y666" s="99" t="inlineStr"/>
      <c r="Z666" s="99" t="inlineStr">
        <is>
          <t>기준가 209일치뿐 — 창(250거래일)을 못 채움</t>
        </is>
      </c>
    </row>
    <row r="667">
      <c r="A667" s="99" t="inlineStr">
        <is>
          <t>1Q 200채권혼합50액티브</t>
        </is>
      </c>
      <c r="B667" s="99" t="inlineStr">
        <is>
          <t>0184E0</t>
        </is>
      </c>
      <c r="C667" s="99" t="inlineStr">
        <is>
          <t>하나자산운용</t>
        </is>
      </c>
      <c r="D667" s="100" t="n">
        <v>11200</v>
      </c>
      <c r="E667" s="100" t="n">
        <v>34720000000</v>
      </c>
      <c r="F667" s="100" t="n">
        <v>1143924168</v>
      </c>
      <c r="G667" s="101" t="n">
        <v>0.004</v>
      </c>
      <c r="H667" s="101" t="n">
        <v>0.3593</v>
      </c>
      <c r="I667" s="101" t="n">
        <v>0.003</v>
      </c>
      <c r="J667" s="101" t="n"/>
      <c r="K667" s="100" t="n">
        <v>1</v>
      </c>
      <c r="L667" s="102" t="inlineStr">
        <is>
          <t>20260730</t>
        </is>
      </c>
      <c r="M667" s="99" t="inlineStr">
        <is>
          <t>제외</t>
        </is>
      </c>
      <c r="N667" s="99" t="inlineStr">
        <is>
          <t>변동성 35.9%(111거래일 기준, 기준 35% 초과), 상장 6개월(기준 12개월 미만), 연 분배율 산출 불가(상장 1년 미만 — 12개월 창이 안 채워짐)</t>
        </is>
      </c>
      <c r="O667" s="99" t="inlineStr">
        <is>
          <t>코스피 200 단기국공채 혼합지수</t>
        </is>
      </c>
      <c r="P667" s="99" t="inlineStr">
        <is>
          <t>일반</t>
        </is>
      </c>
      <c r="Q667" s="99" t="inlineStr">
        <is>
          <t>멀티에셋</t>
        </is>
      </c>
      <c r="R667" s="99" t="inlineStr">
        <is>
          <t>판정 불가</t>
        </is>
      </c>
      <c r="S667" s="100" t="n">
        <v>1</v>
      </c>
      <c r="T667" s="101" t="n"/>
      <c r="U667" s="103" t="n"/>
      <c r="V667" s="103" t="n"/>
      <c r="W667" s="103" t="n"/>
      <c r="X667" s="103" t="n">
        <v>-0.0623</v>
      </c>
      <c r="Y667" s="99" t="inlineStr"/>
      <c r="Z667" s="99" t="inlineStr">
        <is>
          <t>기준가 111일치뿐 — 창(250거래일)을 못 채움 / 6개월: 기준가 111일치뿐 — 창(123거래일)을 못 채움</t>
        </is>
      </c>
    </row>
    <row r="668">
      <c r="A668" s="99" t="inlineStr">
        <is>
          <t>WON 초대형IB&amp;금융지주</t>
        </is>
      </c>
      <c r="B668" s="99" t="inlineStr">
        <is>
          <t>0154F0</t>
        </is>
      </c>
      <c r="C668" s="99" t="inlineStr">
        <is>
          <t>우리자산운용</t>
        </is>
      </c>
      <c r="D668" s="100" t="n">
        <v>11970</v>
      </c>
      <c r="E668" s="100" t="n">
        <v>32917500000</v>
      </c>
      <c r="F668" s="100" t="n">
        <v>317885096</v>
      </c>
      <c r="G668" s="101" t="n">
        <v>0.0029</v>
      </c>
      <c r="H668" s="101" t="n">
        <v>0.4835</v>
      </c>
      <c r="I668" s="101" t="n">
        <v>0.0177</v>
      </c>
      <c r="J668" s="101" t="n"/>
      <c r="K668" s="100" t="n">
        <v>1</v>
      </c>
      <c r="L668" s="102" t="inlineStr">
        <is>
          <t>20260429</t>
        </is>
      </c>
      <c r="M668" s="99" t="inlineStr">
        <is>
          <t>제외</t>
        </is>
      </c>
      <c r="N668" s="99" t="inlineStr">
        <is>
          <t>60일 거래대금 3.2억(기준 5억 미만), 변동성 48.4%(172거래일 기준, 기준 35% 초과), 상장 9개월(기준 12개월 미만), 연 분배율 산출 불가(상장 1년 미만 — 12개월 창이 안 채워짐)</t>
        </is>
      </c>
      <c r="O668" s="99" t="inlineStr">
        <is>
          <t>iSelect 초대형IB&amp;금융지주 지수</t>
        </is>
      </c>
      <c r="P668" s="99" t="inlineStr">
        <is>
          <t>일반</t>
        </is>
      </c>
      <c r="Q668" s="99" t="inlineStr">
        <is>
          <t>주식</t>
        </is>
      </c>
      <c r="R668" s="99" t="inlineStr">
        <is>
          <t>판정 불가</t>
        </is>
      </c>
      <c r="S668" s="100" t="n">
        <v>1</v>
      </c>
      <c r="T668" s="101" t="n"/>
      <c r="U668" s="103" t="n"/>
      <c r="V668" s="103" t="n"/>
      <c r="W668" s="103" t="n">
        <v>-0.0944</v>
      </c>
      <c r="X668" s="103" t="n">
        <v>-0.07580000000000001</v>
      </c>
      <c r="Y668" s="99" t="inlineStr"/>
      <c r="Z668" s="99" t="inlineStr">
        <is>
          <t>기준가 172일치뿐 — 창(250거래일)을 못 채움</t>
        </is>
      </c>
    </row>
    <row r="669">
      <c r="A669" s="99" t="inlineStr">
        <is>
          <t>KoAct 글로벌친환경전력인프라액티브</t>
        </is>
      </c>
      <c r="B669" s="99" t="inlineStr">
        <is>
          <t>475070</t>
        </is>
      </c>
      <c r="C669" s="99" t="inlineStr">
        <is>
          <t>삼성액티브자산(ETF)</t>
        </is>
      </c>
      <c r="D669" s="100" t="n">
        <v>29800</v>
      </c>
      <c r="E669" s="100" t="n">
        <v>32780000000</v>
      </c>
      <c r="F669" s="100" t="n">
        <v>268816978</v>
      </c>
      <c r="G669" s="101" t="n">
        <v>0.005</v>
      </c>
      <c r="H669" s="101" t="n">
        <v>0.4355</v>
      </c>
      <c r="I669" s="101" t="n">
        <v>0.0022</v>
      </c>
      <c r="J669" s="101" t="n"/>
      <c r="K669" s="100" t="n">
        <v>1</v>
      </c>
      <c r="L669" s="102" t="inlineStr">
        <is>
          <t>20241030</t>
        </is>
      </c>
      <c r="M669" s="99" t="inlineStr">
        <is>
          <t>제외</t>
        </is>
      </c>
      <c r="N669" s="99" t="inlineStr">
        <is>
          <t>60일 거래대금 2.7억(기준 5억 미만), 변동성 43.5%(1년 기준, 기준 35% 초과), 최근 12개월 분배 없음, 연 분배율 산출 불가(최근 12개월 분배 기록 없음)</t>
        </is>
      </c>
      <c r="O669" s="99" t="inlineStr">
        <is>
          <t>Solactive Global Climate Technology Infrastructure Index PR</t>
        </is>
      </c>
      <c r="P669" s="99" t="inlineStr">
        <is>
          <t>일반</t>
        </is>
      </c>
      <c r="Q669" s="99" t="inlineStr">
        <is>
          <t>주식</t>
        </is>
      </c>
      <c r="R669" s="99" t="inlineStr">
        <is>
          <t>무분배</t>
        </is>
      </c>
      <c r="S669" s="100" t="n">
        <v>0</v>
      </c>
      <c r="T669" s="101" t="n"/>
      <c r="U669" s="103" t="n"/>
      <c r="V669" s="103" t="n">
        <v>0.3382</v>
      </c>
      <c r="W669" s="103" t="n">
        <v>-0.0805</v>
      </c>
      <c r="X669" s="103" t="n">
        <v>-0.1929</v>
      </c>
      <c r="Y669" s="99" t="inlineStr">
        <is>
          <t>20250922~20261002</t>
        </is>
      </c>
      <c r="Z669" s="99" t="inlineStr">
        <is>
          <t>기준가 수익률은 냈으나 최근 12개월 분배금 합계가 없어 총수익률은 내지 않음</t>
        </is>
      </c>
    </row>
    <row r="670">
      <c r="A670" s="99" t="inlineStr">
        <is>
          <t>PLUS 코스닥150액티브</t>
        </is>
      </c>
      <c r="B670" s="99" t="inlineStr">
        <is>
          <t>0166N0</t>
        </is>
      </c>
      <c r="C670" s="99" t="inlineStr">
        <is>
          <t>한화자산운용</t>
        </is>
      </c>
      <c r="D670" s="100" t="n">
        <v>9270</v>
      </c>
      <c r="E670" s="100" t="n">
        <v>32445000000</v>
      </c>
      <c r="F670" s="100" t="n">
        <v>601610191</v>
      </c>
      <c r="G670" s="101" t="n">
        <v>0.0063</v>
      </c>
      <c r="H670" s="101" t="n">
        <v>0.6505</v>
      </c>
      <c r="I670" s="101" t="n">
        <v>0.0004</v>
      </c>
      <c r="J670" s="101" t="n"/>
      <c r="K670" s="100" t="n">
        <v>1</v>
      </c>
      <c r="L670" s="102" t="inlineStr">
        <is>
          <t>20260429</t>
        </is>
      </c>
      <c r="M670" s="99" t="inlineStr">
        <is>
          <t>제외</t>
        </is>
      </c>
      <c r="N670" s="99" t="inlineStr">
        <is>
          <t>변동성 65.1%(136거래일 기준, 기준 35% 초과), 상장 7개월(기준 12개월 미만), 연 분배율 산출 불가(상장 1년 미만 — 12개월 창이 안 채워짐)</t>
        </is>
      </c>
      <c r="O670" s="99" t="inlineStr">
        <is>
          <t>KOSDAQ 150</t>
        </is>
      </c>
      <c r="P670" s="99" t="inlineStr">
        <is>
          <t>일반</t>
        </is>
      </c>
      <c r="Q670" s="99" t="inlineStr">
        <is>
          <t>주식</t>
        </is>
      </c>
      <c r="R670" s="99" t="inlineStr">
        <is>
          <t>판정 불가</t>
        </is>
      </c>
      <c r="S670" s="100" t="n">
        <v>1</v>
      </c>
      <c r="T670" s="101" t="n"/>
      <c r="U670" s="103" t="n"/>
      <c r="V670" s="103" t="n"/>
      <c r="W670" s="103" t="n"/>
      <c r="X670" s="103" t="n"/>
      <c r="Y670" s="99" t="inlineStr"/>
      <c r="Z670" s="99" t="inlineStr">
        <is>
          <t>기준가 136일치뿐 — 창(250거래일)을 못 채움 / 6개월: 창 안 급변일 1일(20260731) — 내지 않음 / 3개월: 창 안 급변일 1일(20260731) — 내지 않음</t>
        </is>
      </c>
    </row>
    <row r="671">
      <c r="A671" s="99" t="inlineStr">
        <is>
          <t>HANARO Fn K-POP&amp;미디어</t>
        </is>
      </c>
      <c r="B671" s="99" t="inlineStr">
        <is>
          <t>395290</t>
        </is>
      </c>
      <c r="C671" s="99" t="inlineStr">
        <is>
          <t>NH-Amundi자산운용</t>
        </is>
      </c>
      <c r="D671" s="100" t="n">
        <v>4750</v>
      </c>
      <c r="E671" s="100" t="n">
        <v>30162500000</v>
      </c>
      <c r="F671" s="100" t="n">
        <v>368709153</v>
      </c>
      <c r="G671" s="101" t="n">
        <v>0.004500000000000001</v>
      </c>
      <c r="H671" s="101" t="n">
        <v>0.4267</v>
      </c>
      <c r="I671" s="101" t="n">
        <v>0.004099999999999999</v>
      </c>
      <c r="J671" s="101" t="n"/>
      <c r="K671" s="100" t="n">
        <v>3</v>
      </c>
      <c r="L671" s="102" t="inlineStr">
        <is>
          <t>20240429</t>
        </is>
      </c>
      <c r="M671" s="99" t="inlineStr">
        <is>
          <t>제외</t>
        </is>
      </c>
      <c r="N671" s="99" t="inlineStr">
        <is>
          <t>60일 거래대금 3.7억(기준 5억 미만), 변동성 42.7%(1년 기준, 기준 35% 초과), 최근 12개월 분배 없음, 연 분배율 산출 불가(최근 12개월 분배 기록 없음)</t>
        </is>
      </c>
      <c r="O671" s="99" t="inlineStr">
        <is>
          <t>FnGuide K-POP &amp; 미디어 지수</t>
        </is>
      </c>
      <c r="P671" s="99" t="inlineStr">
        <is>
          <t>일반</t>
        </is>
      </c>
      <c r="Q671" s="99" t="inlineStr">
        <is>
          <t>주식</t>
        </is>
      </c>
      <c r="R671" s="99" t="inlineStr">
        <is>
          <t>무분배</t>
        </is>
      </c>
      <c r="S671" s="100" t="n">
        <v>0</v>
      </c>
      <c r="T671" s="101" t="n"/>
      <c r="U671" s="103" t="n"/>
      <c r="V671" s="103" t="n">
        <v>-0.5129</v>
      </c>
      <c r="W671" s="103" t="n">
        <v>-0.3215999999999999</v>
      </c>
      <c r="X671" s="103" t="n">
        <v>-0.1408</v>
      </c>
      <c r="Y671" s="99" t="inlineStr">
        <is>
          <t>20250922~20261002</t>
        </is>
      </c>
      <c r="Z671" s="99" t="inlineStr">
        <is>
          <t>기준가 수익률은 냈으나 최근 12개월 분배금 합계가 없어 총수익률은 내지 않음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autoFilter ref="A3:Z6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04" customWidth="1" min="2" max="2"/>
  </cols>
  <sheetData>
    <row r="1" ht="34" customHeight="1">
      <c r="A1" s="2" t="n"/>
      <c r="B1" s="104" t="inlineStr">
        <is>
          <t>이 파일을 쓰는 법</t>
        </is>
      </c>
    </row>
    <row r="2" ht="3" customHeight="1">
      <c r="A2" s="6" t="n"/>
      <c r="B2" s="6" t="n"/>
    </row>
    <row r="4" ht="18" customHeight="1">
      <c r="B4" s="105" t="inlineStr"/>
    </row>
    <row r="5" ht="24" customHeight="1">
      <c r="B5" s="106" t="inlineStr">
        <is>
          <t>1. [제안서] 장의 노란 칸만 고치면 됩니다.</t>
        </is>
      </c>
    </row>
    <row r="6" ht="18" customHeight="1">
      <c r="B6" s="70" t="inlineStr">
        <is>
          <t xml:space="preserve">     · 고객명 — 그대로 인쇄됩니다.</t>
        </is>
      </c>
    </row>
    <row r="7" ht="18" customHeight="1">
      <c r="B7" s="70" t="inlineStr">
        <is>
          <t xml:space="preserve">     · 총 투자금액 — 원 단위로 넣으십시오. 예: 100000000</t>
        </is>
      </c>
    </row>
    <row r="8" ht="18" customHeight="1">
      <c r="B8" s="70" t="inlineStr">
        <is>
          <t xml:space="preserve">     · 배분 방식 — '비율' 또는 '금액'. 포트폴리오 표의 배분 칸 뜻이 이것에 따라 바뀝니다.</t>
        </is>
      </c>
    </row>
    <row r="9" ht="18" customHeight="1">
      <c r="B9" s="70" t="inlineStr">
        <is>
          <t xml:space="preserve">     · 배당소득세율 — 기본 15.4%. 금융소득종합과세 대상자면 여기만 바꾸십시오.</t>
        </is>
      </c>
    </row>
    <row r="10" ht="18" customHeight="1">
      <c r="B10" s="105" t="inlineStr"/>
    </row>
    <row r="11" ht="24" customHeight="1">
      <c r="B11" s="106" t="inlineStr">
        <is>
          <t>2. 포트폴리오는 10줄까지 담을 수 있습니다.</t>
        </is>
      </c>
    </row>
    <row r="12" ht="18" customHeight="1">
      <c r="B12" s="70" t="inlineStr">
        <is>
          <t xml:space="preserve">     · 투자 ETF 칸을 누르면 ▼ 가 나옵니다. 목록에서 고르십시오.</t>
        </is>
      </c>
    </row>
    <row r="13" ht="18" customHeight="1">
      <c r="B13" s="70" t="inlineStr">
        <is>
          <t xml:space="preserve">     · 종목이 많아 찾기 어려우면 표 위의 '종목 검색' 에 글자 일부를 넣으십시오 (예: 커버드콜). ▼ 목록이 그만큼만 남고, 비우면 전체로 돌아옵니다.</t>
        </is>
      </c>
    </row>
    <row r="14" ht="18" customHeight="1">
      <c r="B14" s="70" t="inlineStr">
        <is>
          <t xml:space="preserve">     · [종목조회] 장에서 '담기' 칸에 O 를 넣으면 이 표에 자동으로 올라옵니다. 담은 순서대로 채워지고, O 를 지우면 내려갑니다. 배분 비율은 직접 넣으십시오.</t>
        </is>
      </c>
    </row>
    <row r="15" ht="18" customHeight="1">
      <c r="B15" s="70" t="inlineStr">
        <is>
          <t xml:space="preserve">     · 손으로 ▼ 로 고르면 그 줄은 손으로 고른 값이 남습니다(그 줄만 [종목조회] 를 따라가지 않습니다). 다음 달 파일에서는 다시 연결됩니다.</t>
        </is>
      </c>
    </row>
    <row r="16" ht="18" customHeight="1">
      <c r="B16" s="70" t="inlineStr">
        <is>
          <t xml:space="preserve">     · '비율' 이면 배분 칸에 %를 넣습니다. 합이 100 이 되어야 합니다.</t>
        </is>
      </c>
    </row>
    <row r="17" ht="18" customHeight="1">
      <c r="B17" s="70" t="inlineStr">
        <is>
          <t xml:space="preserve">       예) 50 / 30 / 20 → 총 투자금액을 5:3:2 로 나눕니다.</t>
        </is>
      </c>
    </row>
    <row r="18" ht="18" customHeight="1">
      <c r="B18" s="70" t="inlineStr">
        <is>
          <t xml:space="preserve">     · '금액' 이면 배분 칸에 원 단위 금액을 직접 넣습니다.</t>
        </is>
      </c>
    </row>
    <row r="19" ht="18" customHeight="1">
      <c r="B19" s="70" t="inlineStr">
        <is>
          <t xml:space="preserve">       예) 60000000 / 25000000 / 15000000</t>
        </is>
      </c>
    </row>
    <row r="20" ht="18" customHeight="1">
      <c r="B20" s="70" t="inlineStr">
        <is>
          <t xml:space="preserve">     · 한 종목만 담으려면 첫 줄에만 넣고 배분을 100 으로 두십시오.</t>
        </is>
      </c>
    </row>
    <row r="21" ht="18" customHeight="1">
      <c r="B21" s="70" t="inlineStr">
        <is>
          <t xml:space="preserve">     · 빈 줄은 계산에서 빠집니다. 줄을 지울 필요가 없습니다.</t>
        </is>
      </c>
    </row>
    <row r="22" ht="18" customHeight="1">
      <c r="B22" s="70" t="inlineStr">
        <is>
          <t xml:space="preserve">     · 배분이 어긋나면(비율 합 ≠ 100, 금액 합 &gt; 총액) 합계 줄 아래에 빨간 글씨로 알려 줍니다.</t>
        </is>
      </c>
    </row>
    <row r="23" ht="18" customHeight="1">
      <c r="B23" s="105" t="inlineStr"/>
    </row>
    <row r="24" ht="24" customHeight="1">
      <c r="B24" s="106" t="inlineStr">
        <is>
          <t>3. 드롭다운에는 고를 수 있는 종목이 전부 담겨 있습니다.</t>
        </is>
      </c>
    </row>
    <row r="25" ht="18" customHeight="1">
      <c r="B25" s="70" t="inlineStr">
        <is>
          <t xml:space="preserve">     · 채택 190종목 — 유동성·변동성·분배이력 기준을 통과한 종목</t>
        </is>
      </c>
    </row>
    <row r="26" ht="18" customHeight="1">
      <c r="B26" s="70" t="inlineStr">
        <is>
          <t xml:space="preserve">     · 기준 미달 401종목 — 통과하지 못했지만 고를 수는 있습니다.</t>
        </is>
      </c>
    </row>
    <row r="27" ht="18" customHeight="1">
      <c r="B27" s="70" t="inlineStr">
        <is>
          <t xml:space="preserve">       담으면 합계 줄 아래에 노란 글씨로 알려 주고, 사유는 [ETF데이터] 장 '제외 사유' 칸에 있습니다.</t>
        </is>
      </c>
    </row>
    <row r="28" ht="18" customHeight="1">
      <c r="B28" s="70" t="inlineStr">
        <is>
          <t xml:space="preserve">     · 선택 불가 77종목 — 연 분배율을 낼 수 없는 종목이라 드롭다운에 없습니다.</t>
        </is>
      </c>
    </row>
    <row r="29" ht="18" customHeight="1">
      <c r="B29" s="70" t="inlineStr">
        <is>
          <t xml:space="preserve">       (분배 이력이 열두 달을 못 채웠거나 수집이 실패한 종목입니다. 사유는 [ETF데이터] 장에 있습니다.)</t>
        </is>
      </c>
    </row>
    <row r="30" ht="18" customHeight="1">
      <c r="B30" s="70" t="inlineStr">
        <is>
          <t xml:space="preserve">     · 커버드콜인지, 무슨 자산군인지는 [ETF데이터] 장의 '유형'·'자산군' 칸에 있습니다.</t>
        </is>
      </c>
    </row>
    <row r="31" ht="18" customHeight="1">
      <c r="B31" s="105" t="inlineStr"/>
    </row>
    <row r="32" ht="24" customHeight="1">
      <c r="B32" s="106" t="inlineStr">
        <is>
          <t>4. 나머지 칸은 전부 수식입니다.</t>
        </is>
      </c>
    </row>
    <row r="33" ht="18" customHeight="1">
      <c r="B33" s="70" t="inlineStr">
        <is>
          <t xml:space="preserve">     손으로 고치면 다음 갱신 때 되돌아갑니다.</t>
        </is>
      </c>
    </row>
    <row r="34" ht="18" customHeight="1">
      <c r="B34" s="105" t="inlineStr"/>
    </row>
    <row r="35" ht="24" customHeight="1">
      <c r="B35" s="106" t="inlineStr">
        <is>
          <t>5. 갱신</t>
        </is>
      </c>
    </row>
    <row r="36" ht="18" customHeight="1">
      <c r="B36" s="70" t="inlineStr">
        <is>
          <t xml:space="preserve">     매월 1일 오전(KST)에 ETFCHECK 에서 분배율을 다시 받아 이 파일을 새로 만듭니다.</t>
        </is>
      </c>
    </row>
    <row r="37" ht="18" customHeight="1">
      <c r="B37" s="70" t="inlineStr">
        <is>
          <t xml:space="preserve">     고객명·투자금액·포트폴리오는 갱신 때 초기값으로 돌아가므로, 고객별 사본은 따로 저장해 두십시오.</t>
        </is>
      </c>
    </row>
    <row r="38" ht="18" customHeight="1">
      <c r="B38" s="105" t="inlineStr"/>
    </row>
    <row r="39" ht="24" customHeight="1">
      <c r="B39" s="106" t="inlineStr">
        <is>
          <t>6. 값이 이상해 보이면</t>
        </is>
      </c>
    </row>
    <row r="40" ht="18" customHeight="1">
      <c r="B40" s="70" t="inlineStr">
        <is>
          <t xml:space="preserve">     [ETF데이터] 장을 먼저 보십시오. 그 장이 원천이고, [제안서] 장은 그 장을 가리킬 뿐입니다.</t>
        </is>
      </c>
    </row>
    <row r="41" ht="18" customHeight="1">
      <c r="B41" s="70" t="inlineStr">
        <is>
          <t xml:space="preserve">     그 장의 값이 ETFCHECK 화면과 다르면 수집이 어긋난 것이니 알려 주십시오.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2026-10-04T15:09:31Z</dcterms:created>
  <dcterms:modified xsi:type="dcterms:W3CDTF">2026-10-04T15:09:33Z</dcterms:modified>
</cp:coreProperties>
</file>